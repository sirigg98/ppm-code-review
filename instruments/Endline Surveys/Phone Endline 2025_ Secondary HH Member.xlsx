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survey!$A$1:$A$1402</definedName>
    <definedName hidden="1" localSheetId="6" name="_xlnm._FilterDatabase">'Q numbers'!$A$1:$A$3702</definedName>
  </definedNames>
  <calcPr/>
</workbook>
</file>

<file path=xl/sharedStrings.xml><?xml version="1.0" encoding="utf-8"?>
<sst xmlns="http://schemas.openxmlformats.org/spreadsheetml/2006/main" count="15235" uniqueCount="8555">
  <si>
    <t>list_name</t>
  </si>
  <si>
    <t>form_title</t>
  </si>
  <si>
    <t>The survey worksheet</t>
  </si>
  <si>
    <t>type</t>
  </si>
  <si>
    <t>value</t>
  </si>
  <si>
    <t>label</t>
  </si>
  <si>
    <t>label:french</t>
  </si>
  <si>
    <t>label:hausa</t>
  </si>
  <si>
    <t>image</t>
  </si>
  <si>
    <t>filter</t>
  </si>
  <si>
    <t>filter2</t>
  </si>
  <si>
    <t>filter3</t>
  </si>
  <si>
    <t>form_id</t>
  </si>
  <si>
    <t>version</t>
  </si>
  <si>
    <t>name</t>
  </si>
  <si>
    <t>filter4</t>
  </si>
  <si>
    <t>hint</t>
  </si>
  <si>
    <t>hint:french</t>
  </si>
  <si>
    <t>hint:hausa</t>
  </si>
  <si>
    <t>default</t>
  </si>
  <si>
    <t>appearance</t>
  </si>
  <si>
    <t>public_key</t>
  </si>
  <si>
    <t>submission_url</t>
  </si>
  <si>
    <t>default_language</t>
  </si>
  <si>
    <t>yesno</t>
  </si>
  <si>
    <t>Phone Endline 2025 Secondary HH Member</t>
  </si>
  <si>
    <t>constraint</t>
  </si>
  <si>
    <t>Yes</t>
  </si>
  <si>
    <t>constraint message</t>
  </si>
  <si>
    <t>phone_el_shm_2025</t>
  </si>
  <si>
    <t>constraint message:french</t>
  </si>
  <si>
    <t>Oui</t>
  </si>
  <si>
    <t>constraint message:hausa</t>
  </si>
  <si>
    <t>ii</t>
  </si>
  <si>
    <t>relevance</t>
  </si>
  <si>
    <t>disabled</t>
  </si>
  <si>
    <t>required</t>
  </si>
  <si>
    <t>required message</t>
  </si>
  <si>
    <t>This worksheet specifies all of the groups, questions, and other fields in your survey form, each in its own row. Aside from overall settings and lists of multiple-choice options, everything about your survey form is specified in this worksheet.</t>
  </si>
  <si>
    <t>read only</t>
  </si>
  <si>
    <t>calculation</t>
  </si>
  <si>
    <t>repeat_count</t>
  </si>
  <si>
    <t>media:image</t>
  </si>
  <si>
    <t>media:audio</t>
  </si>
  <si>
    <t>media:video</t>
  </si>
  <si>
    <t>choice_filter</t>
  </si>
  <si>
    <t>note</t>
  </si>
  <si>
    <t>response_note</t>
  </si>
  <si>
    <t>publishable</t>
  </si>
  <si>
    <t>minimum_seconds</t>
  </si>
  <si>
    <t>No</t>
  </si>
  <si>
    <t>Non</t>
  </si>
  <si>
    <t>a'a</t>
  </si>
  <si>
    <t>Learn more about form definitions and field types</t>
  </si>
  <si>
    <t>start</t>
  </si>
  <si>
    <t/>
  </si>
  <si>
    <t>starttime</t>
  </si>
  <si>
    <t>english</t>
  </si>
  <si>
    <t>label:languagename</t>
  </si>
  <si>
    <t>round</t>
  </si>
  <si>
    <t>end</t>
  </si>
  <si>
    <t>hint:languagename</t>
  </si>
  <si>
    <t>endtime</t>
  </si>
  <si>
    <t>Round 3</t>
  </si>
  <si>
    <t>Tour 3</t>
  </si>
  <si>
    <t>constraint message:languagename</t>
  </si>
  <si>
    <t>zagaye 3</t>
  </si>
  <si>
    <t>required message:languagename</t>
  </si>
  <si>
    <t>deviceid</t>
  </si>
  <si>
    <t>media:image:languagename</t>
  </si>
  <si>
    <t>media:audio:languagename</t>
  </si>
  <si>
    <t>media:video:languagename</t>
  </si>
  <si>
    <t>Round 5</t>
  </si>
  <si>
    <t>Tour 5</t>
  </si>
  <si>
    <t>zagaye 5</t>
  </si>
  <si>
    <t>phonenumber</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</si>
  <si>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</si>
  <si>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devicephonenum</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</si>
  <si>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</si>
  <si>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</si>
  <si>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t>Endline</t>
  </si>
  <si>
    <t>Enquête finale</t>
  </si>
  <si>
    <t>Binciken karshen</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</si>
  <si>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</si>
  <si>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</si>
  <si>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</si>
  <si>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</si>
  <si>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</si>
  <si>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t>username</t>
  </si>
  <si>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</si>
  <si>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</si>
  <si>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</si>
  <si>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</si>
  <si>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</si>
  <si>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</si>
  <si>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</si>
  <si>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</si>
  <si>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yesnodk</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</si>
  <si>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</si>
  <si>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</si>
  <si>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</si>
  <si>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caseid</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</si>
  <si>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</si>
  <si>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</si>
  <si>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</si>
  <si>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</si>
  <si>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</si>
  <si>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</si>
  <si>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t>aa</t>
  </si>
  <si>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</si>
  <si>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</si>
  <si>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</si>
  <si>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t>calculate</t>
  </si>
  <si>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</si>
  <si>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device_info</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</si>
  <si>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</si>
  <si>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Don't know</t>
  </si>
  <si>
    <t>Je ne sais pas</t>
  </si>
  <si>
    <t>Ban sani ba</t>
  </si>
  <si>
    <t>device-info()</t>
  </si>
  <si>
    <t>Help topic: Form languages</t>
  </si>
  <si>
    <t>duration</t>
  </si>
  <si>
    <t>duration()</t>
  </si>
  <si>
    <t>Help topic: Pre-loading data into a form</t>
  </si>
  <si>
    <t>team</t>
  </si>
  <si>
    <t>team_id</t>
  </si>
  <si>
    <t>team_leader</t>
  </si>
  <si>
    <t>audio audit</t>
  </si>
  <si>
    <t>audio_audit</t>
  </si>
  <si>
    <t>Help topic: Using constraints to validate responses</t>
  </si>
  <si>
    <t>p=20;s=phone_response;d=last_symptoms</t>
  </si>
  <si>
    <t>Help topic: Implementing skip patterns with "relevance"</t>
  </si>
  <si>
    <t>Other</t>
  </si>
  <si>
    <t>Autre</t>
  </si>
  <si>
    <t>Wani daban</t>
  </si>
  <si>
    <t>Help topic: Other field properties</t>
  </si>
  <si>
    <t>text audit</t>
  </si>
  <si>
    <t>text_audit</t>
  </si>
  <si>
    <t>p=100</t>
  </si>
  <si>
    <t>Help topic: Field type: calculate</t>
  </si>
  <si>
    <t>Help topic: Grouping and repeating questions</t>
  </si>
  <si>
    <t>Help topic: Images: Adding pictures and other graphics</t>
  </si>
  <si>
    <t>instance_time</t>
  </si>
  <si>
    <t>The time and date of the current call attempt for use as the instance_name.</t>
  </si>
  <si>
    <t>enum</t>
  </si>
  <si>
    <t>enum_id</t>
  </si>
  <si>
    <t>enum_name</t>
  </si>
  <si>
    <t>once(format-date-time(now(), '%Y-%m-%d %H:%M'))</t>
  </si>
  <si>
    <t>Help topic: Dynamically filtering lists of multiple-choice options</t>
  </si>
  <si>
    <t>Help topic: Downloading printable copies of your forms</t>
  </si>
  <si>
    <t>Help topic: Encrypting form data (end-to-end encryption)</t>
  </si>
  <si>
    <t>phone_call_log</t>
  </si>
  <si>
    <t>Logs phone call events.</t>
  </si>
  <si>
    <t>Help topic: Collecting high-quality data</t>
  </si>
  <si>
    <t>phone-call-log()</t>
  </si>
  <si>
    <t>commune</t>
  </si>
  <si>
    <t>commune_id</t>
  </si>
  <si>
    <t>commune_name</t>
  </si>
  <si>
    <t>phone_call_duration</t>
  </si>
  <si>
    <t>Returns the total number of seconds spent on a phone call during the form.</t>
  </si>
  <si>
    <r>
      <rPr>
        <rFont val="Calibri"/>
        <color rgb="FF000000"/>
        <sz val="12.0"/>
        <u/>
      </rPr>
      <t>Examples</t>
    </r>
    <r>
      <rPr>
        <rFont val="Calibri"/>
        <color rgb="FF000000"/>
        <sz val="12.0"/>
        <u/>
      </rPr>
      <t xml:space="preserve"> (scroll right for appearance styles)</t>
    </r>
  </si>
  <si>
    <t>phone-call-duration()</t>
  </si>
  <si>
    <t>locality</t>
  </si>
  <si>
    <t>vn</t>
  </si>
  <si>
    <t>locality_name</t>
  </si>
  <si>
    <t>collect_phone_app</t>
  </si>
  <si>
    <t>Returns true or false depending on whether or not Collect is currently set as the default phone app.</t>
  </si>
  <si>
    <t>collect-is-phone-app()</t>
  </si>
  <si>
    <t>hh_id</t>
  </si>
  <si>
    <t>respondent</t>
  </si>
  <si>
    <t>${caseid}</t>
  </si>
  <si>
    <t>PM - ${pm_name} (age: ${pm_age})</t>
  </si>
  <si>
    <t>PM - ${pm_name}</t>
  </si>
  <si>
    <t>enumerator</t>
  </si>
  <si>
    <t>Update to pull from CM</t>
  </si>
  <si>
    <t>fieldname</t>
  </si>
  <si>
    <t>Enumerator selection field (require a special code in order to reveal the full enumerator list):</t>
  </si>
  <si>
    <t>SHM - ${shm_name} (age: ${shm_age})</t>
  </si>
  <si>
    <t>SHM - ${shm_name}</t>
  </si>
  <si>
    <t>pulldata('cases_el', 'commune_name', 'id', ${caseid})</t>
  </si>
  <si>
    <t>other-user-code(xyz)</t>
  </si>
  <si>
    <t>Woman - ${w_name} (age: ${w_age})</t>
  </si>
  <si>
    <t>The choices worksheet</t>
  </si>
  <si>
    <t>pulldata('cases_el', 'locality_name', 'id', ${caseid})</t>
  </si>
  <si>
    <t>Enumerator selection field (require a special code in order to enter a new enumerator):</t>
  </si>
  <si>
    <t>pm_name</t>
  </si>
  <si>
    <t>None</t>
  </si>
  <si>
    <t>PM Name</t>
  </si>
  <si>
    <t>Aucun</t>
  </si>
  <si>
    <t>Babu</t>
  </si>
  <si>
    <t>add-new-code(xyz)</t>
  </si>
  <si>
    <t>pulldata('cases_el', 'pm_name', 'id', ${caseid})</t>
  </si>
  <si>
    <t>shm_name</t>
  </si>
  <si>
    <t>SHM Name</t>
  </si>
  <si>
    <t>pulldata('cases_el', 'shm_name', 'id', ${caseid})</t>
  </si>
  <si>
    <t>resp</t>
  </si>
  <si>
    <t>${pm_name} (age: ${pm_age})</t>
  </si>
  <si>
    <t>Enumerator selection field:</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</si>
  <si>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</si>
  <si>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${pm_name} (âge: ${pm_age})</t>
  </si>
  <si>
    <t>${pm_name} (shekaru: ${pm_age})</t>
  </si>
  <si>
    <t>default-to-entry</t>
  </si>
  <si>
    <t>w_name</t>
  </si>
  <si>
    <t>HoH Name</t>
  </si>
  <si>
    <t>Read about the select_one field type for more information</t>
  </si>
  <si>
    <t>${w_name} (age: ${w_age})</t>
  </si>
  <si>
    <t>${w_name} (âge: ${w_age})</t>
  </si>
  <si>
    <t>pulldata('cases_el', 'w_name', 'id', ${caseid})</t>
  </si>
  <si>
    <t>${w_name} (shekaru: ${w_age})</t>
  </si>
  <si>
    <t>Read about the select_multiple field type for more information</t>
  </si>
  <si>
    <t>pm_hoh</t>
  </si>
  <si>
    <t>PM is HOH</t>
  </si>
  <si>
    <t>default-to-scan</t>
  </si>
  <si>
    <t>pulldata('cases_el', 'pm_hoh', 'id', ${caseid})</t>
  </si>
  <si>
    <t>id</t>
  </si>
  <si>
    <t>Read about dynamically loading choice lists from external pre-loaded data</t>
  </si>
  <si>
    <t>id_key</t>
  </si>
  <si>
    <t>shm_hoh</t>
  </si>
  <si>
    <t>SHM is HOH</t>
  </si>
  <si>
    <t>pulldata('cases_el', 'shm_hoh', 'id', ${caseid})</t>
  </si>
  <si>
    <t>text</t>
  </si>
  <si>
    <t>Standard text field:</t>
  </si>
  <si>
    <t>sex</t>
  </si>
  <si>
    <t>w_shm</t>
  </si>
  <si>
    <t>Male</t>
  </si>
  <si>
    <t>Homme</t>
  </si>
  <si>
    <t>image:languagename</t>
  </si>
  <si>
    <t>Namiji</t>
  </si>
  <si>
    <t>pulldata('cases_el', 'w_shm', 'id', ${caseid})</t>
  </si>
  <si>
    <t>pm_age</t>
  </si>
  <si>
    <t>Age of PM</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</si>
  <si>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</si>
  <si>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Text field which uses the numeric keypad:</t>
  </si>
  <si>
    <t>Female</t>
  </si>
  <si>
    <t>Femme</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</si>
  <si>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</si>
  <si>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Mace</t>
  </si>
  <si>
    <t>pulldata('cases_el', 'pm_age', 'id', ${caseid})</t>
  </si>
  <si>
    <t>numbers</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</si>
  <si>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</si>
  <si>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</si>
  <si>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</si>
  <si>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</si>
  <si>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</si>
  <si>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shm_age</t>
  </si>
  <si>
    <t>Age of SHM</t>
  </si>
  <si>
    <t>pulldata('cases_el', 'shm_age', 'id', ${caseid})</t>
  </si>
  <si>
    <t>integer</t>
  </si>
  <si>
    <t>relation</t>
  </si>
  <si>
    <t>Household head</t>
  </si>
  <si>
    <t>w_age</t>
  </si>
  <si>
    <t>Chef de menage</t>
  </si>
  <si>
    <t>Standard integer field:</t>
  </si>
  <si>
    <t>Mai gida</t>
  </si>
  <si>
    <t>pulldata('cases_el', 'w_age', 'id', ${caseid})</t>
  </si>
  <si>
    <t>Spouse</t>
  </si>
  <si>
    <t>calculate_here</t>
  </si>
  <si>
    <t>Conjoint</t>
  </si>
  <si>
    <t>speedcheck_intro_start</t>
  </si>
  <si>
    <t>Uwar gida/ Mata</t>
  </si>
  <si>
    <t>once(duration())</t>
  </si>
  <si>
    <t>decimal</t>
  </si>
  <si>
    <t>Son/daughter</t>
  </si>
  <si>
    <t>Fils/fille</t>
  </si>
  <si>
    <t>Ɗa/ɗiya</t>
  </si>
  <si>
    <t>Standard decimal field:</t>
  </si>
  <si>
    <t>intronote</t>
  </si>
  <si>
    <t>1. Endline survey</t>
  </si>
  <si>
    <t>1. Enquête finale</t>
  </si>
  <si>
    <t>1. Binciken karshen</t>
  </si>
  <si>
    <t>Father/mother</t>
  </si>
  <si>
    <t>Père/mère</t>
  </si>
  <si>
    <t>intro</t>
  </si>
  <si>
    <t>Uwa/uba</t>
  </si>
  <si>
    <t>Brother/sister</t>
  </si>
  <si>
    <t>Frère/sœur</t>
  </si>
  <si>
    <t>Wa/ƙane/Ya/ƙanwa</t>
  </si>
  <si>
    <t>select_one listname</t>
  </si>
  <si>
    <t>begin group</t>
  </si>
  <si>
    <t>surv_not_done</t>
  </si>
  <si>
    <t>Standard multiple-choice field (allows one selection, shown as series of radio buttons):</t>
  </si>
  <si>
    <t>Nephew/niece</t>
  </si>
  <si>
    <t>Neveu/nièce</t>
  </si>
  <si>
    <t>Ɗan ƙane ko wa/Ɗiyar ƙane ko wa</t>
  </si>
  <si>
    <t>Grand-parent</t>
  </si>
  <si>
    <t>Kaka</t>
  </si>
  <si>
    <t>Multiple-choice field (allows one selection, shown horizontally along likert-type scale):</t>
  </si>
  <si>
    <t>likert</t>
  </si>
  <si>
    <t>Father/mother-in-law</t>
  </si>
  <si>
    <t>Beau-père/ belle-mère</t>
  </si>
  <si>
    <t>Siriki/sarakuwa</t>
  </si>
  <si>
    <t>enum_questions</t>
  </si>
  <si>
    <t>Enumerator Questions</t>
  </si>
  <si>
    <t>Brother in law/Sister in law</t>
  </si>
  <si>
    <t>Beau-frère/belle-sœur</t>
  </si>
  <si>
    <t>ƙane ko wan mata/ƙanwa ko yar mata</t>
  </si>
  <si>
    <t>Multiple-choice field (allows one selection, shown horizontally along likert-type scale, labels only at ends of the scale):</t>
  </si>
  <si>
    <t>likert-min</t>
  </si>
  <si>
    <t>Son/daughter-in-law</t>
  </si>
  <si>
    <t>Beau fils / belle-fille</t>
  </si>
  <si>
    <t>select_one round</t>
  </si>
  <si>
    <t>Mijin ɗiya/matar ɗa</t>
  </si>
  <si>
    <t>2. What round is this?</t>
  </si>
  <si>
    <t>2. quel tour est-ce ?</t>
  </si>
  <si>
    <t>2. Wane zagaye ne wannan ?</t>
  </si>
  <si>
    <t>selected(., '7')</t>
  </si>
  <si>
    <t>We are currently in endline!</t>
  </si>
  <si>
    <t>yes</t>
  </si>
  <si>
    <t>Grandchildren</t>
  </si>
  <si>
    <t>filter=7</t>
  </si>
  <si>
    <t>Petits-enfants</t>
  </si>
  <si>
    <t>Jikoki</t>
  </si>
  <si>
    <t>Multiple-choice field (allows one selection, shown horizontally along likert-type scale, labels only at ends and middle of scale):</t>
  </si>
  <si>
    <t>no_case</t>
  </si>
  <si>
    <t>Cousin</t>
  </si>
  <si>
    <t>3. &lt;p style="font-weight:bold;"&gt;Note: You will not be able to proceed. Please open this form from the &lt;em&gt;Manage Cases&lt;/em&gt; menu, not from &lt;em&gt;Fill Blank Form&lt;/em&gt;.&lt;/p&gt;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</si>
  <si>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Cousin/Cousine</t>
  </si>
  <si>
    <t>Dan/ Wa/Kanen uba</t>
  </si>
  <si>
    <t>empty(${caseid})</t>
  </si>
  <si>
    <t>likert-mid</t>
  </si>
  <si>
    <t>Co-spouse</t>
  </si>
  <si>
    <t>Co-épouse</t>
  </si>
  <si>
    <t>Kishiya</t>
  </si>
  <si>
    <t>invalid_caseid</t>
  </si>
  <si>
    <t>4. &lt;p style="font-weight:bold;"&gt;Note: You have opened an invalid form URL. You will not be able to proceed. Please open this form from the &lt;em&gt;Manage Cases&lt;/em&gt; menu, or check the URL you were given.&lt;/p&gt;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</si>
  <si>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empty(pulldata('cases_el', 'id', 'id', ${caseid}))</t>
  </si>
  <si>
    <t>No family relation</t>
  </si>
  <si>
    <t>Aucun lien de parenté</t>
  </si>
  <si>
    <t>Babu dangantaka</t>
  </si>
  <si>
    <t>Multiple-choice field (allows one selection, auto-advances to next question as soon as an option is selected):</t>
  </si>
  <si>
    <t>quick</t>
  </si>
  <si>
    <t>end group</t>
  </si>
  <si>
    <t>call</t>
  </si>
  <si>
    <t>Phone did not ring</t>
  </si>
  <si>
    <t>Le téléphone n'a pas sonné</t>
  </si>
  <si>
    <t>Waya ba ta yi ƙara ba</t>
  </si>
  <si>
    <t>Multiple-choice field (allows one selection, shown as a drop-down selector):</t>
  </si>
  <si>
    <t>minimal</t>
  </si>
  <si>
    <t>Phone rang but no one picked up</t>
  </si>
  <si>
    <t>Le téléphone a sonné mais personne n'a décroché</t>
  </si>
  <si>
    <t>attempted_name</t>
  </si>
  <si>
    <t>Waya tayi ƙara amma babu wanda ya dauka</t>
  </si>
  <si>
    <t>${shm_name}</t>
  </si>
  <si>
    <t>Multiple-choice field (allows one selection, shown as a compact table of options):</t>
  </si>
  <si>
    <t>Phone rang and was answered</t>
  </si>
  <si>
    <t>compact</t>
  </si>
  <si>
    <t>Le téléphone a sonné et on a répondu</t>
  </si>
  <si>
    <t>Waya tayi kara kuma an amsa</t>
  </si>
  <si>
    <t>attempted_respondent</t>
  </si>
  <si>
    <t>Multiple-choice field (allows one selection, shown as a compact table of options with exactly three columns):</t>
  </si>
  <si>
    <t>shm_prev_complete</t>
  </si>
  <si>
    <t>compact-3</t>
  </si>
  <si>
    <t>pulldata('cases_el', 'now_complete_shm', 'id', ${caseid})</t>
  </si>
  <si>
    <t>contact_relation</t>
  </si>
  <si>
    <t>Spouse/partner</t>
  </si>
  <si>
    <t>Conjoint/partenaire</t>
  </si>
  <si>
    <t>Miji/mace/</t>
  </si>
  <si>
    <t>pm_filter</t>
  </si>
  <si>
    <t>filter != pm_filter</t>
  </si>
  <si>
    <t>Multiple-choice field (allows one selection, shown as a compact table of options, auto-advances to next question as soon as an option is selected):</t>
  </si>
  <si>
    <t>if(${shm_prev_complete} = 'Yes', 1, 0)</t>
  </si>
  <si>
    <t>quickcompact</t>
  </si>
  <si>
    <t>Child</t>
  </si>
  <si>
    <t>Enfant</t>
  </si>
  <si>
    <t>Yaro</t>
  </si>
  <si>
    <t>surveys</t>
  </si>
  <si>
    <t>pulldata('cases_el', 'surveys', 'id', ${caseid})</t>
  </si>
  <si>
    <t>Parent</t>
  </si>
  <si>
    <t>Uwa</t>
  </si>
  <si>
    <t>Multiple-choice field (allows one selection, shown as a compact table of options with exactly three columns, auto-advances to next question as soon as an option is selected):</t>
  </si>
  <si>
    <t>contacts</t>
  </si>
  <si>
    <t>Number of phone numbers available.</t>
  </si>
  <si>
    <t>quickcompact-3</t>
  </si>
  <si>
    <t>Sibling</t>
  </si>
  <si>
    <t>Frère et sœur</t>
  </si>
  <si>
    <t>Ɗan uwa/ƴar uwa</t>
  </si>
  <si>
    <t>pulldata('cases_el', 'shm_contacts', 'id', ${caseid})</t>
  </si>
  <si>
    <t>Member of spouse's family</t>
  </si>
  <si>
    <t>Membre de la famille du conjoint</t>
  </si>
  <si>
    <t>Dan gidan aure</t>
  </si>
  <si>
    <t>Multiple-choice field (allows one selection, loads options from pre-loaded .csv file, includes options based on a "contains" comparison):</t>
  </si>
  <si>
    <t>Other family member</t>
  </si>
  <si>
    <t>Autre membre de la famille</t>
  </si>
  <si>
    <t>search('hhplotdata', 'contains', 'respondentname', ${nametofind})</t>
  </si>
  <si>
    <t>Wani dan uwa</t>
  </si>
  <si>
    <t>begin repeat</t>
  </si>
  <si>
    <t>phone_data_rep</t>
  </si>
  <si>
    <t>Get data for all phone numbers for this respondent.</t>
  </si>
  <si>
    <t>${contacts}</t>
  </si>
  <si>
    <t>Friend</t>
  </si>
  <si>
    <t>Ami</t>
  </si>
  <si>
    <t>Aboki</t>
  </si>
  <si>
    <t>Multiple-choice field (allows one selection, loads options from pre-loaded .csv file, includes options based on a "starts with" comparison):</t>
  </si>
  <si>
    <t>pd_phone_index</t>
  </si>
  <si>
    <t>search('hhplotdata', 'startswith', 'respondentname', ${nameprefix})</t>
  </si>
  <si>
    <t>Repeat group index.</t>
  </si>
  <si>
    <t>Neighbor</t>
  </si>
  <si>
    <t>Voisin</t>
  </si>
  <si>
    <t>Makwabci</t>
  </si>
  <si>
    <t>if(${attempted_respondent} = 1, index()+10, if(${attempted_respondent} = 2, index() + 20, index() + 30))</t>
  </si>
  <si>
    <t>pd_phone_id</t>
  </si>
  <si>
    <t>The settings worksheet</t>
  </si>
  <si>
    <t>Unique ID of the phone number, combination of the case ID and the phone index.</t>
  </si>
  <si>
    <t>Multiple-choice field (allows one selection, loads options from pre-loaded .csv file, includes options based on an "ends with" comparison):</t>
  </si>
  <si>
    <t>concat(${caseid}, '-', ${pd_phone_index})</t>
  </si>
  <si>
    <t>search('hhplotdata', 'endswith', 'respondentname', ${namesuffix})</t>
  </si>
  <si>
    <t>pd_phone_num</t>
  </si>
  <si>
    <t>Actual phone number to call.</t>
  </si>
  <si>
    <t>interest</t>
  </si>
  <si>
    <t>Not very interested</t>
  </si>
  <si>
    <t>Pas très intéressé</t>
  </si>
  <si>
    <t>Ba sha'awa sosai</t>
  </si>
  <si>
    <t>pulldata('phone_numbers_el', 'phone_number', 'phone_key', ${pd_phone_id})</t>
  </si>
  <si>
    <t>Multiple-choice field (allows one selection, loads options from pre-loaded .csv file, includes options based on an "exact match" comparison):</t>
  </si>
  <si>
    <t>pd_contact_name</t>
  </si>
  <si>
    <t>Name of the owner of the phone number.</t>
  </si>
  <si>
    <t>This worksheet contains overall settings for your form, all specified in the second row of the worksheet. When you download a form template from your SurveyCTO server, these settings will be pre-filled for you.</t>
  </si>
  <si>
    <t>search('hhplotdata', 'matches', 'respondentname', ${nametofind})</t>
  </si>
  <si>
    <t>Somewhat interested</t>
  </si>
  <si>
    <t>Un peu intéressé</t>
  </si>
  <si>
    <t>Da ɗan sha'awa</t>
  </si>
  <si>
    <t>coalesce(pulldata('phone_numbers_el', 'contact_name', 'phone_key', ${pd_phone_id}), 'Unknown')</t>
  </si>
  <si>
    <t>Very interested</t>
  </si>
  <si>
    <t>Très intéressé</t>
  </si>
  <si>
    <t>pd_relationship</t>
  </si>
  <si>
    <t>Da Sha'awa sosai</t>
  </si>
  <si>
    <t>Relationship of the phone number owner to the respondent.</t>
  </si>
  <si>
    <t>coalesce(pulldata('phone_numbers_el', 'relationship', 'phone_key', ${pd_phone_id}), 'Unknown')</t>
  </si>
  <si>
    <t>Multiple-choice field (allows one selection, loads options from pre-loaded .csv file, includes options based on both a "contains" comparison and an "exact match" filter):</t>
  </si>
  <si>
    <t>search('hhplotdata', 'contains', 'respondentname', ${nametofind}, 'villageid', ${villageid})</t>
  </si>
  <si>
    <t>pd_exclude</t>
  </si>
  <si>
    <t>Has a value of 1 if this phone number should be excluded from the choice list, since it is no longer viable.</t>
  </si>
  <si>
    <t>pulldata('phone_numbers_el', 'exclude', 'phone_key', ${pd_phone_id})</t>
  </si>
  <si>
    <t>patient</t>
  </si>
  <si>
    <t>Impatient</t>
  </si>
  <si>
    <t>Babu haƙuri</t>
  </si>
  <si>
    <t>select_multiple listname</t>
  </si>
  <si>
    <t>Standard multiple-choice field (allows multiple selections, shown as series of radio buttons):</t>
  </si>
  <si>
    <t>pd_label</t>
  </si>
  <si>
    <t>What to display in a choice label for this phone number, combining different phone properties.</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</si>
  <si>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</si>
  <si>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concat(${pd_contact_name}, ', ',  ${pd_relationship}, ': ', ${pd_phone_num})</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</si>
  <si>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</si>
  <si>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Somewhat patient</t>
  </si>
  <si>
    <t>Un peu patient</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</si>
  <si>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</si>
  <si>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Da ɗan haƙuri</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</si>
  <si>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</si>
  <si>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</si>
  <si>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</si>
  <si>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end repeat</t>
  </si>
  <si>
    <t>Very patient</t>
  </si>
  <si>
    <t>Très patient</t>
  </si>
  <si>
    <t>Da Hakuri sosai</t>
  </si>
  <si>
    <t>Multiple-choice field (allows multiple selections, shown as a pop-up selector):</t>
  </si>
  <si>
    <t>Help topic: Hiding forms during testing</t>
  </si>
  <si>
    <t>phones_viable</t>
  </si>
  <si>
    <t>The indexes of which phone numbers do NOT have a "pd_exclude" value of 1.</t>
  </si>
  <si>
    <t>join-if(' ', ${pd_phone_index}, ${pd_exclude} != '1')</t>
  </si>
  <si>
    <t>comprehension</t>
  </si>
  <si>
    <t>Help topic: Updating an existing form</t>
  </si>
  <si>
    <t>Did not understand</t>
  </si>
  <si>
    <t>Multiple-choice field (allows multiple selections, shown as a compact table of options):</t>
  </si>
  <si>
    <t>N'a pas compris</t>
  </si>
  <si>
    <t>Bai gane ba</t>
  </si>
  <si>
    <t>num_viable</t>
  </si>
  <si>
    <t>How many phone numbers are viable (i.e. number of items in "phones_viable").</t>
  </si>
  <si>
    <t>count-selected(${phones_viable})</t>
  </si>
  <si>
    <t>Understood somewhat</t>
  </si>
  <si>
    <t>Un peu compris</t>
  </si>
  <si>
    <t>Ya gane ɗan kadan</t>
  </si>
  <si>
    <t>subtract</t>
  </si>
  <si>
    <t>Multiple-choice field (allows multiple selections, shown as a compact table of options with exactly three columns):</t>
  </si>
  <si>
    <t>Understood well</t>
  </si>
  <si>
    <t>Bien compris</t>
  </si>
  <si>
    <t>Ya gane sosai</t>
  </si>
  <si>
    <t>if(${attempted_respondent} = 1, 10, if(${attempted_respondent} = 2, 20, 30))</t>
  </si>
  <si>
    <t>phone_label_1</t>
  </si>
  <si>
    <t>Label for choice of first viable phone number.</t>
  </si>
  <si>
    <t>indexed-repeat(${pd_label}, ${phone_data_rep}, selected-at(${phones_viable}, 0)-${subtract})</t>
  </si>
  <si>
    <t>present</t>
  </si>
  <si>
    <t>Multiple-choice field (allows multiple selections, loads options from pre-loaded .csv file, includes options based on a "contains" comparison):</t>
  </si>
  <si>
    <t>Alone</t>
  </si>
  <si>
    <t>Seul</t>
  </si>
  <si>
    <t>Shi kaɗai</t>
  </si>
  <si>
    <t>phone_label_2</t>
  </si>
  <si>
    <t>Label for choice of second viable phone number.</t>
  </si>
  <si>
    <t>indexed-repeat(${pd_label}, ${phone_data_rep}, selected-at(${phones_viable}, 1)-${subtract})</t>
  </si>
  <si>
    <t>With spouse only</t>
  </si>
  <si>
    <t>Avec conjoint seulement</t>
  </si>
  <si>
    <t>Tare da mata kawai</t>
  </si>
  <si>
    <t>phone_label_3</t>
  </si>
  <si>
    <t>Label for choice of third viable phone number.</t>
  </si>
  <si>
    <t>Multiple-choice field (allows multiple selections, loads options from pre-loaded .csv file, includes options based on a "starts with" comparison):</t>
  </si>
  <si>
    <t>With household members</t>
  </si>
  <si>
    <t>Avec les membres du ménage</t>
  </si>
  <si>
    <t>Tare da yan gida</t>
  </si>
  <si>
    <t>indexed-repeat(${pd_label}, ${phone_data_rep}, selected-at(${phones_viable}, 2)-${subtract})</t>
  </si>
  <si>
    <t>With non-household members</t>
  </si>
  <si>
    <t>Avec des non-membres du ménage</t>
  </si>
  <si>
    <t>Tare da wadanda ba ƴan gida ba</t>
  </si>
  <si>
    <t>phone_label_4</t>
  </si>
  <si>
    <t>Label for choice of fourth viable phone number.</t>
  </si>
  <si>
    <t>indexed-repeat(${pd_label}, ${phone_data_rep}, selected-at(${phones_viable}, 3)-${subtract})</t>
  </si>
  <si>
    <t>Multiple-choice field (allows multiple selections, loads options from pre-loaded .csv file, includes options based on an "ends with" comparison):</t>
  </si>
  <si>
    <t>phone_label_5</t>
  </si>
  <si>
    <t>Label for choice of fifth viable phone number.</t>
  </si>
  <si>
    <t>savings</t>
  </si>
  <si>
    <t>In cash</t>
  </si>
  <si>
    <t>indexed-repeat(${pd_label}, ${phone_data_rep}, selected-at(${phones_viable}, 4)-${subtract})</t>
  </si>
  <si>
    <t>En argent liquide</t>
  </si>
  <si>
    <t>A Tsabar kudi</t>
  </si>
  <si>
    <t>Multiple-choice field (allows multiple selections, loads options from pre-loaded .csv file, includes options based on an "exact match" comparison):</t>
  </si>
  <si>
    <t>phone_1_name</t>
  </si>
  <si>
    <t>In a bank account</t>
  </si>
  <si>
    <t>Dans un compte bancaire</t>
  </si>
  <si>
    <t>A cikin asusun banki</t>
  </si>
  <si>
    <t>indexed-repeat(${pd_contact_name}, ${phone_data_rep}, 1)</t>
  </si>
  <si>
    <t>In a mobile money account</t>
  </si>
  <si>
    <t>Dans un compte mobile money</t>
  </si>
  <si>
    <t>A cikin asusun wayar hannu</t>
  </si>
  <si>
    <t>phone_2_name</t>
  </si>
  <si>
    <t>indexed-repeat(${pd_contact_name}, ${phone_data_rep}, 2)</t>
  </si>
  <si>
    <t>In Jewelery or other valuables</t>
  </si>
  <si>
    <t>Dans les bijoux ou autres objets de valeur</t>
  </si>
  <si>
    <t>Multiple-choice field (allows multiple selections, loads options from pre-loaded .csv file, includes options based on both a "contains" comparison and an "exact match" filter):</t>
  </si>
  <si>
    <t>A cikin kayan ado ko wasu abubuwa masu mahimmanci</t>
  </si>
  <si>
    <t>phone_3_name</t>
  </si>
  <si>
    <t>With a 'big man' in the area</t>
  </si>
  <si>
    <t>Avec un "grand homme" dans la région</t>
  </si>
  <si>
    <t>Tare da wani 'babban mutum' a jahar</t>
  </si>
  <si>
    <t>indexed-repeat(${pd_contact_name}, ${phone_data_rep}, 3)</t>
  </si>
  <si>
    <t>By buying stocks of cereals</t>
  </si>
  <si>
    <t xml:space="preserve">Achat du céréale </t>
  </si>
  <si>
    <t>phone_4_name</t>
  </si>
  <si>
    <t>geopoint</t>
  </si>
  <si>
    <t>indexed-repeat(${pd_contact_name}, ${phone_data_rep}, 4)</t>
  </si>
  <si>
    <t>Standard GPS location-capture field:</t>
  </si>
  <si>
    <t>phone_5_name</t>
  </si>
  <si>
    <t>indexed-repeat(${pd_contact_name}, ${phone_data_rep}, 5)</t>
  </si>
  <si>
    <t>phone_1_rel</t>
  </si>
  <si>
    <t>geoshape</t>
  </si>
  <si>
    <t>indexed-repeat(${pd_relationship}, ${phone_data_rep}, 1)</t>
  </si>
  <si>
    <t>Boundary-capture field (GPS polygon):</t>
  </si>
  <si>
    <t>freq</t>
  </si>
  <si>
    <t>Never</t>
  </si>
  <si>
    <t>Jamais</t>
  </si>
  <si>
    <t>Har abada</t>
  </si>
  <si>
    <t>phone_2_rel</t>
  </si>
  <si>
    <t>indexed-repeat(${pd_relationship}, ${phone_data_rep}, 2)</t>
  </si>
  <si>
    <t>Rarely</t>
  </si>
  <si>
    <t>Rarement</t>
  </si>
  <si>
    <t>Jehi jehi</t>
  </si>
  <si>
    <t>phone_3_rel</t>
  </si>
  <si>
    <t>Sometimes</t>
  </si>
  <si>
    <t>Parfois</t>
  </si>
  <si>
    <t>Lokaci zuwa lokaci</t>
  </si>
  <si>
    <t>geotrace</t>
  </si>
  <si>
    <t>indexed-repeat(${pd_relationship}, ${phone_data_rep}, 3)</t>
  </si>
  <si>
    <t>Boundary- or path-capture field (GPS polyline or polygon):</t>
  </si>
  <si>
    <t>Often</t>
  </si>
  <si>
    <t>Souvent</t>
  </si>
  <si>
    <t>Sau da yawa</t>
  </si>
  <si>
    <t>phone_4_rel</t>
  </si>
  <si>
    <t>indexed-repeat(${pd_relationship}, ${phone_data_rep}, 4)</t>
  </si>
  <si>
    <t>barcode</t>
  </si>
  <si>
    <t>phone_5_rel</t>
  </si>
  <si>
    <t>indexed-repeat(${pd_relationship}, ${phone_data_rep}, 5)</t>
  </si>
  <si>
    <t>Standard scan-barcode field:</t>
  </si>
  <si>
    <t>phone_1</t>
  </si>
  <si>
    <t>indexed-repeat(${pd_phone_num}, ${phone_data_rep}, 1)</t>
  </si>
  <si>
    <t>date</t>
  </si>
  <si>
    <t>phone_2</t>
  </si>
  <si>
    <t>Standard date field:</t>
  </si>
  <si>
    <t>indexed-repeat(${pd_phone_num}, ${phone_data_rep}, 2)</t>
  </si>
  <si>
    <t>phone_3</t>
  </si>
  <si>
    <t>indexed-repeat(${pd_phone_num}, ${phone_data_rep}, 3)</t>
  </si>
  <si>
    <t>Date field (but for smaller screens):</t>
  </si>
  <si>
    <t>phone_4</t>
  </si>
  <si>
    <t>no-calendar</t>
  </si>
  <si>
    <t>indexed-repeat(${pd_phone_num}, ${phone_data_rep}, 4)</t>
  </si>
  <si>
    <t>phone_5</t>
  </si>
  <si>
    <t>datetime</t>
  </si>
  <si>
    <t>indexed-repeat(${pd_phone_num}, ${phone_data_rep}, 5)</t>
  </si>
  <si>
    <t>Standard date+time field:</t>
  </si>
  <si>
    <t>Date+time field (but for smaller screens):</t>
  </si>
  <si>
    <t>best_phone_shm</t>
  </si>
  <si>
    <t>${attempted_respondent} = 2</t>
  </si>
  <si>
    <t>pulldata('cases_el', 'best_phone_shm', 'id', ${caseid})</t>
  </si>
  <si>
    <t>time</t>
  </si>
  <si>
    <t>best_phone_index</t>
  </si>
  <si>
    <t>Index of the best phone number to call the respondent, confirmed by previous interviews.</t>
  </si>
  <si>
    <t>Standard time field:</t>
  </si>
  <si>
    <t>${best_phone_shm}</t>
  </si>
  <si>
    <t>best_phoneno</t>
  </si>
  <si>
    <t>The actual best phone number to call the respondent.</t>
  </si>
  <si>
    <t>pulldata('phone_numbers_el', 'phone_number', 'phone_key',
concat(${caseid}, '-', ${best_phone_index}))</t>
  </si>
  <si>
    <t>Standard image-capture field:</t>
  </si>
  <si>
    <t>Image-capture field which allows user to annotate image:</t>
  </si>
  <si>
    <t>shm_num_calls</t>
  </si>
  <si>
    <t>Number of calls so far.</t>
  </si>
  <si>
    <t>annotate</t>
  </si>
  <si>
    <t>Question Durations</t>
  </si>
  <si>
    <t>pulldata('cases_el', 'shm_num_calls', 'id', ${caseid})</t>
  </si>
  <si>
    <t>education</t>
  </si>
  <si>
    <t>1. Endline Survey</t>
  </si>
  <si>
    <t>Bai taɓa yin makaranta ba</t>
  </si>
  <si>
    <t xml:space="preserve">1. </t>
  </si>
  <si>
    <t>num_calls</t>
  </si>
  <si>
    <t>Image-capture field which allows user to draw image:</t>
  </si>
  <si>
    <t>${shm_num_calls}</t>
  </si>
  <si>
    <t>draw</t>
  </si>
  <si>
    <t>Preschool</t>
  </si>
  <si>
    <t>Préscolaire</t>
  </si>
  <si>
    <t>Makarantar yara ƙanana</t>
  </si>
  <si>
    <t>call_num</t>
  </si>
  <si>
    <t>Number of calls so far plus 1.</t>
  </si>
  <si>
    <t>2. Wane kewaye ne?</t>
  </si>
  <si>
    <t>select_one team</t>
  </si>
  <si>
    <t>3. Who is your team leader?</t>
  </si>
  <si>
    <t>Primary school</t>
  </si>
  <si>
    <t>3. Qui est votre chef d'équipe?</t>
  </si>
  <si>
    <t>if(empty(${num_calls}), 1, ${num_calls} + 1)</t>
  </si>
  <si>
    <t>École primaire</t>
  </si>
  <si>
    <t>3. Wanene shugaban tahiyar ku ?</t>
  </si>
  <si>
    <t>Makarantar firamere</t>
  </si>
  <si>
    <t>2. Who is your team leader?</t>
  </si>
  <si>
    <t>2. Qui est votre chef d'équipe?</t>
  </si>
  <si>
    <t>2. Wanene shugaban tahiyar ku ?</t>
  </si>
  <si>
    <t>select_one enum</t>
  </si>
  <si>
    <t>Image-capture field which collects a signature as the image:</t>
  </si>
  <si>
    <t>4. What is your name?</t>
  </si>
  <si>
    <t>4. Quel est votre nom?</t>
  </si>
  <si>
    <t>4. Menene sunanka?</t>
  </si>
  <si>
    <t>signature</t>
  </si>
  <si>
    <t>Middle school</t>
  </si>
  <si>
    <t>stop_at</t>
  </si>
  <si>
    <t>College</t>
  </si>
  <si>
    <t>The last call number before the case should be closed. Has value of 5 to start, but becomes 6 if respondent reschedules, since if reschedules, then can allow for one more call. - CUSTOMIZE THIS VALUE FOR YOUR PROJECT.</t>
  </si>
  <si>
    <t>3. What is your name?</t>
  </si>
  <si>
    <t>Koleji/SEJ</t>
  </si>
  <si>
    <t>3. Quel est votre nom?</t>
  </si>
  <si>
    <t>3. Menene sunanka?</t>
  </si>
  <si>
    <t>enumerator_name</t>
  </si>
  <si>
    <t>CALC: Pull enumerator name</t>
  </si>
  <si>
    <t>if(${call_num}=5 and empty(${reschedule}), 5, 6)</t>
  </si>
  <si>
    <t>enumerator_partner</t>
  </si>
  <si>
    <t>5. What is your partner's name?</t>
  </si>
  <si>
    <t>5. Quel est le nom de votre binôme?</t>
  </si>
  <si>
    <t>Koranic school</t>
  </si>
  <si>
    <t>5. Menene sunan abokin aikinka</t>
  </si>
  <si>
    <t>Ecole coranique</t>
  </si>
  <si>
    <t>Karatun kur'ani</t>
  </si>
  <si>
    <t>4. What is your partner's name?</t>
  </si>
  <si>
    <t>4. Quel est le nom de votre binôme?</t>
  </si>
  <si>
    <t>4. Menene sunan abokin aikinka</t>
  </si>
  <si>
    <t>enumerator_partner_name</t>
  </si>
  <si>
    <t>review_status</t>
  </si>
  <si>
    <t>Review status pulled from the dataset.</t>
  </si>
  <si>
    <t>audio</t>
  </si>
  <si>
    <t>select_one commune</t>
  </si>
  <si>
    <t>High school</t>
  </si>
  <si>
    <t>pulldata('cases_el', 'shm_needs_review', 'id', ${caseid})</t>
  </si>
  <si>
    <t>Lycee</t>
  </si>
  <si>
    <t>6. What commune are you surveying in?</t>
  </si>
  <si>
    <t>6. Quelle est votre commune de travail ?</t>
  </si>
  <si>
    <t>6. Cikin wane komin kake aiki?</t>
  </si>
  <si>
    <t>Standard audio-capture field:</t>
  </si>
  <si>
    <t>Babbar makaranta/lise</t>
  </si>
  <si>
    <t>5. What commune are you surveying in?</t>
  </si>
  <si>
    <t>5. Quelle est votre commune de travail ?</t>
  </si>
  <si>
    <t>5. Cikin wane komin kake aiki?</t>
  </si>
  <si>
    <t>CALC: Pull commune name</t>
  </si>
  <si>
    <t>pm_home_location</t>
  </si>
  <si>
    <t>More than high school</t>
  </si>
  <si>
    <t>Plus qu'une école secondaire</t>
  </si>
  <si>
    <t>Jami'a</t>
  </si>
  <si>
    <t>users</t>
  </si>
  <si>
    <t>Username(s) of the enumerator(s) assigned to the case, pulled from the cases dataset. Has value of "Closed" if the case has been closed.</t>
  </si>
  <si>
    <t>video</t>
  </si>
  <si>
    <t>pulldata('cases_el', 'users', 'id', ${caseid})</t>
  </si>
  <si>
    <t>Standard video-capture field:</t>
  </si>
  <si>
    <t>region</t>
  </si>
  <si>
    <t>Agadez</t>
  </si>
  <si>
    <t>${users}</t>
  </si>
  <si>
    <t>select_one locality</t>
  </si>
  <si>
    <t>7. What village/neighborhood are you surveying in?</t>
  </si>
  <si>
    <t>7. Dans quelle ville/village faites-vous votre enquête ?</t>
  </si>
  <si>
    <t>7. Cikin wane gari kake binciken?</t>
  </si>
  <si>
    <t>Diffa</t>
  </si>
  <si>
    <t>6. What village/neighborhood are you surveying in?</t>
  </si>
  <si>
    <t>6. Dans quelle ville/village faites-vous votre enquête ?</t>
  </si>
  <si>
    <t>file</t>
  </si>
  <si>
    <t>6. Cikin wane gari kake binciken?</t>
  </si>
  <si>
    <t>CALC: Pull locality name</t>
  </si>
  <si>
    <t>Attach text, image, video, audio, PDF, ZIP, or MS Office file (Excel or Word):</t>
  </si>
  <si>
    <t>Dosso</t>
  </si>
  <si>
    <t>village_id</t>
  </si>
  <si>
    <t>closed_case</t>
  </si>
  <si>
    <t>6. &lt;p style="font-weight:bold;"&gt;Note: This case has been closed. Please close the tab you are on, and open a different case instead.&lt;/p&gt;</t>
  </si>
  <si>
    <t>id_startswith</t>
  </si>
  <si>
    <t>Maradi</t>
  </si>
  <si>
    <t>${users} = 'Closed'</t>
  </si>
  <si>
    <t>Niamey</t>
  </si>
  <si>
    <t>Standard note field (read-only).</t>
  </si>
  <si>
    <t>Tahoua</t>
  </si>
  <si>
    <t>period_bl</t>
  </si>
  <si>
    <t>Tillaberi</t>
  </si>
  <si>
    <t>review_error</t>
  </si>
  <si>
    <t>7. &lt;p&gt;This case is currently under review. Please close this form without saving, and work on a different case.&lt;/p&gt;
&lt;br&gt;
&lt;p style="font-style="italic"&gt;To learn more about this warning message, check section &lt;strong&gt;4. Cases to be reviewed&lt;/strong&gt; of &lt;a title="CATI starter kit part 3" href="https://support.surveycto.com/hc/en-us/articles/360046370714-CATI-starter-kit-part-3-advanced-case-management-sample-workflow" target="_blank"&gt;CATI starter kit part 3&lt;/a&gt;.&lt;/p&gt;</t>
  </si>
  <si>
    <t>not(empty(${review_status}))</t>
  </si>
  <si>
    <t>period_french_bl</t>
  </si>
  <si>
    <t>Zinder</t>
  </si>
  <si>
    <t>period_hausa_bl</t>
  </si>
  <si>
    <t>intro_phones</t>
  </si>
  <si>
    <t>8. &lt;strong&gt;FOR TRAINING&lt;/strong&gt; - you may not want this in your form:
&lt;ul&gt;
&lt;li&gt;Every respondent in this sample form can have multiple phone numbers on record to attempt to contact them with.&lt;/li&gt;
&lt;li&gt;Each phone number is listed with the owner’s name (if different from the respondent’s), and their relationship with the owner.&lt;/li&gt;
&lt;li&gt;Every time you call with a new number and speak to someone, you will be able to collect updated information about each phone number, to help you make contact!&lt;/li&gt;
&lt;li&gt;Make sure multiple enumerators don't work on the same case before syncing their data with the server, or they may overwrite each other's collected phone numbers.
&lt;/ul&gt;</t>
  </si>
  <si>
    <t>period_bl_fu5</t>
  </si>
  <si>
    <t>8. Select the Household ID number:</t>
  </si>
  <si>
    <t xml:space="preserve">8. </t>
  </si>
  <si>
    <t>period_french_bl_fu5</t>
  </si>
  <si>
    <t>intro_respondent</t>
  </si>
  <si>
    <t>ENUMERATOR: as a reminder, you are trying to reach ${shm_name} (age: ${shm_age}).</t>
  </si>
  <si>
    <t>towns</t>
  </si>
  <si>
    <t>town_id</t>
  </si>
  <si>
    <t>8. Sélectionnez le numéro d'identification du ménage :</t>
  </si>
  <si>
    <t>town_name</t>
  </si>
  <si>
    <t>8. Zaɓi lambar ID na Gida:</t>
  </si>
  <si>
    <t>period_hausa_bl_fu5</t>
  </si>
  <si>
    <t>period</t>
  </si>
  <si>
    <t>phonecall</t>
  </si>
  <si>
    <t>Calling</t>
  </si>
  <si>
    <t>period_french</t>
  </si>
  <si>
    <t>if(count(${phonecall})&lt;${num_viable}, sum(${addrepeat})+1, ${num_viable})</t>
  </si>
  <si>
    <t>Wni daban</t>
  </si>
  <si>
    <t>period_hausa</t>
  </si>
  <si>
    <t>select_one id</t>
  </si>
  <si>
    <t>select_one phones</t>
  </si>
  <si>
    <t>phone_select</t>
  </si>
  <si>
    <t>9. &lt;p style="color: #ff0000;"&gt;If you're not sure which phone number you should call, please follow this rule:&lt;/p&gt;
&lt;br&gt;
&lt;ul&gt;
&lt;li style="color: #ff0000;"&gt;Pick the phone number you think you're most likely to be able to make contact with (e.g. their own number first, their close family member's second).&lt;/li&gt;
&lt;li style="color: #ff0000;"&gt;Otherwise, call the &lt;strong&gt;first phone number in the list with an "Unknown" owner&lt;/strong&gt;, so you can confirm the contact number.&lt;/li&gt;
&lt;/ul&gt;
&lt;br&gt;
&lt;p style="color: #ff0000;font-weight:bold;"&gt;Which phone do you want to call?&lt;/p&gt;</t>
  </si>
  <si>
    <t>9. &lt;p style="color: #ff0000;"&gt;Si vous n’êtes pas sûr quel numéro de téléphone vous devez composer, veuillez :
&lt;/p&gt;
&lt;br&gt;
&lt;ul&gt;
&lt;li style="color: #ff0000;"&gt;Choisir le numéro de téléphone que vous considérez comme le plus probable d'être joint (par exemple, le numéro du propriétaire en premier lieu. Après, celui d’un familier proche)&lt;/li&gt;
&lt;li style="color: #ff0000;"&gt;Sinon, appelez le premier numéro de téléphone dans la liste avec un propriétaire « inconnu » afin de confirmer le numéro de téléphone du propriétaire. &lt;/li&gt;
&lt;/ul&gt;
&lt;br&gt;
&lt;p style="color: #ff0000;font-weight:bold;"&gt;Quel numéro de téléphone  voulez-vous appeler ?&lt;/p&gt;</t>
  </si>
  <si>
    <t>7. Select the Household ID number:</t>
  </si>
  <si>
    <t>7. Sélectionnez le numéro d'identification du ménage :</t>
  </si>
  <si>
    <t>7. Zaɓi lambar ID na Gida:</t>
  </si>
  <si>
    <t>9. &lt;p style="color: #ff0000;"&gt;Idan ba ka da tabbacin lambar wayar da ya kamata ka yi kira, bi wannan dokar: 
&lt;/p&gt;
&lt;br&gt;
&lt;ul&gt;
&lt;li style="color: #ff0000;"&gt;Zaɓi lambar wayar da kake tunanin za ka iya samu (misali: lambar su ta farko, ta biyun danginsu na kusa).&lt;/li&gt;
&lt;li style="color: #ff0000;"&gt; In ba haka ba, kirayi lambar waya ta farko bisa jerin sunayen da mai salula "wanda ba a sani ba", don tabbatar da lambar wayar. &lt;/li&gt;
&lt;/ul&gt;
&lt;br&gt;
&lt;p style="color: #ff0000;font-weight:bold;"&gt;Wace lambar waya kuke son kira?&lt;/p&gt;</t>
  </si>
  <si>
    <t>Each phone number option is structured as follows: "Name, Relationship with the respondent: Phone number". For those cases we don't know this information, it will appear 'Unknown' instead.</t>
  </si>
  <si>
    <t>Chaque option de numéro de téléphone est structurée comme suit : « Nom, Lien avec le répondant : Numéro de téléphone ». Au cas où nous ne connaissons pas cette information, elle apparaîtra à la place « Inconnu ».</t>
  </si>
  <si>
    <t>Kowane zaɓin lambar waya an tsara shi kamar haka: "Suna, Alaka da mai bada amsa: Lambar waya". Idan bamu san wannan bayanin ba, zai fito a filin 'Ba a sani ba'.</t>
  </si>
  <si>
    <t>countries</t>
  </si>
  <si>
    <t>empty(${best_phoneno}) or (not(empty(${best_phoneno})) and index()&gt;1)</t>
  </si>
  <si>
    <t>phase</t>
  </si>
  <si>
    <t>(filter != -777 and filter &lt;= ${num_viable}) and
not(selected(${phones_selected}, filter)) or (filter=${phone_select})</t>
  </si>
  <si>
    <t>subscriberid</t>
  </si>
  <si>
    <t>phone_index</t>
  </si>
  <si>
    <t>Index of the phone number that should be called (index is from the "phone_data_rep" repeat group).</t>
  </si>
  <si>
    <t>Niger</t>
  </si>
  <si>
    <t>shm_name_bl</t>
  </si>
  <si>
    <t>Nijar</t>
  </si>
  <si>
    <t>if(relevant(${phone_select}),
if(empty(${phone_select}), '', selected-at(${phones_viable}, ${phone_select} - 1)),
${best_phone_index})</t>
  </si>
  <si>
    <t>Algeria</t>
  </si>
  <si>
    <t>Algérie</t>
  </si>
  <si>
    <t>Aljeriya</t>
  </si>
  <si>
    <t>phone_id</t>
  </si>
  <si>
    <t>Unique ID of the phone number to be called, used for pre-loading.</t>
  </si>
  <si>
    <t>concat(${caseid}, '-', ${phone_index})</t>
  </si>
  <si>
    <t>Benin</t>
  </si>
  <si>
    <t>Bénin</t>
  </si>
  <si>
    <t>simserial</t>
  </si>
  <si>
    <t>phone_no</t>
  </si>
  <si>
    <t>Phone number that will be contacted.</t>
  </si>
  <si>
    <t>Burkina Faso</t>
  </si>
  <si>
    <t>pulldata('phone_numbers_el', 'phone_number', 'phone_key', ${phone_id})</t>
  </si>
  <si>
    <t>shm_age_bl</t>
  </si>
  <si>
    <t>Cameroon</t>
  </si>
  <si>
    <t>Cameroun</t>
  </si>
  <si>
    <t>Kamaru</t>
  </si>
  <si>
    <t>owner_name</t>
  </si>
  <si>
    <t>Calculates the owner of the phone number.</t>
  </si>
  <si>
    <t>pulldata('phone_numbers_el', 'contact_name', 'phone_key', ${phone_id})</t>
  </si>
  <si>
    <t>9. You indicated that you are attempting to interview ${shm_name} (age: ${shm_age}). Is that correct?</t>
  </si>
  <si>
    <t>Cote d'Ivoire</t>
  </si>
  <si>
    <t xml:space="preserve">9. </t>
  </si>
  <si>
    <t>Côte d'Ivoire</t>
  </si>
  <si>
    <t>Cote d'Ivoire/Abija</t>
  </si>
  <si>
    <t>owner_rel</t>
  </si>
  <si>
    <t>Calculates the relationship between the owner of the phone number and the respondent.</t>
  </si>
  <si>
    <t>Gambia</t>
  </si>
  <si>
    <t>Gambie</t>
  </si>
  <si>
    <t>pulldata('phone_numbers_el', 'relationship', 'phone_key', ${phone_id})</t>
  </si>
  <si>
    <t>shm_hoh_bl</t>
  </si>
  <si>
    <t>Gabon</t>
  </si>
  <si>
    <t>10. Who are you trying to interview? Here are the other respondents in this household:</t>
  </si>
  <si>
    <t>10. Qui essayez-vous d’interroger ? Voici les autres répondants de ce foyer :</t>
  </si>
  <si>
    <t>10. Wanene kuke ƙoƙarin yin hira da shi ? Ga sauran masu bada amsa a wannan gidan:</t>
  </si>
  <si>
    <t>w_hoh</t>
  </si>
  <si>
    <t>phone_number_label</t>
  </si>
  <si>
    <t>Calculates the phone label displayed in the "call_respondent" field, instead of the phone number.</t>
  </si>
  <si>
    <t>11. End of survey. Please return and fill out the PM survey to collect survey responses.</t>
  </si>
  <si>
    <t>11. Fin de l'enquête. Veuillez revenir et remplir l'enquête PM pour recueillir les réponses aux questions.</t>
  </si>
  <si>
    <t>11. Ƙarshen binciken kenan. Da fatan za a dawo a cika binciken PM don tattara amsoshin binciken.</t>
  </si>
  <si>
    <t>indexed-repeat(${pd_label}, ${phone_data_rep}, ${phone_index})</t>
  </si>
  <si>
    <t>Ghana</t>
  </si>
  <si>
    <t>12. End of survey. Please return and fill out the Woman survey to collect survey responses.</t>
  </si>
  <si>
    <t>12. Fin de l'enquête. Veuillez revenir et remplir l'enquête Femme pour recueillir les réponses aux questions.</t>
  </si>
  <si>
    <t>12. Ƙarshen binciken kenan. Da fatan za a dawo a cika binciken Mata don tattara amsoshin binciken.</t>
  </si>
  <si>
    <t>treatment</t>
  </si>
  <si>
    <t>call_respondent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</si>
  <si>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#ff0000;font-weight:bold;"&gt;If the respondent answers, read the following aloud, then go to the next field:&lt;/p&gt;
&lt;br&gt;
&lt;p&gt;Hi, this is &lt;span style="color:#3366ff;font-weight:bold"&gt;${enumerator_name}&lt;/span&gt; calling for &lt;span style="color:#3366ff;font-weight:bold"&gt;${shm_name}&lt;/span&gt;. Is this &lt;span style="color:#3366ff;font-weight:bold"&gt;${shm_name}&lt;/span&gt;?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</si>
  <si>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#ff0000;font-weight:bold;"&gt;Si la personne répond, lisez à haute voix ce qui suit, puis passez à la question suivante:&lt;/p&gt;
&lt;br&gt;
&lt;p&gt;Salut, c’est &lt;span style="color:#3366ff;font-weight:bold"&gt;${enumerator_name}&lt;/span&gt; qui appelle &lt;span style="color:#3366ff;font-weight:bold"&gt;${shm_name}&lt;/span&gt;. Est-ce qu’on parle avec &lt;span style="color:#3366ff;font-weight:bold"&gt;${shm_name}&lt;/span&gt;?</t>
  </si>
  <si>
    <t>treatment_cfa</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</si>
  <si>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#ff0000;font-weight:bold;"&gt;Idan an bada amsa, ka ɗaga murya ka karanta wannan rubutu mai zuwa sa'an nan kuma ka yi tambaya mai zuwa : &lt;/p&gt;
&lt;br&gt;
&lt;p&gt;Sannu, mai &lt;span style="color:#3366ff;font-weight:bold"&gt;${enumerator_name}&lt;/span&gt; ne ke kiran mai bada &lt;span style="color:#3366ff;font-weight:bold"&gt;${shm_name}&lt;/span&gt;. Ko muna magana da mai &lt;span style="color:#3366ff;font-weight:bold"&gt;${shm_name}&lt;/span&gt; ne?</t>
  </si>
  <si>
    <t>Guinea</t>
  </si>
  <si>
    <t>Guinée</t>
  </si>
  <si>
    <t>Gini</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</si>
  <si>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</si>
  <si>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</si>
  <si>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${deviceid} != '(web)'</t>
  </si>
  <si>
    <t>no</t>
  </si>
  <si>
    <t>hhmembers</t>
  </si>
  <si>
    <t>Libya</t>
  </si>
  <si>
    <t>Libye</t>
  </si>
  <si>
    <t>comments</t>
  </si>
  <si>
    <t>call_resp_webform</t>
  </si>
  <si>
    <t>11. &lt;p style="color: #ff0000;font-weight:bold;"&gt;ENUMERATOR: DO NOT READ THIS ALOUD&lt;/p&gt;
&lt;br&gt;
&lt;p style="color: #ff0000;"&gt;&lt;strong&gt;Call number&lt;/strong&gt;: ${call_num}&lt;/p&gt;
&lt;p style="color: #ff0000;"&gt;&lt;strong&gt;Last call status:&lt;/strong&gt; ${last_call_status}&lt;/p&gt;
&lt;br&gt;
&lt;p style="color: #ff0000;"&gt;Please call ${attempted_name} at ${phone_no}.&lt;/p&gt;
&lt;br&gt;&lt;hr&gt;&lt;br&gt;
&lt;p style="color: #ff0000;font-weight:bold;"&gt;If the respondent answers, read the following aloud, then go to the next field:&lt;/p&gt;
&lt;br&gt;
&lt;p&gt;Hi, this is &lt;span style="color:#3366ff;font-weght:bold"&gt;${enumerator_name}&lt;/span&gt; calling for &lt;span style="color:#3366ff;font-weght:bold"&gt;${attempted_name}&lt;/span&gt;. Is this &lt;span style="color:#3366ff;font-weght:bold"&gt;${attempted_name}&lt;/span&gt;?</t>
  </si>
  <si>
    <t>hoh_roster_label</t>
  </si>
  <si>
    <t>Create line separate list of hh members</t>
  </si>
  <si>
    <t>${deviceid} = '(web)'</t>
  </si>
  <si>
    <t>Mali</t>
  </si>
  <si>
    <t>hoh_hhmem_index</t>
  </si>
  <si>
    <t>select_one phone_response</t>
  </si>
  <si>
    <t>response</t>
  </si>
  <si>
    <t>12. &lt;p style="color: #ff0000;font-weight:bold;"&gt;ENUMERATOR: DO NOT READ THIS ALOUD&lt;p&gt;
&lt;br&gt;
&lt;p style="color: #ff0000;"&gt;What was the response?&lt;/p&gt;</t>
  </si>
  <si>
    <t>hoh_hhmem_name</t>
  </si>
  <si>
    <t>12. &lt;p style="color: #ff0000;font-weight:bold;"&gt;ENUMERATOR: DO NOT READ THIS ALOUD&lt;p&gt;
&lt;br&gt;
&lt;p style="color: #ff0000;"&gt;Quelle est la réponse?&lt;/p&gt;</t>
  </si>
  <si>
    <t>12. &lt;p style="color: #ff0000;font-weight:bold;"&gt;ENUMERATOR: DO NOT READ THIS ALOUD&lt;p&gt;
&lt;br&gt;
&lt;p style="color: #ff0000;"&gt;Wace amsa ca? &lt;/p&gt;</t>
  </si>
  <si>
    <t>Senegal</t>
  </si>
  <si>
    <t>Sénégal</t>
  </si>
  <si>
    <t>12. SHM Questions</t>
  </si>
  <si>
    <t xml:space="preserve">12. </t>
  </si>
  <si>
    <t>hoh_hhmem_age</t>
  </si>
  <si>
    <t>hoh_hhmem_sex</t>
  </si>
  <si>
    <t>Togo</t>
  </si>
  <si>
    <t>no_answer_wr_num_note</t>
  </si>
  <si>
    <t>13. Are you living at home in ${pm_home_location}?</t>
  </si>
  <si>
    <t>13. &lt;p style="color: #ff0000;font-weight:bold;"&gt;EMUMERATOR INSTRUCTIONS (do not read out loud):&lt;/p&gt;
&lt;br&gt;
&lt;p style="color: #ff0000;"&gt;Check to make sure you called &lt;strong&gt;${phone_no}&lt;/strong&gt;.&lt;/p&gt;
&lt;br&gt;
&lt;p&gt;If you did not, go back to the last field, and then call that phone number.&lt;/p&gt;</t>
  </si>
  <si>
    <t>13. Habitez-vous chez vous à ${pm_home_location}?</t>
  </si>
  <si>
    <t>13. Kuna zaune a gida a ${pm_home_location}?</t>
  </si>
  <si>
    <t>13. &lt;p style="color: #ff0000;font-weight:bold;"&gt;INSTRUCTIONS POUR L'ENQUETEUR (ne pas lire à haute voix) :&lt;/p&gt;
&lt;br&gt;
&lt;p style="color: #ff0000;"&gt;Vérifiez que vous avez appelé &lt;strong&gt;${phone_no}&lt;/strong&gt;.&lt;/p&gt;
&lt;br&gt;
&lt;p&gt;Si ce n’est pas le cas, revenez au dernier champ, puis appelez ce numéro de téléphone.&lt;/p&gt;</t>
  </si>
  <si>
    <t>13. &lt;p style="color: #ff0000;font-weight:bold;"&gt;UMARNI GA ƊAN BINCIKE (kada a karanta da babbar murya):&lt;/p&gt;
&lt;br&gt;
&lt;p style="color: #ff0000;"&gt;A tabbatar da an kirayi &lt;strong&gt;${phone_no}&lt;/strong&gt; da kamata.&lt;/p&gt;
&lt;br&gt;
&lt;p&gt;Idan ba ku yi ba, koma filin ƙarshe, sannan ku kirayi wannan lambar wayar.&lt;/p&gt;</t>
  </si>
  <si>
    <t>hoh_hhmem</t>
  </si>
  <si>
    <t>(selected(${response}, '3') or selected(${response}, '4'))</t>
  </si>
  <si>
    <t>15. SHM Questions</t>
  </si>
  <si>
    <t xml:space="preserve">15. </t>
  </si>
  <si>
    <t>Cape Verde</t>
  </si>
  <si>
    <t>Cap-Vert</t>
  </si>
  <si>
    <t>(${age1}+${age2}+${age3}) div 3</t>
  </si>
  <si>
    <t>15. Enumerator: Is location in Niger?</t>
  </si>
  <si>
    <t>15. Enquêteur : La localité est-elle au Niger ?</t>
  </si>
  <si>
    <t>15. Enquêteur : L'emplacement est-il au Niger ?</t>
  </si>
  <si>
    <t>hoh_roster_list</t>
  </si>
  <si>
    <t>Guinea-Bissau</t>
  </si>
  <si>
    <t>Guinée-Bissau</t>
  </si>
  <si>
    <t>hoh_roster_above16_list</t>
  </si>
  <si>
    <t>17. Are you married?</t>
  </si>
  <si>
    <t xml:space="preserve">17. </t>
  </si>
  <si>
    <t>Liberia</t>
  </si>
  <si>
    <t>Libéria</t>
  </si>
  <si>
    <t>hoh_roster_above16_namelist</t>
  </si>
  <si>
    <t>Laberiya</t>
  </si>
  <si>
    <t>18. Enumerator: Is location in Niger?</t>
  </si>
  <si>
    <t>18. Enquêteur : La localité est-elle au Niger ?</t>
  </si>
  <si>
    <t>phoneselected_now</t>
  </si>
  <si>
    <t>18. Enquêteur : L'emplacement est-il au Niger ?</t>
  </si>
  <si>
    <t>Calculates the current value stored in "phones_selected" for filter purposes.</t>
  </si>
  <si>
    <t>once(format-date-time(now(), '%Y-%b-%e %H:%M:%S'))</t>
  </si>
  <si>
    <t>hoh_roster_above16_agelist</t>
  </si>
  <si>
    <t>Nigeria</t>
  </si>
  <si>
    <t>16. Are you living at home in ${pm_home_location}?</t>
  </si>
  <si>
    <t>Najeriya</t>
  </si>
  <si>
    <t>16. Habitez-vous chez vous à ${pm_home_location}?</t>
  </si>
  <si>
    <t>16. Kuna zaune a gida a ${pm_home_location}?</t>
  </si>
  <si>
    <t>once(${phones_selected})</t>
  </si>
  <si>
    <t>Sierra Leone</t>
  </si>
  <si>
    <t>hhmem1</t>
  </si>
  <si>
    <t>Saliyo</t>
  </si>
  <si>
    <t>remaining_phone_rep</t>
  </si>
  <si>
    <t>Remaining phone numbers</t>
  </si>
  <si>
    <t>hhmem2</t>
  </si>
  <si>
    <t>p = 50</t>
  </si>
  <si>
    <t>${num_viable}</t>
  </si>
  <si>
    <t>Central African Republic</t>
  </si>
  <si>
    <t>République centrafricaine</t>
  </si>
  <si>
    <t>Jamhuriyar Afirka ta Tsakiya</t>
  </si>
  <si>
    <t>hhmem3</t>
  </si>
  <si>
    <t>20. Enumerator: Select country</t>
  </si>
  <si>
    <t>20. Enquêteur : sélectionnez le pays</t>
  </si>
  <si>
    <t>remaining_index</t>
  </si>
  <si>
    <t>20. Ɗan bincike: Zaɓi ƙasa</t>
  </si>
  <si>
    <t>Used to cycle through each viable phone number.</t>
  </si>
  <si>
    <t>hhmem4</t>
  </si>
  <si>
    <t>Chad</t>
  </si>
  <si>
    <t>Tchad</t>
  </si>
  <si>
    <t>Cadi</t>
  </si>
  <si>
    <t>21. Enumerator: Enter other country</t>
  </si>
  <si>
    <t>21. Enquêteur : Entrez un autre pays</t>
  </si>
  <si>
    <t>index()-1</t>
  </si>
  <si>
    <t>21. Ɗan bincike: Shigar da wata ƙasa</t>
  </si>
  <si>
    <t>hhmem5</t>
  </si>
  <si>
    <t>22. Enumerator: Select town</t>
  </si>
  <si>
    <t>22. Enquêteur : Sélectionnez la ville</t>
  </si>
  <si>
    <t>22. Ɗan bincike: Zaɓi gari</t>
  </si>
  <si>
    <t>p = 50; eventlog; choices</t>
  </si>
  <si>
    <t>hhmem6</t>
  </si>
  <si>
    <t>remaining_id</t>
  </si>
  <si>
    <t>Retrieve the phone number index from "phones_viable".</t>
  </si>
  <si>
    <t>23. What is the main reason you are living in ${shm_current_location}?</t>
  </si>
  <si>
    <t>23. Quelle est la principale raison pour laquelle vous vivez dans ${shm_current_location}?</t>
  </si>
  <si>
    <t>23. Menene babban dalilin da yasa kuke rayuwa a ${shm_current_location}?</t>
  </si>
  <si>
    <t>hhmem7</t>
  </si>
  <si>
    <t>selected-at(${phones_viable}, ${remaining_index})</t>
  </si>
  <si>
    <t>24. How long have you been in ${shm_current_location} in weeks?</t>
  </si>
  <si>
    <t>24. Depuis combien de temps êtes-vous dans ${shm_current_location} depuis des semaines?</t>
  </si>
  <si>
    <t>24. Tun yaushe kuke a ${shm_current_location} a cikin makonni?</t>
  </si>
  <si>
    <t>hhmem8</t>
  </si>
  <si>
    <t>23. In general, how would you characterize your physical health?</t>
  </si>
  <si>
    <t>23. En général, comment caractériseriez-vous votre santé physique ?</t>
  </si>
  <si>
    <t>23. A taƙaice, yaya za ku siffanta lafiyar jikin ku?</t>
  </si>
  <si>
    <t>hhmem9</t>
  </si>
  <si>
    <t>remaining_pn_label</t>
  </si>
  <si>
    <t>Use the "remaining_id" to retrieve a label to be displayed.</t>
  </si>
  <si>
    <t>p = 50; s = 0; d = 60</t>
  </si>
  <si>
    <t>indexed-repeat(${pd_label}, ${phone_data_rep}, ${remaining_index}+1)</t>
  </si>
  <si>
    <t>hhmem10</t>
  </si>
  <si>
    <t>hhmem11</t>
  </si>
  <si>
    <t>whyno_in</t>
  </si>
  <si>
    <t>26. In general, how would you characterize your physical health?</t>
  </si>
  <si>
    <t>Permanently moved away from household</t>
  </si>
  <si>
    <t>26. En général, comment caractériseriez-vous votre santé physique ?</t>
  </si>
  <si>
    <t>Définitivement parti du ménage</t>
  </si>
  <si>
    <t>26. A taƙaice, yaya za ku siffanta lafiyar jikin ku?</t>
  </si>
  <si>
    <t>Ya yi ƙaura daga gidan nan na dindindin</t>
  </si>
  <si>
    <t>hhmem12</t>
  </si>
  <si>
    <t>27. Do you currently suffer from any illness or disability that limits your ability to travel or work?</t>
  </si>
  <si>
    <t>27. Souffrez-vous actuellement d'une maladie ou d'un handicap qui limite votre capacité à voyager ou à travailler ?</t>
  </si>
  <si>
    <t>27. A halin yanzu, ko kuna fama da wata rashin lafiya ko naƙasa da ke iya kawo muku cikas game da tahiya bulaguro ko yin aiki?</t>
  </si>
  <si>
    <t>hhmem13</t>
  </si>
  <si>
    <t>p = 50; s = 0-600; d = 60</t>
  </si>
  <si>
    <t>28. What illness limits you in this way?</t>
  </si>
  <si>
    <t>28. Quelle maladie vous limite de cette manière ?</t>
  </si>
  <si>
    <t>28. Wace cuta ce ke tsaida ku a kan wannan?</t>
  </si>
  <si>
    <t>hhmem14</t>
  </si>
  <si>
    <t>Married out of family</t>
  </si>
  <si>
    <t>Marié hors famille</t>
  </si>
  <si>
    <t>Ya yi aure a wani gidan daban.</t>
  </si>
  <si>
    <t>29. Other, specify:</t>
  </si>
  <si>
    <t>29. Autre précisez:</t>
  </si>
  <si>
    <t>29. Sauran, bayar da cikakkun bayanai:</t>
  </si>
  <si>
    <t>hhmem15</t>
  </si>
  <si>
    <t>30. In the past three months, did you suffer from an illness or injury that disrupted your daily life?</t>
  </si>
  <si>
    <t>remaining_pns</t>
  </si>
  <si>
    <t>30. Au cours des trois derniers mois, avez-vous souffert d'une maladie ou d'une blessure qui a perturbé votre vie quotidienne ?</t>
  </si>
  <si>
    <t>For display in "remaining_pns_note".</t>
  </si>
  <si>
    <t>30. A cikin watanni uku da suka wuce, ko kun yi fama da wata rashin lafiya ko rauni wanda ya kawo muku cikas a rayuwarku na yau da kullun?</t>
  </si>
  <si>
    <t>Divorced</t>
  </si>
  <si>
    <t>hhmem16</t>
  </si>
  <si>
    <t>Divorcé</t>
  </si>
  <si>
    <t>An rabu</t>
  </si>
  <si>
    <t>25. I would like to ask you a few questions about your health and wellbeing</t>
  </si>
  <si>
    <t>25. Je voudrais vous poser quelques questions sur votre santé et votre bien-être</t>
  </si>
  <si>
    <t>join-if(linebreak(), ${remaining_pn_label},
not(empty(${remaining_pn_label})) and not(selected(${phoneselected_now}, ${remaining_id})))</t>
  </si>
  <si>
    <t>25. Ina so in yi muku wasu ƴan tambayoyi game da lafiyar jikinku da jin daɗin ku</t>
  </si>
  <si>
    <t>hhmem17</t>
  </si>
  <si>
    <t>p = 50; s = firstfield; d = lastfield</t>
  </si>
  <si>
    <t>hhmem18</t>
  </si>
  <si>
    <t>Deceased</t>
  </si>
  <si>
    <t>Décédé</t>
  </si>
  <si>
    <t>Ya Mutu</t>
  </si>
  <si>
    <t>hhmem19</t>
  </si>
  <si>
    <t>hhmem20</t>
  </si>
  <si>
    <t>hhmem21</t>
  </si>
  <si>
    <t>groupname</t>
  </si>
  <si>
    <t>Standard group</t>
  </si>
  <si>
    <t>hhmem22</t>
  </si>
  <si>
    <t>note_nextsteps</t>
  </si>
  <si>
    <t>Continue</t>
  </si>
  <si>
    <t>31. What type of illness or injury did you experience?</t>
  </si>
  <si>
    <t>31. Preciser le type de maladie ou de blessure</t>
  </si>
  <si>
    <t>31. Baiyana irin ciwo ko raunin da kuka yi fama da shi?</t>
  </si>
  <si>
    <t>field-list</t>
  </si>
  <si>
    <t>hhmem23</t>
  </si>
  <si>
    <t>illness</t>
  </si>
  <si>
    <t>not(selected(${phone_response}, '1') or selected(${phone_response}, '2')) and ${contacts}&gt;index()</t>
  </si>
  <si>
    <t>malaria</t>
  </si>
  <si>
    <t>Paludisme</t>
  </si>
  <si>
    <t>32. Specify other illness or injury</t>
  </si>
  <si>
    <t>Masassarar cizon sauro</t>
  </si>
  <si>
    <t>32. Preciser le type de maladie ou de blessure</t>
  </si>
  <si>
    <t>32. Baiyana irin ciwo ko raunin da kuka fama?</t>
  </si>
  <si>
    <t>hhmem24</t>
  </si>
  <si>
    <t>33. Did you seek any treatment for any illness or injury?</t>
  </si>
  <si>
    <t>33. Avez-vous cherché un traitement pour une maladie ou une blessure ?</t>
  </si>
  <si>
    <t>33. Ko kun nemi wani magani don wata cuta ko rauni?</t>
  </si>
  <si>
    <t>hhmem25</t>
  </si>
  <si>
    <t>…</t>
  </si>
  <si>
    <t>bestphone_note</t>
  </si>
  <si>
    <t>14. &lt;p style="color: #ff0000;"&gt;You just called the phone number considered the &lt;strong&gt;best contact to reach out ${attempted_name}&lt;/strong&gt;. There are other phone numbers stored for this respondent though and you can find the list below:&lt;/p&gt;
&lt;br&gt;
&lt;p style="font-style:italic;"&gt;Each phone number option is structured as follows: "Name, Relationship with the respondent: Phone number". For cases where we don't know this information, it will appear as 'Unknown' instead.&lt;/p&gt;</t>
  </si>
  <si>
    <t>34. Now I want to ask you about the past week (7 days)</t>
  </si>
  <si>
    <t>34. Maintenant, je veux vous poser des questions sur la semaine dernière (7 jours)</t>
  </si>
  <si>
    <t>14. &lt;p style="color: #ff0000;"&gt;Vous venez d'appeler &lt;strong&gt;le numéro de téléphone considéré comme le meilleur contact à contacter  ${attempted_name}&lt;/strong&gt;. Il existe cependant d'autres numéros de téléphone enregistrés pour ce répondant et vous pouvez trouver la liste ci-dessous :&lt;/p&gt;
&lt;br&gt;
&lt;p style="font-style:italic;"&gt;Chaque option de numéro de téléphone est structurée comme suit : « Nom, Lien avec le répondant : Numéro de téléphone ». Dans les cas où nous ne connaissons pas cette information, elle apparaîtra plutôt comme « Inconnu ».&lt;/p&gt;</t>
  </si>
  <si>
    <t>34. Yanzu ina son in muku tambayoyi bisa satin (makon) da ya wuce (kwana 7)</t>
  </si>
  <si>
    <t>14. &lt;p style="color: #ff0000;"&gt;Kun kirayi lambar wayar da a ke ganin itace za'a iya samu idan aka tuntuɓa. Akwai wasu lambobin waya da aka rubuta da sunan wannan mai bada amsa kuma zaku samu jerin lambobin a nan daga ƙasa:&lt;/p&gt;
&lt;br&gt;
&lt;p style="font-style:italic;"&gt;Kowane zaɓin lambar waya an tsara shi kamar haka: "Suna, Alaka da bada mai amsa: Lambar waya".  Idan ba mu san wannan bayanin ba, zai fito azaman 'Ba a sani ba'.&lt;/p&gt;</t>
  </si>
  <si>
    <t>tuberculosis</t>
  </si>
  <si>
    <t>hhmem26</t>
  </si>
  <si>
    <t>Tuberculose</t>
  </si>
  <si>
    <t>Babban Tari</t>
  </si>
  <si>
    <t>not(empty(${best_phoneno})) and index()=1</t>
  </si>
  <si>
    <t>35. How many hours of sleep per night did you get on average in the last seven days?</t>
  </si>
  <si>
    <t>35. Combien d'heures de sommeil par nuit avez-vous dormi en moyenne au cours des sept derniers jours ?</t>
  </si>
  <si>
    <t>35. Misalin Sa'o'i nawa a taƙaice kuke yin barci a kowane dare a cikin kwanaki bakwai na ƙarshe da suka wuce?</t>
  </si>
  <si>
    <t>hhmem27</t>
  </si>
  <si>
    <t>41. Anger</t>
  </si>
  <si>
    <t>41. Colère</t>
  </si>
  <si>
    <t>41. Fushi</t>
  </si>
  <si>
    <t>yellow fever</t>
  </si>
  <si>
    <t>Fièvre jaune</t>
  </si>
  <si>
    <t>hhmem28</t>
  </si>
  <si>
    <t>Farar masassara</t>
  </si>
  <si>
    <t>otherphone_note</t>
  </si>
  <si>
    <t>15. &lt;p style="color: #ff0000;"&gt;You just called to a phone number registered for this respondent, but there are others:&lt;/p&gt;
&lt;br&gt;
&lt;p style="font-style="italic"&gt;&lt;i&gt;Each phone number option is structured as follows: "Name, Relationship with the respondent: Phone number". For cases where we don't know this information, it will appear as 'Unknown' instead.&lt;/p&gt;</t>
  </si>
  <si>
    <t>15. &lt;p style="color: #ff0000;"&gt;Vous venez d'appeler un numéro de téléphone enregistré pour ce répondant, mais il y en a d'autres :&lt;/p&gt;
&lt;br&gt;
&lt;p style="font-style="italic"&gt;&lt;i&gt;Chaque option de numéro de téléphone est structurée comme suit : « Nom, Relation avec le répondant : Numéro de téléphone ». Au cas où nous ne connaissons pas ces informations, elles apparaîtront comme « Inconnu » à la place.&lt;/p&gt;</t>
  </si>
  <si>
    <t>15. &lt;p style="color: #ff0000;"&gt;Kun kirayi lambar waya da aka rubuta wa wannan mai bada amsa, amma akwai wasu:&lt;/p&gt;
&lt;br&gt;
&lt;p style="font-style="italic"&gt;&lt;i&gt;Kowane zaɓin lambar waya an tsara shi kamar haka: "Sunan, Alaka da mai amsa: Lambar waya". Idan ba mu san wannan bayanin ba, zai fito azaman 'Ba a sani ba'.&lt;/p&gt;</t>
  </si>
  <si>
    <t>empty(${best_phoneno}) or index()&gt;1</t>
  </si>
  <si>
    <t>hhmem_name1</t>
  </si>
  <si>
    <t>typhoid</t>
  </si>
  <si>
    <t>Typhoïde</t>
  </si>
  <si>
    <t>Masassarar kayan ɗanye</t>
  </si>
  <si>
    <t>37. Enjoyment</t>
  </si>
  <si>
    <t>37. Plaisir</t>
  </si>
  <si>
    <t>37. jin daɗi</t>
  </si>
  <si>
    <t>hhmem_name2</t>
  </si>
  <si>
    <t>38. Happiness</t>
  </si>
  <si>
    <t>38. Bonheur</t>
  </si>
  <si>
    <t>remaining_pns_note</t>
  </si>
  <si>
    <t>38. Farin ciki</t>
  </si>
  <si>
    <t>16. &lt;strong&gt;${remaining_pns}&lt;/strong&gt;</t>
  </si>
  <si>
    <t>cholera</t>
  </si>
  <si>
    <t>hhmem_name3</t>
  </si>
  <si>
    <t>Choléra</t>
  </si>
  <si>
    <t>kwalara</t>
  </si>
  <si>
    <t>39. Stress</t>
  </si>
  <si>
    <t>39. Babbar Damuwa</t>
  </si>
  <si>
    <t>hhmem_name4</t>
  </si>
  <si>
    <t>40. Worry</t>
  </si>
  <si>
    <t>40. Inquiétude</t>
  </si>
  <si>
    <t>40. Damuwa</t>
  </si>
  <si>
    <t>diarrhea</t>
  </si>
  <si>
    <t>hhmem_name5</t>
  </si>
  <si>
    <t>Diarrhée</t>
  </si>
  <si>
    <t>repeatname</t>
  </si>
  <si>
    <t>zawo</t>
  </si>
  <si>
    <t>Standard repeated group</t>
  </si>
  <si>
    <t>select_one yesno</t>
  </si>
  <si>
    <t>continue</t>
  </si>
  <si>
    <t>17. Would you like to try calling to any of the phone numbers above?</t>
  </si>
  <si>
    <t>17. Voulez-vous essayer d'appeler l'un des numéros de téléphone ci-dessus ?</t>
  </si>
  <si>
    <t>17. Kuna son ku gwada kiran kowace lambar wayar da ke sama?</t>
  </si>
  <si>
    <t>hhmem_name6</t>
  </si>
  <si>
    <t>42. Physical pain</t>
  </si>
  <si>
    <t>meningitis</t>
  </si>
  <si>
    <t>42. Douleur physique</t>
  </si>
  <si>
    <t>Méningite</t>
  </si>
  <si>
    <t>42. ciwon jiki</t>
  </si>
  <si>
    <t>Sanƙarau</t>
  </si>
  <si>
    <t>hhmem_name7</t>
  </si>
  <si>
    <t>43. Loneliness</t>
  </si>
  <si>
    <t>43. Solitude</t>
  </si>
  <si>
    <t>43. kadaici</t>
  </si>
  <si>
    <t>hhmem_name8</t>
  </si>
  <si>
    <t>chicken pox</t>
  </si>
  <si>
    <t>47.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</si>
  <si>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Varicelle</t>
  </si>
  <si>
    <t>47. Yi tunanin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</si>
  <si>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Kashin kaji/Farankama</t>
  </si>
  <si>
    <t>47. This is a measure from 0 to 10</t>
  </si>
  <si>
    <t>hhmem_name9</t>
  </si>
  <si>
    <t>47. How often, if ever, have you felt unsafe walking in the neighborhood where you are staying?</t>
  </si>
  <si>
    <t>47. Combien de fois, vous vous êtes-vous senti en danger en vous promenant dans le quartier où vous séjournez, si cela vous est jamais arrivé ?</t>
  </si>
  <si>
    <t>47. Sau nawa, idan ya faru a gareku, kuka ji kuna cikin hatsari yayin da kuke yawo a cikin unguwar da kuke zaune?</t>
  </si>
  <si>
    <t>hhmem_name10</t>
  </si>
  <si>
    <t>pneumonia</t>
  </si>
  <si>
    <t>Pneumonie</t>
  </si>
  <si>
    <t>ciwon huhu</t>
  </si>
  <si>
    <t>44. I will now read out several statements. You should tell me whether these statements are true for you by using the following scale.</t>
  </si>
  <si>
    <t>44. Je vais maintenant lire plusieurs déclarations. Vous devez me dire si ces affirmations sont vraies pour vous en utilisant l'échelle suivante.</t>
  </si>
  <si>
    <t>44. Yanzu zan karanta wasu maganganu da yawa. Za ku gaya mini ko waɗannan maganganun sun yi daidai da ku ta hanyar yin amfani da kuranga mai zuwa.</t>
  </si>
  <si>
    <t>hhmem_name11</t>
  </si>
  <si>
    <t>phone_exclude</t>
  </si>
  <si>
    <t>Has value of 1 when the phone did not ring (it's not a viable phone number). This is to exclude this phone number in the future.</t>
  </si>
  <si>
    <t>45. I feel I do not have much to be proud of.</t>
  </si>
  <si>
    <t>45. Je sens que je n'ai pas beaucoup de raisons d'être fier (comblé).</t>
  </si>
  <si>
    <t>45. Ina jin ba ni da hujjojin jin daɗi</t>
  </si>
  <si>
    <t>hhmem_name12</t>
  </si>
  <si>
    <t>if(selected(${response}, '4'), 1, '')</t>
  </si>
  <si>
    <t>46. At times I think I am no good at all.</t>
  </si>
  <si>
    <t>46. Parfois, je pense que je suis utile a rien</t>
  </si>
  <si>
    <t>46. A wasu lokutta ina ganin bani da amfani.</t>
  </si>
  <si>
    <t>hhmem_name13</t>
  </si>
  <si>
    <t>50. Threat of physical violence/attack</t>
  </si>
  <si>
    <t>50. Menace de violence physique/agression</t>
  </si>
  <si>
    <t>50. Barazanar ​​harin jiki</t>
  </si>
  <si>
    <t>addrepeat</t>
  </si>
  <si>
    <t>hhmem_name14</t>
  </si>
  <si>
    <t>Assesses whether the repeat group should continue or not.</t>
  </si>
  <si>
    <t>51. Have you experienced any of the following during ${period}?</t>
  </si>
  <si>
    <t>51. Avez-vous vécu l'une des situations suivantes depuis le debut de ${period_french} ?</t>
  </si>
  <si>
    <t>if(selected(${phone_response}, '1') or selected(${phone_response}, '2') or selected(${continue}, '0'), 0, 1)</t>
  </si>
  <si>
    <t>51. Ko kun taɓa fuskantar ɗayan waɗannan abubuwan a wannan wurin, lokacin ${period_hausa}?</t>
  </si>
  <si>
    <t>hhmem_name15</t>
  </si>
  <si>
    <t>47. How stressed are you about the following areas of your life?</t>
  </si>
  <si>
    <t>47. Dans quelle mesure êtes-vous stressé par les domaines suivants de votre vie ?</t>
  </si>
  <si>
    <t>47. Yaya damuwarku game da abubuwa na rayuwarku da zan zana?</t>
  </si>
  <si>
    <t>hhmem_name16</t>
  </si>
  <si>
    <t>schools</t>
  </si>
  <si>
    <t>48. Your own health problems, illness</t>
  </si>
  <si>
    <t>48. Vos propres problèmes de santé</t>
  </si>
  <si>
    <t>48. Matsalolin lafiyar jikinku</t>
  </si>
  <si>
    <t>Public school</t>
  </si>
  <si>
    <t>École publique</t>
  </si>
  <si>
    <t>hhmem_name17</t>
  </si>
  <si>
    <t>Makarantar gwamnati</t>
  </si>
  <si>
    <t>49. Problems at home and with relatives</t>
  </si>
  <si>
    <t>49. Problèmes au sein du menage et avec les proches</t>
  </si>
  <si>
    <t>49. Matsalolin gida da na dangi</t>
  </si>
  <si>
    <t>hhmem_name18</t>
  </si>
  <si>
    <t>50. Accidents and disasters</t>
  </si>
  <si>
    <t>50. Accidents et catastrophes</t>
  </si>
  <si>
    <t>50. Hatsari da masifu</t>
  </si>
  <si>
    <t>hhmem_name19</t>
  </si>
  <si>
    <t>Franco Arab School</t>
  </si>
  <si>
    <t>51. Problems with people in other ethnic groups</t>
  </si>
  <si>
    <t>51. Problèmes avec les personnes d'autres groupes ethniques</t>
  </si>
  <si>
    <t>Ecole franco arabe</t>
  </si>
  <si>
    <t>51. Matsaloli da mutanen wasu kabilu daban</t>
  </si>
  <si>
    <t>Makarantar Franco Arab /madarissa</t>
  </si>
  <si>
    <t>hhmem_name20</t>
  </si>
  <si>
    <t>Group repeated exactly three times</t>
  </si>
  <si>
    <t>52. Not enough money for basic needs (such as food and clothing)</t>
  </si>
  <si>
    <t>52. Pas assez d'argent pour les besoins de base (tels que la nourriture et les vêtements)</t>
  </si>
  <si>
    <t>52. Rashin isassun kuɗi don buƙatun asali (kamar abinci da sutura)</t>
  </si>
  <si>
    <t>hhmem_name21</t>
  </si>
  <si>
    <t>53. Not being able to educate all children</t>
  </si>
  <si>
    <t>Koranic School</t>
  </si>
  <si>
    <t>53. Ne pas pouvoir scolariser tous les enfants</t>
  </si>
  <si>
    <t>53. Rashin iya rubuta dukkan yara a makarantar boko</t>
  </si>
  <si>
    <t>Makarantar Kur'ani/makarantar allo</t>
  </si>
  <si>
    <t>hhmem_name22</t>
  </si>
  <si>
    <t>54. Difficulty finding work</t>
  </si>
  <si>
    <t>54. Difficulté à trouver du travail</t>
  </si>
  <si>
    <t>54. Wahalar neman aiki</t>
  </si>
  <si>
    <t>hhmem_name23</t>
  </si>
  <si>
    <t>Private School</t>
  </si>
  <si>
    <t>École privée</t>
  </si>
  <si>
    <t>Makaranta masu zaman kansu/ marantar biya</t>
  </si>
  <si>
    <t>55. Idleness of children or spouse</t>
  </si>
  <si>
    <t>55. L'oisiveté des enfants ou du conjoint</t>
  </si>
  <si>
    <t>55. Zaman banza na yara ko miji</t>
  </si>
  <si>
    <t>hhmem_name24</t>
  </si>
  <si>
    <t>56. Alcohol comsumption of children or spouse</t>
  </si>
  <si>
    <t>56. Consommation d'alcool des enfants ou du conjoint</t>
  </si>
  <si>
    <t>56. Shan giya na yara ko miji</t>
  </si>
  <si>
    <t>hhmem_name25</t>
  </si>
  <si>
    <t>active_pn_count</t>
  </si>
  <si>
    <t>Counts number of phone numbers that don't already have an 'exclude' value of 1, and aren't found to be unviable in this form instance, and adds 1 if a new phone number is being added.</t>
  </si>
  <si>
    <t>57. Death of a family member</t>
  </si>
  <si>
    <t>57. Décès d'un membre de la famille</t>
  </si>
  <si>
    <t>57. Mutuwar wani dan uwa</t>
  </si>
  <si>
    <t>hhmem_name26</t>
  </si>
  <si>
    <t>count-if(${phone_data_rep},
(${pd_exclude} != '1') and not(selected(${new_exclude}, ${pd_phone_index}))) +
if(relevant(${resp_relationship_other}), 1, 0)</t>
  </si>
  <si>
    <t>58. Debts owed to others</t>
  </si>
  <si>
    <t>58. Dettes envers autrui</t>
  </si>
  <si>
    <t>58. Bashi da wasu ke binku</t>
  </si>
  <si>
    <t>hhmem_name27</t>
  </si>
  <si>
    <t>unit</t>
  </si>
  <si>
    <t>kg</t>
  </si>
  <si>
    <t>kilo</t>
  </si>
  <si>
    <t>59. To the best of your knowledge has ${pm_name} worked for pay in the past month?</t>
  </si>
  <si>
    <t>59. Au meilleur de vos connaissances, ${pm_name} a-t-il travaillé pour gagner un salaire au cours du dernier mois?</t>
  </si>
  <si>
    <t>59. A iya saninku ${pm_name} ya yi aiki don samun biya a cikin watan da ya gabata?</t>
  </si>
  <si>
    <t>hhmem_name28</t>
  </si>
  <si>
    <t>59.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</si>
  <si>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59.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</si>
  <si>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59. A ce saman kuranga tana nuna mafi kyawun rayuwa a gare ku kuma kasan kuranga tana nuna mafi munin rayuwa a gareku. Idan matakin saman ya kasance 10 kuma matakin ƙasa shine 0, akan wane mataki na kurangar kake jin kai da kanka kake a halin yanzu?</t>
  </si>
  <si>
    <t>hhmem_age1</t>
  </si>
  <si>
    <t>box</t>
  </si>
  <si>
    <t>61. Now I would like to ask you a few questions about ${pm_name}</t>
  </si>
  <si>
    <t>boîte</t>
  </si>
  <si>
    <t>61. Maintenant, je voudrais vous poser quelques questions sur ${pm_name}</t>
  </si>
  <si>
    <t>61. Yanzu ina so in muku wasu tambayoyi game da ${pm_name}</t>
  </si>
  <si>
    <t>kwanko</t>
  </si>
  <si>
    <t>hhmem_age2</t>
  </si>
  <si>
    <t>last_continue</t>
  </si>
  <si>
    <t>62. To the best of your knowledge has ${pm_name} worked for pay in the past month?</t>
  </si>
  <si>
    <t>The value of the fied "continue" in the last repeat instance.</t>
  </si>
  <si>
    <t>62. Au meilleur de vos connaissances, ${pm_name} a-t-il travaillé pour gagner un salaire au cours du dernier mois?</t>
  </si>
  <si>
    <t>62. A iya saninku ${pm_name} ya yi aiki don samun biya a cikin watan da ya gabata?</t>
  </si>
  <si>
    <t>hhmem_age3</t>
  </si>
  <si>
    <t>tia</t>
  </si>
  <si>
    <t>indexed-repeat(${continue}, ${phonecall}, count(${phonecall}))</t>
  </si>
  <si>
    <t>63. If you had to guess, how much money do you think ${pm_name} earned from work in the past month?</t>
  </si>
  <si>
    <t>tiya</t>
  </si>
  <si>
    <t>63. Si vous deviez deviner, combien d'argent pensez-vous que ${pm_name} gagne du travail au cours du dernier mois?</t>
  </si>
  <si>
    <t>63. Idan kuka ƙaddara, nawa kuke ganin ${pm_name} ya samu daga wannan aiki a cikin watan da ya gabata?</t>
  </si>
  <si>
    <t>hhmem_age4</t>
  </si>
  <si>
    <t>64. Is ${pm_name} currently living in your household?</t>
  </si>
  <si>
    <t>64. ${pm_name} vit-il actuellement dans votre ménage?</t>
  </si>
  <si>
    <t>64. Ko ${pm_name} yana zaune a gidan ku a hali yanzu?</t>
  </si>
  <si>
    <t>speed violations count</t>
  </si>
  <si>
    <t>hhmem_age5</t>
  </si>
  <si>
    <t>phones_selected</t>
  </si>
  <si>
    <t>50kg sack</t>
  </si>
  <si>
    <t>Space separated list of all phone numbers called inside the Repeat Group. This is to filter out already selected phone numbers in subsequent repeats.</t>
  </si>
  <si>
    <t>sac de 50 kg</t>
  </si>
  <si>
    <t>Buhun kilo 50</t>
  </si>
  <si>
    <t>60. Now I will ask about some things that may have happened to you during the past three months.</t>
  </si>
  <si>
    <t>60. Maintenant, je vais vous poser des questions sur certaines choses qui vous sont peut-être arrivées au cours des trois derniers mois.</t>
  </si>
  <si>
    <t>60. Yanzu zan yi tambayoyi game da wasu abubuwa da wataƙila sun faru da ku a cikin watanni uku da suka wuce.</t>
  </si>
  <si>
    <t>hhmem_age6</t>
  </si>
  <si>
    <t>join(' ', ${phone_index})</t>
  </si>
  <si>
    <t>61. How often, if at all, were you personally discriminated against based on your identity (ethnicity, religion, nationality)?</t>
  </si>
  <si>
    <t>61. À quelle fréquence, si ça vous est déjà arrivé, avez-vous personnellement été victime de discrimination liée a votre identité (ethnie, religion, nationalité) ?</t>
  </si>
  <si>
    <t>61. Sau nawa, idan ya faru a gareku, aka nuna muku wariya dangance da kabilarku, ko addininku, ko ƙasarku2?</t>
  </si>
  <si>
    <t>hhmem_age7</t>
  </si>
  <si>
    <t>100 kg sack</t>
  </si>
  <si>
    <t>sac de 100 kg</t>
  </si>
  <si>
    <t>Buhun kilo 100</t>
  </si>
  <si>
    <t>62. How often, if ever, have you felt unsafe walking in the neighborhood where you are staying?</t>
  </si>
  <si>
    <t>62. Combien de fois, vous vous êtes-vous senti en danger en vous promenant dans le quartier où vous séjournez, si cela vous est jamais arrivé ?</t>
  </si>
  <si>
    <t>62. Sau nawa, idan ya faru a gareku, kuka ji kuna cikin hatsari yayin da kuke yawo a cikin unguwar da kuke zaune?</t>
  </si>
  <si>
    <t>phones_no_answer</t>
  </si>
  <si>
    <t>hhmem_age8</t>
  </si>
  <si>
    <t>Space separated list of all phone numbers where no one answered.</t>
  </si>
  <si>
    <t>68. Enumerator: Enter other country</t>
  </si>
  <si>
    <t>68. Enquêteur : Entrez un autre pays</t>
  </si>
  <si>
    <t>68. Ɗan bincike: Shigar da wata ƙasa</t>
  </si>
  <si>
    <t>join-if(' ', ${phone_index}, selected(${response}, '3'))</t>
  </si>
  <si>
    <t>hhmem_age9</t>
  </si>
  <si>
    <t>basket</t>
  </si>
  <si>
    <t>panier</t>
  </si>
  <si>
    <t>sanho</t>
  </si>
  <si>
    <t>63. Have you experienced any of the following during ${period}?</t>
  </si>
  <si>
    <t>63. Avez-vous vécu l'une des situations suivantes depuis le debut de ${period_french} ?</t>
  </si>
  <si>
    <t>63. Ko kun taɓa fuskantar ɗayan waɗannan abubuwan a wannan wurin, lokacin ${period_hausa}?</t>
  </si>
  <si>
    <t>hhmem_age10</t>
  </si>
  <si>
    <t>speed violations list</t>
  </si>
  <si>
    <t>new_exclude</t>
  </si>
  <si>
    <t>Space-separated list of indexes of phone numbers that are no longer viable.</t>
  </si>
  <si>
    <t>64. Physical attack</t>
  </si>
  <si>
    <t>64. Attaque physique</t>
  </si>
  <si>
    <t>64. harin jiki</t>
  </si>
  <si>
    <t>hhmem_age11</t>
  </si>
  <si>
    <t>unité</t>
  </si>
  <si>
    <t>ɗaya</t>
  </si>
  <si>
    <t>join-if(' ', ${phone_index}, ${phone_exclude} = '1')</t>
  </si>
  <si>
    <t>65. Threat of physical violence/attack</t>
  </si>
  <si>
    <t>65. Menace de violence physique/agression</t>
  </si>
  <si>
    <t>65. Barazanar ​​harin jiki</t>
  </si>
  <si>
    <t>hhmem_age12</t>
  </si>
  <si>
    <t>66. Theft of either money or property?</t>
  </si>
  <si>
    <t>66. Vol d'argent ou de propriété?</t>
  </si>
  <si>
    <t>66. Satar kudi ko dukiya?</t>
  </si>
  <si>
    <t>maraba (1.5 tia)</t>
  </si>
  <si>
    <t>hhmem_age13</t>
  </si>
  <si>
    <t>Demi tiya (1.5 tia)</t>
  </si>
  <si>
    <t>num_pn_called</t>
  </si>
  <si>
    <t>How many phone numbers were called in this form instance.</t>
  </si>
  <si>
    <t>67. Detention or arrest by state security forces?</t>
  </si>
  <si>
    <t>67. Détention ou arrestation par les forces de sécurité de l'État ?</t>
  </si>
  <si>
    <t>67. Kaso ko kamu daga jami'an tsaron gwamnati?</t>
  </si>
  <si>
    <t>hhmem_age14</t>
  </si>
  <si>
    <t>count(${phonecall})</t>
  </si>
  <si>
    <t>speed violations audit</t>
  </si>
  <si>
    <t>ladle</t>
  </si>
  <si>
    <t>74. Did ${pm_name} discuss their decision to move with you before they left?</t>
  </si>
  <si>
    <t>louche</t>
  </si>
  <si>
    <t>74. ${pm_name} a-t-il discuté de sa décision de déménager avec vous avant de partir?</t>
  </si>
  <si>
    <t>74. Ko kun tattauna da ${pm_name} game da shawararshi ta tahiya kafin ya tafi?</t>
  </si>
  <si>
    <t>lude</t>
  </si>
  <si>
    <t>hhmem_age15</t>
  </si>
  <si>
    <t>v = 5; d = 120</t>
  </si>
  <si>
    <t>75. Approximately how much money (if any) has ${pm_name} sent to the household in the past month?</t>
  </si>
  <si>
    <t>75. Environ combien d'argent (s'il y a eu) a-t-il envoyé ${pm_name} au ménage au cours du dernier mois?</t>
  </si>
  <si>
    <t>75. Kimanin nawa (idan akwai) ${pm_name} ya aiko zuwa gida a watan da ya gabata?</t>
  </si>
  <si>
    <t>hhmem_age16</t>
  </si>
  <si>
    <t>packet</t>
  </si>
  <si>
    <t>paquet</t>
  </si>
  <si>
    <t>pake</t>
  </si>
  <si>
    <t>pn_index_called</t>
  </si>
  <si>
    <t>68. Now I would like to ask you to tell me more about your specific experience with:</t>
  </si>
  <si>
    <t>The index of the last phone number called in the repeat group.</t>
  </si>
  <si>
    <t>68. J'aimerais maintenant vous demander de m'en dire un peu plus sur votre expérience spécifique avec :</t>
  </si>
  <si>
    <t>68. Yanzu ina so in tambaye ku ƙarin bayani game da takamaiman gogewarku na masamman game da:</t>
  </si>
  <si>
    <t>hhmem_age17</t>
  </si>
  <si>
    <t>indexed-repeat(${phone_index}, ${phonecall}, ${num_pn_called})</t>
  </si>
  <si>
    <t>69. Physical attack</t>
  </si>
  <si>
    <t>69. Attaque physique</t>
  </si>
  <si>
    <t>69. harin jiki</t>
  </si>
  <si>
    <t>hhmem_age18</t>
  </si>
  <si>
    <t>bundle</t>
  </si>
  <si>
    <t>botte</t>
  </si>
  <si>
    <t>Dame</t>
  </si>
  <si>
    <t>70. Threat of physical violence/attack</t>
  </si>
  <si>
    <t>70. Menace de violence physique/agression</t>
  </si>
  <si>
    <t>70. Barazanar ​​harin jiki</t>
  </si>
  <si>
    <t>hhmem_age19</t>
  </si>
  <si>
    <t>sensor_stream movement</t>
  </si>
  <si>
    <t>phone_response</t>
  </si>
  <si>
    <t>71. Theft of either money or property?</t>
  </si>
  <si>
    <t>The phone response of the last call inside the Repeat Group.</t>
  </si>
  <si>
    <t>71. Vol d'argent ou de propriété?</t>
  </si>
  <si>
    <t>71. Satar kudi ko dukiya?</t>
  </si>
  <si>
    <t>other (to specify)</t>
  </si>
  <si>
    <t>hhmem_age20</t>
  </si>
  <si>
    <t>autre unite (a specifier)</t>
  </si>
  <si>
    <t>Wani daban ( a baiyyana)</t>
  </si>
  <si>
    <t>indexed-repeat(${response}, ${phonecall}, ${num_pn_called})</t>
  </si>
  <si>
    <t>72. Detention or arrest by state security forces?</t>
  </si>
  <si>
    <t>72. Détention ou arrestation par les forces de sécurité de l'État ?</t>
  </si>
  <si>
    <t>72. Kaso ko kamu daga jami'an tsaron gwamnati?</t>
  </si>
  <si>
    <t>hhmem_age21</t>
  </si>
  <si>
    <t>period = 1</t>
  </si>
  <si>
    <t>phonenumber_called</t>
  </si>
  <si>
    <t>The phone number of the last call inside the Repeat Group.</t>
  </si>
  <si>
    <t>indexed-repeat(${phone_no}, ${phonecall}, ${num_pn_called})</t>
  </si>
  <si>
    <t>crops</t>
  </si>
  <si>
    <t>81. What is the name of the town ${pm_name} would move to?</t>
  </si>
  <si>
    <t>81. Quel est le nom de la ville où ${pm_name} irait ?</t>
  </si>
  <si>
    <t>81. Menene sunan garin da ${pm_name} zai ƙaura ?</t>
  </si>
  <si>
    <t>hhmem_age22</t>
  </si>
  <si>
    <t>sensor_statistic pct_movement_between</t>
  </si>
  <si>
    <t>phone_called</t>
  </si>
  <si>
    <t>The phone number code of the last call inside the Repeat Group.</t>
  </si>
  <si>
    <t>82. Have you and ${pm_name} discussed his plans or desire to travel to another country to find work in the past month?</t>
  </si>
  <si>
    <t>82. Avez-vous discuté vous et ${pm_name} de ses projets ou de son désir de voyager dans un autre pays pour trouver du travail au cours du mois dernier ?</t>
  </si>
  <si>
    <t>Amaranth</t>
  </si>
  <si>
    <t>82. Ko kun tattauna ku da ${pm_name} kan shiriye-shiriyenshi ko sha'awar tafiyarshi wata ƙasa don neman aiki a cikin watan da ya gabata?</t>
  </si>
  <si>
    <t>indexed-repeat(${phone_id}, ${phonecall}, ${num_pn_called})</t>
  </si>
  <si>
    <t>Amarante</t>
  </si>
  <si>
    <t>alaiyahu</t>
  </si>
  <si>
    <t>hhmem_age23</t>
  </si>
  <si>
    <t>min = 0.25; max = 2</t>
  </si>
  <si>
    <t>83. Have you discussed with ${pm_name} how his household responsibilities would be managed if he migrates?</t>
  </si>
  <si>
    <t>83. Avez-vous discuté avec ${pm_name} de la manière dont ses responsabilités domestiques seraient gérées s'il migre ?</t>
  </si>
  <si>
    <t>83. Ko kun tattauna da ${pm_name} yadda za a gudanar da ayyukan da suka rataya a wuyanshi idan ya yi hijira?</t>
  </si>
  <si>
    <t>phone_rel</t>
  </si>
  <si>
    <t>Bitter tomato</t>
  </si>
  <si>
    <t>The relationship between the owner of the phone called and the respondent.</t>
  </si>
  <si>
    <t>hhmem_age24</t>
  </si>
  <si>
    <t>Tomate amère</t>
  </si>
  <si>
    <t>Tumatir mai ɗaci</t>
  </si>
  <si>
    <t>indexed-repeat(${owner_rel}, ${phonecall}, ${num_pn_called})</t>
  </si>
  <si>
    <t>84. In the past month has ${pm_name} put aside any money for the future?</t>
  </si>
  <si>
    <t>84. Au cours du mois dernier, ${pm_name} a-t-il mis de l'argent de côté pour l'avenir ?</t>
  </si>
  <si>
    <t>84. A cikin watan da ya gabata ko ${pm_name} ya ajiye wani kuɗi don gaba?</t>
  </si>
  <si>
    <t>hhmem_age25</t>
  </si>
  <si>
    <t>Calabash</t>
  </si>
  <si>
    <t>Calebasse</t>
  </si>
  <si>
    <t>kwarya/ duma</t>
  </si>
  <si>
    <t>Quick reference for relevance, constraint, and selected calculation expressions</t>
  </si>
  <si>
    <t>phone_name</t>
  </si>
  <si>
    <t>The name of the owner of the phone called.</t>
  </si>
  <si>
    <t>84. Imagine that five years from now ${pm_name} is are living in another West African country like Cote d'Ivoire or Nigeria. How much money do you think you would earn per month in CFA?</t>
  </si>
  <si>
    <t>84. Imaginez que dans cinq ans, ${pm_name} vivra dans un autre pays d'Afrique de l'Ouest comme la Côte d'Ivoire ou le Nigeria. Combien d’argent pensez-vous gagner par mois en CFA ?</t>
  </si>
  <si>
    <t>84. Ka yi tunanin cewa shekaru biyar masu zuwa daga yanzu ${pm_name} yana rayuwa a wata ƙasa ta Yammacin Afirka kamar Cote d'Ivoire ko Najeriya. Kudi nawa kuke tsammanin za ku samu kowane wata a CFA?</t>
  </si>
  <si>
    <t>hhmem_age26</t>
  </si>
  <si>
    <t>indexed-repeat(${owner_name}, ${phonecall}, ${num_pn_called})</t>
  </si>
  <si>
    <t>Clove</t>
  </si>
  <si>
    <t>Clou de girofle</t>
  </si>
  <si>
    <t>karamfani</t>
  </si>
  <si>
    <t>85. The following questions ask what you would expect to happen if ${pm_name} decided to travel to a neighboring country for work for at least one month.</t>
  </si>
  <si>
    <t>85. Les questions suivantes vous demandent ce à quoi vous vous attendriez si ${pm_name} décidait de se rendre dans un pays voisin pour travailler pendant au moins un mois.</t>
  </si>
  <si>
    <t>85. Tambayoyi masu zuwa suna magana akan abin da kuke tsammanin zai faru idan ${pm_name} ya yanke shawarar tafiya zuwa ƙasar maƙwabta don aiki na aƙalla wata ɗaya.</t>
  </si>
  <si>
    <t>hhmem_age27</t>
  </si>
  <si>
    <t>Corn</t>
  </si>
  <si>
    <t>Maïs</t>
  </si>
  <si>
    <t>Masara</t>
  </si>
  <si>
    <t>73. Now I would like to ask you a few questions about ${pm_name}</t>
  </si>
  <si>
    <t>73. Maintenant, je voudrais vous poser quelques questions sur ${pm_name}</t>
  </si>
  <si>
    <t>Learn about all available expressions in "Using expressions in your forms: a reference for all operators and functions"</t>
  </si>
  <si>
    <t>73. Yanzu ina so in muku wasu tambayoyi game da ${pm_name}</t>
  </si>
  <si>
    <t>hhmem_age28</t>
  </si>
  <si>
    <t>Cowpeas</t>
  </si>
  <si>
    <t>74. To the best of your knowledge has ${pm_name} worked for pay in the past month?</t>
  </si>
  <si>
    <t>Niébé</t>
  </si>
  <si>
    <t>74. Au meilleur de vos connaissances, ${pm_name} a-t-il travaillé pour gagner un salaire au cours du dernier mois?</t>
  </si>
  <si>
    <t>Wake</t>
  </si>
  <si>
    <t>74. A iya saninku ${pm_name} ya yi aiki don samun biya a cikin watan da ya gabata?</t>
  </si>
  <si>
    <t>hhmembers_above16</t>
  </si>
  <si>
    <t>not_respondent</t>
  </si>
  <si>
    <t>Call answered, but not by the respondent</t>
  </si>
  <si>
    <t>75. If you had to guess, how much money do you think ${pm_name} earned from work in the past month?</t>
  </si>
  <si>
    <t>75. Si vous deviez deviner, combien d'argent pensez-vous que ${pm_name} gagne du travail au cours du dernier mois?</t>
  </si>
  <si>
    <t>75. Idan kuka ƙaddara, nawa kuke ganin ${pm_name} ya samu daga wannan aiki a cikin watan da ya gabata?</t>
  </si>
  <si>
    <t>selected(${phone_response}, '2')</t>
  </si>
  <si>
    <t>Fonio</t>
  </si>
  <si>
    <t>Waken Awara</t>
  </si>
  <si>
    <t>Operation</t>
  </si>
  <si>
    <t>76. Is ${pm_name} currently living in your household?</t>
  </si>
  <si>
    <t>Operator</t>
  </si>
  <si>
    <t>76. ${pm_name} vit-il actuellement dans votre ménage?</t>
  </si>
  <si>
    <t>76. Ko ${pm_name} yana zaune a gidan ku a hali yanzu?</t>
  </si>
  <si>
    <t>Example</t>
  </si>
  <si>
    <t>Groundnut</t>
  </si>
  <si>
    <t>Arachide</t>
  </si>
  <si>
    <t>Example answer</t>
  </si>
  <si>
    <t>Gyada /Gujiya</t>
  </si>
  <si>
    <t>owner</t>
  </si>
  <si>
    <t>Owner of the phone number</t>
  </si>
  <si>
    <t>Addition</t>
  </si>
  <si>
    <t>resp_confirm</t>
  </si>
  <si>
    <t>9. You indicated that you are attempting to interview ${shm_name_bl} (age: ${shm_age_bl}). Is that correct?</t>
  </si>
  <si>
    <t>9. Vous avez indiqué que vous tentez d'interroger ${shm_name_bl} (âge : ${shm_age}). Est-ce exact ?</t>
  </si>
  <si>
    <t>+</t>
  </si>
  <si>
    <t>9. Kun nuna cewa kuna ƙoƙarin yin hira da ${shm_name} (shekaru: ${shm_age_bl}). Shin hakan daidai ne?</t>
  </si>
  <si>
    <t>1 + 1</t>
  </si>
  <si>
    <t>Subtraction</t>
  </si>
  <si>
    <t>-</t>
  </si>
  <si>
    <t>Manioc</t>
  </si>
  <si>
    <t>Rogo</t>
  </si>
  <si>
    <t>8. You indicated that you are attempting to interview ${shm_name_bl} (age: ${shm_age_bl}). Is that correct?</t>
  </si>
  <si>
    <t>8. Vous avez indiqué que vous tentez d'interroger ${shm_name_bl} (âge : ${shm_age}). Est-ce exact ?</t>
  </si>
  <si>
    <t>8. Kun nuna cewa kuna ƙoƙarin yin hira da ${shm_name} (shekaru: ${shm_age_bl}). Shin hakan daidai ne?</t>
  </si>
  <si>
    <t>select_one resp</t>
  </si>
  <si>
    <t>resp_interview</t>
  </si>
  <si>
    <t>select_one relationship</t>
  </si>
  <si>
    <t>resp_relationship</t>
  </si>
  <si>
    <t>18. Hello, my name is ${users}, from Sahel Consulting, and I am calling to speak with ${attempted_name}. &lt;br&gt;
&lt;br&gt;
Do you know ${attempted_name}? What is the relationship between the owner of this phone and ${attempted_name}?</t>
  </si>
  <si>
    <t>Multiplication</t>
  </si>
  <si>
    <t>18. Bonjour, je m'appelle ${users}, de Sahel Consulting, et j'appelle pour parler avec ${attempted_name}. &lt;br&gt;
 &lt;br&gt;
 Connaissez-vous ${attempted_name} ? Quelle est la relation entre le propriétaire de ce téléphone et ${attempted_name} ?</t>
  </si>
  <si>
    <t>18. Sannu, sunana ${users}, ni ma'aikacin Sahel Consulting ne, kuma nayi kira ne don yin magana da ${attempted_name}. &lt;br&gt;
 &lt;br&gt;
 Kun san ${attempted_name}? Menene alakar mai wannan wayar da ${attempted_name}?</t>
  </si>
  <si>
    <t>*</t>
  </si>
  <si>
    <t>Millet</t>
  </si>
  <si>
    <t>3 * 2</t>
  </si>
  <si>
    <t>Gero/ Hatsi</t>
  </si>
  <si>
    <t>Division</t>
  </si>
  <si>
    <t>div</t>
  </si>
  <si>
    <t>9. Who are you trying to interview? Here are the other respondents in this household:</t>
  </si>
  <si>
    <t>9. Qui essayez-vous d’interroger ? Voici les autres répondants de ce foyer :</t>
  </si>
  <si>
    <t>10 div 2</t>
  </si>
  <si>
    <t>9. Wanene kuke ƙoƙarin yin hira da shi ? Ga sauran masu bada amsa a wannan gidan:</t>
  </si>
  <si>
    <t>filter!=0</t>
  </si>
  <si>
    <t>Modulus</t>
  </si>
  <si>
    <t>mod</t>
  </si>
  <si>
    <t>9 mod 2</t>
  </si>
  <si>
    <t>Mint</t>
  </si>
  <si>
    <t>Menthe</t>
  </si>
  <si>
    <t>resp_pm</t>
  </si>
  <si>
    <t>Mant</t>
  </si>
  <si>
    <t>Equal</t>
  </si>
  <si>
    <t>=</t>
  </si>
  <si>
    <t>${fieldname} = 3</t>
  </si>
  <si>
    <t>true or false</t>
  </si>
  <si>
    <t>resp_relationship_other</t>
  </si>
  <si>
    <t>19. Type other relationship</t>
  </si>
  <si>
    <t>Not equal</t>
  </si>
  <si>
    <t>19. Saisir la reponse</t>
  </si>
  <si>
    <t>!=</t>
  </si>
  <si>
    <t>10. End of survey. Please return and fill out the PM survey to collect survey responses.</t>
  </si>
  <si>
    <t>10. Fin de l'enquête. Veuillez revenir et remplir l'enquête PM pour recueillir les réponses aux questions.</t>
  </si>
  <si>
    <t>${fieldname} != 3</t>
  </si>
  <si>
    <t>10. Ƙarshen binciken kenan. Da fatan za a dawo a cika binciken PM don tattara amsoshin binciken.</t>
  </si>
  <si>
    <t>Nutgrass</t>
  </si>
  <si>
    <t>resp_w</t>
  </si>
  <si>
    <t>Souchet</t>
  </si>
  <si>
    <t>Greater-than</t>
  </si>
  <si>
    <t>Aya</t>
  </si>
  <si>
    <t>selected(${resp_relationship}, '888')</t>
  </si>
  <si>
    <t>&gt;</t>
  </si>
  <si>
    <t>${fieldname} &gt; 3</t>
  </si>
  <si>
    <t>&gt;-or-equal</t>
  </si>
  <si>
    <t>&gt;=</t>
  </si>
  <si>
    <t>${fieldname} &gt;= 3</t>
  </si>
  <si>
    <t>11. End of survey. Please return and fill out the Woman survey to collect survey responses.</t>
  </si>
  <si>
    <t>11. Fin de l'enquête. Veuillez revenir et remplir l'enquête Femme pour recueillir les réponses aux questions.</t>
  </si>
  <si>
    <t>11. Ƙarshen binciken kenan. Da fatan za a dawo a cika binciken Mata don tattara amsoshin binciken.</t>
  </si>
  <si>
    <t>Less-than</t>
  </si>
  <si>
    <t>&lt;</t>
  </si>
  <si>
    <t>Okra</t>
  </si>
  <si>
    <t>resp_inhh</t>
  </si>
  <si>
    <t>Gombo</t>
  </si>
  <si>
    <t>${fieldname} &lt; 3</t>
  </si>
  <si>
    <t>kuɓewa/ Miyar guro</t>
  </si>
  <si>
    <t>13. Is ${shm_name_bl} still a member of this household?</t>
  </si>
  <si>
    <t>13. Est-ce que ${shm_name_bl} est toujours membre de ce ménage ?</t>
  </si>
  <si>
    <t>13. Ko ${shm_name_bl} har yanzu dan wannan gidan ne?</t>
  </si>
  <si>
    <t>&lt;-or-equal</t>
  </si>
  <si>
    <t>resp_relationship_label</t>
  </si>
  <si>
    <t>Returns the label of the choice selected previously.</t>
  </si>
  <si>
    <t>&lt;=</t>
  </si>
  <si>
    <t>${fieldname} &lt;= 3</t>
  </si>
  <si>
    <t>12. Is ${shm_name_bl} still a member of this household?</t>
  </si>
  <si>
    <t>Or</t>
  </si>
  <si>
    <t>12. Est-ce que ${shm_name_bl} est toujours membre de ce ménage ?</t>
  </si>
  <si>
    <t>or</t>
  </si>
  <si>
    <t>12. Ko ${shm_name_bl} har yanzu dan wannan gidan ne?</t>
  </si>
  <si>
    <t>select_one members</t>
  </si>
  <si>
    <t>${fieldname} = 3 or ${fieldname} = 4</t>
  </si>
  <si>
    <t>resp_alt</t>
  </si>
  <si>
    <t>choice-label(${resp_relationship}, ${resp_relationship})</t>
  </si>
  <si>
    <t>14. Enumerator: In the Prospective migrant survey, we asked you to write down the name of the member who would be best positioned to answer Secondary Household Member survey if ${shm_name_bl} moved away from home. Please indicate the member in the list below:</t>
  </si>
  <si>
    <t>14. 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</si>
  <si>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14. Mai bincike: A cikin tambayoyin mai zuwa biɗa, mun nemi a rubuta sunan wanda zai fi dacewa ya bada amsa bisa ƴan gida idan ɗan gida na biyu ${shm_name_bl} ya ƙaura daga gida. Da fatan za a nuna sunan mutumen a cikin jerin sunayen da ke ƙasa:</t>
  </si>
  <si>
    <t>Onions</t>
  </si>
  <si>
    <t>And</t>
  </si>
  <si>
    <t>Oignons</t>
  </si>
  <si>
    <t>and</t>
  </si>
  <si>
    <t>Albasa</t>
  </si>
  <si>
    <t>${fieldname} &gt; 3 and ${fieldname} &lt; 5</t>
  </si>
  <si>
    <t>Not</t>
  </si>
  <si>
    <t>13. Enumerator: In the Prospective migrant survey, we asked you to write down the name of the member who would be best positioned to answer Secondary Household Member survey if ${shm_name_bl} moved away from home. Please indicate the member in the list below:</t>
  </si>
  <si>
    <t>not()</t>
  </si>
  <si>
    <t>13. 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t>
  </si>
  <si>
    <t>13. Mai bincike: A cikin tambayoyin mai zuwa biɗa, mun nemi a rubuta sunan wanda zai fi dacewa ya bada amsa bisa ƴan gida idan ɗan gida na biyu ${shm_name_bl} ya ƙaura daga gida. Da fatan za a nuna sunan mutumen a cikin jerin sunayen da ke ƙasa:</t>
  </si>
  <si>
    <t>not(${fieldname} &gt; 3 and ${fieldname} &lt; 5)</t>
  </si>
  <si>
    <t>called_num_name</t>
  </si>
  <si>
    <t>20. Can I ask your name? This is just for our records to help us find ${attempted_name}.</t>
  </si>
  <si>
    <t>false or true</t>
  </si>
  <si>
    <t>20. Puis-je vous demander votre nom ? Ceci est juste pour nos dossiers pour nous aider à trouver ${attempted_name}.</t>
  </si>
  <si>
    <t>20. Zan iya tambayar sunan ku? Wannan don bayananmu ne kawai don taimaka mana samun ${attempted_name}.</t>
  </si>
  <si>
    <t>alt_shm_name</t>
  </si>
  <si>
    <t>not(selected(${resp_relationship}, '4'))</t>
  </si>
  <si>
    <t>Paddy rice</t>
  </si>
  <si>
    <t>83. Will ${pm_name} be in the household within the next two weeks?</t>
  </si>
  <si>
    <t>Riz non décortiqué</t>
  </si>
  <si>
    <t xml:space="preserve">83. </t>
  </si>
  <si>
    <t>Function</t>
  </si>
  <si>
    <t>shinkafa maras sissika</t>
  </si>
  <si>
    <t>alt_shm_age</t>
  </si>
  <si>
    <t>relevant(field)</t>
  </si>
  <si>
    <t>relevant(${followup_question})</t>
  </si>
  <si>
    <t>84. How much did ${pm_name} have to pay to travel to destination?</t>
  </si>
  <si>
    <t>empty(field)</t>
  </si>
  <si>
    <t>empty(${consent})</t>
  </si>
  <si>
    <t>84. Combien ${pm_name} a-t-il dû payer pour voyager à destination?</t>
  </si>
  <si>
    <t>84. Nawa ne ${pm_name} ya biya don zuwa wurin?</t>
  </si>
  <si>
    <t>once(expression)</t>
  </si>
  <si>
    <t>once(random())</t>
  </si>
  <si>
    <t>pulldata(csvname, colname, lookupcolname, lookupval)</t>
  </si>
  <si>
    <t>Peanuts</t>
  </si>
  <si>
    <t>pulldata('hhplotdata', 'plot1size', 'hhid_key', ${hhid})</t>
  </si>
  <si>
    <t>Cacahuètes</t>
  </si>
  <si>
    <t>Gyada</t>
  </si>
  <si>
    <t>string-length(field)</t>
  </si>
  <si>
    <t>string-length(.) &gt; 3</t>
  </si>
  <si>
    <t>85. How long has ${pm_name} been away from household (in months)?</t>
  </si>
  <si>
    <t>85. Depuis combien de temps ${pm_name} est-il loin du ménage (en mois)?</t>
  </si>
  <si>
    <t>85. Tun daga yaushe ${pm_name} yake nesa da gida (a cikin watanni)?</t>
  </si>
  <si>
    <t>count-selected(field)</t>
  </si>
  <si>
    <t>count-selected(.) &gt;= 1</t>
  </si>
  <si>
    <t>Peppers</t>
  </si>
  <si>
    <t>Poivrons</t>
  </si>
  <si>
    <t>tattase</t>
  </si>
  <si>
    <t>selected(field, value)</t>
  </si>
  <si>
    <t>selected(${fieldname}, 'Male')</t>
  </si>
  <si>
    <t>86. Have you spoken with ${pm_name} in the past month?</t>
  </si>
  <si>
    <t>86. Avez-vous parlé avec ${pm_name} au cours du dernier mois?</t>
  </si>
  <si>
    <t>resp_available</t>
  </si>
  <si>
    <t>86. Ko kun yi magana da ${pm_name} a watan da ya gabata?</t>
  </si>
  <si>
    <t>21. Is ${attempted_name} nearby and available to speak now?</t>
  </si>
  <si>
    <t>selected-at(field, number)</t>
  </si>
  <si>
    <t>21. Est-ce que ${attempted_name} est à proximité et disponible pour parler maintenant ?</t>
  </si>
  <si>
    <t>21. Shin ${attempted_name} yana nan kusa kuma yana da daman yin magana yanzu?</t>
  </si>
  <si>
    <t>selected-at(${fieldname}, 0) = 'Shona'</t>
  </si>
  <si>
    <t>choice-label(field, value)</t>
  </si>
  <si>
    <t>choice-label(${selectonefield}, ${selectonefield})</t>
  </si>
  <si>
    <t>Sesame</t>
  </si>
  <si>
    <t>Sésame</t>
  </si>
  <si>
    <t>Riɗi</t>
  </si>
  <si>
    <t>concat(fieldorstring, fieldorstring, ...)</t>
  </si>
  <si>
    <t>concat(${firstname}, ' ', ${lastname})</t>
  </si>
  <si>
    <t>87. Did ${pm_name} discuss their decision to move with you before they left?</t>
  </si>
  <si>
    <t>87. ${pm_name} a-t-il discuté de sa décision de déménager avec vous avant de partir?</t>
  </si>
  <si>
    <t>87. Ko kun tattauna da ${pm_name} game da shawararshi ta tahiya kafin ya tafi?</t>
  </si>
  <si>
    <t>index()</t>
  </si>
  <si>
    <t>15. Is ${shm_name} available to be interviewed?</t>
  </si>
  <si>
    <t>15. Est-ce que ${shm_name} est disponible pour être interviewé ?</t>
  </si>
  <si>
    <t>15. Ko ${shm_name} yana da damar yin hira mu?</t>
  </si>
  <si>
    <t>Sorghum</t>
  </si>
  <si>
    <t>Sorgho</t>
  </si>
  <si>
    <t>Dawa</t>
  </si>
  <si>
    <t>count(repeatgroup)</t>
  </si>
  <si>
    <t>22. &lt;p style="color: #ff0000;font-weight:bold;"&gt;ENUMERATOR: DO NOT READ THIS ALOUD&lt;/p&gt;
&lt;br&gt;
&lt;p&gt;Ask to speak with the respondent and click "Yes" to confirm whether the respondent is on the phone, so you can move on to the actual form questions. Otherwise, go back and change your answer to "No".&lt;/p&gt;</t>
  </si>
  <si>
    <t>count(${repeatgroupname})</t>
  </si>
  <si>
    <t>22. &lt;p style="color: #ff0000;font-weight:bold;"&gt;ENQETEUR : NE LISEZ PAS CECI À HAUTE VOIX&lt;/p&gt;
&lt;br&gt;
&lt;p&gt;Demandez à parler avec le répondant et cliquez sur « Oui » pour confirmer si c'est le répondant qui est au téléphone, afin que vous puissiez passer aux questions du formulaire. Sinon, revenez en arrière et changez votre réponse en "Non".&lt;/p&gt;</t>
  </si>
  <si>
    <t>22. &lt;p style="color: #ff0000;font-weight:bold;"&gt;ƊAN BINCIKE : KAR KA KARANTA WANNAN DA BABBAR MURYA&lt;/p&gt;
&lt;br&gt;
&lt;p&gt;Nemi yin magana da mai bada amsa kuma danna bisa "Ee" don tabbatar da ko mai bada amsa ne ke kan wayar, don haka zaya baku damar ci gaba zuwa ga tambayoyi. In ba haka ba, koma ka canza amsarka zuwa "A'a".&lt;/p&gt;</t>
  </si>
  <si>
    <t>14. Is ${shm_name} available to be interviewed?</t>
  </si>
  <si>
    <t>14. Est-ce que ${shm_name} est disponible pour être interviewé ?</t>
  </si>
  <si>
    <t>sum(repeatedfield)</t>
  </si>
  <si>
    <t>14. Ko ${shm_name} yana da damar yin hira mu?</t>
  </si>
  <si>
    <t>sum(${loan_size})</t>
  </si>
  <si>
    <t>select_one unavail_why</t>
  </si>
  <si>
    <t>selected(${resp_available}, '1')</t>
  </si>
  <si>
    <t>resp_available_why</t>
  </si>
  <si>
    <t>16. Enumerator: Please specify why ${shm_name} is not available right now:</t>
  </si>
  <si>
    <t>join(string, repeatedfield)</t>
  </si>
  <si>
    <t>16. Enqueteur: veuillez specifier pourquoi ${shm_name} n'est pas disponible maintenant</t>
  </si>
  <si>
    <t>16. Dan binkike: dan mine ${shm_name} bai nan a yanzu</t>
  </si>
  <si>
    <t>join(' ,', ${hh_member_name})</t>
  </si>
  <si>
    <t>Sorrel</t>
  </si>
  <si>
    <t>Oseille</t>
  </si>
  <si>
    <t>Yakuwa</t>
  </si>
  <si>
    <t>min(repeatedfield)</t>
  </si>
  <si>
    <t>min(${hh_member_age})</t>
  </si>
  <si>
    <t>15. Enumerator: Please specify why ${shm_name} is not available right now:</t>
  </si>
  <si>
    <t>15. Enqueteur: veuillez specifier pourquoi ${shm_name} n'est pas disponible maintenant</t>
  </si>
  <si>
    <t>max(repeatedfield)</t>
  </si>
  <si>
    <t>15. Dan binkike: dan mine ${shm_name} bai nan a yanzu</t>
  </si>
  <si>
    <t>max(${hh_member_age})</t>
  </si>
  <si>
    <t>resp_available_why_o</t>
  </si>
  <si>
    <t>best_phone_reconfirm</t>
  </si>
  <si>
    <t>23. Is this still the best contact to reach out to ${attempted_name}?</t>
  </si>
  <si>
    <t>23. Est-ce toujours le meilleur numéro pour contacter ${attempted_name} ?</t>
  </si>
  <si>
    <t>17. Other, specify:</t>
  </si>
  <si>
    <t>23. Shin har yanzu wannan shine mafi kyawun lamba don samun ${attempted_name}?</t>
  </si>
  <si>
    <t>indexed-repeat(repeatedfield, repeatgroup, index)</t>
  </si>
  <si>
    <t>17. Autre précisez:</t>
  </si>
  <si>
    <t>Squash</t>
  </si>
  <si>
    <t>indexed-repeat(${name}, ${names}, 1)</t>
  </si>
  <si>
    <t>17. Sauran, bayar da cikakkun bayanai:</t>
  </si>
  <si>
    <t>Courge</t>
  </si>
  <si>
    <t>Kabewa</t>
  </si>
  <si>
    <t>selected(${resp_available}, '0') and ${best_phoneno}=${phonenumber_called}</t>
  </si>
  <si>
    <t>substr(fieldorstring, startindex, endindex)</t>
  </si>
  <si>
    <t>substr(${phone}, 0, 3)</t>
  </si>
  <si>
    <t>16. Other, specify:</t>
  </si>
  <si>
    <t>16. Autre précisez:</t>
  </si>
  <si>
    <t>16. Sauran, bayar da cikakkun bayanai:</t>
  </si>
  <si>
    <t>coalesce(field1, field2)</t>
  </si>
  <si>
    <t>coalesce(${id}, ${id2})</t>
  </si>
  <si>
    <t>Sweet potatoes</t>
  </si>
  <si>
    <t>Patates douces</t>
  </si>
  <si>
    <t>Dankali</t>
  </si>
  <si>
    <t>round(field, digits)</t>
  </si>
  <si>
    <t>91. If ${pm_name} migrates, where would they intended to travel?</t>
  </si>
  <si>
    <t>91. Si ${pm_name} voyage, où aurait-il l'intention d'aller ?</t>
  </si>
  <si>
    <t>round(${interest_rate}, 2)</t>
  </si>
  <si>
    <t>91. Idan ${pm_name} zai yi tahiya, ina zaya iya tafiya?</t>
  </si>
  <si>
    <t>consent</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</si>
  <si>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</si>
  <si>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regex(field, expression)</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</si>
  <si>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</si>
  <si>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regex(., '[A-Za-z0-9._%+-]+@[A-Za-z0-9.-]+.[A-Za-z]{2,4}')</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</si>
  <si>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</si>
  <si>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if(expression, valueiftrue, valueiffalse)</t>
  </si>
  <si>
    <t>Wheat</t>
  </si>
  <si>
    <t>Blé</t>
  </si>
  <si>
    <t>if(selected(${country}, 'South Africa') or selected(${country}, 'Zimbabwe'), 'SADC', 'Non-SADC')</t>
  </si>
  <si>
    <t>Alkama</t>
  </si>
  <si>
    <t>today()</t>
  </si>
  <si>
    <t>format-date-time(today(), '%Y-%b-%e')</t>
  </si>
  <si>
    <t>17.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</si>
  <si>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now()</t>
  </si>
  <si>
    <t>17.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</si>
  <si>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17.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</si>
  <si>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Yam</t>
  </si>
  <si>
    <t>Igname</t>
  </si>
  <si>
    <t>Doya</t>
  </si>
  <si>
    <t>speedcheck_intro_end</t>
  </si>
  <si>
    <t>username()</t>
  </si>
  <si>
    <t>93. Where in Niger would ${pm_name} move to?</t>
  </si>
  <si>
    <t>93. Où au Niger ${pm_name} se déplcerait-il ?</t>
  </si>
  <si>
    <t>93. Ina a Nijar ${pm_name} zai koma?</t>
  </si>
  <si>
    <t>rank-index(index, repeatedfield)</t>
  </si>
  <si>
    <t>rank-index(1, ${random_draw})</t>
  </si>
  <si>
    <t>dur_intro</t>
  </si>
  <si>
    <t>rank-value(fieldorvalue, fieldorlist)</t>
  </si>
  <si>
    <t>rank-value(${random_draw}, ${list_of_draws})</t>
  </si>
  <si>
    <t>If respondent is available, attempted respondent. If resp_other_resp is relevant, use that value</t>
  </si>
  <si>
    <t>de-duplicate(string, field)</t>
  </si>
  <si>
    <t>de-duplicate(' ', join(' ', ${repeatedfield}))</t>
  </si>
  <si>
    <t>94. What is the name of the town ${pm_name} would move to?</t>
  </si>
  <si>
    <t>94. Quel est le nom de la ville où ${pm_name} irait ?</t>
  </si>
  <si>
    <t>94. Menene sunan garin da ${pm_name} zai ƙaura ?</t>
  </si>
  <si>
    <t>distance-between(geopointfield1, geopointfield2)</t>
  </si>
  <si>
    <t>consented</t>
  </si>
  <si>
    <t>distance-between(${start_gps}, ${end_gps})</t>
  </si>
  <si>
    <t>Consent: Yes</t>
  </si>
  <si>
    <t>area(repeatedgeopointfield)</t>
  </si>
  <si>
    <t>area(${gps_reading})</t>
  </si>
  <si>
    <t>95. Have you and ${pm_name} discussed his plans or desire to travel to another country to find work in the past month?</t>
  </si>
  <si>
    <t>95. Avez-vous discuté vous et ${pm_name} de ses projets ou de son désir de voyager dans un autre pays pour trouver du travail au cours du mois dernier ?</t>
  </si>
  <si>
    <t>95. Ko kun tattauna ku da ${pm_name} kan shiriye-shiriyenshi ko sha'awar tafiyarshi wata ƙasa don neman aiki a cikin watan da ya gabata?</t>
  </si>
  <si>
    <t>assets</t>
  </si>
  <si>
    <t>form_questions</t>
  </si>
  <si>
    <t>Generator</t>
  </si>
  <si>
    <t>Groupe electrogene</t>
  </si>
  <si>
    <t>Ganareto</t>
  </si>
  <si>
    <t>respondent_name</t>
  </si>
  <si>
    <t>plug-in-metadata(field)</t>
  </si>
  <si>
    <t>96. Have you discussed with ${pm_name} how his household responsibilities would be managed if he migrates?</t>
  </si>
  <si>
    <t>96. Avez-vous discuté avec ${pm_name} de la manière dont ses responsabilités domestiques seraient gérées s'il migre ?</t>
  </si>
  <si>
    <t>96. Ko kun tattauna da ${pm_name} yadda za a gudanar da ayyukan da suka rataya a wuyanshi idan ya yi hijira?</t>
  </si>
  <si>
    <t>plug-in-metadata(${counter})</t>
  </si>
  <si>
    <t>choice-label(${attempted_respondent}, ${respondent})</t>
  </si>
  <si>
    <t>97. In the past month has ${pm_name} put aside any money for the future?</t>
  </si>
  <si>
    <t>97. Au cours du mois dernier, ${pm_name} a-t-il mis de l'argent de côté pour l'avenir ?</t>
  </si>
  <si>
    <t>97. A cikin watan da ya gabata ko ${pm_name} ya ajiye wani kuɗi don gaba?</t>
  </si>
  <si>
    <t>speedcheck_shm_start</t>
  </si>
  <si>
    <t>TV set</t>
  </si>
  <si>
    <t>poste de télévision</t>
  </si>
  <si>
    <t>talabijan/ Tele</t>
  </si>
  <si>
    <t>availability</t>
  </si>
  <si>
    <t>104. Problems at home and with relatives</t>
  </si>
  <si>
    <t>104. Problèmes au sein du menage et avec les proches</t>
  </si>
  <si>
    <t>104. Matsalolin gida da na dangi</t>
  </si>
  <si>
    <t>shm_questions</t>
  </si>
  <si>
    <t>SHM Questionnaire</t>
  </si>
  <si>
    <t>if(${resp_available} = 1 or indexed-repeat(${response}, ${phonecall}, count(${phonecall})) = 1, 1, 0)</t>
  </si>
  <si>
    <t>Radio</t>
  </si>
  <si>
    <t>Rediyo</t>
  </si>
  <si>
    <t>105. Accidents and disasters</t>
  </si>
  <si>
    <t>105. Accidents et catastrophes</t>
  </si>
  <si>
    <t>105. Hatsari da masifu</t>
  </si>
  <si>
    <t>shm_note</t>
  </si>
  <si>
    <t>19. SHM Questions</t>
  </si>
  <si>
    <t>19. Questions du second membre (SHM)</t>
  </si>
  <si>
    <t>shm_pre_consent</t>
  </si>
  <si>
    <t>19. Tambayoyin SHM</t>
  </si>
  <si>
    <t>Mobile Phone</t>
  </si>
  <si>
    <t>Téléphone mobile</t>
  </si>
  <si>
    <t>Wayar Hannu/ Salula</t>
  </si>
  <si>
    <t>18. SHM Questions</t>
  </si>
  <si>
    <t>18. Questions du second membre (SHM)</t>
  </si>
  <si>
    <t>pulldata('cases_el', 'pre_consent_shm', 'id', ${caseid})</t>
  </si>
  <si>
    <t>18. Tambayoyin SHM</t>
  </si>
  <si>
    <t>shm_home_questions</t>
  </si>
  <si>
    <t>Questions if at home</t>
  </si>
  <si>
    <t>Traditional bed</t>
  </si>
  <si>
    <t>Lit traditionnel</t>
  </si>
  <si>
    <t>Gadon gargajiya</t>
  </si>
  <si>
    <t>107. Not enough money for basic needs (sucha as food and clothing)</t>
  </si>
  <si>
    <t>107. Pas assez d'argent pour les besoins de base (tels que la nourriture et les vêtements)</t>
  </si>
  <si>
    <t>107. Rashin isassun kuɗi don buƙatun asali (kamar abinci da sutura)</t>
  </si>
  <si>
    <t>speedcheck_shm_loc_start</t>
  </si>
  <si>
    <t>pre_consent</t>
  </si>
  <si>
    <t>98. The following questions ask what you would expect to happen if ${pm_name} decided to travel to a neighboring country for work for at least one month.</t>
  </si>
  <si>
    <t>Iron/wooden bed</t>
  </si>
  <si>
    <t>98. Les questions suivantes vous demandent ce à quoi vous vous attendriez si ${pm_name} décidait de se rendre dans un pays voisin pour travailler pendant au moins un mois.</t>
  </si>
  <si>
    <t>Lit en fer/bois</t>
  </si>
  <si>
    <t>98. Tambayoyi masu zuwa suna magana akan abin da kuke tsammanin zai faru idan ${pm_name} ya yanke shawarar tafiya zuwa ƙasar maƙwabta don aiki na aƙalla wata ɗaya.</t>
  </si>
  <si>
    <t>Gadon ƙarfe / katako</t>
  </si>
  <si>
    <t>shm_home</t>
  </si>
  <si>
    <t>20. Are you living at home in ${pm_home_location}?</t>
  </si>
  <si>
    <t>20. Habitez-vous chez vous à ${pm_home_location}?</t>
  </si>
  <si>
    <t>${shm_pre_consent}</t>
  </si>
  <si>
    <t>20. Kuna zaune a gida a ${pm_home_location}?</t>
  </si>
  <si>
    <t>19. Are you living at home in ${pm_home_location}?</t>
  </si>
  <si>
    <t>19. Habitez-vous chez vous à ${pm_home_location}?</t>
  </si>
  <si>
    <t>19. Kuna zaune a gida a ${pm_home_location}?</t>
  </si>
  <si>
    <t>Flashlight</t>
  </si>
  <si>
    <t>shm_married</t>
  </si>
  <si>
    <t>Torche</t>
  </si>
  <si>
    <t>21. Are you married?</t>
  </si>
  <si>
    <t>Tocila/ yer hannu</t>
  </si>
  <si>
    <t>21. Êtes-vous marié?</t>
  </si>
  <si>
    <t>21. Ko ka na da aure?</t>
  </si>
  <si>
    <t>consent_lab</t>
  </si>
  <si>
    <t>20. Are you married?</t>
  </si>
  <si>
    <t>20. Êtes-vous marié?</t>
  </si>
  <si>
    <t>20. Ko ka na da aure?</t>
  </si>
  <si>
    <t>"Great, I am calling to ask you a few questions to learn about how you have been since the last time you spoke with us."</t>
  </si>
  <si>
    <t>shm_current_in_niger</t>
  </si>
  <si>
    <t>22. Enumerator: Is location in Niger?</t>
  </si>
  <si>
    <t>22. Enquêteur : La localité est-elle au Niger ?</t>
  </si>
  <si>
    <t>22. Ɗan bincike : Wurin a Nijar ne ?</t>
  </si>
  <si>
    <t>Bike</t>
  </si>
  <si>
    <t>Vélo</t>
  </si>
  <si>
    <t>Keke/ Belo</t>
  </si>
  <si>
    <t>21. Enumerator: Is location in Niger?</t>
  </si>
  <si>
    <t>21. Enquêteur : La localité est-elle au Niger ?</t>
  </si>
  <si>
    <t>21. Ɗan bincike : Wurin a Nijar ne ?</t>
  </si>
  <si>
    <t>select_one region</t>
  </si>
  <si>
    <t>shm_current_region</t>
  </si>
  <si>
    <t>23. Enumerator: Select region in Niger</t>
  </si>
  <si>
    <t>23. Enquêteur : Sélectionnez la région de Niger</t>
  </si>
  <si>
    <t>consent_lab_fr</t>
  </si>
  <si>
    <t>23. Ɗan bincike: Zaɓi Jaha ɗaya a Nijar</t>
  </si>
  <si>
    <t>Label for consent in french</t>
  </si>
  <si>
    <t>Motorbike</t>
  </si>
  <si>
    <t>Moto</t>
  </si>
  <si>
    <t>Babur/ Moto</t>
  </si>
  <si>
    <t>22. Enumerator: Select region in Niger</t>
  </si>
  <si>
    <t>22. Enquêteur : Sélectionnez la région de Niger</t>
  </si>
  <si>
    <t>22. Ɗan bincike: Zaɓi Jaha ɗaya a Nijar</t>
  </si>
  <si>
    <t>select_one countries</t>
  </si>
  <si>
    <t>"Super, je vous appelle pour vous poser quelques questions afin de savoir comment vous allez depuis la dernière fois que vous nous avez parlé."</t>
  </si>
  <si>
    <t>shm_current_country</t>
  </si>
  <si>
    <t>24. Enumerator: Select country</t>
  </si>
  <si>
    <t>24. Enquêteur : sélectionnez le pays</t>
  </si>
  <si>
    <t>24. Ɗan bincike: Zaɓi ƙasa</t>
  </si>
  <si>
    <t>23. Enumerator: Select country</t>
  </si>
  <si>
    <t>23. Enquêteur : sélectionnez le pays</t>
  </si>
  <si>
    <t>Plow</t>
  </si>
  <si>
    <t>23. Ɗan bincike: Zaɓi ƙasa</t>
  </si>
  <si>
    <t>Charrue</t>
  </si>
  <si>
    <t>Galma</t>
  </si>
  <si>
    <t>consent_lab_hausa</t>
  </si>
  <si>
    <t>shm_current_country_o</t>
  </si>
  <si>
    <t>Label for consent in hausa</t>
  </si>
  <si>
    <t>25. Enumerator: Enter other country</t>
  </si>
  <si>
    <t>25. Enquêteur : Entrez un autre pays</t>
  </si>
  <si>
    <t>25. Ɗan bincike: Shigar da wata ƙasa</t>
  </si>
  <si>
    <t>"Ya yi kyau, na sake kiran ku don in muku wasu tambayoyi don sanin yaya kuke tun daga hirar mu ta ƙarshe."</t>
  </si>
  <si>
    <t>24. Enumerator: Enter other country</t>
  </si>
  <si>
    <t>24. Enquêteur : Entrez un autre pays</t>
  </si>
  <si>
    <t>24. Ɗan bincike: Shigar da wata ƙasa</t>
  </si>
  <si>
    <t>select_one towns</t>
  </si>
  <si>
    <t>shm_current_town</t>
  </si>
  <si>
    <t>26. Enumerator: Select town</t>
  </si>
  <si>
    <t>26. Enquêteur : Sélectionnez la ville</t>
  </si>
  <si>
    <t>26. Ɗan bincike: Zaɓi gari</t>
  </si>
  <si>
    <t>Cart</t>
  </si>
  <si>
    <t>Chariot</t>
  </si>
  <si>
    <t>Amalanke</t>
  </si>
  <si>
    <t>25. Enumerator: Select town</t>
  </si>
  <si>
    <t>25. Enquêteur : Sélectionnez la ville</t>
  </si>
  <si>
    <t>25. Ɗan bincike: Zaɓi gari</t>
  </si>
  <si>
    <t xml:space="preserve">27. &lt;p&gt;&lt;span style="color: #ff0000;"&gt;&lt;b&gt;ENUMERATOR: Starting now, you will read the questions out loud.&lt;/b&gt;&lt;/span&gt;&lt;br&gt;
 &lt;br&gt;
We would like to learn about how you have been since the last time you spoke with us. We are calling you because we couldn't reach you when we visitied your house earlier this month. You will receive ${treatment_cfa} in phone credit for participating in this survey. 
You are free to skip any questions you do not wish to answer or to end the survey at any time.  &lt;br&gt;&lt;br&gt;&lt;b&gt;Can I ask you these questions now?&lt;/b&gt; </t>
  </si>
  <si>
    <t>27. &lt;p&gt;&lt;span style="color: #ff0000;"&gt;&lt;b&gt;ENUMÉRATEUR : À partir de maintenant, vous lirez les questions à voix haute.&lt;/b&gt;&lt;/span&gt;&lt;br&gt;
 &lt;br&gt;
 Super, nous aimerions savoir comment vous allez depuis la dernière fois qu'on a parlé. Nous vous appelons car nous n'avons pas pu vous joindr lors de notre visite chez vous plus tôt ce mois-ci. Vous recevrez {treatment_cfa} $ de crédit téléphonique pour votre participation.
 Vous êtes libre de sauter les questions auxquelles vous ne souhaitez pas répondre ou de mettre fin à l'enquête à tout moment. &lt;br&gt;&lt;br&gt;&lt;b&gt;Puis-je vous poser ces questions maintenant ?&lt;/b&gt;</t>
  </si>
  <si>
    <t>shm_current_town_id</t>
  </si>
  <si>
    <t>27. &lt;p&gt;&lt;span style="color: #ff0000;&gt;&lt;b&gt;ENUMERATOR: Daga yanzu, zaku karanta tambay"27. &lt;p&gt;&lt;span style=""color: #ff0000;"&gt;&lt;b&gt;ENUMERATOR: Daga yanzu, zaku karanta tambayoyin da babbar murya.&lt;/b&gt;&lt;/span&gt;&lt;br&gt;
 &lt;br&gt;
 Yayi kyau, muna so mu san yadda kuka kasance tun lokacin da kuka yi magana da mu na ƙarshe. Muna kiraye ku ne saboda ba mu same ku ba lokacin da muka ziyarci gidanku a farkon wannan watan. Za'a baku ${treatment_cfa} na kiredi salula don shigarku wannan hirar.
 Kuna da ƴanci tsallake kowace tambaya da ba ku son amsawa ko tsaida hirar a kowane lokaci. &lt;br&gt;&lt;br&gt;&lt;b&gt;Ko kun yarda in muku wadannan tambayoyin yanzu?&lt;/b&gt;"</t>
  </si>
  <si>
    <t>Pickaxe</t>
  </si>
  <si>
    <t>Pioche</t>
  </si>
  <si>
    <t>(selected(${phone_response}, '1') or selected(${resp_confirm}, '1')) and (${pre_consent} = null or ${pre_consent} = 0)</t>
  </si>
  <si>
    <t>Diga</t>
  </si>
  <si>
    <t>104. Now I will ask about things you or your family may have done in preparation for ${pm_name}'s migration.</t>
  </si>
  <si>
    <t>104. Je vais maintenant vous poser des questions sur les choses que vous ou votre famille avez pu faire en préparation de la migration de ${pm_name}.</t>
  </si>
  <si>
    <t>104. Yanzu zan yi muku tambayoyi game da abubuwan da ku ko danginku kuka yi don shirye-shiryen zuwa biɗan ${pm_name}.</t>
  </si>
  <si>
    <t>shm_current_town_name</t>
  </si>
  <si>
    <t>105. Gathered resources in order to prepare for their migration? This could include saving money, selling assets, or taking a loan.</t>
  </si>
  <si>
    <t>105. A-t-il rassemblé des ressources pour préparer sa migration ? Il peut s'agir d'économiser de l'argent, de vendre des actifs ou de contracter un prêt.</t>
  </si>
  <si>
    <t>105. Ko ya yi tanadin guzuri don shirya zuwa biɗarshi? Wannan na iya haɗawa da ajiyar kuɗi, saida kadarori, ko ɗaukan bashi.</t>
  </si>
  <si>
    <t>pre_consent_note</t>
  </si>
  <si>
    <t>shm_current_location</t>
  </si>
  <si>
    <t>We are calling you as we couldn't reach you when we visitied your house earlier this month. We would like to learn about how you have been since the last time you spoke with us. You will receive ${treatment_cfa} in phone credit for participating. You are free to skip any questions you do not wish to answer or to end the survey at any time.</t>
  </si>
  <si>
    <t>Calculate current location</t>
  </si>
  <si>
    <t>28. La dernière fois qu’on vous a appelé, vous nous avez dit que vous seriez disponible à répondre à quelques questions. On va continuer avec l’enquête maintenant.</t>
  </si>
  <si>
    <t>28. Kira na ƙarshe da muka muku, kun nuna cewa za ku yarda da bada amsa ga wasu tambayoyi da za mu yi muku. Za mu ci gaba da tambayoyin binciken yanzu.</t>
  </si>
  <si>
    <t>106. prepared any legal paperwork, such as marriage documents, birth certificates, or proof of property?</t>
  </si>
  <si>
    <t>(selected(${phone_response}, '1') or selected(${resp_confirm}, '1')) and ${pre_consent} = 1</t>
  </si>
  <si>
    <t>106. A-t-il préparé des documents juridiques, tels que des documents de mariage, des certificats de naissance ou une preuve de propriété ?</t>
  </si>
  <si>
    <t>106. Shirya duk wata takarda ta doka, kamar takardun aure, takardun haifuwa, ko shaidar dukiya?</t>
  </si>
  <si>
    <t>select_one purpose</t>
  </si>
  <si>
    <t>shm_location_purpose</t>
  </si>
  <si>
    <t>27. What is the main reason you are living in ${shm_current_location}?</t>
  </si>
  <si>
    <t>27. Quelle est la principale raison pour laquelle vous vivez dans ${shm_current_location}?</t>
  </si>
  <si>
    <t>27. Menene babban dalilin da yasa kuke rayuwa a ${shm_current_location}?</t>
  </si>
  <si>
    <t>26. What is the main reason you are living in ${shm_current_location}?</t>
  </si>
  <si>
    <t>26. Quelle est la principale raison pour laquelle vous vivez dans ${shm_current_location}?</t>
  </si>
  <si>
    <t>26. Menene babban dalilin da yasa kuke rayuwa a ${shm_current_location}?</t>
  </si>
  <si>
    <t>refused_note</t>
  </si>
  <si>
    <t>29. &lt;p style="color: #ff0000;font-weight:bold;"&gt;ENUMERATOR, read this out loud:&lt;/p&gt;
&lt;br&gt;
&lt;p&gt;Okay, thank you for your time, and have a great day.&lt;/p&gt;</t>
  </si>
  <si>
    <t>shm_location_weeks</t>
  </si>
  <si>
    <t>livestock</t>
  </si>
  <si>
    <t>29. &lt;p&gt;&lt;span style="color : #ff0000 ;"&gt;&lt;b&gt;ENNUMÉRATEUR, lisez ceci à haute voix :&lt;/b&gt;&lt;/span&gt;&lt;br&gt;
  &lt;br&gt;
  D'accord, merci pour votre temps et passez une bonne journée.</t>
  </si>
  <si>
    <t>29. &lt;p&gt;&lt;span style="color: #ff0000;&gt;&lt;b&gt;ENUMERATOR, karanta wannan da babbar murya:&lt;/b&gt;&lt;/span&gt;&lt;br&gt;
 Yawwa na gode da lokacin da kuka bani, mu wuni lahiya.</t>
  </si>
  <si>
    <t>28. How long have you been in ${shm_current_location} in weeks?</t>
  </si>
  <si>
    <t>Poultry</t>
  </si>
  <si>
    <t>28. Depuis combien de temps êtes-vous dans ${shm_current_location} en semaines?</t>
  </si>
  <si>
    <t>Volaille</t>
  </si>
  <si>
    <t>28. Tun yaushe kuke a ${shm_current_location} a makonni?</t>
  </si>
  <si>
    <t>Kaji</t>
  </si>
  <si>
    <t>${consent} = 0</t>
  </si>
  <si>
    <t>27. How long have you been in ${shm_current_location} in weeks?</t>
  </si>
  <si>
    <t>27. Depuis combien de temps êtes-vous dans ${shm_current_location} en semaines?</t>
  </si>
  <si>
    <t>27. Tun yaushe kuke a ${shm_current_location} a makonni?</t>
  </si>
  <si>
    <t>speedcheck_shm_loc_end</t>
  </si>
  <si>
    <t>Goats</t>
  </si>
  <si>
    <t>Chèvres</t>
  </si>
  <si>
    <t>Awaki</t>
  </si>
  <si>
    <t>108. The next few questions ask about your knowledge of official rules for people from Niger to travel to neighboring countries</t>
  </si>
  <si>
    <t>108. Les prochaines questions portent sur votre connaissance des règles officielles permettant aux Nigériens de se rendre dans les pays voisins.</t>
  </si>
  <si>
    <t>108. Tambayoyi masu zuwa za'a yi su game da saninku bisa dokokinda suke bawa mutanen Nijar damar zuwa biɗa kasashen makwabta</t>
  </si>
  <si>
    <t>dur_shm_loc</t>
  </si>
  <si>
    <t>Sheep</t>
  </si>
  <si>
    <t>Mouton</t>
  </si>
  <si>
    <t>Tumaki</t>
  </si>
  <si>
    <t>109. Suppose you want to travel to Cote d'Ivoire, what documents would you need to bring with you to travel there legally?</t>
  </si>
  <si>
    <t>109. Supposons que vous souhaiteriez vous rendre en Côte d'Ivoire, quels documents devriez-vous apporter pour vous y rendre légalement ?</t>
  </si>
  <si>
    <t>109. A ce kuna son tafiya zuwa Cote d'Ivoire, waɗanne takardu za ku buƙaci ku kawo tare da ku don tafiya can bisa doka?</t>
  </si>
  <si>
    <t>110. Suppose you instead want to travel to Libya, what documents would you need to bring with you to travel there legally?</t>
  </si>
  <si>
    <t>110. Supposons que vous vouliez plutôt vous rendre en Libye, quels documents devriez-vous apporter avec vous pour vous y rendre légalement ?</t>
  </si>
  <si>
    <t>110. A ce a maimakon haka kuna son tafiya Libya, waɗanne takardu za ku buƙaci kawowa tare da ku don tafiya can bisa doka?</t>
  </si>
  <si>
    <t>Cattle</t>
  </si>
  <si>
    <t>${consent} = 1 or ${pre_consent} = 1</t>
  </si>
  <si>
    <t>Vaches</t>
  </si>
  <si>
    <t>Shanu</t>
  </si>
  <si>
    <t>pulldata('cases_el', 'enumerator', 'id', ${caseid})</t>
  </si>
  <si>
    <t>111. If you want to travel to Nigeria to find work, how long can you work there without getting a formal work authorization (in months)?</t>
  </si>
  <si>
    <t>111. Si vous souhaitez vous rendre au Nigeria pour trouver du travail, combien de temps pouvez-vous y travailler sans obtenir une autorisation de travail formelle (en mois) ?</t>
  </si>
  <si>
    <t>111. Idan kuna son tafiya Najeriya don neman aiki, tsawon wane lokaci za ku iya yin aiki a can ba tare da samun takardar izinin aiki a cikin doka (a cikin watanni)?</t>
  </si>
  <si>
    <t>speedcheck_shm_health_start</t>
  </si>
  <si>
    <t>Horses</t>
  </si>
  <si>
    <t>Les chevaux</t>
  </si>
  <si>
    <t>Dawaki</t>
  </si>
  <si>
    <t>missed_previous_fu</t>
  </si>
  <si>
    <t>112. If you want to travel to Senegal, what vaccinations are required in order to travel there legally?</t>
  </si>
  <si>
    <t>112. Si vous souhaitez vous rendre au Sénégal, quels vaccins sont nécessaires pour y voyager légalement ?</t>
  </si>
  <si>
    <t>112. Idan kuna son tafiya Senegal, waɗanne alluran rigakafi ake wajabta muku don tafiya can bisa doka?</t>
  </si>
  <si>
    <t>shm_wellbeing_note</t>
  </si>
  <si>
    <t>29. I would like to ask you a few questions about your health and wellbeing</t>
  </si>
  <si>
    <t>29. Je voudrais vous poser quelques questions sur votre santé et votre bien-être</t>
  </si>
  <si>
    <t>29. Ina so in yi muku wasu ƴan tambayoyi game da lafiyar jikinku da jin daɗin ku</t>
  </si>
  <si>
    <t>pulldata('cases_el', 'missed_shm_fu_5', 'id', ${caseid})</t>
  </si>
  <si>
    <t>28. I would like to ask you a few questions about your health and wellbeing</t>
  </si>
  <si>
    <t>28. Je voudrais vous poser quelques questions sur votre santé et votre bien-être</t>
  </si>
  <si>
    <t>28. Ina so in yi muku wasu ƴan tambayoyi game da lafiyar jikinku da jin daɗin ku</t>
  </si>
  <si>
    <t>Camels</t>
  </si>
  <si>
    <t>select_one health</t>
  </si>
  <si>
    <t>Chameaux</t>
  </si>
  <si>
    <t>shm_physical_health</t>
  </si>
  <si>
    <t>Rakumma</t>
  </si>
  <si>
    <t>30. In general, how would you characterize your physical health?</t>
  </si>
  <si>
    <t>30. En général, comment caractériseriez-vous votre santé physique ?</t>
  </si>
  <si>
    <t>30. A taƙaice, yaya za ku siffanta lafiyar jikin ku?</t>
  </si>
  <si>
    <t>29. In general, how would you characterize your physical health?</t>
  </si>
  <si>
    <t>29. En général, comment caractériseriez-vous votre santé physique ?</t>
  </si>
  <si>
    <t>29. A taƙaice, yaya za ku siffanta lafiyar jikin ku?</t>
  </si>
  <si>
    <t>shm_illness_limit</t>
  </si>
  <si>
    <t>31. Do you currently suffer from any illness or disability that limits your ability to travel or work?</t>
  </si>
  <si>
    <t>31. Souffrez-vous actuellement d'une maladie ou d'un handicap qui limite votre capacité à voyager ou à travailler ?</t>
  </si>
  <si>
    <t>31. A halin yanzu, ko kuna fama da wata rashin lafiya ko naƙasa da ke iya kawo muku cikas game da tahiya bulaguro ko yin aiki?</t>
  </si>
  <si>
    <t>Donkey</t>
  </si>
  <si>
    <t>Âne</t>
  </si>
  <si>
    <t>Jaki</t>
  </si>
  <si>
    <t>pulldata('cases_el', 'treatment_group', 'id', ${caseid})</t>
  </si>
  <si>
    <t>30. Do you currently suffer from any illness or disability that limits your ability to travel or work?</t>
  </si>
  <si>
    <t>30. Souffrez-vous actuellement d'une maladie ou d'un handicap qui limite votre capacité à voyager ou à travailler ?</t>
  </si>
  <si>
    <t>30. A halin yanzu, ko kuna fama da wata rashin lafiya ko naƙasa da ke iya kawo muku cikas game da tahiya bulaguro ko yin aiki?</t>
  </si>
  <si>
    <t>select_one illness</t>
  </si>
  <si>
    <t>shm_illness_limit_type</t>
  </si>
  <si>
    <t>32. What illness limits you in this way?</t>
  </si>
  <si>
    <t>32. Quelle maladie vous limite de cette manière ?</t>
  </si>
  <si>
    <t>32. Wace cuta ce ke tsaida ku a kan wannan?</t>
  </si>
  <si>
    <t>31. What illness limits you in this way?</t>
  </si>
  <si>
    <t>31. Quelle maladie vous limite de cette manière ?</t>
  </si>
  <si>
    <t>31. Wace cuta ce ke tsaida ku a kan wannan?</t>
  </si>
  <si>
    <t>shm_illness_limit_type_o</t>
  </si>
  <si>
    <t>33. Other, specify:</t>
  </si>
  <si>
    <t>33. Autre précisez:</t>
  </si>
  <si>
    <t>33. Sauran, bayar da cikakkun bayanai:</t>
  </si>
  <si>
    <t>32. Other, specify:</t>
  </si>
  <si>
    <t>32. Autre précisez:</t>
  </si>
  <si>
    <t>${commune_name}</t>
  </si>
  <si>
    <t>32. Sauran, bayar da cikakkun bayanai:</t>
  </si>
  <si>
    <t>shm_illness</t>
  </si>
  <si>
    <t>34. In the past six months, did you suffer from an illness or injury that disrupted your daily life?</t>
  </si>
  <si>
    <t>Au cours des six derniers mois, avez-vous souffert d'une maladie ou d'une blessure qui a perturbé votre quotidien ?</t>
  </si>
  <si>
    <t>A cikin watanni shida da suka gabata, ko kun yi fama da rashin lafiya ko rauni wanda ya kawo cikas ga rayuwar ku ta yau da kullun?</t>
  </si>
  <si>
    <t>33. In the past six months, did you suffer from an illness or injury that disrupted your daily life?</t>
  </si>
  <si>
    <t>33. Au cours des six derniers mois, avez-vous souffert d'une maladie ou d'une blessure qui a perturbé votre quotidien ?</t>
  </si>
  <si>
    <t>33. A cikin watanni shida da suka gabata, ko kun yi fama da rashin lafiya ko rauni wanda ya kawo cikas ga rayuwar ku ta yau da kullun?</t>
  </si>
  <si>
    <t>shm_illness_type</t>
  </si>
  <si>
    <t>35. What type of illness or injury did you experience?</t>
  </si>
  <si>
    <t>35. Preciser le type de maladie ou de blessure</t>
  </si>
  <si>
    <t>35. Baiyana irin ciwo ko raunin da kuka yi fama da shi?</t>
  </si>
  <si>
    <t>34. What type of illness or injury did you experience?</t>
  </si>
  <si>
    <t>34. Preciser le type de maladie ou de blessure</t>
  </si>
  <si>
    <t>34. Baiyana irin ciwo ko raunin da kuka yi fama da shi?</t>
  </si>
  <si>
    <t>shm_illness_type_o</t>
  </si>
  <si>
    <t>36. Specify other illness or injury</t>
  </si>
  <si>
    <t>36. Preciser le type de maladie ou de blessure</t>
  </si>
  <si>
    <t>36. Baiyana irin ciwo ko raunin da kuka fama?</t>
  </si>
  <si>
    <t>pulldata('baseline_ids_el', 'hhmembers', 'hh_id', ${hh_id})</t>
  </si>
  <si>
    <t>35. Specify other illness or injury</t>
  </si>
  <si>
    <t>activities</t>
  </si>
  <si>
    <t>35. Baiyana irin ciwo ko raunin da kuka fama?</t>
  </si>
  <si>
    <t>shm_seek_treatment</t>
  </si>
  <si>
    <t>Farming/Agriculture</t>
  </si>
  <si>
    <t>37. Did you seek any treatment for any illness or injury?</t>
  </si>
  <si>
    <t>37. Avez-vous cherché un traitement pour une maladie ou une blessure ?</t>
  </si>
  <si>
    <t>Agriculture</t>
  </si>
  <si>
    <t>37. Ko kun nemi wani magani don wata cuta ko rauni?</t>
  </si>
  <si>
    <t>Noma</t>
  </si>
  <si>
    <t>36. Did you seek any treatment for any illness or injury?</t>
  </si>
  <si>
    <t>36. Avez-vous cherché un traitement pour une maladie ou une blessure ?</t>
  </si>
  <si>
    <t>36. Ko kun nemi wani magani don wata cuta ko rauni?</t>
  </si>
  <si>
    <t>shm_past_week_note</t>
  </si>
  <si>
    <t>38. Now I want to ask you about the past week (7 days)</t>
  </si>
  <si>
    <t>38. Maintenant, je veux vous poser des questions sur la semaine dernière (7 jours)</t>
  </si>
  <si>
    <t>38. Yanzu ina son in muku tambayoyi bisa satin (makon) da ya wuce (kwana 7)</t>
  </si>
  <si>
    <t>"From baseline (April 2023) to endline (June 2025)"</t>
  </si>
  <si>
    <t>37. Now I want to ask you about the past week (7 days)</t>
  </si>
  <si>
    <t>37. Maintenant, je veux vous poser des questions sur la semaine dernière (7 jours)</t>
  </si>
  <si>
    <t>37. Yanzu ina son in muku tambayoyi bisa satin (makon) da ya wuce (kwana 7)</t>
  </si>
  <si>
    <t>shm_sleep</t>
  </si>
  <si>
    <t>39. How many hours of sleep per night did you get on average in the last seven days?</t>
  </si>
  <si>
    <t>Herding</t>
  </si>
  <si>
    <t>39. Combien d'heures de sommeil par nuit avez-vous dormi en moyenne au cours des sept derniers jours ?</t>
  </si>
  <si>
    <t>Élevage</t>
  </si>
  <si>
    <t>39. Misalin Sa'o'i nawa a taƙaice kuke yin barci a kowane dare a cikin kwanaki bakwai na ƙarshe da suka wuce?</t>
  </si>
  <si>
    <t>Kiwo</t>
  </si>
  <si>
    <t>38. How many hours of sleep per night did you get on average in the last seven days?</t>
  </si>
  <si>
    <t>38. Combien d'heures de sommeil par nuit avez-vous dormi en moyenne au cours des sept derniers jours ?</t>
  </si>
  <si>
    <t>38. Misalin Sa'o'i nawa a taƙaice kuke yin barci a kowane dare a cikin kwanaki bakwai na ƙarshe da suka wuce?</t>
  </si>
  <si>
    <t>shm_emotions</t>
  </si>
  <si>
    <t>Small business</t>
  </si>
  <si>
    <t>Petit commerce</t>
  </si>
  <si>
    <t>Ƙananan kasuwanci</t>
  </si>
  <si>
    <t>"Du debut des vents de l'ouest d'il y a 2 ans (avril 2023) au début de la saison des pluies de cette année (juin 2025)"</t>
  </si>
  <si>
    <t>130. How to you invest your money such as whether to improve your house</t>
  </si>
  <si>
    <t>130. Comment investir votre argent, par exemple pour améliorer votre maison</t>
  </si>
  <si>
    <t>130. Yadda za ku kashe kuɗin ku, kamar gyaran gidanku</t>
  </si>
  <si>
    <t>select_one freq</t>
  </si>
  <si>
    <t>shm_emotion</t>
  </si>
  <si>
    <t>40. In the past week, how often did you experience the following feelings?</t>
  </si>
  <si>
    <t>40. Au cours de la semaine dernière, à quelle fréquence avez-vous ressenti les sentiments suivants ?</t>
  </si>
  <si>
    <t>40. A cikin satin da ya wuce, sau nawa kuka ji irin waɗannan abubuwan a ranku?</t>
  </si>
  <si>
    <t>Artisan production</t>
  </si>
  <si>
    <t>Production Artisanale</t>
  </si>
  <si>
    <t>Aikin hannu</t>
  </si>
  <si>
    <t>39. In the past week, how often did you experience the following feelings?</t>
  </si>
  <si>
    <t>39. Au cours de la semaine dernière, à quelle fréquence avez-vous ressenti les sentiments suivants ?</t>
  </si>
  <si>
    <t>39. A cikin satin da ya wuce, sau nawa kuka ji irin waɗannan abubuwan a ranku?</t>
  </si>
  <si>
    <t>shm_emotion1</t>
  </si>
  <si>
    <t>41. Enjoyment</t>
  </si>
  <si>
    <t>41. Plaisir</t>
  </si>
  <si>
    <t>41. jin daɗi</t>
  </si>
  <si>
    <t>Butcher</t>
  </si>
  <si>
    <t>"Tun daga binciken fari na bara a ƙarshen damana zuwa yanzu."</t>
  </si>
  <si>
    <t>40. Enjoyment</t>
  </si>
  <si>
    <t>40. Plaisir</t>
  </si>
  <si>
    <t>Boucher</t>
  </si>
  <si>
    <t>40. jin daɗi</t>
  </si>
  <si>
    <t>mahauci</t>
  </si>
  <si>
    <t>shm_emotion2</t>
  </si>
  <si>
    <t>42. Happiness</t>
  </si>
  <si>
    <t>42. Bonheur</t>
  </si>
  <si>
    <t>42. Farin ciki</t>
  </si>
  <si>
    <t>41. Happiness</t>
  </si>
  <si>
    <t>41. Bonheur</t>
  </si>
  <si>
    <t>41. Farin ciki</t>
  </si>
  <si>
    <t>shm_emotion3</t>
  </si>
  <si>
    <t>43. Stress</t>
  </si>
  <si>
    <t>43. Babbar Damuwa</t>
  </si>
  <si>
    <t>Lumberjack/woodcutter</t>
  </si>
  <si>
    <t>Bûcheron</t>
  </si>
  <si>
    <t>Mai saran itace</t>
  </si>
  <si>
    <t>42. Stress</t>
  </si>
  <si>
    <t>42. Babbar Damuwa</t>
  </si>
  <si>
    <t>"From baseline (April 2023) to follow up 5 (December 2024)"</t>
  </si>
  <si>
    <t>shm_emotion4</t>
  </si>
  <si>
    <t>44. Worry</t>
  </si>
  <si>
    <t>44. Inquiétude</t>
  </si>
  <si>
    <t>44. Damuwa</t>
  </si>
  <si>
    <t>Domestic labor</t>
  </si>
  <si>
    <t>Domestique</t>
  </si>
  <si>
    <t>Aikin gida</t>
  </si>
  <si>
    <t>43. Worry</t>
  </si>
  <si>
    <t>43. Inquiétude</t>
  </si>
  <si>
    <t>43. Damuwa</t>
  </si>
  <si>
    <t>shm_emotion5</t>
  </si>
  <si>
    <t>45. Anger</t>
  </si>
  <si>
    <t>45. Colère</t>
  </si>
  <si>
    <t>45. Fushi</t>
  </si>
  <si>
    <t>Marabout</t>
  </si>
  <si>
    <t>Malumci</t>
  </si>
  <si>
    <t>44. Anger</t>
  </si>
  <si>
    <t>44. Colère</t>
  </si>
  <si>
    <t>44. Fushi</t>
  </si>
  <si>
    <t>shm_emotion6</t>
  </si>
  <si>
    <t>46. Physical pain</t>
  </si>
  <si>
    <t>46. Douleur physique</t>
  </si>
  <si>
    <t>46. ciwon jiki</t>
  </si>
  <si>
    <t>"Du debut des vents de l'ouest d'il y a 2 ans (avril 2023) à la période de froid de l'année dernière (décembre 2024)"</t>
  </si>
  <si>
    <t>Mechanic/driver</t>
  </si>
  <si>
    <t>Mécanicien/chauffeur</t>
  </si>
  <si>
    <t>Makaniki/direba</t>
  </si>
  <si>
    <t>45. Physical pain</t>
  </si>
  <si>
    <t>45. Douleur physique</t>
  </si>
  <si>
    <t>45. ciwon jiki</t>
  </si>
  <si>
    <t>shm_emotion7</t>
  </si>
  <si>
    <t>47. Loneliness</t>
  </si>
  <si>
    <t>47. Solitude</t>
  </si>
  <si>
    <t>47. kadaici</t>
  </si>
  <si>
    <t>Blacksmith</t>
  </si>
  <si>
    <t>Forgeron</t>
  </si>
  <si>
    <t>Maƙeri</t>
  </si>
  <si>
    <t>46. Loneliness</t>
  </si>
  <si>
    <t>46. Solitude</t>
  </si>
  <si>
    <t>46. kadaici</t>
  </si>
  <si>
    <t>"Tun daga bazara na shekaru biyu wuce (Afrilu 2023) zuwa lokacin ɗari na bara (Disamba 2024)"</t>
  </si>
  <si>
    <t>Salaried employee</t>
  </si>
  <si>
    <t>Employé salarié</t>
  </si>
  <si>
    <t>125. To whom your daughter should marry?</t>
  </si>
  <si>
    <t>Ma'aikaci mai albashi</t>
  </si>
  <si>
    <t>125. Avec qui votre fille devrait-elle se marier ?</t>
  </si>
  <si>
    <t>125. Wa ya kamata ƴarku ta aura?</t>
  </si>
  <si>
    <t>shm_esteem</t>
  </si>
  <si>
    <t>126. Children's enrollment in school</t>
  </si>
  <si>
    <t>126. Inscription des enfants à l'école</t>
  </si>
  <si>
    <t>126. Rubuta yara a makaranta</t>
  </si>
  <si>
    <t>select_one agree_likert</t>
  </si>
  <si>
    <t>Mason</t>
  </si>
  <si>
    <t>shm_self_esteem_note</t>
  </si>
  <si>
    <t>Maçon</t>
  </si>
  <si>
    <t>48. I will now read out several statements. You should tell me whether these statements are true for you by using the following scale.</t>
  </si>
  <si>
    <t>Magini</t>
  </si>
  <si>
    <t>48. Je vais maintenant lire plusieurs déclarations. Vous devez me dire si ces affirmations sont vraies pour vous en utilisant l'échelle suivante.</t>
  </si>
  <si>
    <t>48. Yanzu zan karanta wasu maganganu da yawa. Za ku gaya mini ko waɗannan maganganun sun yi daidai da ku ta hanyar yin amfani da kuranga mai zuwa.</t>
  </si>
  <si>
    <t>"From follow up 5 (December 2024) to endline (June 2025)"</t>
  </si>
  <si>
    <t>47. I will now read out several statements. You should tell me whether these statements are true for you by using the following scale.</t>
  </si>
  <si>
    <t>47. Je vais maintenant lire plusieurs déclarations. Vous devez me dire si ces affirmations sont vraies pour vous en utilisant l'échelle suivante.</t>
  </si>
  <si>
    <t>47. Yanzu zan karanta wasu maganganu da yawa. Za ku gaya mini ko waɗannan maganganun sun yi daidai da ku ta hanyar yin amfani da kuranga mai zuwa.</t>
  </si>
  <si>
    <t>shm_self_esteem_4</t>
  </si>
  <si>
    <t>49. I feel I do not have much to be proud of.</t>
  </si>
  <si>
    <t>49. Je sens que je n'ai pas beaucoup de raisons d'être fier (comblé).</t>
  </si>
  <si>
    <t>49. Ina jin ba ni da hujjojin jin daɗi</t>
  </si>
  <si>
    <t>wani daban</t>
  </si>
  <si>
    <t>48. I feel I do not have much to be proud of.</t>
  </si>
  <si>
    <t>48. Je sens que je n'ai pas beaucoup de raisons d'être fier (comblé).</t>
  </si>
  <si>
    <t>48. Ina jin ba ni da hujjojin jin daɗi</t>
  </si>
  <si>
    <t>shm_self_esteem_9</t>
  </si>
  <si>
    <t>"De la période de froid (décembre 2024) au début de la saison des pluies de cette année (juin 2025)"</t>
  </si>
  <si>
    <t>50. At times I think I am no good at all.</t>
  </si>
  <si>
    <t>50. Parfois, je pense que je suis utile a rien</t>
  </si>
  <si>
    <t>50. A wasu lokutta ina ganin bani da amfani.</t>
  </si>
  <si>
    <t>49. At times I think I am no good at all.</t>
  </si>
  <si>
    <t>49. Parfois, je pense que je suis utile a rien</t>
  </si>
  <si>
    <t>49. A wasu lokutta ina ganin bani da amfani.</t>
  </si>
  <si>
    <t>127. I am now going to mention some things that families sometimes speak about. Please tell me if you and other adults in your household talk about these things</t>
  </si>
  <si>
    <t>127. Je vais maintenant évoquer certaines choses dont les familles parlent parfois. S'il vous plaît, dites-moi si vous et d'autres adultes de votre ménage parlez de ces choses.</t>
  </si>
  <si>
    <t>127. Yanzu zan ambaci wasu abubuwa da wani lokaci mutane suke magana akai. Don Allah ku gaya mani idan ku da sauran mutanen gidanku kuna magana akan waɗannan abubuwan</t>
  </si>
  <si>
    <t>shm_worries</t>
  </si>
  <si>
    <t>"Tun daga lokacin ɗari na bara (Disamba 2024) zuwa shigowar damana na bana (Yuni 2025)"</t>
  </si>
  <si>
    <t>money_transfer</t>
  </si>
  <si>
    <t>128. Things that happen at work or in the fields?</t>
  </si>
  <si>
    <t>Did not transfer money</t>
  </si>
  <si>
    <t>128. Des choses qui se passent au travail ou dans les champs ?</t>
  </si>
  <si>
    <t>128. Abubuwan da ke faruwa a wurin aiki ko a gona?</t>
  </si>
  <si>
    <t>N'a pas transféré d'argent</t>
  </si>
  <si>
    <t>select_one worries</t>
  </si>
  <si>
    <t>shm_risk_prob_note</t>
  </si>
  <si>
    <t>Ba a yi aiken kuɗi ba</t>
  </si>
  <si>
    <t>51. How stressed are you about the following areas of your life?</t>
  </si>
  <si>
    <t>51. Dans quelle mesure êtes-vous stressé par les domaines suivants de votre vie ?</t>
  </si>
  <si>
    <t>51. Yaya damuwarku game da abubuwa na rayuwarku da zan zana?</t>
  </si>
  <si>
    <t>50. How stressed are you about the following areas of your life?</t>
  </si>
  <si>
    <t>50. Dans quelle mesure êtes-vous stressé par les domaines suivants de votre vie ?</t>
  </si>
  <si>
    <t>50. Yaya damuwarku game da abubuwa na rayuwarku da zan zana?</t>
  </si>
  <si>
    <t>shm_health_problems</t>
  </si>
  <si>
    <t>52. Your own health problems, illness</t>
  </si>
  <si>
    <t>52. Vos propres problèmes de santé</t>
  </si>
  <si>
    <t>52. Matsalolin lafiyar jikinku</t>
  </si>
  <si>
    <t>51. Your own health problems, illness</t>
  </si>
  <si>
    <t>51. Vos propres problèmes de santé</t>
  </si>
  <si>
    <t>51. Matsalolin lafiyar jikinku</t>
  </si>
  <si>
    <t>Hand cash directly to recipient</t>
  </si>
  <si>
    <t>shm_home_problems</t>
  </si>
  <si>
    <t>53. Problems at home and with relatives</t>
  </si>
  <si>
    <t>Remettre l'argent directement au destinataire</t>
  </si>
  <si>
    <t>53. Problèmes au sein du menage et avec les proches</t>
  </si>
  <si>
    <t>53. Matsalolin gida da na dangi</t>
  </si>
  <si>
    <t>Bada kudi hannu da hannu kai tsaye ga mai karɓa</t>
  </si>
  <si>
    <t>${speedcheck_intro_end} - ${speedcheck_intro_start}</t>
  </si>
  <si>
    <t>52. Problems at home and with relatives</t>
  </si>
  <si>
    <t>52. Problèmes au sein du menage et avec les proches</t>
  </si>
  <si>
    <t>52. Matsalolin gida da na dangi</t>
  </si>
  <si>
    <t>shm_accidents_disasters</t>
  </si>
  <si>
    <t>54. Accidents and disasters</t>
  </si>
  <si>
    <t>54. Accidents et catastrophes</t>
  </si>
  <si>
    <t>54. Hatsari da masifu</t>
  </si>
  <si>
    <t>53. Accidents and disasters</t>
  </si>
  <si>
    <t>53. Accidents et catastrophes</t>
  </si>
  <si>
    <t>53. Hatsari da masifu</t>
  </si>
  <si>
    <t>shm_prob_other_ethnicity</t>
  </si>
  <si>
    <t>55. Problems with people in other ethnic groups</t>
  </si>
  <si>
    <t>Through a family member or close friend</t>
  </si>
  <si>
    <t>55. Problèmes avec les personnes d'autres groupes ethniques</t>
  </si>
  <si>
    <t>55. Matsaloli da mutanen wasu kabilu daban</t>
  </si>
  <si>
    <t>Par l'intermédiaire d'un membre de la famille ou d'un ami proche</t>
  </si>
  <si>
    <t>Ta hanyar dangi ko aboki na kusa</t>
  </si>
  <si>
    <t>54. Problems with people in other ethnic groups</t>
  </si>
  <si>
    <t>54. Problèmes avec les personnes d'autres groupes ethniques</t>
  </si>
  <si>
    <t>54. Matsaloli da mutanen wasu kabilu daban</t>
  </si>
  <si>
    <t>shm_money_problems</t>
  </si>
  <si>
    <t>56. Not enough money for basic needs (such as food and clothing)</t>
  </si>
  <si>
    <t>56. Pas assez d'argent pour les besoins de base (tels que la nourriture et les vêtements)</t>
  </si>
  <si>
    <t>56. Rashin isassun kuɗi don buƙatun asali (kamar abinci da sutura)</t>
  </si>
  <si>
    <t>Through someone you know</t>
  </si>
  <si>
    <t>Par quelqu'un que tu connais</t>
  </si>
  <si>
    <t>Ta hanyar wanda a ka sani</t>
  </si>
  <si>
    <t>55. Not enough money for basic needs (such as food and clothing)</t>
  </si>
  <si>
    <t>55. Pas assez d'argent pour les besoins de base (tels que la nourriture et les vêtements)</t>
  </si>
  <si>
    <t>55. Rashin isassun kuɗi don buƙatun asali (kamar abinci da sutura)</t>
  </si>
  <si>
    <t>shm_cant_educate_children</t>
  </si>
  <si>
    <t>57. Not being able to educate all children</t>
  </si>
  <si>
    <t>57. Ne pas pouvoir scolariser tous les enfants</t>
  </si>
  <si>
    <t>57. Rashin iya rubuta dukkan yara a makarantar boko</t>
  </si>
  <si>
    <t>Through an app on a mobile phone</t>
  </si>
  <si>
    <t>Via une application sur un téléphone mobile</t>
  </si>
  <si>
    <t>Ta hanyar salula</t>
  </si>
  <si>
    <t>56. Not being able to educate all children</t>
  </si>
  <si>
    <t>56. Ne pas pouvoir scolariser tous les enfants</t>
  </si>
  <si>
    <t>56. Rashin iya rubuta dukkan yara a makarantar boko</t>
  </si>
  <si>
    <t>${hhmembers}</t>
  </si>
  <si>
    <t>shm_cant_find_work</t>
  </si>
  <si>
    <t>58. Difficulty finding work</t>
  </si>
  <si>
    <t>58. Difficulté à trouver du travail</t>
  </si>
  <si>
    <t>58. Wahalar neman aiki</t>
  </si>
  <si>
    <t>57. Difficulty finding work</t>
  </si>
  <si>
    <t>57. Difficulté à trouver du travail</t>
  </si>
  <si>
    <t>57. Wahalar neman aiki</t>
  </si>
  <si>
    <t>Through an exchange house</t>
  </si>
  <si>
    <t>shm_idleness</t>
  </si>
  <si>
    <t>59. Idleness of children or spouse</t>
  </si>
  <si>
    <t>59. L'oisiveté des enfants ou du conjoint</t>
  </si>
  <si>
    <t>59. Zaman banza na yara ko miji</t>
  </si>
  <si>
    <t>Par l'intermédiaire d'un bureau de change</t>
  </si>
  <si>
    <t>Ta hanyar wani ofishin canji</t>
  </si>
  <si>
    <t>58. Idleness of children or spouse</t>
  </si>
  <si>
    <t>58. L'oisiveté des enfants ou du conjoint</t>
  </si>
  <si>
    <t>58. Zaman banza na yara ko miji</t>
  </si>
  <si>
    <t>shm_alcohol_consumption</t>
  </si>
  <si>
    <t>60. Alcohol comsumption of children or spouse</t>
  </si>
  <si>
    <t>60. Consommation d'alcool des enfants ou du conjoint</t>
  </si>
  <si>
    <t>60. Shan giya na yara ko miji</t>
  </si>
  <si>
    <t>Through money transfer companies</t>
  </si>
  <si>
    <t>59. Alcohol comsumption of children or spouse</t>
  </si>
  <si>
    <t>Compagnies de Transfert (Nita, Alizza, Amana…)</t>
  </si>
  <si>
    <t>59. Consommation d'alcool des enfants ou du conjoint</t>
  </si>
  <si>
    <t>59. Shan giya na yara ko miji</t>
  </si>
  <si>
    <t>shm_family_death</t>
  </si>
  <si>
    <t>61. Death of a family member</t>
  </si>
  <si>
    <t>61. Décès d'un membre de la famille</t>
  </si>
  <si>
    <t>61. Mutuwar wani dan uwa</t>
  </si>
  <si>
    <t>60. Death of a family member</t>
  </si>
  <si>
    <t>60. Décès d'un membre de la famille</t>
  </si>
  <si>
    <t>60. Mutuwar wani dan uwa</t>
  </si>
  <si>
    <t xml:space="preserve">                          </t>
  </si>
  <si>
    <t>shm_debt_owed</t>
  </si>
  <si>
    <t>62. Debts owed to others</t>
  </si>
  <si>
    <t>pulldata('baseline_ids_el', concat('hhname', ${hoh_hhmem_index}), 'hh_id', ${hh_id})</t>
  </si>
  <si>
    <t>62. Dettes envers autrui</t>
  </si>
  <si>
    <t>62. Bashi da wasu ke binku</t>
  </si>
  <si>
    <t xml:space="preserve">Other  </t>
  </si>
  <si>
    <t>Wani abu daban</t>
  </si>
  <si>
    <t>61. Debts owed to others</t>
  </si>
  <si>
    <t>61. Dettes envers autrui</t>
  </si>
  <si>
    <t>61. Bashi da wasu ke binku</t>
  </si>
  <si>
    <t>135. Now I wil ask you about your opinions about people who are different from you and the type of society you want to live in.</t>
  </si>
  <si>
    <t>135. Maintenant, je vais vous demander votre opinion sur les personnes différentes de vous et sur le type de société dans laquelle vous souhaitez vivre.</t>
  </si>
  <si>
    <t>135. Yanzu zan tambaye ra'ayinku game da wasu mutane daban, da kuma irin al'ummar da kuke son rayuwa a ciki.</t>
  </si>
  <si>
    <t>shm_ladder_scale</t>
  </si>
  <si>
    <t>63.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</si>
  <si>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63.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</si>
  <si>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63. A ce saman kuranga tana nuna mafi kyawun rayuwa a gare ku kuma kasan kuranga tana nuna mafi munin rayuwa a gareku. Idan matakin saman ya kasance 10 kuma matakin ƙasa shine 0, akan wane mataki na kurangar kake jin kai da kanka kake a halin yanzu?</t>
  </si>
  <si>
    <t>pulldata('baseline_ids_el', concat('hhage', ${hoh_hhmem_index}), 'hh_id', ${hh_id})</t>
  </si>
  <si>
    <t>62.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</si>
  <si>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62.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</si>
  <si>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62. A ce saman kuranga tana nuna mafi kyawun rayuwa a gare ku kuma kasan kuranga tana nuna mafi munin rayuwa a gareku. Idan matakin saman ya kasance 10 kuma matakin ƙasa shine 0, akan wane mataki na kurangar kake jin kai da kanka kake a halin yanzu?</t>
  </si>
  <si>
    <t>speedcheck_shm_health_end</t>
  </si>
  <si>
    <t>goods_transfer</t>
  </si>
  <si>
    <t>Hand directly to recipient</t>
  </si>
  <si>
    <t>Remettre directement au destinataire</t>
  </si>
  <si>
    <t>Bada tsabar kuɗi hannu da hannu ga mai karɓa</t>
  </si>
  <si>
    <t>137. Followers of other religions</t>
  </si>
  <si>
    <t>137. Adeptes d'autres religions</t>
  </si>
  <si>
    <t>137. Mabiya wasu addinai</t>
  </si>
  <si>
    <t>dur_shm_health</t>
  </si>
  <si>
    <t>pulldata('baseline_ids_el', concat('hhsex', ${hoh_hhmem_index}), 'hh_id', ${hh_id})</t>
  </si>
  <si>
    <t>138. People of different ethnic groups</t>
  </si>
  <si>
    <t>138. Personnes de différents groupes ethniques</t>
  </si>
  <si>
    <t>138. Mutanen wasu kabilu daban</t>
  </si>
  <si>
    <t>139. Immigrants who come to Niger as foreign workers</t>
  </si>
  <si>
    <t>139. Les immigrés qui viennent au Niger en tant que travailleurs étrangers</t>
  </si>
  <si>
    <t>139. Baƙin haure masu zuwa Nijar a matsayin ma'aikata ƴan ƙasashen waje</t>
  </si>
  <si>
    <t>Ta hanyar dangi ko aboki na kurkusa</t>
  </si>
  <si>
    <t>speedcheck_shm_vict_start</t>
  </si>
  <si>
    <t>concat(${hoh_hhmem_name}, ' (age: ', ${hoh_hhmem_age}, ', sex: ', ${hoh_hhmem_sex}, ')')</t>
  </si>
  <si>
    <t>140. People of a different sect of Islam</t>
  </si>
  <si>
    <t>140. Les gens d'une autre secte de l'Islam</t>
  </si>
  <si>
    <t>140. Mabiya wasu ɗarikun musulunci</t>
  </si>
  <si>
    <t>shm_six_months_note</t>
  </si>
  <si>
    <t>64. Now I will ask about some things that may have happened to you during the past six months.</t>
  </si>
  <si>
    <t>Je vais maintenant vous interroger sur ce qui vous est arrivé au cours des six derniers mois.</t>
  </si>
  <si>
    <t>Yanzu zan yi tambaya game da wasu abubuwa da wataƙila suka faru da ku a cikin watanni shida da suka gabata.</t>
  </si>
  <si>
    <t>Ta hanyar wanda ka sani</t>
  </si>
  <si>
    <t>63. Now I will ask about some things that may have happened to you during the past six months.</t>
  </si>
  <si>
    <t>63. Je vais maintenant vous interroger sur ce qui vous est arrivé au cours des six derniers mois.</t>
  </si>
  <si>
    <t>63. Yanzu zan yi tambaya game da wasu abubuwa da wataƙila suka faru da ku a cikin watanni shida da suka gabata.</t>
  </si>
  <si>
    <t>shm_disc</t>
  </si>
  <si>
    <t>65. How often, if at all, were you personally discriminated against based on your identity (ethnicity, religion, nationality)?</t>
  </si>
  <si>
    <t>65. À quelle fréquence, si ça vous est déjà arrivé, avez-vous personnellement été victime de discrimination liée a votre identité (ethnie, religion, nationalité) ?</t>
  </si>
  <si>
    <t>65. Sau nawa, idan ya faru a gareku, aka nuna muku wariya dangance da kabilarku, ko addininku, ko ƙasarku2?</t>
  </si>
  <si>
    <t>64. How often, if at all, were you personally discriminated against based on your identity (ethnicity, religion, nationality)?</t>
  </si>
  <si>
    <t>64. À quelle fréquence, si ça vous est déjà arrivé, avez-vous personnellement été victime de discrimination liée a votre identité (ethnie, religion, nationalité) ?</t>
  </si>
  <si>
    <t>64. Sau nawa, idan ya faru a gareku, aka nuna muku wariya dangance da kabilarku, ko addininku, ko ƙasarku2?</t>
  </si>
  <si>
    <t>shm_felt_unsafe</t>
  </si>
  <si>
    <t>66. How often, if ever, have you felt unsafe walking in the neighborhood where you are staying?</t>
  </si>
  <si>
    <t>66. Combien de fois, vous vous êtes-vous senti en danger en vous promenant dans le quartier où vous séjournez, si cela vous est jamais arrivé ?</t>
  </si>
  <si>
    <t>66. Sau nawa, idan ya faru a gareku, kuka ji kuna cikin hatsari yayin da kuke yawo a cikin unguwar da kuke zaune?</t>
  </si>
  <si>
    <t>65. How often, if ever, have you felt unsafe walking in the neighborhood where you are staying?</t>
  </si>
  <si>
    <t>65. Combien de fois, vous vous êtes-vous senti en danger en vous promenant dans le quartier où vous séjournez, si cela vous est jamais arrivé ?</t>
  </si>
  <si>
    <t>65. Sau nawa, idan ya faru a gareku, kuka ji kuna cikin hatsari yayin da kuke yawo a cikin unguwar da kuke zaune?</t>
  </si>
  <si>
    <t>shm_vict</t>
  </si>
  <si>
    <t>join(linebreak(), ${hoh_hhmem})</t>
  </si>
  <si>
    <t>144. Imagine one of your sons wanted to marry someone of a different ethnic group, would you give them your permission?</t>
  </si>
  <si>
    <t>144. Imaginez que l'un de vos fils veuille épouser quelqu'un d'un groupe ethnique différent, leur donneriez-vous votre permission ?</t>
  </si>
  <si>
    <t>144. Ku ƙaddara da wani ɗanku ya na son ya auri wata ƴar wata ƙabila daban, za ku bada izininku?</t>
  </si>
  <si>
    <t>shm_experienced_note</t>
  </si>
  <si>
    <t>67. Have you experienced any of the following during ${period}?</t>
  </si>
  <si>
    <t>67. Avez-vous vécu l'une des situations suivantes depuis le debut de ${period_french} ?</t>
  </si>
  <si>
    <t>67. Ko kun taɓa fuskantar ɗayan waɗannan abubuwan a wannan wurin, lokacin ${period_hausa}?</t>
  </si>
  <si>
    <t>emergency</t>
  </si>
  <si>
    <t>66. Have you experienced any of the following during ${period}?</t>
  </si>
  <si>
    <t>66. Avez-vous vécu l'une des situations suivantes depuis le debut de ${period_french} ?</t>
  </si>
  <si>
    <t>66. Ko kun taɓa fuskantar ɗayan waɗannan abubuwan a wannan wurin, lokacin ${period_hausa}?</t>
  </si>
  <si>
    <t>shm_phys_attacked</t>
  </si>
  <si>
    <t>68. Physical attack</t>
  </si>
  <si>
    <t>68. Attaque physique</t>
  </si>
  <si>
    <t>68. harin jiki</t>
  </si>
  <si>
    <t>67. Physical attack</t>
  </si>
  <si>
    <t>67. Attaque physique</t>
  </si>
  <si>
    <t>67. harin jiki</t>
  </si>
  <si>
    <t>shm_phys_threat</t>
  </si>
  <si>
    <t>69. Threat of physical violence/attack</t>
  </si>
  <si>
    <t>69. Menace de violence physique/agression</t>
  </si>
  <si>
    <t>69. Barazanar ​​harin jiki</t>
  </si>
  <si>
    <t>join-if(linebreak(), ${hoh_hhmem}, ${hoh_hhmem_age} &gt; 16 and (${hoh_hhmem_name} != ${shm_name} and ${hoh_hhmem_name} != ${pm_name}))</t>
  </si>
  <si>
    <t>68. Threat of physical violence/attack</t>
  </si>
  <si>
    <t>Serious illness or injury to self</t>
  </si>
  <si>
    <t>68. Menace de violence physique/agression</t>
  </si>
  <si>
    <t>68. Barazanar ​​harin jiki</t>
  </si>
  <si>
    <t>Maladie grave ou blessure personnelle</t>
  </si>
  <si>
    <t>Mummunan cuta ko rauni</t>
  </si>
  <si>
    <t>shm_theft</t>
  </si>
  <si>
    <t>70. Theft of either money or property?</t>
  </si>
  <si>
    <t>70. Vol d'argent ou de propriété?</t>
  </si>
  <si>
    <t>70. Satar kudi ko dukiya?</t>
  </si>
  <si>
    <t>69. Theft of either money or property?</t>
  </si>
  <si>
    <t>69. Vol d'argent ou de propriété?</t>
  </si>
  <si>
    <t>69. Satar kudi ko dukiya?</t>
  </si>
  <si>
    <t>shm_arrest</t>
  </si>
  <si>
    <t>71. Detention or arrest by state security forces?</t>
  </si>
  <si>
    <t>71. Détention ou arrestation par les forces de sécurité de l'État ?</t>
  </si>
  <si>
    <t>71. Kaso ko kamu daga jami'an tsaron gwamnati?</t>
  </si>
  <si>
    <t>70. Detention or arrest by state security forces?</t>
  </si>
  <si>
    <t>70. Détention ou arrestation par les forces de sécurité de l'État ?</t>
  </si>
  <si>
    <t>70. Kaso ko kamu daga jami'an tsaron gwamnati?</t>
  </si>
  <si>
    <t>164. Do you currently have savings of each of the following types that you have put aside for yourself, separate from your household?</t>
  </si>
  <si>
    <t>164. Avez-vous actuellement des économies de chacun des types suivants que vous avez mises de côté pour vous-même, séparément de votre ménage ?</t>
  </si>
  <si>
    <t>164. Ko a halin yanzu kuna da tanadi na kowane nau'in waɗannan nau'ikan da kuka ware wa kanku?</t>
  </si>
  <si>
    <t>shm_vict_text</t>
  </si>
  <si>
    <t>165. Specify other:</t>
  </si>
  <si>
    <t>165. Précisez autre :</t>
  </si>
  <si>
    <t>165. Ƙayyade wasu:</t>
  </si>
  <si>
    <t>shm_vict_text_note</t>
  </si>
  <si>
    <t>72. Now I would like to ask you to tell me more about your specific experience with:</t>
  </si>
  <si>
    <t>72. J'aimerais maintenant vous demander de m'en dire un peu plus sur votre expérience spécifique avec :</t>
  </si>
  <si>
    <t>Serious injury or illness of household member</t>
  </si>
  <si>
    <t>72. Yanzu ina so in tambaye ku ƙarin bayani game da takamaiman gogewarku na masamman game da:</t>
  </si>
  <si>
    <t>Blessure grave ou maladie d'un membre du ménage</t>
  </si>
  <si>
    <t>Mummunan rauni ko rashin lafiya na ɗan gida</t>
  </si>
  <si>
    <t>71. Now I would like to ask you to tell me more about your specific experience with:</t>
  </si>
  <si>
    <t>71. J'aimerais maintenant vous demander de m'en dire un peu plus sur votre expérience spécifique avec :</t>
  </si>
  <si>
    <t>71. Yanzu ina so in tambaye ku ƙarin bayani game da takamaiman gogewarku na masamman game da:</t>
  </si>
  <si>
    <t>shm_attack_note</t>
  </si>
  <si>
    <t>73. Physical attack</t>
  </si>
  <si>
    <t>73. Attaque physique</t>
  </si>
  <si>
    <t>73. harin jiki</t>
  </si>
  <si>
    <t>72. Physical attack</t>
  </si>
  <si>
    <t>72. Attaque physique</t>
  </si>
  <si>
    <t>72. harin jiki</t>
  </si>
  <si>
    <t>shm_phys_threat_note</t>
  </si>
  <si>
    <t>74. Threat of physical violence/attack</t>
  </si>
  <si>
    <t>74. Menace de violence physique/agression</t>
  </si>
  <si>
    <t>74. Barazanar ​​harin jiki</t>
  </si>
  <si>
    <t>73. Threat of physical violence/attack</t>
  </si>
  <si>
    <t>73. Menace de violence physique/agression</t>
  </si>
  <si>
    <t>Death of household member</t>
  </si>
  <si>
    <t>73. Barazanar ​​harin jiki</t>
  </si>
  <si>
    <t>Décès d'un membre du ménage</t>
  </si>
  <si>
    <t>Mutuwar ɗan gida</t>
  </si>
  <si>
    <t>shm_theft_note</t>
  </si>
  <si>
    <t>75. Theft of either money or property?</t>
  </si>
  <si>
    <t>75. Vol d'argent ou de propriété?</t>
  </si>
  <si>
    <t>75. Satar kudi ko dukiya?</t>
  </si>
  <si>
    <t>74. Theft of either money or property?</t>
  </si>
  <si>
    <t>74. Vol d'argent ou de propriété?</t>
  </si>
  <si>
    <t>74. Satar kudi ko dukiya?</t>
  </si>
  <si>
    <t>shm_arrest_note</t>
  </si>
  <si>
    <t>76. Detention or arrest by state security forces?</t>
  </si>
  <si>
    <t>76. Détention ou arrestation par les forces de sécurité de l'État ?</t>
  </si>
  <si>
    <t>76. Kaso ko kamu daga jami'an tsaron gwamnati?</t>
  </si>
  <si>
    <t>Loss of asset/livestock due to theft/death/accident</t>
  </si>
  <si>
    <t>Perte de biens/bétail suite à un vol/un décès/un accident</t>
  </si>
  <si>
    <t>Asarar kadara/dabbobi saboda sata/mutuwa/hatsari</t>
  </si>
  <si>
    <t>75. Detention or arrest by state security forces?</t>
  </si>
  <si>
    <t>75. Détention ou arrestation par les forces de sécurité de l'État ?</t>
  </si>
  <si>
    <t>75. Kaso ko kamu daga jami'an tsaron gwamnati?</t>
  </si>
  <si>
    <t>148. Woman Questions</t>
  </si>
  <si>
    <t xml:space="preserve">148. </t>
  </si>
  <si>
    <t>speedcheck_shm_vict_end</t>
  </si>
  <si>
    <t>Loss of job or income</t>
  </si>
  <si>
    <t>Perte d'emploi ou de revenu</t>
  </si>
  <si>
    <t>Ɓadda aiki ko kuɗin shiga</t>
  </si>
  <si>
    <t>161. Now if you will permit me, I need to ask some more questions about your relationship with your husband. Does he ever?</t>
  </si>
  <si>
    <t>161. Maintenant, si vous me le permettez, je dois poser quelques questions supplémentaires sur votre relation avec votre mari. Est-ce qu'il a jamais?</t>
  </si>
  <si>
    <t>161. Yanzu idan za ki ba ni izini, Ina bukatar yin wasu tambayoyi game da dangantakarki da mijinki. Ko ya taba?</t>
  </si>
  <si>
    <t>dur_shm_vict</t>
  </si>
  <si>
    <t>149. Before we begin, I would like to ask you about the locations of other respondents of this household</t>
  </si>
  <si>
    <t xml:space="preserve">149. </t>
  </si>
  <si>
    <t>Flood</t>
  </si>
  <si>
    <t>Inondation</t>
  </si>
  <si>
    <t>Ambaliyar ruwa</t>
  </si>
  <si>
    <t>Drought</t>
  </si>
  <si>
    <t>Sécheresse</t>
  </si>
  <si>
    <t>shm_pm_questions</t>
  </si>
  <si>
    <t>Questions about PM</t>
  </si>
  <si>
    <t>Fari</t>
  </si>
  <si>
    <t>Questions sur le Potentiel Migrant</t>
  </si>
  <si>
    <t>Tambayoyi bisa mai nufin zuwa biɗa</t>
  </si>
  <si>
    <t>Pest infestation/crop or livestock disease</t>
  </si>
  <si>
    <t>Infestation des ravageurs/maladie des cultures ou du bétail</t>
  </si>
  <si>
    <t>Bannar kwari / amfanin gona ko cututtukan dabbobi</t>
  </si>
  <si>
    <t>speedcheck_shm_pmmig_start</t>
  </si>
  <si>
    <t>Divorce or abandonment by husband</t>
  </si>
  <si>
    <t>shm_pm_note</t>
  </si>
  <si>
    <t>77. Now I would like to ask you a few questions about ${pm_name}</t>
  </si>
  <si>
    <t>Divorce ou abandon par le mari</t>
  </si>
  <si>
    <t>77. Maintenant, je voudrais vous poser quelques questions sur ${pm_name}</t>
  </si>
  <si>
    <t>Saki ko miji ya tsere ya bar mata</t>
  </si>
  <si>
    <t>77. Yanzu ina so in muku wasu tambayoyi game da ${pm_name}</t>
  </si>
  <si>
    <t>76. Now I would like to ask you a few questions about ${pm_name}</t>
  </si>
  <si>
    <t>76. Maintenant, je voudrais vous poser quelques questions sur ${pm_name}</t>
  </si>
  <si>
    <t>76. Yanzu ina so in muku wasu tambayoyi game da ${pm_name}</t>
  </si>
  <si>
    <t>shm_pm_work</t>
  </si>
  <si>
    <t>78. To the best of your knowledge has ${pm_name} worked for pay in the past month?</t>
  </si>
  <si>
    <t>78. Au meilleur de vos connaissances, ${pm_name} a-t-il travaillé pour gagner un salaire au cours du dernier mois?</t>
  </si>
  <si>
    <t>78. A iya saninku ${pm_name} ya yi aiki don samun biya a cikin watan da ya gabata?</t>
  </si>
  <si>
    <t>Cut-off or decrease of remittances to household</t>
  </si>
  <si>
    <t>Manque ou insuffisance des envois de fonds au ménage</t>
  </si>
  <si>
    <t>Rashi ko rage kuɗaɗen da ake turawa gida</t>
  </si>
  <si>
    <t>item-at(linebreak(), ${hoh_roster_above16_list}, 0)</t>
  </si>
  <si>
    <t>77. To the best of your knowledge has ${pm_name} worked for pay in the past month?</t>
  </si>
  <si>
    <t>77. Au meilleur de vos connaissances, ${pm_name} a-t-il travaillé pour gagner un salaire au cours du dernier mois?</t>
  </si>
  <si>
    <t>77. A iya saninku ${pm_name} ya yi aiki don samun biya a cikin watan da ya gabata?</t>
  </si>
  <si>
    <t>shm_pm_earn</t>
  </si>
  <si>
    <t>79. If you had to guess, how much money do you think ${pm_name} earned from work in the past month?</t>
  </si>
  <si>
    <t>79. Si vous deviez deviner, combien d'argent pensez-vous que ${pm_name} gagne du travail au cours du dernier mois?</t>
  </si>
  <si>
    <t>79. Idan kuka ƙaddara, nawa kuke ganin ${pm_name} zai samu daga wannan aikin a cikin watan da ya gabata?</t>
  </si>
  <si>
    <t>Unexpected increase in price of food/other essential commodity</t>
  </si>
  <si>
    <t>Augmentation inattendue du prix des aliments/autres produits essentiels</t>
  </si>
  <si>
    <t>78. If you had to guess, how much money do you think ${pm_name} earned from work in the past month?</t>
  </si>
  <si>
    <t>Hawan ba zata na farashin abinci/sauran kayan da ake buƙata</t>
  </si>
  <si>
    <t>78. Si vous deviez deviner, combien d'argent pensez-vous que ${pm_name} gagne du travail au cours du dernier mois?</t>
  </si>
  <si>
    <t>78. Idan kuka ƙaddara, nawa kuke ganin ${pm_name} zai samu daga wannan aikin a cikin watan da ya gabata?</t>
  </si>
  <si>
    <t>select_one yesnodk</t>
  </si>
  <si>
    <t>shm_pm_home</t>
  </si>
  <si>
    <t>80. Is ${pm_name} currently living in your household?</t>
  </si>
  <si>
    <t>80. ${pm_name} vit-il actuellement dans votre ménage?</t>
  </si>
  <si>
    <t>80. Ko ${pm_name} yana zaune a gidan ku a hali yanzu?</t>
  </si>
  <si>
    <t>79. Is ${pm_name} currently living in your household?</t>
  </si>
  <si>
    <t>item-at(linebreak(), ${hoh_roster_above16_list}, 1)</t>
  </si>
  <si>
    <t>79. ${pm_name} vit-il actuellement dans votre ménage?</t>
  </si>
  <si>
    <t>79. Ko ${pm_name} yana zaune a gidan ku a hali yanzu?</t>
  </si>
  <si>
    <t>shm_pm_in_niger</t>
  </si>
  <si>
    <t>Unexpected decrease in price of commodity/product you sell</t>
  </si>
  <si>
    <t>81. Where is ${pm_name} living right now?
 Enumerator: Is location in Niger?</t>
  </si>
  <si>
    <t>Baisse inattendue du prix de la marchandise/du produit que vous vendez</t>
  </si>
  <si>
    <t>81. Où est ${pm_name} en ce moment?
 Énquêteur: le lieu est-il au Niger?</t>
  </si>
  <si>
    <t>Faɗuwar ba zata na farashin kayayyaki/abubuwan da kuke saidawa</t>
  </si>
  <si>
    <t>81. Ina ${pm_name} yake a yanzu?
 Dan bincike: Ko wurin a Nijar ne?</t>
  </si>
  <si>
    <t>80. Where is ${pm_name} living right now?
 Enumerator: Is location in Niger?</t>
  </si>
  <si>
    <t>80. Où est ${pm_name} en ce moment?
 Énquêteur: le lieu est-il au Niger?</t>
  </si>
  <si>
    <t>80. Ina ${pm_name} yake a yanzu?
 Dan bincike: Ko wurin a Nijar ne?</t>
  </si>
  <si>
    <t>shm_pm_region</t>
  </si>
  <si>
    <t>82. Enumerator: Select region in Niger</t>
  </si>
  <si>
    <t>82. Enquêteur : Sélectionnez une région au Niger</t>
  </si>
  <si>
    <t>82. Ɗan bincike: Zaɓi Jaha ɗaya a Nijar</t>
  </si>
  <si>
    <t>81. Enumerator: Select region in Niger</t>
  </si>
  <si>
    <t>81. Enquêteur : Sélectionnez une région au Niger</t>
  </si>
  <si>
    <t>81. Ɗan bincike: Zaɓi Jaha ɗaya a Nijar</t>
  </si>
  <si>
    <t>select_one mig_countries</t>
  </si>
  <si>
    <t>shm_pm_country</t>
  </si>
  <si>
    <t>item-at(linebreak(), ${hoh_roster_above16_list}, 2)</t>
  </si>
  <si>
    <t>83. Enumerator: Select country</t>
  </si>
  <si>
    <t>83. Enquêteur : sélectionnez le pays</t>
  </si>
  <si>
    <t>83. Ɗan bincike: Zaɓi ƙasa</t>
  </si>
  <si>
    <t>82. Enumerator: Select country</t>
  </si>
  <si>
    <t>82. Enquêteur : sélectionnez le pays</t>
  </si>
  <si>
    <t>82. Ɗan bincike: Zaɓi ƙasa</t>
  </si>
  <si>
    <t>shm_pm_country_o</t>
  </si>
  <si>
    <t>84. Enumerator: Enter other country</t>
  </si>
  <si>
    <t>84. Enquêteur : Entrez un autre pays</t>
  </si>
  <si>
    <t>84. Ɗan bincike: Shigar da wata ƙasa</t>
  </si>
  <si>
    <t>83. Enumerator: Enter other country</t>
  </si>
  <si>
    <t>83. Enquêteur : Entrez un autre pays</t>
  </si>
  <si>
    <t>83. Ɗan bincike: Shigar da wata ƙasa</t>
  </si>
  <si>
    <t>shm_pm_town</t>
  </si>
  <si>
    <t>85. Enumerator: Select town</t>
  </si>
  <si>
    <t>85. Enquêteur : Sélectionnez la ville</t>
  </si>
  <si>
    <t>85. Ɗan bincike: Zaɓi gari</t>
  </si>
  <si>
    <t>item-at(linebreak(), ${hoh_roster_above16_list}, 3)</t>
  </si>
  <si>
    <t>84. Enumerator: Select town</t>
  </si>
  <si>
    <t>84. Enquêteur : Sélectionnez la ville</t>
  </si>
  <si>
    <t>84. Ɗan bincike: Zaɓi gari</t>
  </si>
  <si>
    <t>shm_pm_town_o</t>
  </si>
  <si>
    <t>cons_month</t>
  </si>
  <si>
    <t>86. Enumerator: Enter other town</t>
  </si>
  <si>
    <t>86. Enquêteur : Entrez un autre ville</t>
  </si>
  <si>
    <t>86. Ɗan bincike: Shigar da wata gari</t>
  </si>
  <si>
    <t>Education (children, excluding school fees)</t>
  </si>
  <si>
    <t>Education (enfants, hors frais de scolarité)</t>
  </si>
  <si>
    <t>Tarbiya (yara, ban da kuɗin makaranta)</t>
  </si>
  <si>
    <t>85. Enumerator: Enter other town</t>
  </si>
  <si>
    <t>85. Enquêteur : Entrez un autre ville</t>
  </si>
  <si>
    <t>85. Ɗan bincike: Shigar da wata gari</t>
  </si>
  <si>
    <t>shm_pm_home_2w</t>
  </si>
  <si>
    <t>87. Will ${pm_name} be in the household within the next two weeks?</t>
  </si>
  <si>
    <t>87. Est-ce que ${pm_name} sera dans le ménage au cours des deux prochaines semaines ?</t>
  </si>
  <si>
    <t>87. Ko ${pm_name} zai kasance a gidan nan cikin sati biyu masu zuwa?</t>
  </si>
  <si>
    <t>86. Will ${pm_name} be in the household within the next two weeks?</t>
  </si>
  <si>
    <t>86. Est-ce que ${pm_name} sera dans le ménage au cours des deux prochaines semaines ?</t>
  </si>
  <si>
    <t>item-at(linebreak(), ${hoh_roster_above16_list}, 4)</t>
  </si>
  <si>
    <t>86. Ko ${pm_name} zai kasance a gidan nan cikin sati biyu masu zuwa?</t>
  </si>
  <si>
    <t>Education (adults, including vocational training)</t>
  </si>
  <si>
    <t>Éducation (adultes, y compris la formation professionnelle)</t>
  </si>
  <si>
    <t>shm_pm_travel_pay</t>
  </si>
  <si>
    <t>88. How much did ${pm_name} have to pay to travel to destination?</t>
  </si>
  <si>
    <t>Ilimi (manya, gami da koyar da sana'a)</t>
  </si>
  <si>
    <t>88. Combien ${pm_name} a-t-il dû payer pour voyager à destination?</t>
  </si>
  <si>
    <t>88. Nawa ne ${pm_name} ya biya don zuwa wurin?</t>
  </si>
  <si>
    <t>87. How much did ${pm_name} have to pay to travel to destination?</t>
  </si>
  <si>
    <t>87. Combien ${pm_name} a-t-il dû payer pour voyager à destination?</t>
  </si>
  <si>
    <t>87. Nawa ne ${pm_name} ya biya don zuwa wurin?</t>
  </si>
  <si>
    <t>shm_pm_away_time</t>
  </si>
  <si>
    <t>89. How long has ${pm_name} been away from household (in months)?</t>
  </si>
  <si>
    <t>89. Depuis combien de temps ${pm_name} est-il loin du ménage (en mois)?</t>
  </si>
  <si>
    <t>89. Tun daga yaushe ${pm_name} yake nesa da gida (a cikin watanni)?</t>
  </si>
  <si>
    <t>Healthcare</t>
  </si>
  <si>
    <t>Soins de santé</t>
  </si>
  <si>
    <t>item-at(linebreak(), ${hoh_roster_above16_list}, 5)</t>
  </si>
  <si>
    <t>88. How long has ${pm_name} been away from household (in months)?</t>
  </si>
  <si>
    <t>Kiwon lafiya</t>
  </si>
  <si>
    <t>88. Depuis combien de temps ${pm_name} est-il loin du ménage (en mois)?</t>
  </si>
  <si>
    <t>88. Tun daga yaushe ${pm_name} yake nesa da gida (a cikin watanni)?</t>
  </si>
  <si>
    <t>shm_pm_contact</t>
  </si>
  <si>
    <t>90. Have you spoken with ${pm_name} in the past month?</t>
  </si>
  <si>
    <t>90. Avez-vous parlé avec ${pm_name} au cours du dernier mois?</t>
  </si>
  <si>
    <t>90. Ko kun yi magana da ${pm_name} a watan da ya gabata?</t>
  </si>
  <si>
    <t>89. Have you spoken with ${pm_name} in the past month?</t>
  </si>
  <si>
    <t>89. Avez-vous parlé avec ${pm_name} au cours du dernier mois?</t>
  </si>
  <si>
    <t>89. Ko kun yi magana da ${pm_name} a watan da ya gabata?</t>
  </si>
  <si>
    <t>shm_pm_consult</t>
  </si>
  <si>
    <t>91. Did ${pm_name} discuss their decision to move with you before they left?</t>
  </si>
  <si>
    <t>91. ${pm_name} a-t-il discuté de sa décision de déménager avec vous avant de partir?</t>
  </si>
  <si>
    <t>Ceremonies</t>
  </si>
  <si>
    <t>91. Ko kun tattauna da ${pm_name} game da shawararshi ta tahiya kafin ya tafi?</t>
  </si>
  <si>
    <t>Cérémonies</t>
  </si>
  <si>
    <t>bukukuwa</t>
  </si>
  <si>
    <t>item-at(linebreak(), ${hoh_roster_above16_list}, 6)</t>
  </si>
  <si>
    <t>90. Did ${pm_name} discuss their decision to move with you before they left?</t>
  </si>
  <si>
    <t>90. ${pm_name} a-t-il discuté de sa décision de déménager avec vous avant de partir?</t>
  </si>
  <si>
    <t>90. Ko kun tattauna da ${pm_name} game da shawararshi ta tahiya kafin ya tafi?</t>
  </si>
  <si>
    <t>shm_member_send_money</t>
  </si>
  <si>
    <t>92. Approximately how much money (if any) has ${pm_name} sent to the household in the past month?</t>
  </si>
  <si>
    <t>92. Environ combien d'argent (s'il y a eu) a-t-il envoyé ${pm_name} au ménage au cours du dernier mois?</t>
  </si>
  <si>
    <t>92. Kimanin nawa (idan akwai) ${pm_name} ya aiko zuwa gida a watan da ya gabata?</t>
  </si>
  <si>
    <t>Clothes + shoes</t>
  </si>
  <si>
    <t>Vêtements + chaussures</t>
  </si>
  <si>
    <t>91. Approximately how much money (if any) has ${pm_name} sent to the household in the past month?</t>
  </si>
  <si>
    <t>Tufafi + takalma</t>
  </si>
  <si>
    <t>91. Environ combien d'argent (s'il y a eu) a-t-il envoyé ${pm_name} au ménage au cours du dernier mois?</t>
  </si>
  <si>
    <t>91. Kimanin nawa (idan akwai) ${pm_name} ya aiko zuwa gida a watan da ya gabata?</t>
  </si>
  <si>
    <t>select_multiple transmit</t>
  </si>
  <si>
    <t>shm_member_send_method</t>
  </si>
  <si>
    <t>93. How do they send this money?</t>
  </si>
  <si>
    <t>93. Comment envoie t-ils cet argent?</t>
  </si>
  <si>
    <t>93. Ta yaya ya aika wannan kuɗin?</t>
  </si>
  <si>
    <t>item-at(linebreak(), ${hoh_roster_above16_list}, 7)</t>
  </si>
  <si>
    <t>92. How do they send this money?</t>
  </si>
  <si>
    <t>92. Comment envoie t-ils cet argent?</t>
  </si>
  <si>
    <t>92. Ta yaya ya aika wannan kuɗin?</t>
  </si>
  <si>
    <t>shm_pm_mig_intent</t>
  </si>
  <si>
    <t>94. Think about the next three months, starting from today. To the best of your knowledge does ${pm_name} plan to move somewhere outside of Tahoua and remain away for more than a month?</t>
  </si>
  <si>
    <t>Pensez aux tres prochains mois, à partir d'aujourd'hui. À votre connaissance, ${pm_name} prévoit-il de déménager en dehors de Tahoua et de rester absent pendant plus d'un mois ?</t>
  </si>
  <si>
    <t>Ka yi tunani a kan watanni uku masu zuwa, daga yau. A iyakar saninku ${pm_name} na shirin ƙaura zuwa wani wuri a wajen Tahoua kuma ku zauna sama da wata ɗaya?</t>
  </si>
  <si>
    <t>item-at(linebreak(), ${hoh_roster_above16_list}, 8)</t>
  </si>
  <si>
    <t>93. Think about the next three months, starting from today. To the best of your knowledge does ${pm_name} plan to move somewhere outside of Tahoua and remain away for more than a month?</t>
  </si>
  <si>
    <t>93. Pensez aux tres prochains mois, à partir d'aujourd'hui. À votre connaissance, ${pm_name} prévoit-il de déménager en dehors de Tahoua et de rester absent pendant plus d'un mois ?</t>
  </si>
  <si>
    <t>93. Ka yi tunani a kan watanni uku masu zuwa, daga yau. A iyakar saninku ${pm_name} na shirin ƙaura zuwa wani wuri a wajen Tahoua kuma ku zauna sama da wata ɗaya?</t>
  </si>
  <si>
    <t>shm_pm_mig_intent_1</t>
  </si>
  <si>
    <t>94. Think about the next year, starting from today. To the best of your knowledge does ${pm_name} plan to move somewhere outside of Tahoua and remain away for more than a month?</t>
  </si>
  <si>
    <t>Pensez à l'année prochaine, à partir d'aujourd'hui. À votre connaissance, ${pm_name} prévoit-il de déménager en dehors de Tahoua et de rester absent pendant plus d'un mois ?</t>
  </si>
  <si>
    <t>Ka yi tunanin shekara mai zuwa, daga yau. A iyakar saninku ${pm_name} na shirin ƙaura zuwa wani wuri a wajen Tahoua kuma ku zauna sama da wata ɗaya?</t>
  </si>
  <si>
    <t>94. Pensez à l'année prochaine, à partir d'aujourd'hui. À votre connaissance, ${pm_name} prévoit-il de déménager en dehors de Tahoua et de rester absent pendant plus d'un mois ?</t>
  </si>
  <si>
    <t>94. Ka yi tunanin shekara mai zuwa, daga yau. A iyakar saninku ${pm_name} na shirin ƙaura zuwa wani wuri a wajen Tahoua kuma ku zauna sama da wata ɗaya?</t>
  </si>
  <si>
    <t>186. Loneliness</t>
  </si>
  <si>
    <t>186. Solitude</t>
  </si>
  <si>
    <t>186. kadaici</t>
  </si>
  <si>
    <t>item-at(linebreak(), ${hoh_roster_above16_list}, 9)</t>
  </si>
  <si>
    <t>shm_pm_mig_note</t>
  </si>
  <si>
    <t>95. If ${pm_name} migrates, where would they intended to travel?</t>
  </si>
  <si>
    <t>95. Si ${pm_name} voyage, où aurait-il l'intention d'aller ?</t>
  </si>
  <si>
    <t>95. Idan ${pm_name} zai yi tahiya, ina zaya iya tafiya?</t>
  </si>
  <si>
    <t>cons_week</t>
  </si>
  <si>
    <t>Food (for household members)</t>
  </si>
  <si>
    <t>Nourriture (pour les membres du ménage)</t>
  </si>
  <si>
    <t>Abinci (ga mutanen gida)</t>
  </si>
  <si>
    <t>shm_pm_mig_intent_country</t>
  </si>
  <si>
    <t>96. What is the name of the country ${pm_name} would move to?</t>
  </si>
  <si>
    <t>96. Quel est le nom du pays dans lequel ${pm_name} souhaiterait voyager ?</t>
  </si>
  <si>
    <t>96. Menene sunan ƙasar da ${pm_name} yake son tahiya?</t>
  </si>
  <si>
    <t>shm_pm_mig_intent_region</t>
  </si>
  <si>
    <t>item-at(linebreak(), ${hoh_roster_above16_list}, 10)</t>
  </si>
  <si>
    <t>97. Where in Niger would ${pm_name} move to?</t>
  </si>
  <si>
    <t>97. Où au Niger ${pm_name} se déplcerait-il ?</t>
  </si>
  <si>
    <t>97. Ina a Nijar ${pm_name} zai koma?</t>
  </si>
  <si>
    <t>Mobile phone credit + charging</t>
  </si>
  <si>
    <t>Crédit mobile + recharge</t>
  </si>
  <si>
    <t>Kuɗin /kiredin kira a salula + caji</t>
  </si>
  <si>
    <t>shm_pm_mig_intent_town</t>
  </si>
  <si>
    <t>98. What is the name of the town ${pm_name} would move to?</t>
  </si>
  <si>
    <t>98. Quel est le nom de la ville où ${pm_name} irait ?</t>
  </si>
  <si>
    <t>98. Menene sunan garin da ${pm_name} zai ƙaura ?</t>
  </si>
  <si>
    <t>shm_discuss_mig</t>
  </si>
  <si>
    <t>99. Have you and ${pm_name} discussed his plans or desire to travel to another country to find work in the past month?</t>
  </si>
  <si>
    <t>99. Avez-vous discuté vous et ${pm_name} de ses projets ou de son désir de voyager dans un autre pays pour trouver du travail au cours du mois dernier ?</t>
  </si>
  <si>
    <t>99. Ko kun tattauna ku da ${pm_name} kan shiriye-shiriyenshi ko sha'awar tafiyarshi wata ƙasa don neman aiki a cikin watan da ya gabata?</t>
  </si>
  <si>
    <t>Fuel for home/ cooking (i.e. lighting, electricity, firewood)</t>
  </si>
  <si>
    <t>Combustible pour la maison/la cuisine (c.-à-d. éclairage, électricité, bois de chauffage)</t>
  </si>
  <si>
    <t>Makamashi na gidan don / dafa abinci ( haske gida , wutar lantarki, itacen jin wuta)</t>
  </si>
  <si>
    <t>shm_discuss_responsibilities</t>
  </si>
  <si>
    <t>100. Have you discussed with ${pm_name} how his household responsibilities would be managed if he migrates?</t>
  </si>
  <si>
    <t>100. Avez-vous discuté avec ${pm_name} de la manière dont ses responsabilités domestiques seraient gérées s'il migre ?</t>
  </si>
  <si>
    <t>100. Ko kun tattauna da ${pm_name} yadda za a gudanar da ayyukan da suka rataya a wuyanshi idan ya yi hijira?</t>
  </si>
  <si>
    <t>item-at(linebreak(), ${hoh_roster_above16_list}, 11)</t>
  </si>
  <si>
    <t>Fuel for vehicles</t>
  </si>
  <si>
    <t>Carburant pour véhicules</t>
  </si>
  <si>
    <t>Man fetur/isansi na mota</t>
  </si>
  <si>
    <t>shm_save_pm</t>
  </si>
  <si>
    <t>101. In the past month has ${pm_name} put aside any money for the future?</t>
  </si>
  <si>
    <t>101. Au cours du mois dernier, ${pm_name} a-t-il mis de l'argent de côté pour l'avenir ?</t>
  </si>
  <si>
    <t>101. A cikin watan da ya gabata ko ${pm_name} ya ajiye wani kuɗi don gaba?</t>
  </si>
  <si>
    <t>Transportation fare (taxi, moto taxi)</t>
  </si>
  <si>
    <t>Frais de transport (taxi, moto taxi)</t>
  </si>
  <si>
    <t>Kuɗin (taxi, kabu- kabu )</t>
  </si>
  <si>
    <t>item-at(linebreak(), ${hoh_roster_above16_list}, 12)</t>
  </si>
  <si>
    <t>speedcheck_shm_pmmig_end</t>
  </si>
  <si>
    <t>Water (to drink)</t>
  </si>
  <si>
    <t>Eau (à boire)</t>
  </si>
  <si>
    <t>Ruwa (don sha)</t>
  </si>
  <si>
    <t>dur_shm_pmmig</t>
  </si>
  <si>
    <t>shm_decide_travel</t>
  </si>
  <si>
    <t>item-at(linebreak(), ${hoh_roster_above16_list}, 13)</t>
  </si>
  <si>
    <t>171. I would like to ask you a few questions about your health and wellbeing</t>
  </si>
  <si>
    <t>171. Je voudrais vous poser quelques questions sur votre santé et votre bien-être</t>
  </si>
  <si>
    <t>171. Ina so in yi muku wasu ƴan tambayoyi game da lafiyar jikinku da jin daɗin ku</t>
  </si>
  <si>
    <t>speedcheck_shm_future_start</t>
  </si>
  <si>
    <t>172. In general, how would you characterize your physical health?</t>
  </si>
  <si>
    <t>172. En général, comment caractériseriez-vous votre santé physique ?</t>
  </si>
  <si>
    <t>172. A taƙaice, yaya za ku siffanta lafiyar jikin ku?</t>
  </si>
  <si>
    <t>shm_future_note</t>
  </si>
  <si>
    <t>102. The following questions ask what you would expect to happen if ${pm_name} decided to travel to a neighboring country for work for at least one month.</t>
  </si>
  <si>
    <t>102. Les questions suivantes vous demandent ce à quoi vous vous attendriez si ${pm_name} décidait de se rendre dans un pays voisin pour travailler pendant au moins un mois.</t>
  </si>
  <si>
    <t>102. Tambayoyi masu zuwa suna magana akan abin da kuke tsammanin zai faru idan ${pm_name} ya yanke shawarar tafiya zuwa ƙasar maƙwabta don aiki na aƙalla wata ɗaya.</t>
  </si>
  <si>
    <t>shm_future_earn</t>
  </si>
  <si>
    <t>103. How much money would you expect them to earn each month (before paying your expenses) in CFA?</t>
  </si>
  <si>
    <t>103. Combien d'argent espérez-vous qu'il gagne chaque mois (sans dépense) en CFA ?</t>
  </si>
  <si>
    <t>103. Nawa kuke tsammanin zai iya samu kowane wata (kafin kashe kuɗinku)?</t>
  </si>
  <si>
    <t>item-at(linebreak(), ${hoh_roster_above16_list}, 14)</t>
  </si>
  <si>
    <t>shm_future_earn_away</t>
  </si>
  <si>
    <t>104. Imagine that five years from now ${pm_name} is are living in another West African country like Cote d'Ivoire or Nigeria. How much money do you think you would earn per month in CFA?</t>
  </si>
  <si>
    <t>support</t>
  </si>
  <si>
    <t>104. Imaginez que dans cinq ans, ${pm_name} vivra dans un autre pays d'Afrique de l'Ouest comme la Côte d'Ivoire ou le Nigeria. Combien d’argent pensez-vous gagner par mois en CFA ?</t>
  </si>
  <si>
    <t>104. Ka yi tunanin cewa shekaru biyar masu zuwa daga yanzu ${pm_name} yana rayuwa a wata ƙasa ta Yammacin Afirka kamar Cote d'Ivoire ko Najeriya. Kudi nawa kuke tsammanin za ku samu kowane wata a CFA?</t>
  </si>
  <si>
    <t>shm_future_share</t>
  </si>
  <si>
    <t>105. How much money would you expect them to share with your household each month in CFA?</t>
  </si>
  <si>
    <t>105. Combien d'argent vous attendez-vous à ce qu'il partage avec votre ménage chaque mois en CFA ?</t>
  </si>
  <si>
    <t>105. Nawa kuke tsammanin za ya baiya da gidanku kowane wata?</t>
  </si>
  <si>
    <t>shm_future_save_shm</t>
  </si>
  <si>
    <t>106. How much money would you expect ${pm_name} to put aside to save for the future each month?</t>
  </si>
  <si>
    <t>106. Combien d'argent pensez-vous que ${pm_name} mettrait de côté chaque mois pour épargner ?</t>
  </si>
  <si>
    <t>106. Nawa kuke tsammanin ${pm_name} za ya warewa a kowane wata don gaba ?</t>
  </si>
  <si>
    <t>item-at(linebreak(), ${hoh_roster_above16_list}, 15)</t>
  </si>
  <si>
    <t>Action Pour le Bien-Être (APBE)</t>
  </si>
  <si>
    <t>shm_future_contact</t>
  </si>
  <si>
    <t>107. How many times would you expect them to contact members of your household each month?</t>
  </si>
  <si>
    <t>107. Combien de fois vous attendriez-vous à ce qu'il contacte les membres de votre ménage chaque mois ?</t>
  </si>
  <si>
    <t>107. Sau nawa za ku yi tsammanin su tuntuɓi ƴan gidanku kowane wata?</t>
  </si>
  <si>
    <t>ADKOUL</t>
  </si>
  <si>
    <t>shm_prep</t>
  </si>
  <si>
    <t>item-at(linebreak(), ${hoh_roster_above16_list}, 16)</t>
  </si>
  <si>
    <t>AND</t>
  </si>
  <si>
    <t>shm_pm_prepare_note</t>
  </si>
  <si>
    <t>108. Now I will ask about things you or your family may have done in preparation for ${pm_name}'s migration.</t>
  </si>
  <si>
    <t>108. Je vais maintenant vous poser des questions sur les choses que vous ou votre famille avez pu faire en préparation de la migration de ${pm_name}.</t>
  </si>
  <si>
    <t>108. Yanzu zan yi muku tambayoyi game da abubuwan da ku ko danginku kuka yi don shirye-shiryen zuwa biɗan ${pm_name}.</t>
  </si>
  <si>
    <t>shm_mig_prep_savings</t>
  </si>
  <si>
    <t>109. Gathered resources in order to prepare for their migration? This could include saving money, selling assets, or taking a loan.</t>
  </si>
  <si>
    <t>109. A-t-il rassemblé des ressources pour préparer sa migration ? Il peut s'agir d'économiser de l'argent, de vendre des actifs ou de contracter un prêt.</t>
  </si>
  <si>
    <t>109. Ko ya yi tanadin guzuri don shirya zuwa biɗarshi? Wannan na iya haɗawa da ajiyar kuɗi, saida kadarori, ko ɗaukan bashi.</t>
  </si>
  <si>
    <t>ANIMAS SUTURA</t>
  </si>
  <si>
    <t>Assainissement Total Piloté par la Communauté (ATPC)</t>
  </si>
  <si>
    <t>item-at(linebreak(), ${hoh_roster_above16_list}, 17)</t>
  </si>
  <si>
    <t>shm_mig_prep_legal</t>
  </si>
  <si>
    <t>110. Prepared any legal paperwork, such as marriage documents, birth certificates, or proof of property?</t>
  </si>
  <si>
    <t>110. A-t-il préparé des documents juridiques, tels que des documents de mariage, des certificats de naissance ou une preuve de propriété ?</t>
  </si>
  <si>
    <t>110. Shirya duk wata takarda ta doka, kamar takardun aure, takardun haifuwa, ko shaidar dukiya?</t>
  </si>
  <si>
    <t>shm_mig_prep_contact</t>
  </si>
  <si>
    <t>111. Contacted anybody in the places ${pm_name} might want to go?</t>
  </si>
  <si>
    <t>111. A-t-il contacté quelqu'un dans les endroits où ${pm_name} pourrait vouloir aller ?</t>
  </si>
  <si>
    <t>111. An tuntuɓi wani a wuraren da mai zuwa ${pm_name} zai iya zuwa?</t>
  </si>
  <si>
    <t>CADEV</t>
  </si>
  <si>
    <t>183. Enjoyment</t>
  </si>
  <si>
    <t>183. Plaisir</t>
  </si>
  <si>
    <t>183. jin daɗi</t>
  </si>
  <si>
    <t>shm_knowledge_note</t>
  </si>
  <si>
    <t>112. The next few questions ask about your knowledge of official rules for people from Niger to travel to neighboring countries</t>
  </si>
  <si>
    <t>112. Les prochaines questions portent sur votre connaissance des règles officielles permettant aux Nigériens de se rendre dans les pays voisins.</t>
  </si>
  <si>
    <t>112. Tambayoyi masu zuwa za'a yi su game da saninku bisa dokokinda suke bawa mutanen Nijar damar zuwa biɗa kasashen makwabta</t>
  </si>
  <si>
    <t>CŒUR CITOYEN</t>
  </si>
  <si>
    <t>item-at(linebreak(), ${hoh_roster_above16_list}, 18)</t>
  </si>
  <si>
    <t>shm_niger_ecowas</t>
  </si>
  <si>
    <t>Is Niger still a part of the ECOWAS?</t>
  </si>
  <si>
    <t>Le Niger fait-il toujours partie de la CEDEAO ?</t>
  </si>
  <si>
    <t>Ko har yanzu Nijar na cikin kungiyar ECOWAS?</t>
  </si>
  <si>
    <t>113. Is Niger still a part of the ECOWAS?</t>
  </si>
  <si>
    <t>113. Le Niger fait-il toujours partie de la CEDEAO ?</t>
  </si>
  <si>
    <t>Concern</t>
  </si>
  <si>
    <t>113. Ko har yanzu Nijar na cikin kungiyar ECOWAS?</t>
  </si>
  <si>
    <t>select_multiple docs</t>
  </si>
  <si>
    <t>shm_docs_required_civ</t>
  </si>
  <si>
    <t>113. Suppose you want to travel to Cote d'Ivoire, what documents would you need to bring with you to travel there legally?</t>
  </si>
  <si>
    <t>113. Supposons que vous souhaiteriez vous rendre en Côte d'Ivoire, quels documents devriez-vous apporter pour vous y rendre légalement ?</t>
  </si>
  <si>
    <t>113. A ce kuna son tafiya zuwa Cote d'Ivoire, waɗanne takardu za ku buƙaci ku kawo tare da ku don tafiya can bisa doka?</t>
  </si>
  <si>
    <t>114. Suppose you want to travel to Cote d'Ivoire, what documents would you need to bring with you to travel there legally?</t>
  </si>
  <si>
    <t>114. Supposons que vous souhaiteriez vous rendre en Côte d'Ivoire, quels documents devriez-vous apporter pour vous y rendre légalement ?</t>
  </si>
  <si>
    <t>114. A ce kuna son tafiya zuwa Cote d'Ivoire, waɗanne takardu za ku buƙaci ku kawo tare da ku don tafiya can bisa doka?</t>
  </si>
  <si>
    <t>shm_docs_required_libya</t>
  </si>
  <si>
    <t>114. Suppose you instead want to travel to Libya, what documents would you need to bring with you to travel there legally?</t>
  </si>
  <si>
    <t>item-at(linebreak(), ${hoh_roster_above16_list}, 19)</t>
  </si>
  <si>
    <t>114. Supposons que vous vouliez plutôt vous rendre en Libye, quels documents devriez-vous apporter avec vous pour vous y rendre légalement ?</t>
  </si>
  <si>
    <t>CRA</t>
  </si>
  <si>
    <t>114. A ce a maimakon haka kuna son tafiya Libya, waɗanne takardu za ku buƙaci kawowa tare da ku don tafiya can bisa doka?</t>
  </si>
  <si>
    <t>115. Suppose you instead want to travel to Libya, what documents would you need to bring with you to travel there legally?</t>
  </si>
  <si>
    <t>115. Supposons que vous vouliez plutôt vous rendre en Libye, quels documents devriez-vous apporter avec vous pour vous y rendre légalement ?</t>
  </si>
  <si>
    <t>115. A ce a maimakon haka kuna son tafiya Libya, waɗanne takardu za ku buƙaci kawowa tare da ku don tafiya can bisa doka?</t>
  </si>
  <si>
    <t>shm_time_ecowas</t>
  </si>
  <si>
    <t>115. If you want to travel to Nigeria to find work, how long can you work there without getting a formal work authorization (in months)?</t>
  </si>
  <si>
    <t>115. Si vous souhaitez vous rendre au Nigeria pour trouver du travail, combien de temps pouvez-vous y travailler sans obtenir une autorisation de travail formelle (en mois) ?</t>
  </si>
  <si>
    <t>115. Idan kuna son tafiya Najeriya don neman aiki, tsawon wane lokaci za ku iya yin aiki a can ba tare da samun takardar izinin aiki a cikin doka (a cikin watanni)?</t>
  </si>
  <si>
    <t>116. If you want to travel to Nigeria to find work, how long can you work there without getting a formal work authorization (in months)?</t>
  </si>
  <si>
    <t>116. Si vous souhaitez vous rendre au Nigeria pour trouver du travail, combien de temps pouvez-vous y travailler sans obtenir une autorisation de travail formelle (en mois) ?</t>
  </si>
  <si>
    <t>116. Idan kuna son tafiya Najeriya don neman aiki, tsawon wane lokaci za ku iya yin aiki a can ba tare da samun takardar izinin aiki a cikin doka (a cikin watanni)?</t>
  </si>
  <si>
    <t>FAO</t>
  </si>
  <si>
    <t>select_multiple vax</t>
  </si>
  <si>
    <t>shm_vax_req</t>
  </si>
  <si>
    <t>116. If you want to travel to Senegal, what vaccinations are required in order to travel there legally?</t>
  </si>
  <si>
    <t>116. Si vous souhaitez vous rendre au Sénégal, quels vaccins sont nécessaires pour y voyager légalement ?</t>
  </si>
  <si>
    <t>116. Idan kuna son tafiya Senegal, waɗanne alluran rigakafi ake wajabta muku don tafiya can bisa doka?</t>
  </si>
  <si>
    <t>117. If you want to travel to Senegal, what vaccinations are required in order to travel there legally?</t>
  </si>
  <si>
    <t>117. Si vous souhaitez vous rendre au Sénégal, quels vaccins sont nécessaires pour y voyager légalement ?</t>
  </si>
  <si>
    <t>117. Idan kuna son tafiya Senegal, waɗanne alluran rigakafi ake wajabta muku don tafiya can bisa doka?</t>
  </si>
  <si>
    <t>item-at(linebreak(), ${hoh_roster_above16_list}, 20)</t>
  </si>
  <si>
    <t>208. Threat of physical violence/attack</t>
  </si>
  <si>
    <t>208. Menace de violence physique/agression</t>
  </si>
  <si>
    <t>208. Barazanar ​​harin jiki</t>
  </si>
  <si>
    <t>select_multiple risks</t>
  </si>
  <si>
    <t>shm_mig_risk</t>
  </si>
  <si>
    <t>117. What are the potential risks of migrating?</t>
  </si>
  <si>
    <t>117. Quels sont les risques potentiels liés à la migration ?</t>
  </si>
  <si>
    <t>117. Menene haɗarin zuwa biɗa?</t>
  </si>
  <si>
    <t>118. What are the potential risks of migrating?</t>
  </si>
  <si>
    <t>Filets Sociaux</t>
  </si>
  <si>
    <t>118. Quels sont les risques potentiels liés à la migration ?</t>
  </si>
  <si>
    <t>118. Menene haɗarin zuwa biɗa?</t>
  </si>
  <si>
    <t>select_multiple mitigate</t>
  </si>
  <si>
    <t>shm_mig_risk_mitigate</t>
  </si>
  <si>
    <t>118. What are some things that you could do to mitigate some of the risks associated with traveling to a neighboring country to find work?</t>
  </si>
  <si>
    <t>118. Quelles mesures pourriez-vous prendre pour atténuer certains des risques associés au voyage dans un pays voisin pour trouver du travail ?</t>
  </si>
  <si>
    <t>118. Wadanne abubuwa ne za ku iya yi don rage wasu haɗarin da ke tattare da tafiya zuwa wata ƙasa maƙwabta don neman aiki?</t>
  </si>
  <si>
    <t>item-at(linebreak(), ${hoh_roster_above16_list}, 21)</t>
  </si>
  <si>
    <t>FIM</t>
  </si>
  <si>
    <t>119. What are some things that you could do to mitigate some of the risks associated with traveling to a neighboring country to find work?</t>
  </si>
  <si>
    <t>119. Quelles mesures pourriez-vous prendre pour atténuer certains des risques associés au voyage dans un pays voisin pour trouver du travail ?</t>
  </si>
  <si>
    <t>119. Wadanne abubuwa ne za ku iya yi don rage wasu haɗarin da ke tattare da tafiya zuwa wata ƙasa maƙwabta don neman aiki?</t>
  </si>
  <si>
    <t>FIM (Fondation Issoufou Mahamadou)</t>
  </si>
  <si>
    <t>191. I feel I do not have much to be proud of.</t>
  </si>
  <si>
    <t>191. Je sens que je n'ai pas beaucoup de raisons d'être fier (comblé).</t>
  </si>
  <si>
    <t>191. Ina jin ba ni da hujjojin jin daɗi.</t>
  </si>
  <si>
    <t>192. At times I think I am no good at all.</t>
  </si>
  <si>
    <t>192. Parfois, je pense que je suis utile a rien</t>
  </si>
  <si>
    <t>192. A wasu lokuta ina ganin bani da amfani.</t>
  </si>
  <si>
    <t>select_one live_home</t>
  </si>
  <si>
    <t>item-at(linebreak(), ${hoh_roster_above16_list}, 22)</t>
  </si>
  <si>
    <t>shm_future_live_home</t>
  </si>
  <si>
    <t>119. Now, I'd like you to think about your life five years from now. 
 In five years, how likely are you to live in Tahoua region, including at home, compared to somewhere else</t>
  </si>
  <si>
    <t>119. Maintenant, j'aimerais que vous pensiez à votre vie dans les cinq ans à venir. Dans les cinq ans à venir, quelle est la probabilité que vous viviez dans la région de Tahoua, y compris chez vous, ou ailleurs ?</t>
  </si>
  <si>
    <t>119. Yanzu, Ina son ku yi tunani game da rayuwar ku a cikin shekaru biyar masu zuwa daga yanzu. A cikin shekaru biyar masu zuwa, yaya kuke ganin yiwuwar zamanku a jahar Tahoua, har da ƙauyenku, ko a wani wuri dabam?</t>
  </si>
  <si>
    <t>GIEEN</t>
  </si>
  <si>
    <t>120. Now, I'd like you to think about your life five years from now. 
 In five years, how likely are you to live in Tahoua region, including at home, compared to somewhere else</t>
  </si>
  <si>
    <t>120. Maintenant, j'aimerais que vous pensiez à votre vie dans les cinq ans à venir. Dans les cinq ans à venir, quelle est la probabilité que vous viviez dans la région de Tahoua, y compris chez vous, ou ailleurs ?</t>
  </si>
  <si>
    <t>120. Yanzu, Ina son ku yi tunani game da rayuwar ku a cikin shekaru biyar masu zuwa daga yanzu. A cikin shekaru biyar masu zuwa, yaya kuke ganin yiwuwar zamanku a jahar Tahoua, har da ƙauyenku, ko a wani wuri dabam?</t>
  </si>
  <si>
    <t>select_one live_away</t>
  </si>
  <si>
    <t>shm_future_in_niger</t>
  </si>
  <si>
    <t>120. Five years from now, are you more likely to live somewhere else in Niger or in another country?</t>
  </si>
  <si>
    <t>120. Dans cinq ans, pensez vous vivre ailleurs au Niger ou dans un autre pays ?</t>
  </si>
  <si>
    <t>120. Cikin shekaru biyar masu zuwa, ko kuna tunanin zama a wani wuri a Nijar ko a wata ƙasa daban?</t>
  </si>
  <si>
    <t>121. Five years from now, are you more likely to live somewhere else in Niger or in another country?</t>
  </si>
  <si>
    <t>121. Dans cinq ans, pensez vous vivre ailleurs au Niger ou dans un autre pays ?</t>
  </si>
  <si>
    <t>121. Cikin shekaru biyar masu zuwa, ko kuna tunanin zama a wani wuri a Nijar ko a wata ƙasa daban?</t>
  </si>
  <si>
    <t>GIZ/ProEmploi</t>
  </si>
  <si>
    <t>speedcheck_shm_future_end</t>
  </si>
  <si>
    <t>item-at(linebreak(), ${hoh_roster_above16_list}, 23)</t>
  </si>
  <si>
    <t>213. Threat of physical violence/attack</t>
  </si>
  <si>
    <t>213. Menace de violence physique/agression</t>
  </si>
  <si>
    <t>213. Barazanar ​​harin jiki</t>
  </si>
  <si>
    <t>dur_shm_future</t>
  </si>
  <si>
    <t>Mercy Corps</t>
  </si>
  <si>
    <t>214. Theft of either money or property?</t>
  </si>
  <si>
    <t>214. Vol d'argent ou de propriété?</t>
  </si>
  <si>
    <t>214. Satar kudi ko dukiya?</t>
  </si>
  <si>
    <t>NAZARI</t>
  </si>
  <si>
    <t>shm_spouse_consult</t>
  </si>
  <si>
    <t>Spouse consultation</t>
  </si>
  <si>
    <t>item-at(linebreak(), ${hoh_roster_above16_list}, 24)</t>
  </si>
  <si>
    <t>speedcheck_shm_consult_start</t>
  </si>
  <si>
    <t>Organisation International pour la Migration (OIM)</t>
  </si>
  <si>
    <t>shm_roles_note</t>
  </si>
  <si>
    <t>121. The next set of questions are about your opinions regarding the roles that women and men play</t>
  </si>
  <si>
    <t>121. La prochaine série de questions porte sur vos opinions concernant les rôles que jouent les femmes et les hommes</t>
  </si>
  <si>
    <t>121. Tambayoyi na gaba sun ta'allaka ne da ra'ayoyin ku game da rawar da mata da maza suke takawa.</t>
  </si>
  <si>
    <t>item-at(linebreak(), ${hoh_roster_above16_list}, 25)</t>
  </si>
  <si>
    <t>PARIS</t>
  </si>
  <si>
    <t>122. The next set of questions are about your opinions regarding the roles that women and men play</t>
  </si>
  <si>
    <t>122. La prochaine série de questions porte sur vos opinions concernant les rôles que jouent les femmes et les hommes</t>
  </si>
  <si>
    <t>122. Tambayoyi na gaba sun ta'allaka ne da ra'ayoyin ku game da rawar da mata da maza suke takawa.</t>
  </si>
  <si>
    <t>shm_discuss_women</t>
  </si>
  <si>
    <t>122. How often, if ever do you talk about the role of women in society with other people?</t>
  </si>
  <si>
    <t>122. À quelle fréquence, si jamais cela arrive, parlez-vous du rôle des femmes dans la société avec d'autres personnes ?</t>
  </si>
  <si>
    <t>122. Sau nawa, idan ya na faruwa, kuke yin magana game da taka rawan mata a cikin al'umma tare da sauran mutane?</t>
  </si>
  <si>
    <t>123. How often, if ever do you talk about the role of women in society with other people?</t>
  </si>
  <si>
    <t>123. À quelle fréquence, si jamais cela arrive, parlez-vous du rôle des femmes dans la société avec d'autres personnes ?</t>
  </si>
  <si>
    <t>123. Sau nawa, idan ya na faruwa, kuke yin magana game da taka rawan mata a cikin al'umma tare da sauran mutane?</t>
  </si>
  <si>
    <t>shm_spouse_consult_list</t>
  </si>
  <si>
    <t>PASAN</t>
  </si>
  <si>
    <t>item-at(linebreak(), ${hoh_roster_above16_list}, 26)</t>
  </si>
  <si>
    <t>shm_influence_note</t>
  </si>
  <si>
    <t>123. In your opinion, how much influence a wife should have over the following decisions within a couple?</t>
  </si>
  <si>
    <t>123. Selon vous, quelle influence une épouse devrait-elle avoir sur les décisions suivantes au sein d'un couple ?</t>
  </si>
  <si>
    <t>123. A ra'ayinka, wane tasiri mace ya kamata ta yi bisa yanke shawarwari da zan zana a tsakanin ta da mijinta?</t>
  </si>
  <si>
    <t>124. In your opinion, how much influence a wife should have over the following decisions within a couple?</t>
  </si>
  <si>
    <t>124. Selon vous, quelle influence une épouse devrait-elle avoir sur les décisions suivantes au sein d'un couple ?</t>
  </si>
  <si>
    <t>124. A ra'ayinka, wane tasiri mace ya kamata ta yi bisa yanke shawarwari da zan zana a tsakanin ta da mijinta?</t>
  </si>
  <si>
    <t>select_one husbandwife</t>
  </si>
  <si>
    <t>shm_daily_hh_expenses_couple</t>
  </si>
  <si>
    <t>124. Daily household expenses (Less than 500 CFA)</t>
  </si>
  <si>
    <t>124. Dépenses quotidiennes du ménage (Moins de 500 CFA)</t>
  </si>
  <si>
    <t>124. Kashe kashen kuɗin gida na yau da kullun ( Kasa da dala ɗari)</t>
  </si>
  <si>
    <t>PASEC</t>
  </si>
  <si>
    <t>125. Daily household expenses (Less than 500 CFA)</t>
  </si>
  <si>
    <t>125. Dépenses quotidiennes du ménage (Moins de 500 CFA)</t>
  </si>
  <si>
    <t>125. Kashe kashen kuɗin gida na yau da kullun ( Kasa da dala ɗari)</t>
  </si>
  <si>
    <t>shm_hh_purchases_couple</t>
  </si>
  <si>
    <t>125. Household purchases worth more than 500 CFA</t>
  </si>
  <si>
    <t>125. Achats liés au bien être des ménages d'une valeur supérieure à 500 CFA</t>
  </si>
  <si>
    <t>125. Sayayyar gida na sama da ɗari</t>
  </si>
  <si>
    <t>126. Household purchases worth more than 500 CFA</t>
  </si>
  <si>
    <t>126. Achats liés au bien être des ménages d'une valeur supérieure à 500 CFA</t>
  </si>
  <si>
    <t>126. Sayayyar gida na sama da ɗari</t>
  </si>
  <si>
    <t>item-at(linebreak(), ${hoh_roster_above16_list}, 27)</t>
  </si>
  <si>
    <t>shm_fam_plan_couple</t>
  </si>
  <si>
    <t>126. Family planning (how many children to have)</t>
  </si>
  <si>
    <t>PECAP</t>
  </si>
  <si>
    <t>126. Planification familiale (combien d'enfants avoir)</t>
  </si>
  <si>
    <t>126. Tsarin iyali (ƴaƴa nawa za a haifa)</t>
  </si>
  <si>
    <t>127. Family planning (how many children to have)</t>
  </si>
  <si>
    <t>127. Planification familiale (combien d'enfants avoir)</t>
  </si>
  <si>
    <t>127. Tsarin iyali (ƴaƴa nawa za a haifa)</t>
  </si>
  <si>
    <t>shm_migrate_couple</t>
  </si>
  <si>
    <t>PICAD</t>
  </si>
  <si>
    <t>127. Whether the husband will migrate to find work</t>
  </si>
  <si>
    <t>127. Si le mari va migrer pour trouver du travail</t>
  </si>
  <si>
    <t>127. Ko mijin zai yi tahiya don neman aiki</t>
  </si>
  <si>
    <t>if(empty(${hoh_roster_above16_list}), 0, count-items(linebreak(), ${hoh_roster_above16_list}))</t>
  </si>
  <si>
    <t>128. Whether the husband will migrate to find work</t>
  </si>
  <si>
    <t>128. Si le mari va migrer pour trouver du travail</t>
  </si>
  <si>
    <t>128. Ko mijin zai yi tahiya don neman aiki</t>
  </si>
  <si>
    <t>shm_vote_couple</t>
  </si>
  <si>
    <t>128. Who to vote for in local elections?</t>
  </si>
  <si>
    <t>128. Pour qui voter aux élections municipales ?</t>
  </si>
  <si>
    <t>128. Wanene za'a zaɓa a zaɓen ƙananan hukumomi?</t>
  </si>
  <si>
    <t>129. Who to vote for in local elections?</t>
  </si>
  <si>
    <t>129. Pour qui voter aux élections municipales ?</t>
  </si>
  <si>
    <t>129. Wanene za'a zaɓa a zaɓen ƙananan hukumomi?</t>
  </si>
  <si>
    <t>PICCT</t>
  </si>
  <si>
    <t>shm_marry_couple</t>
  </si>
  <si>
    <t>129. To whom your daughter should marry?</t>
  </si>
  <si>
    <t>129. Avec qui votre fille devrait-elle se marier ?</t>
  </si>
  <si>
    <t>129. Wa ya kamata ƴarku ta aura?</t>
  </si>
  <si>
    <t>130. To whom your daughter should marry?</t>
  </si>
  <si>
    <t>130. Avec qui votre fille devrait-elle se marier ?</t>
  </si>
  <si>
    <t>130. Wa ya kamata ƴarku ta aura?</t>
  </si>
  <si>
    <t>shm_school_couple</t>
  </si>
  <si>
    <t>130. Children's enrollment in school</t>
  </si>
  <si>
    <t>130. Inscription des enfants à l'école</t>
  </si>
  <si>
    <t>130. Rubuta yara a makaranta</t>
  </si>
  <si>
    <t>131. Children's enrollment in school</t>
  </si>
  <si>
    <t>131. Inscription des enfants à l'école</t>
  </si>
  <si>
    <t>131. Rubuta yara a makaranta</t>
  </si>
  <si>
    <t>PLAN Niger</t>
  </si>
  <si>
    <t>PRADEL</t>
  </si>
  <si>
    <t>shm_fam_consult</t>
  </si>
  <si>
    <t>Family consultation</t>
  </si>
  <si>
    <t>203. In the past month (four weeks) how many days has ${hoh_roster_name} missed school for health reasons?</t>
  </si>
  <si>
    <t>203. Au cours du dernier mois (quatre semaines), combien de jours ${hoh_roster_name} a-t-il manqué l'école pour des raisons de santé ?</t>
  </si>
  <si>
    <t>203. A cikin watan da ya gabata (sati hudu), kwanaki nawa ${hoh_roster_name} yayi fashin zuwa makaranta saboda wata rishin lafiya?</t>
  </si>
  <si>
    <t>PRAPS</t>
  </si>
  <si>
    <t>shm_fam_consult_list</t>
  </si>
  <si>
    <t>204. In the past month (four weeks) how many days has ${hoh_roster_name} missed school for work or other reasons?</t>
  </si>
  <si>
    <t>204. Au cours du dernier mois (quatre semaines), combien de jours ${hoh_roster_name} a-t-il manqué l'école pour le travail ou pour d'autres raisons ?</t>
  </si>
  <si>
    <t>204. A cikin watan da ya gabata (makonni hudu), kwanaki nawa ${hoh_roster_name} yayi fashin makaranta saboda aiki ko wasu dalilai?</t>
  </si>
  <si>
    <t>shm_fam_discuss</t>
  </si>
  <si>
    <t>131. I am now going to mention some things that families sometimes speak about. Please tell me if you and other adults in your household talk about these things</t>
  </si>
  <si>
    <t>131. Je vais maintenant évoquer certaines choses dont les familles parlent parfois. S'il vous plaît, dites-moi si vous et d'autres adultes de votre ménage parlez de ces choses.</t>
  </si>
  <si>
    <t>131. Yanzu zan ambaci wasu abubuwa da wani lokaci mutane suke magana akai. Don Allah ku gaya mani idan ku da sauran mutanen gidanku kuna magana akan waɗannan abubuwan</t>
  </si>
  <si>
    <t>132. I am now going to mention some things that families sometimes speak about. Please tell me if you and other adults in your household talk about these things</t>
  </si>
  <si>
    <t>PRODAF</t>
  </si>
  <si>
    <t>132. Je vais maintenant évoquer certaines choses dont les familles parlent parfois. S'il vous plaît, dites-moi si vous et d'autres adultes de votre ménage parlez de ces choses.</t>
  </si>
  <si>
    <t>132. Yanzu zan ambaci wasu abubuwa da wani lokaci mutane suke magana akai. Don Allah ku gaya mani idan ku da sauran mutanen gidanku kuna magana akan waɗannan abubuwan</t>
  </si>
  <si>
    <t>shm_fam_discuss_work</t>
  </si>
  <si>
    <t>132. Things that happen at work or in the fields?</t>
  </si>
  <si>
    <t>132. Des choses qui se passent au travail ou dans les champs ?</t>
  </si>
  <si>
    <t>132. Abubuwan da ke faruwa a wurin aiki ko a gona?</t>
  </si>
  <si>
    <t>133. Things that happen at work or in the fields?</t>
  </si>
  <si>
    <t>Programme Alimentaire Mondial (PAM)</t>
  </si>
  <si>
    <t>133. Des choses qui se passent au travail ou dans les champs ?</t>
  </si>
  <si>
    <t>133. Abubuwan da ke faruwa a wurin aiki ko a gona?</t>
  </si>
  <si>
    <t>shm_fam_discuss_community</t>
  </si>
  <si>
    <t>133. Things that happen in the community?</t>
  </si>
  <si>
    <t>133. Des choses qui se passent dans la communauté ?</t>
  </si>
  <si>
    <t>133. Abubuwan da ke faruwa a cikin al'umma?</t>
  </si>
  <si>
    <t>134. Things that happen in the community?</t>
  </si>
  <si>
    <t>134. Des choses qui se passent dans la communauté ?</t>
  </si>
  <si>
    <t>134. Abubuwan da ke faruwa a cikin al'umma?</t>
  </si>
  <si>
    <t>shm_fam_discuss_election</t>
  </si>
  <si>
    <t>134. Who to vote for in local elections?</t>
  </si>
  <si>
    <t>134. Pour qui voter aux élections municipales ?</t>
  </si>
  <si>
    <t>134. Wanene za'a zaɓa a zaɓen ƙananan hukumomi?</t>
  </si>
  <si>
    <t>Programme pour la promotion de l'éductaion (PPE)</t>
  </si>
  <si>
    <t>135. Who to vote for in local elections?</t>
  </si>
  <si>
    <t>135. Pour qui voter aux élections municipales ?</t>
  </si>
  <si>
    <t>135. Wanene za'a zaɓa a zaɓen ƙananan hukumomi?</t>
  </si>
  <si>
    <t>shm_fam_discuss_invest</t>
  </si>
  <si>
    <t>135. How to you invest your money such as whether to improve your house</t>
  </si>
  <si>
    <t>135. Comment investir votre argent, par exemple pour améliorer votre maison</t>
  </si>
  <si>
    <t>135. Yadda za ku kashe kuɗin ku, kamar gyaran gidanku</t>
  </si>
  <si>
    <t>136. How to you invest your money such as whether to improve your house</t>
  </si>
  <si>
    <t>136. Comment investir votre argent, par exemple pour améliorer votre maison</t>
  </si>
  <si>
    <t>136. Yadda za ku kashe kuɗin ku, kamar gyaran gidanku</t>
  </si>
  <si>
    <t>shm_fam_discuss_migrate</t>
  </si>
  <si>
    <t>136. Household members decisions to migrate</t>
  </si>
  <si>
    <t>136. Planification familiale (quand avoir des enfants)</t>
  </si>
  <si>
    <t>136. Tsarin iyali (lokacin ɗaukan ciki)</t>
  </si>
  <si>
    <t>137. Household members decisions to migrate</t>
  </si>
  <si>
    <t>PROGRES</t>
  </si>
  <si>
    <t>137. Planification familiale (quand avoir des enfants)</t>
  </si>
  <si>
    <t>137. Tsarin iyali (lokacin ɗaukan ciki)</t>
  </si>
  <si>
    <t>208. Since ${period}, has ${hoh_roster_name} spent more than a week (7 days) away from home?</t>
  </si>
  <si>
    <t xml:space="preserve">208. </t>
  </si>
  <si>
    <t>shm_fam_disagree</t>
  </si>
  <si>
    <t>137. Do you and members of your household ever disagree about any of these topics?</t>
  </si>
  <si>
    <t>137. Vous et votre conjoint êtes-vous déjà en désaccord sur ces sujets ?</t>
  </si>
  <si>
    <t>137. Ko kai da matarka kun taɓa samun saɓani game da waɗannan batutuwa?</t>
  </si>
  <si>
    <t>Projet LIRE</t>
  </si>
  <si>
    <t>138. Do you and members of your household ever disagree about any of these topics?</t>
  </si>
  <si>
    <t>138. Vous et votre conjoint êtes-vous déjà en désaccord sur ces sujets ?</t>
  </si>
  <si>
    <t>138. Ko kai da matarka kun taɓa samun saɓani game da waɗannan batutuwa?</t>
  </si>
  <si>
    <t>shm_fam_contentious</t>
  </si>
  <si>
    <t>138. Do these conversations ever get contentious?</t>
  </si>
  <si>
    <t>138. Ces conversations deviennent-elles parfois controversées ?</t>
  </si>
  <si>
    <t>138. Ko waɗannan hirarrakin sun taɓa zama sabani?</t>
  </si>
  <si>
    <t>139. Do these conversations ever get contentious?</t>
  </si>
  <si>
    <t>139. Ces conversations deviennent-elles parfois controversées ?</t>
  </si>
  <si>
    <t>139. Ko waɗannan hirarrakin sun taɓa zama sabani?</t>
  </si>
  <si>
    <t>speedcheck_shm_consult_end</t>
  </si>
  <si>
    <t>Projet Pôles Ruraux (PPR)</t>
  </si>
  <si>
    <t>dur_shm_fam_consult</t>
  </si>
  <si>
    <t>PROMAP-ADKOUL</t>
  </si>
  <si>
    <t>218. Detention or arrest by state security forces?</t>
  </si>
  <si>
    <t>218. Détention ou arrestation par les forces de sécurité de l'État ?</t>
  </si>
  <si>
    <t>218. Kaso ko kamu daga jami'an tsaron gwamnati?</t>
  </si>
  <si>
    <t>235. Poultry</t>
  </si>
  <si>
    <t>REVE</t>
  </si>
  <si>
    <t>235. Volaille</t>
  </si>
  <si>
    <t>235. Kaji</t>
  </si>
  <si>
    <t>shm_society_opinions</t>
  </si>
  <si>
    <t>Society Opinions</t>
  </si>
  <si>
    <t>speedcheck_shm_soc_op_start</t>
  </si>
  <si>
    <t>SNV</t>
  </si>
  <si>
    <t>219. I will now ask you about meals people in your household have consumed in the past 7 days.</t>
  </si>
  <si>
    <t>219. Je vais maintenant vous poser des questions sur les repas que les membres de votre ménage ont consommé au cours des 7 derniers jours.</t>
  </si>
  <si>
    <t>219. Yanzu zan tambaye ku bisa abincin da mutanen gidanku suka ci a cikin kwanaki 7 da suka wuce.</t>
  </si>
  <si>
    <t>shm_societytype_note</t>
  </si>
  <si>
    <t>139. Now I wil ask you about your opinions about people who are different from you and the type of society you want to live in.</t>
  </si>
  <si>
    <t>139. Maintenant, je vais vous demander votre opinion sur les personnes différentes de vous et sur le type de société dans laquelle vous souhaitez vivre.</t>
  </si>
  <si>
    <t>139. Yanzu zan tambaye ra'ayinku game da wasu mutane daban, da kuma irin al'ummar da kuke son rayuwa a ciki.</t>
  </si>
  <si>
    <t>140. Now I wil ask you about your opinions about people who are different from you and the type of society you want to live in.</t>
  </si>
  <si>
    <t>140. Maintenant, je vais vous demander votre opinion sur les personnes différentes de vous et sur le type de société dans laquelle vous souhaitez vivre.</t>
  </si>
  <si>
    <t>140. Yanzu zan tambaye ra'ayinku game da wasu mutane daban, da kuma irin al'ummar da kuke son rayuwa a ciki.</t>
  </si>
  <si>
    <t>TATTALI IYALI</t>
  </si>
  <si>
    <t>shm_tol_qs</t>
  </si>
  <si>
    <t>140. Could you tell me your general feeling about each group of people is positive or negative on a scale of 0 to 10 where 0 is very negative and 10 is very positive</t>
  </si>
  <si>
    <t>140. Pourriez-vous me dire votre sentiment général sur chaque groupe de personnes s'il est positif ou négatif sur une échelle de 0 à 10 où 0 est très négatif et 10 est très positif</t>
  </si>
  <si>
    <t>140. Ko za ku iya gaya mini yanda kuke gani game da kowane gungun mutane, yana da kyau ko baya da kyau akan kuranga 0 zuwa 10 inda 0 ba shi da kyau sosai kuma 10 yana da inganci sosai.</t>
  </si>
  <si>
    <t>141. Could you tell me your general feeling about each group of people is positive or negative on a scale of 0 to 10 where 0 is very negative and 10 is very positive</t>
  </si>
  <si>
    <t>141. Pourriez-vous me dire votre sentiment général sur chaque groupe de personnes s'il est positif ou négatif sur une échelle de 0 à 10 où 0 est très négatif et 10 est très positif</t>
  </si>
  <si>
    <t>141. Ko za ku iya gaya mini yanda kuke gani game da kowane gungun mutane, yana da kyau ko baya da kyau akan kuranga 0 zuwa 10 inda 0 ba shi da kyau sosai kuma 10 yana da inganci sosai.</t>
  </si>
  <si>
    <t>shm_tol_relig</t>
  </si>
  <si>
    <t>141. Followers of other religions</t>
  </si>
  <si>
    <t>141. Adeptes d'autres religions</t>
  </si>
  <si>
    <t>UNICEF</t>
  </si>
  <si>
    <t>141. Mabiya wasu addinai</t>
  </si>
  <si>
    <t>142. Followers of other religions</t>
  </si>
  <si>
    <t>142. Adeptes d'autres religions</t>
  </si>
  <si>
    <t>142. Mabiya wasu addinai</t>
  </si>
  <si>
    <t>shm_tol_eth</t>
  </si>
  <si>
    <t>142. People of different ethnic groups</t>
  </si>
  <si>
    <t>142. Personnes de différents groupes ethniques</t>
  </si>
  <si>
    <t>142. Mutanen wasu kabilu daban</t>
  </si>
  <si>
    <t>143. People of different ethnic groups</t>
  </si>
  <si>
    <t>143. Personnes de différents groupes ethniques</t>
  </si>
  <si>
    <t>143. Mutanen wasu kabilu daban</t>
  </si>
  <si>
    <t>Union Internationale pour la Conservation de la Nature (UICN)</t>
  </si>
  <si>
    <t>shm_tol_mig</t>
  </si>
  <si>
    <t>143. Immigrants who come to Niger as foreign workers</t>
  </si>
  <si>
    <t>143. Les immigrés qui viennent au Niger en tant que travailleurs étrangers</t>
  </si>
  <si>
    <t>143. Baƙin haure masu zuwa Nijar a matsayin ma'aikata ƴan ƙasashen waje</t>
  </si>
  <si>
    <t>144. Immigrants who come to Niger as foreign workers</t>
  </si>
  <si>
    <t>144. Les immigrés qui viennent au Niger en tant que travailleurs étrangers</t>
  </si>
  <si>
    <t>144. Baƙin haure masu zuwa Nijar a matsayin ma'aikata ƴan ƙasashen waje</t>
  </si>
  <si>
    <t>shm_tol_muslim</t>
  </si>
  <si>
    <t>144. People of a different sect of Islam</t>
  </si>
  <si>
    <t>144. Les gens d'une autre secte de l'Islam</t>
  </si>
  <si>
    <t>144. Mabiya wasu ɗarikun musulunci</t>
  </si>
  <si>
    <t>WHH</t>
  </si>
  <si>
    <t>${shm_home} = 0</t>
  </si>
  <si>
    <t>145. People of a different sect of Islam</t>
  </si>
  <si>
    <t>145. Les gens d'une autre secte de l'Islam</t>
  </si>
  <si>
    <t>145. Mabiya wasu ɗarikun musulunci</t>
  </si>
  <si>
    <t>shm_marry_daughter_relig</t>
  </si>
  <si>
    <t>145. Imagine one of your daughters wanted to marry someone of a different religious faith, would you give them your permission?</t>
  </si>
  <si>
    <t>145. Imaginez qu'une de vos filles veuille épouser quelqu'un d'une confession religieuse différente, leur donneriez-vous votre permission ?</t>
  </si>
  <si>
    <t>145. Ku ƙaddara da wata ɗaiyarku ta na son ta auri wani mai biyar wani addini daban, za ku bada izininku?</t>
  </si>
  <si>
    <t>Word Vision</t>
  </si>
  <si>
    <t>146. Imagine one of your daughters wanted to marry someone of a different religious faith, would you give them your permission?</t>
  </si>
  <si>
    <t>146. Imaginez qu'une de vos filles veuille épouser quelqu'un d'une confession religieuse différente, leur donneriez-vous votre permission ?</t>
  </si>
  <si>
    <t>146. Ku ƙaddara da wata ɗaiyarku ta na son ta auri wani mai biyar wani addini daban, za ku bada izininku?</t>
  </si>
  <si>
    <t>shm_marry_son_relig</t>
  </si>
  <si>
    <t>146. Imagine one of your sons wanted to marry someone of a different religious faith, would you give them your permission?</t>
  </si>
  <si>
    <t>146. Imaginez que l'un de vos fils veuille épouser quelqu'un d'une confession religieuse différente, leur donneriez-vous votre permission ?</t>
  </si>
  <si>
    <t>146. Ku ƙaddara da wani ɗanku ya na son ya auri wata ƴan addini daban, za ku bada izininku?</t>
  </si>
  <si>
    <t>${shm_current_in_niger} = 1</t>
  </si>
  <si>
    <t>147. Imagine one of your sons wanted to marry someone of a different religious faith, would you give them your permission?</t>
  </si>
  <si>
    <t>147. Imaginez que l'un de vos fils veuille épouser quelqu'un d'une confession religieuse différente, leur donneriez-vous votre permission ?</t>
  </si>
  <si>
    <t>147. Ku ƙaddara da wani ɗanku ya na son ya auri wata ƴan addini daban, za ku bada izininku?</t>
  </si>
  <si>
    <t>shm_marry_daughter_eth</t>
  </si>
  <si>
    <t>147. Imagine one of your daughters wanted to marry someone of a different ethnic group, would you give them your permission?</t>
  </si>
  <si>
    <t>147. Imaginez qu'une de vos filles veuille épouser quelqu'un d'un groupe ethnique différent, leur donneriez-vous votre permission ?</t>
  </si>
  <si>
    <t>147. Ku ƙaddara da wata ɗiyarka tana son ta auri ɗan wata kabila daban, za ku bada izininka?</t>
  </si>
  <si>
    <t>ZARES</t>
  </si>
  <si>
    <t>148. Imagine one of your daughters wanted to marry someone of a different ethnic group, would you give them your permission?</t>
  </si>
  <si>
    <t>148. Imaginez qu'une de vos filles veuille épouser quelqu'un d'un groupe ethnique différent, leur donneriez-vous votre permission ?</t>
  </si>
  <si>
    <t>148. Ku ƙaddara da wata ɗiyarka tana son ta auri ɗan wata kabila daban, za ku bada izininka?</t>
  </si>
  <si>
    <t>shm_marry_son_eth</t>
  </si>
  <si>
    <t>148. Imagine one of your sons wanted to marry someone of a different ethnic group, would you give them your permission?</t>
  </si>
  <si>
    <t>148. Imaginez que l'un de vos fils veuille épouser quelqu'un d'un groupe ethnique différent, leur donneriez-vous votre permission ?</t>
  </si>
  <si>
    <t>148. Ku ƙaddara da wani ɗanku ya na son ya auri wata ƴar wata ƙabila daban, za ku bada izininku?</t>
  </si>
  <si>
    <t>149. Imagine one of your sons wanted to marry someone of a different ethnic group, would you give them your permission?</t>
  </si>
  <si>
    <t>149. Imaginez que l'un de vos fils veuille épouser quelqu'un d'un groupe ethnique différent, leur donneriez-vous votre permission ?</t>
  </si>
  <si>
    <t>149. Ku ƙaddara da wani ɗanku ya na son ya auri wata ƴar wata ƙabila daban, za ku bada izininku?</t>
  </si>
  <si>
    <t>select_one statement</t>
  </si>
  <si>
    <t>shm_governance_opinion</t>
  </si>
  <si>
    <t>149.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</si>
  <si>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149.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</si>
  <si>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149. 1) Tsarin dimoraɗiyya ta fi kowace irin tsari mulki
 2) A wani yanayi ana iya fifita gwamnatin da ba ta dimokraɗiyya ba
 3) Ga mai irina, ba ruwanmu da wace irin gwamnati muke da ita”.</t>
  </si>
  <si>
    <t>${shm_current_in_niger} = 0</t>
  </si>
  <si>
    <t>150.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</si>
  <si>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150.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</si>
  <si>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150. 1) Tsarin dimoraɗiyya ta fi kowace irin tsari mulki
 2) A wani yanayi ana iya fifita gwamnatin da ba ta dimokraɗiyya ba
 3) Ga mai irina, ba ruwanmu da wace irin gwamnati muke da ita”.</t>
  </si>
  <si>
    <t>select_one state_likert</t>
  </si>
  <si>
    <t>shm_rule_law</t>
  </si>
  <si>
    <t>150.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</si>
  <si>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150.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</si>
  <si>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150.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</si>
  <si>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151. 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t>
  </si>
  <si>
    <t>151. 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t>
  </si>
  <si>
    <t>151. 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t>
  </si>
  <si>
    <t>shm_violence_justified</t>
  </si>
  <si>
    <t>mig_countries</t>
  </si>
  <si>
    <t>151.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</si>
  <si>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151.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</si>
  <si>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151.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</si>
  <si>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${shm_current_country} = -777</t>
  </si>
  <si>
    <t>152.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</si>
  <si>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152.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</si>
  <si>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152.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</si>
  <si>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speedcheck_shm_soc_op_end</t>
  </si>
  <si>
    <t>243. For ${w_emergency_name}
What was the value of the following in CFA?</t>
  </si>
  <si>
    <t>243. Par rapport à ${w_emergency_name}
Quelle était la valeur des éléments suivantes en CFA?</t>
  </si>
  <si>
    <t>243. Game da ${w_emergency_name}
 Nawa ne kimar waɗannan abubuwan a kuɗin CFA?</t>
  </si>
  <si>
    <t>dur_shm_soc_op</t>
  </si>
  <si>
    <t>search('towns', 'matches', 'country_id', ${shm_current_country})</t>
  </si>
  <si>
    <t>244. Assets you sold</t>
  </si>
  <si>
    <t>244. Les actifs que vous avez vendus</t>
  </si>
  <si>
    <t>244. Kadarorin da kuka saida</t>
  </si>
  <si>
    <t>${shm_current_in_niger} = 0 and ${shm_current_country} != -999</t>
  </si>
  <si>
    <t>246. Savings you spent?</t>
  </si>
  <si>
    <t>246. L'épargne que vous avez utilisé</t>
  </si>
  <si>
    <t>246. Ajiyar da kuka kashe</t>
  </si>
  <si>
    <t>speedcheck_shm_end</t>
  </si>
  <si>
    <t>concat(${shm_current_country}, '-', ${shm_current_town})</t>
  </si>
  <si>
    <t>232. Has your household spent money on the following types of expenses in the past week?</t>
  </si>
  <si>
    <t>232. Votre ménage a-t-il dépensé de l'argent pour les types de dépenses suivants au cours de la semaine dernière ?</t>
  </si>
  <si>
    <t>232. Ko gidanku sun kashe kuɗi akan ire iren waɗannan abubuwan a cikin satin da ya gabata?</t>
  </si>
  <si>
    <t>dur_shm</t>
  </si>
  <si>
    <t>226. Specify other unit:</t>
  </si>
  <si>
    <t>226. Spécifiez une autre unité :</t>
  </si>
  <si>
    <t>226. Baiyana wani amfanin gonar daban:</t>
  </si>
  <si>
    <t>speedcheck_w_start</t>
  </si>
  <si>
    <t>w_questions</t>
  </si>
  <si>
    <t>Woman Questionnaire</t>
  </si>
  <si>
    <t>227. What quantity (${hoh_crop_unit_name}) of ${hoh_crop_name} did your household sell since the last harvest?</t>
  </si>
  <si>
    <t>227. Quelle quantité (${hoh_crop_unit_name}) de ${hoh_crop_name} votre ménage a-t-il vendu depuis la dernière récolte ?</t>
  </si>
  <si>
    <t>227. Nawa ne yawan (${hoh_crop_unit_name}) na ${hoh_crop_name} gidanku ya saida tun daga kaka na ƙarshe?</t>
  </si>
  <si>
    <t>w_note</t>
  </si>
  <si>
    <t>152. Woman Questions</t>
  </si>
  <si>
    <t>152. Questions de femme</t>
  </si>
  <si>
    <t>152. Tambayoyin Mata</t>
  </si>
  <si>
    <t>if(${shm_current_in_niger} = 1, choice-label(${shm_current_region}, ${shm_current_region}), pulldata('towns', 'town_name', 'combo_id', ${shm_current_town_id}))</t>
  </si>
  <si>
    <t>153. Woman Questions</t>
  </si>
  <si>
    <t>153. Questions de femme</t>
  </si>
  <si>
    <t>153. Tambayoyin Mata</t>
  </si>
  <si>
    <t>speedcheck_w_loc_start</t>
  </si>
  <si>
    <t>234. For Tabaski, did your household purchase any of the following?</t>
  </si>
  <si>
    <t>234. Pour la Tabaski, votre ménage a-t-il acheté l'un des articles suivants ?</t>
  </si>
  <si>
    <t>234. Don sallar layya, gidanku ya sayi ɗaya daga cikin waɗannan abubuwa?</t>
  </si>
  <si>
    <t>w_resp_location</t>
  </si>
  <si>
    <t>153. Before we begin, I would like to ask you about the locations of other respondents of this household</t>
  </si>
  <si>
    <t>153. Avant de commencer, j'aimerais vous poser des questions sur l'endroit o' se trouvent les autres répondants de ce ménage.</t>
  </si>
  <si>
    <t>153. Kafin mu fara, Ina so in tambaye ku game da wuraren da sauran masu amsa wannan gidan</t>
  </si>
  <si>
    <t>154. Before we begin, I would like to ask you about the locations of other respondents of this household</t>
  </si>
  <si>
    <t>154. Avant de commencer, j'aimerais vous poser des questions sur l'endroit o' se trouvent les autres répondants de ce ménage.</t>
  </si>
  <si>
    <t>154. Kafin mu fara, Ina so in tambaye ku game da wuraren da sauran masu amsa wannan gidan</t>
  </si>
  <si>
    <t>w_pm_home</t>
  </si>
  <si>
    <t>154. Is ${pm_name} currently living in your household?</t>
  </si>
  <si>
    <t>154. ${pm_name} vit-il actuellement dans votre ménage?</t>
  </si>
  <si>
    <t>154. Ko ${pm_name} yana zaune a gidan ku a hali yanzu?</t>
  </si>
  <si>
    <t>155. Is ${pm_name} currently living in your household?</t>
  </si>
  <si>
    <t>155. ${pm_name} vit-il actuellement dans votre ménage?</t>
  </si>
  <si>
    <t>if(${shm_home} = 1, ${pm_home_location}, ${shm_current_town_name})</t>
  </si>
  <si>
    <t>155. Ko ${pm_name} yana zaune a gidan ku a hali yanzu?</t>
  </si>
  <si>
    <t>w_pm_in_niger</t>
  </si>
  <si>
    <t>155. Where is ${pm_name} living right now?
 Enumerator: Is location in Niger?</t>
  </si>
  <si>
    <t>155. Où est ${pm_name} en ce moment?
 Énquêteur: le lieu est-il au Niger?</t>
  </si>
  <si>
    <t>155. Ina ${pm_name} yake a yanzu?
 Dan bincike: Ko wurin a Nijar ne?</t>
  </si>
  <si>
    <t>156. Where is ${pm_name} living right now?
 Enumerator: Is location in Niger?</t>
  </si>
  <si>
    <t>156. Où est ${pm_name} en ce moment?
 Énquêteur: le lieu est-il au Niger?</t>
  </si>
  <si>
    <t>156. Ina ${pm_name} yake a yanzu?
 Dan bincike: Ko wurin a Nijar ne?</t>
  </si>
  <si>
    <t>w_pm_region</t>
  </si>
  <si>
    <t>156. Enumerator: Select region in Niger</t>
  </si>
  <si>
    <t>156. Enquêteur : Sélectionnez une région au Niger</t>
  </si>
  <si>
    <t>156. Ɗan bincike: Zaɓi Jaha ɗaya a Nijar</t>
  </si>
  <si>
    <t>157. Enumerator: Select region in Niger</t>
  </si>
  <si>
    <t>157. Enquêteur : Sélectionnez une région au Niger</t>
  </si>
  <si>
    <t>157. Ɗan bincike: Zaɓi Jaha ɗaya a Nijar</t>
  </si>
  <si>
    <t>w_pm_country</t>
  </si>
  <si>
    <t>157. Enumerator: Select country</t>
  </si>
  <si>
    <t>157. Enquêteur : sélectionnez le pays</t>
  </si>
  <si>
    <t>157. Ɗan bincike: Zaɓi ƙasa</t>
  </si>
  <si>
    <t>158. Enumerator: Select country</t>
  </si>
  <si>
    <t>158. Enquêteur : sélectionnez le pays</t>
  </si>
  <si>
    <t>158. Ɗan bincike: Zaɓi ƙasa</t>
  </si>
  <si>
    <t>w_pm_country_o</t>
  </si>
  <si>
    <t>158. Enumerator: Enter other country</t>
  </si>
  <si>
    <t>158. Enquêteur : Entrez un autre pays</t>
  </si>
  <si>
    <t>158. Ɗan bincike: Shigar da wata ƙasa</t>
  </si>
  <si>
    <t>159. Enumerator: Enter other country</t>
  </si>
  <si>
    <t>159. Enquêteur : Entrez un autre pays</t>
  </si>
  <si>
    <t>159. Ɗan bincike: Shigar da wata ƙasa</t>
  </si>
  <si>
    <t>w_pm_town</t>
  </si>
  <si>
    <t>159. Enumerator: Select town</t>
  </si>
  <si>
    <t>159. Enquêteur : Sélectionnez la ville</t>
  </si>
  <si>
    <t>159. Ɗan bincike: Zaɓi gari</t>
  </si>
  <si>
    <t>. &gt; 0</t>
  </si>
  <si>
    <t>160. Enumerator: Select town</t>
  </si>
  <si>
    <t>160. Enquêteur : Sélectionnez la ville</t>
  </si>
  <si>
    <t>160. Ɗan bincike: Zaɓi gari</t>
  </si>
  <si>
    <t>w_pm_town_o</t>
  </si>
  <si>
    <t>160. Enumerator: Enter other town</t>
  </si>
  <si>
    <t>160. Enquêteur : Entrez un autre ville</t>
  </si>
  <si>
    <t>160. Ɗan bincike: Shigar da wata gari</t>
  </si>
  <si>
    <t>161. Enumerator: Enter other town</t>
  </si>
  <si>
    <t>161. Enquêteur : Entrez un autre ville</t>
  </si>
  <si>
    <t>161. Ɗan bincike: Shigar da wata gari</t>
  </si>
  <si>
    <t>w_pm_home_2w</t>
  </si>
  <si>
    <t>161. Will ${pm_name} be in the household within the next two weeks?</t>
  </si>
  <si>
    <t>161. Est-ce que ${pm_name} sera dans le menage dans les deux prochaines semaines ?</t>
  </si>
  <si>
    <t>161. Ko ${pm_name} zai kasance a cikin gida a cikin sati biyu masu zuwa?</t>
  </si>
  <si>
    <t>162. Will ${pm_name} be in the household within the next two weeks?</t>
  </si>
  <si>
    <t>162. Est-ce que ${pm_name} sera dans le menage dans les deux prochaines semaines ?</t>
  </si>
  <si>
    <t>162. Ko ${pm_name} zai kasance a cikin gida a cikin sati biyu masu zuwa?</t>
  </si>
  <si>
    <t>w_pm_contact</t>
  </si>
  <si>
    <t>Have you spoken with ${pm_name} in the past month?</t>
  </si>
  <si>
    <t>Avez-vous parlé à ${pm_name} au cours du mois dernier ?</t>
  </si>
  <si>
    <t>Ko kun yi magana da ${pm_name} a cikin watan da ya gabata?</t>
  </si>
  <si>
    <t>163. Have you spoken with ${pm_name} in the past month?</t>
  </si>
  <si>
    <t>163. Avez-vous parlé à ${pm_name} au cours du mois dernier ?</t>
  </si>
  <si>
    <t>163. Ko kun yi magana da ${pm_name} a cikin watan da ya gabata?</t>
  </si>
  <si>
    <t>w_shm_home</t>
  </si>
  <si>
    <t>162. Are you currently living in your household?</t>
  </si>
  <si>
    <t>162. Vivez-vous vit-il actuellement dans votre ménage?</t>
  </si>
  <si>
    <t>162. Ko ${shm_name} yana zaune a gidan ku a hali yanzu?</t>
  </si>
  <si>
    <t>164. Are you currently living in your household?</t>
  </si>
  <si>
    <t>164. Vivez-vous vit-il actuellement dans votre ménage?</t>
  </si>
  <si>
    <t>164. Ko ${shm_name} yana zaune a gidan ku a hali yanzu?</t>
  </si>
  <si>
    <t>w_shm_in_niger</t>
  </si>
  <si>
    <t>163. Where are you living?
 Enumerator: Is location in Niger?</t>
  </si>
  <si>
    <t>163. Où habites-tu?
 Enquêteur : le lieu est-il au Niger?</t>
  </si>
  <si>
    <t>163. Ina kuke zaune?
 Mai bincike: Wurin a Nijar ne?</t>
  </si>
  <si>
    <t>165. Where are you living?
 Enumerator: Is location in Niger?</t>
  </si>
  <si>
    <t>165. Où habites-tu?
 Enquêteur : le lieu est-il au Niger?</t>
  </si>
  <si>
    <t>165. Ina kuke zaune?
 Mai bincike: Wurin a Nijar ne?</t>
  </si>
  <si>
    <t>w_shm_region</t>
  </si>
  <si>
    <t>164. Enumerator: Select region in Niger</t>
  </si>
  <si>
    <t>164. Enquêteur : Sélectionnez une région au Niger</t>
  </si>
  <si>
    <t>${speedcheck_shm_loc_end} - ${speedcheck_shm_loc_start}</t>
  </si>
  <si>
    <t>164. Ɗan bincike: Zaɓi Jaha ɗaya a Nijar</t>
  </si>
  <si>
    <t>166. Enumerator: Select region in Niger</t>
  </si>
  <si>
    <t>166. Enquêteur : Sélectionnez une région au Niger</t>
  </si>
  <si>
    <t>166. Ɗan bincike: Zaɓi Jaha ɗaya a Nijar</t>
  </si>
  <si>
    <t>w_shm_country</t>
  </si>
  <si>
    <t>165. Enumerator: Select country</t>
  </si>
  <si>
    <t>165. Enquêteur : sélectionnez le pays</t>
  </si>
  <si>
    <t>165. Ɗan bincike: Zaɓi ƙasa</t>
  </si>
  <si>
    <t>167. Enumerator: Select country</t>
  </si>
  <si>
    <t>167. Enquêteur : sélectionnez le pays</t>
  </si>
  <si>
    <t>167. Ɗan bincike: Zaɓi ƙasa</t>
  </si>
  <si>
    <t>w_shm_country_o</t>
  </si>
  <si>
    <t>166. Enumerator: Enter other country</t>
  </si>
  <si>
    <t>166. Enquêteur : Entrez un autre pays</t>
  </si>
  <si>
    <t>166. Ɗan bincike: Shigar da wata ƙasa</t>
  </si>
  <si>
    <t>168. Enumerator: Enter other country</t>
  </si>
  <si>
    <t>168. Enquêteur : Entrez un autre pays</t>
  </si>
  <si>
    <t>168. Ɗan bincike: Shigar da wata ƙasa</t>
  </si>
  <si>
    <t>w_shm_town</t>
  </si>
  <si>
    <t>167. Enumerator: Select town</t>
  </si>
  <si>
    <t>167. Enquêteur : Sélectionnez la ville</t>
  </si>
  <si>
    <t>167. Ɗan bincike: Zaɓi gari</t>
  </si>
  <si>
    <t>169. Enumerator: Select town</t>
  </si>
  <si>
    <t>169. Enquêteur : Sélectionnez la ville</t>
  </si>
  <si>
    <t>169. Ɗan bincike: Zaɓi gari</t>
  </si>
  <si>
    <t>w_shm_town_o</t>
  </si>
  <si>
    <t>168. Enumerator: Enter other town</t>
  </si>
  <si>
    <t>168. Enquêteur : Entrez un autre ville</t>
  </si>
  <si>
    <t>168. Ɗan bincike: Shigar da wata gari</t>
  </si>
  <si>
    <t>170. Enumerator: Enter other town</t>
  </si>
  <si>
    <t>170. Enquêteur : Entrez un autre ville</t>
  </si>
  <si>
    <t>170. Ɗan bincike: Shigar da wata gari</t>
  </si>
  <si>
    <t>speedcheck_w_loc_end</t>
  </si>
  <si>
    <t>266. How to you invest your money such as whether to improve your house</t>
  </si>
  <si>
    <t>266. Comment investir votre argent, par exemple pour améliorer votre maison</t>
  </si>
  <si>
    <t>266. Yadda za ku kashe kuɗin ku, kamar gyaran gidanku</t>
  </si>
  <si>
    <t>dur_w_loc</t>
  </si>
  <si>
    <t>267. Family planning (when to have children)</t>
  </si>
  <si>
    <t>267. Planification familiale (quand avoir des enfants)</t>
  </si>
  <si>
    <t>267. Tsarin iyali (lokacin ɗaukan ciki)</t>
  </si>
  <si>
    <t>speedcheck_w_savings_start</t>
  </si>
  <si>
    <t>w_savings_note</t>
  </si>
  <si>
    <t>170. I would like to ask you about different ways you may use money that you earn.</t>
  </si>
  <si>
    <t>170. Maintenant, je voudrais vous poser des questions sur les différentes façons dont vous pouvez utiliser l'argent que vous gagnez.</t>
  </si>
  <si>
    <t>170. Yanzu ina so in tambaye ku hanyoyi daban-daban da zaku iya amfani da su wajen kashe kuɗin da kuke samu.</t>
  </si>
  <si>
    <t>171. I would like to ask you about different ways you may use money that you earn.</t>
  </si>
  <si>
    <t>171. Maintenant, je voudrais vous poser des questions sur les différentes façons dont vous pouvez utiliser l'argent que vous gagnez.</t>
  </si>
  <si>
    <t>171. Yanzu ina so in tambaye ku hanyoyi daban-daban da zaku iya amfani da su wajen kashe kuɗin da kuke samu.</t>
  </si>
  <si>
    <t>select_multiple savings</t>
  </si>
  <si>
    <t>w_separate_savings</t>
  </si>
  <si>
    <t>171. Do you currently have savings of each of the following types that you have put aside for yourself, separate from your household?</t>
  </si>
  <si>
    <t>171. Avez-vous actuellement des économies de chacun des types suivants que vous avez mises de côté pour vous-même, séparément de votre ménage ?</t>
  </si>
  <si>
    <t>171. Ko a halin yanzu kuna da tanadi na kowane nau'in waɗannan nau'ikan da kuka ware wa kanku?</t>
  </si>
  <si>
    <t>172. Do you currently have savings of each of the following types that you have put aside for yourself, separate from your household?</t>
  </si>
  <si>
    <t>172. Avez-vous actuellement des économies de chacun des types suivants que vous avez mises de côté pour vous-même, séparément de votre ménage ?</t>
  </si>
  <si>
    <t>172. Ko a halin yanzu kuna da tanadi na kowane nau'in waɗannan nau'ikan da kuka ware wa kanku?</t>
  </si>
  <si>
    <t>w_separate_savings_o</t>
  </si>
  <si>
    <t>172. Specify other:</t>
  </si>
  <si>
    <t>172. Précisez autre :</t>
  </si>
  <si>
    <t>172. Ƙayyade wasu:</t>
  </si>
  <si>
    <t>173. Specify other:</t>
  </si>
  <si>
    <t>173. Précisez autre :</t>
  </si>
  <si>
    <t>173. Ƙayyade wasu:</t>
  </si>
  <si>
    <t>w_savings_amt</t>
  </si>
  <si>
    <t>Savings Amount</t>
  </si>
  <si>
    <t>Montant de l'épargne</t>
  </si>
  <si>
    <t>Yawan kuɗin ajiye</t>
  </si>
  <si>
    <t>272. I should always sacrifice my personal needs and wants to satisfy my parents.</t>
  </si>
  <si>
    <t>272. Je devrais toujours sacrifier mes besoins personnels et vouloir satisfaire mes parents.</t>
  </si>
  <si>
    <t>272. Dole ne ko yaushe in sadaukar da bukatuna na kaina don in gamsar da iyayena.</t>
  </si>
  <si>
    <t>w_savings_name</t>
  </si>
  <si>
    <t>Savings Type Name</t>
  </si>
  <si>
    <t>Nom du type d'épargne</t>
  </si>
  <si>
    <t>Sunan Nau'in Ajiya</t>
  </si>
  <si>
    <t>273. If I had an emergency that required 5,000 CFA urgently (within 3 days), I would be able to find the money.</t>
  </si>
  <si>
    <t>273. Si j'avais une urgence qui nécessitait 5 000 CFA en urgence (dans les 3 jours), je serais capable de trouver l'argent.</t>
  </si>
  <si>
    <t>273. Idan ina da biƙatar gaggawa na 5,000 CFA (a cikin kwanaki 3), zan iya samun kuɗin.</t>
  </si>
  <si>
    <t>w_savings_type_amt</t>
  </si>
  <si>
    <t>173. Please share with us your best estimate of the value in CFA ${w_savings_name}</t>
  </si>
  <si>
    <t>173. Veuillez partager avec nous votre meilleure estimation de la valeur en CFA ${w_savings_name}</t>
  </si>
  <si>
    <t>173. Da fatan zaku faɗa mana ƙimar da kuke ganin yayi daidai a cikin CFA ${w_savings_name}</t>
  </si>
  <si>
    <t>174. Please share with us your best estimate of the value in CFA ${w_savings_name}</t>
  </si>
  <si>
    <t>174. Veuillez partager avec nous votre meilleure estimation de la valeur en CFA ${w_savings_name}</t>
  </si>
  <si>
    <t>174. Da fatan zaku faɗa mana ƙimar da kuke ganin yayi daidai a cikin CFA ${w_savings_name}</t>
  </si>
  <si>
    <t>${shm_illness_limit} = 1</t>
  </si>
  <si>
    <t>w_savings_interest</t>
  </si>
  <si>
    <t>174. Do you earn interest on this money ${w_savings_name}?</t>
  </si>
  <si>
    <t>174. Gagnez-vous des intérêts sur cet argent ${w_savings_name} ?</t>
  </si>
  <si>
    <t>174. Kuna samun riba akan wannan kuɗin ${w_savings_name}?</t>
  </si>
  <si>
    <t>175. Do you earn interest on this money ${w_savings_name}?</t>
  </si>
  <si>
    <t>175. Gagnez-vous des intérêts sur cet argent ${w_savings_name} ?</t>
  </si>
  <si>
    <t>175. Kuna samun riba akan wannan kuɗin ${w_savings_name}?</t>
  </si>
  <si>
    <t>276. The next set of questions are about your opinions regarding the roles that women and men play</t>
  </si>
  <si>
    <t>276. La prochaine série de questions porte sur vos opinions concernant les rôles que jouent les femmes et les hommes</t>
  </si>
  <si>
    <t>276. Tambayoyi na gaba sun ta'allaƙa ne da ra'ayoyin ku game da rawar da mata da maza suke takawa.</t>
  </si>
  <si>
    <t>select_multiple savings_reasons</t>
  </si>
  <si>
    <t>w_separate_savings_why</t>
  </si>
  <si>
    <t>Do you already have a plan for using the money you have saved?</t>
  </si>
  <si>
    <t>Avez-vous déjà prévu d'utiliser l'argent que vous avez économisé ?</t>
  </si>
  <si>
    <t>Shin kuna da shirin yin amfani da kuɗin da kuka adana?</t>
  </si>
  <si>
    <t>${shm_illness_limit_type} = -777</t>
  </si>
  <si>
    <t>travel</t>
  </si>
  <si>
    <t>176. Do you already have a plan for using the money you have saved?</t>
  </si>
  <si>
    <t>176. Avez-vous déjà prévu d'utiliser l'argent que vous avez économisé ?</t>
  </si>
  <si>
    <t>176. Shin kuna da shirin yin amfani da kuɗin da kuka adana?</t>
  </si>
  <si>
    <t>bus</t>
  </si>
  <si>
    <t>w_separate_savings_why_o</t>
  </si>
  <si>
    <t>Specify other:</t>
  </si>
  <si>
    <t>Autre à préciser</t>
  </si>
  <si>
    <t>bas</t>
  </si>
  <si>
    <t>Wani daban a baiyana</t>
  </si>
  <si>
    <t>177. Specify other:</t>
  </si>
  <si>
    <t>177. Autre à préciser</t>
  </si>
  <si>
    <t>177. Wani daban a baiyana</t>
  </si>
  <si>
    <t>select_multiple purchases</t>
  </si>
  <si>
    <t>w_major_purchase</t>
  </si>
  <si>
    <t>You mentioned that you are saving for a major purchase. What are you planning to buy?</t>
  </si>
  <si>
    <t>Vous avez mentionné que vous économisez pour un achat important. Qu'envisagez-vous d'acheter ?</t>
  </si>
  <si>
    <t>Kun ambaci cewa kuna tanadi don sayen wani abu mai muhimmanci. Me kuke shirin saye?</t>
  </si>
  <si>
    <t>178. You mentioned that you are saving for a major purchase. What are you planning to buy?</t>
  </si>
  <si>
    <t>178. Vous avez mentionné que vous économisez pour un achat important. Qu'envisagez-vous d'acheter ?</t>
  </si>
  <si>
    <t>178. Kun ambaci cewa kuna tanadi don sayen wani abu mai muhimmanci. Me kuke shirin saye?</t>
  </si>
  <si>
    <t>w_major_purchase_o</t>
  </si>
  <si>
    <t>179. Specify other:</t>
  </si>
  <si>
    <t>179. Autre à préciser</t>
  </si>
  <si>
    <t>179. Wani daban a baiyana</t>
  </si>
  <si>
    <t>Enumerator: do not read options, code based on response</t>
  </si>
  <si>
    <t>Enquêteur : ne pas lire les options, code basé sur la réponse</t>
  </si>
  <si>
    <t>Ɗan bincike: kar a karanta zaɓuɓɓuka, lamba bisa amsa</t>
  </si>
  <si>
    <t>255. What to do if someone in your household falls ill</t>
  </si>
  <si>
    <t>255. Que faire si un membre de votre ménage tombe malade</t>
  </si>
  <si>
    <t>255. Abin da za'a yi idan wani a cikin gidanku ya kamu da rashin lafiya</t>
  </si>
  <si>
    <t>${shm_illness} = 1</t>
  </si>
  <si>
    <t>taxi</t>
  </si>
  <si>
    <t>Taxi</t>
  </si>
  <si>
    <t>256. Whether children attend school or not</t>
  </si>
  <si>
    <t>256. Que les enfants soient scolarisés ou non</t>
  </si>
  <si>
    <t>256. Ko za'a rubuta yara makaranta ko a'a</t>
  </si>
  <si>
    <t>speedcheck_w_savings_end</t>
  </si>
  <si>
    <t>on foot</t>
  </si>
  <si>
    <t>à pied</t>
  </si>
  <si>
    <t>a kafa</t>
  </si>
  <si>
    <t>257. Whether you will migrate to find work or stay at home</t>
  </si>
  <si>
    <t>257. Si vous migrez pour trouver du travail ou rester à la maison</t>
  </si>
  <si>
    <t>257. Ko za ku yi tahiya wurin biɗa ko za ku zauna a gida</t>
  </si>
  <si>
    <t>dur_w_savings</t>
  </si>
  <si>
    <t>284. To whom your daughter should marry?</t>
  </si>
  <si>
    <t>284. Avec qui votre fille devrait-elle se marier ?</t>
  </si>
  <si>
    <t>motorcycle</t>
  </si>
  <si>
    <t>284. Wa ya kamata ƴarku ta aura?</t>
  </si>
  <si>
    <t>${shm_illness_type} = -777</t>
  </si>
  <si>
    <t>moto</t>
  </si>
  <si>
    <t>babur</t>
  </si>
  <si>
    <t>258. Can you make your own decisions, without the input of anyone else if you want to regarding:</t>
  </si>
  <si>
    <t>258. Pouvez-vous prendre vos propres décisions, sans l'intervention de quelqu'un d'autre, si vous le souhaitez concernant :</t>
  </si>
  <si>
    <t>258. Za ku iya yanke shawara da kanku, ba tare da sa bakin wani ba idan kuna so dangance da:</t>
  </si>
  <si>
    <t>speedcheck_w_nothoh_start</t>
  </si>
  <si>
    <t>259. How to use money that you earn</t>
  </si>
  <si>
    <t>259. Comment utiliser l'argent que vous gagnez</t>
  </si>
  <si>
    <t>259. Yadda ake amfani da kuɗin da kuke samu</t>
  </si>
  <si>
    <t>w_not_hoh</t>
  </si>
  <si>
    <t>w_wellbeing_note</t>
  </si>
  <si>
    <t>175. I would like to ask you a few questions about your health and wellbeing</t>
  </si>
  <si>
    <t>175. Je voudrais vous poser quelques questions sur votre santé et votre bien-être</t>
  </si>
  <si>
    <t>175. Ina so in yi muku wasu ƴan tambayoyi game da lafiyar jikinku da jin daɗin ku</t>
  </si>
  <si>
    <t>180. I would like to ask you a few questions about your health and wellbeing</t>
  </si>
  <si>
    <t>180. Je voudrais vous poser quelques questions sur votre santé et votre bien-être</t>
  </si>
  <si>
    <t>180. Ina so in yi muku wasu ƴan tambayoyi game da lafiyar jikinku da jin daɗin ku</t>
  </si>
  <si>
    <t>w_physical_health</t>
  </si>
  <si>
    <t>176. In general, how would you characterize your physical health?</t>
  </si>
  <si>
    <t>176. En général, comment caractériseriez-vous votre santé physique ?</t>
  </si>
  <si>
    <t>176. A taƙaice, yaya za ku siffanta lafiyar jikin ku?</t>
  </si>
  <si>
    <t>reason_nowork</t>
  </si>
  <si>
    <t>181. In general, how would you characterize your physical health?</t>
  </si>
  <si>
    <t>181. En général, comment caractériseriez-vous votre santé physique ?</t>
  </si>
  <si>
    <t>Health reasons</t>
  </si>
  <si>
    <t>181. A taƙaice, yaya za ku siffanta lafiyar jikin ku?</t>
  </si>
  <si>
    <t>Raisons de santé</t>
  </si>
  <si>
    <t>Dalilan lafiya</t>
  </si>
  <si>
    <t>w_illness_limit</t>
  </si>
  <si>
    <t>177. Do you currently suffer from any illness or disability that limits your ability to travel or work?</t>
  </si>
  <si>
    <t>177. Souffrez-vous actuellement d'une maladie ou d'un handicap qui limite votre capacité à voyager ou à travailler ?</t>
  </si>
  <si>
    <t>. &gt;= 0 and . &lt;= 16</t>
  </si>
  <si>
    <t>177. A halin yanzu, ko kuna fama da wata rashin lafiya ko naƙasa da ke iya kawo muku cikas game da tahiya bulaguro ko yin aiki?</t>
  </si>
  <si>
    <t>182. Do you currently suffer from any illness or disability that limits your ability to travel or work?</t>
  </si>
  <si>
    <t>182. Souffrez-vous actuellement d'une maladie ou d'un handicap qui limite votre capacité à voyager ou à travailler ?</t>
  </si>
  <si>
    <t>182. A halin yanzu, ko kuna fama da wata rashin lafiya ko naƙasa da ke iya kawo muku cikas game da tahiya bulaguro ko yin aiki?</t>
  </si>
  <si>
    <t>select_multiple illness</t>
  </si>
  <si>
    <t>w_illness_limit_type</t>
  </si>
  <si>
    <t>178. What illness limits you in this way?</t>
  </si>
  <si>
    <t>178. Quelle maladie vous limite de cette manière ?</t>
  </si>
  <si>
    <t>178. Wace cuta ce ke tsaida ku a kan wannan?</t>
  </si>
  <si>
    <t>Studies / school</t>
  </si>
  <si>
    <t>Études / école</t>
  </si>
  <si>
    <t>Karatu / makaranta</t>
  </si>
  <si>
    <t>${w_shm} = 0</t>
  </si>
  <si>
    <t>183. What illness limits you in this way?</t>
  </si>
  <si>
    <t>183. Quelle maladie vous limite de cette manière ?</t>
  </si>
  <si>
    <t>183. Wace cuta ce ke tsaida ku a kan wannan?</t>
  </si>
  <si>
    <t>w_illness_limit_type_o</t>
  </si>
  <si>
    <t>179. Other, specify:</t>
  </si>
  <si>
    <t>179. Autre précisez:</t>
  </si>
  <si>
    <t>179. Sauran, bayar da cikakkun bayanai:</t>
  </si>
  <si>
    <t>184. Other, specify:</t>
  </si>
  <si>
    <t>184. Autre précisez:</t>
  </si>
  <si>
    <t>184. Sauran, bayar da cikakkun bayanai:</t>
  </si>
  <si>
    <t>w_illness</t>
  </si>
  <si>
    <t>180. In the past six months, did you suffer from an illness or injury that disrupted your daily life?</t>
  </si>
  <si>
    <t>Took time off for leisure</t>
  </si>
  <si>
    <t>A pris du temps pour les loisirs</t>
  </si>
  <si>
    <t>A cikin watanni shida da suka gabata, ko kun yi fama da rashin lafiya ko rauni wanda ya kawo cikas ga rayuwar yau da kullun?</t>
  </si>
  <si>
    <t>Ya ɗauki lokaci don nashaɗi</t>
  </si>
  <si>
    <t>185. In the past six months, did you suffer from an illness or injury that disrupted your daily life?</t>
  </si>
  <si>
    <t>185. Au cours des six derniers mois, avez-vous souffert d'une maladie ou d'une blessure qui a perturbé votre quotidien ?</t>
  </si>
  <si>
    <t>185. A cikin watanni shida da suka gabata, ko kun yi fama da rashin lafiya ko rauni wanda ya kawo cikas ga rayuwar yau da kullun?</t>
  </si>
  <si>
    <t>w_illness_type</t>
  </si>
  <si>
    <t>181. What type of illness or injury did you experience?</t>
  </si>
  <si>
    <t>181. Preciser le type de maladie ou de blessure</t>
  </si>
  <si>
    <t>181. Baiyana irin ciwo ko raunin da kuka yi fama da shi?</t>
  </si>
  <si>
    <t>Could not find work</t>
  </si>
  <si>
    <t>186. What type of illness or injury did you experience?</t>
  </si>
  <si>
    <t>186. Preciser le type de maladie ou de blessure</t>
  </si>
  <si>
    <t>Je n'ai pas trouvé de travail</t>
  </si>
  <si>
    <t>186. Baiyana irin ciwo ko raunin da kuka yi fama da shi?</t>
  </si>
  <si>
    <t>Ban samu aiki ba</t>
  </si>
  <si>
    <t>w_illness_type_o</t>
  </si>
  <si>
    <t>182. Specify other illness or injury</t>
  </si>
  <si>
    <t>182. Preciser le type de maladie ou de blessure</t>
  </si>
  <si>
    <t>182. Baiyana irin ciwo ko raunin da kuka fama?</t>
  </si>
  <si>
    <t>187. Specify other illness or injury</t>
  </si>
  <si>
    <t>187. Preciser le type de maladie ou de blessure</t>
  </si>
  <si>
    <t>187. Baiyana irin ciwo ko raunin da kuka fama?</t>
  </si>
  <si>
    <t>w_seek_treatment</t>
  </si>
  <si>
    <t>183. Did you seek any treatment for any illness or injury?</t>
  </si>
  <si>
    <t>183. Avez-vous cherché un traitement pour une maladie ou une blessure ?</t>
  </si>
  <si>
    <t>183. Ko kun nemi wani magani don wata cuta ko rauni?</t>
  </si>
  <si>
    <t>list-nolabel</t>
  </si>
  <si>
    <t>188. Did you seek any treatment for any illness or injury?</t>
  </si>
  <si>
    <t>188. Avez-vous cherché un traitement pour une maladie ou une blessure ?</t>
  </si>
  <si>
    <t>188. Ko kun nemi wani magani don wata cuta ko rauni?</t>
  </si>
  <si>
    <t>w_past_week_note</t>
  </si>
  <si>
    <t>184. Now I want to ask you about the past week (7 days)</t>
  </si>
  <si>
    <t>184. Maintenant, je veux vous poser des questions sur la semaine dernière (7 jours)</t>
  </si>
  <si>
    <t>184. Yanzu ina son in muku tambayoyi bisa satin (makon) da ya wuce (kwana 7)</t>
  </si>
  <si>
    <t>189. Now I want to ask you about the past week (7 days)</t>
  </si>
  <si>
    <t>189. Maintenant, je veux vous poser des questions sur la semaine dernière (7 jours)</t>
  </si>
  <si>
    <t>189. Yanzu ina son in muku tambayoyi bisa satin (makon) da ya wuce (kwana 7)</t>
  </si>
  <si>
    <t>w_sleep</t>
  </si>
  <si>
    <t>185. How many hours of sleep per night did you get on average in the last seven days?</t>
  </si>
  <si>
    <t>185. Combien d'heures de sommeil par nuit avez-vous dormi en moyenne au cours des sept derniers jours ?</t>
  </si>
  <si>
    <t>185. Misalin Sa'o'i nawa a taƙaice kuke yin barci a kowane dare a cikin kwanaki bakwai na ƙarshe da suka wuce?</t>
  </si>
  <si>
    <t>190. How many hours of sleep per night did you get on average in the last seven days?</t>
  </si>
  <si>
    <t>190. Combien d'heures de sommeil par nuit avez-vous dormi en moyenne au cours des sept derniers jours ?</t>
  </si>
  <si>
    <t>190. Misalin Sa'o'i nawa a taƙaice kuke yin barci a kowane dare a cikin kwanaki bakwai na ƙarshe da suka wuce?</t>
  </si>
  <si>
    <t>docs</t>
  </si>
  <si>
    <t>w_emotions</t>
  </si>
  <si>
    <t>w_emotion</t>
  </si>
  <si>
    <t>186. In the past week, how often did you experience the following feelings?</t>
  </si>
  <si>
    <t>186. Au cours de la semaine dernière, à quelle fréquence avez-vous ressenti les sentiments suivants ?</t>
  </si>
  <si>
    <t>186. A cikin satin da ya wuce, sau nawa kuka ji irin waɗannan abubuwan a ranku?</t>
  </si>
  <si>
    <t>191. In the past week, how often did you experience the following feelings?</t>
  </si>
  <si>
    <t>191. Au cours de la semaine dernière, à quelle fréquence avez-vous ressenti les sentiments suivants ?</t>
  </si>
  <si>
    <t>191. A cikin satin da ya wuce, sau nawa kuka ji irin waɗannan abubuwan a ranku?</t>
  </si>
  <si>
    <t>Birth certificate</t>
  </si>
  <si>
    <t>Extrait de naissance</t>
  </si>
  <si>
    <t>w_emotion1</t>
  </si>
  <si>
    <t>187. Enjoyment</t>
  </si>
  <si>
    <t>Takardar shaidar haihuwa</t>
  </si>
  <si>
    <t>187. Plaisir</t>
  </si>
  <si>
    <t>187. jin daɗi</t>
  </si>
  <si>
    <t>192. Enjoyment</t>
  </si>
  <si>
    <t>192. Plaisir</t>
  </si>
  <si>
    <t>192. jin daɗi</t>
  </si>
  <si>
    <t>w_emotion2</t>
  </si>
  <si>
    <t>188. Happiness</t>
  </si>
  <si>
    <t>188. Bonheur</t>
  </si>
  <si>
    <t>Passport</t>
  </si>
  <si>
    <t>188. Farin ciki</t>
  </si>
  <si>
    <t>Passeport</t>
  </si>
  <si>
    <t>Fasfo</t>
  </si>
  <si>
    <t>193. Happiness</t>
  </si>
  <si>
    <t>193. Bonheur</t>
  </si>
  <si>
    <t>193. Farin ciki</t>
  </si>
  <si>
    <t>w_emotion3</t>
  </si>
  <si>
    <t>189. Stress</t>
  </si>
  <si>
    <t>189. Babbar Damuwa</t>
  </si>
  <si>
    <t>National ID card</t>
  </si>
  <si>
    <t>Carte d'identité nationale</t>
  </si>
  <si>
    <t>194. Stress</t>
  </si>
  <si>
    <t>Katin ID na kasa</t>
  </si>
  <si>
    <t>194. Babbar Damuwa</t>
  </si>
  <si>
    <t>w_emotion4</t>
  </si>
  <si>
    <t>190. Worry</t>
  </si>
  <si>
    <t>190. Inquiétude</t>
  </si>
  <si>
    <t>190. Damuwa</t>
  </si>
  <si>
    <t>195. Worry</t>
  </si>
  <si>
    <t>195. Inquiétude</t>
  </si>
  <si>
    <t>195. Damuwa</t>
  </si>
  <si>
    <t>w_emotion5</t>
  </si>
  <si>
    <t>191. Anger</t>
  </si>
  <si>
    <t>191. Colère</t>
  </si>
  <si>
    <t>191. Fushi</t>
  </si>
  <si>
    <t>Vaccine booklet</t>
  </si>
  <si>
    <t>Carnet de vaccins</t>
  </si>
  <si>
    <t>Littafin rigakafi</t>
  </si>
  <si>
    <t>196. Anger</t>
  </si>
  <si>
    <t>196. Colère</t>
  </si>
  <si>
    <t>196. Fushi</t>
  </si>
  <si>
    <t>w_emotion6</t>
  </si>
  <si>
    <t>192. Physical pain</t>
  </si>
  <si>
    <t>192. Douleur physique</t>
  </si>
  <si>
    <t>192. ciwon jiki</t>
  </si>
  <si>
    <t>197. Physical pain</t>
  </si>
  <si>
    <t>197. Douleur physique</t>
  </si>
  <si>
    <t>197. ciwon jiki</t>
  </si>
  <si>
    <t>w_emotion7</t>
  </si>
  <si>
    <t>193. Loneliness</t>
  </si>
  <si>
    <t>193. Solitude</t>
  </si>
  <si>
    <t>193. kadaici</t>
  </si>
  <si>
    <t>ECOWAS ID card</t>
  </si>
  <si>
    <t>198. Loneliness</t>
  </si>
  <si>
    <t>Carte d'identité CEDEAO</t>
  </si>
  <si>
    <t>198. Solitude</t>
  </si>
  <si>
    <t>Katin ID na ECOWAS</t>
  </si>
  <si>
    <t>198. kadaici</t>
  </si>
  <si>
    <t>Travel visa</t>
  </si>
  <si>
    <t>Visa de voyage</t>
  </si>
  <si>
    <t>Visa ta balaguro</t>
  </si>
  <si>
    <t>w_esteem</t>
  </si>
  <si>
    <t>w_self_esteem_note</t>
  </si>
  <si>
    <t>194. I will now read out several statements. You should tell me whether these statements are true for you by using the following scale.</t>
  </si>
  <si>
    <t>194. Je vais maintenant lire plusieurs déclarations. Vous devez me dire si ces affirmations sont vraies pour vous en utilisant l'échelle suivante.</t>
  </si>
  <si>
    <t>194. Yanzu zan karanta wasu maganganu da yawa. Za ku gaya mini ko waɗannan maganganun sun yi daidai da ku ta hanyar yin amfani da kuranga mai zuwa.</t>
  </si>
  <si>
    <t>199. I will now read out several statements. You should tell me whether these statements are true for you by using the following scale.</t>
  </si>
  <si>
    <t>199. Je vais maintenant lire plusieurs déclarations. Vous devez me dire si ces affirmations sont vraies pour vous en utilisant l'échelle suivante.</t>
  </si>
  <si>
    <t>199. Yanzu zan karanta wasu maganganu da yawa. Za ku gaya mini ko waɗannan maganganun sun yi daidai da ku ta hanyar yin amfani da kuranga mai zuwa.</t>
  </si>
  <si>
    <t>w_self_esteem_4</t>
  </si>
  <si>
    <t>195. I feel I do not have much to be proud of.</t>
  </si>
  <si>
    <t>195. Je sens que je n'ai pas beaucoup de raisons d'être fier (comblé).</t>
  </si>
  <si>
    <t>195. Ina jin ba ni da hujjojin jin daɗi.</t>
  </si>
  <si>
    <t>200. I feel I do not have much to be proud of.</t>
  </si>
  <si>
    <t>200. Je sens que je n'ai pas beaucoup de raisons d'être fier (comblé).</t>
  </si>
  <si>
    <t>200. Ina jin ba ni da hujjojin jin daɗi.</t>
  </si>
  <si>
    <t>w_self_esteem_9</t>
  </si>
  <si>
    <t>196. At times I think I am no good at all.</t>
  </si>
  <si>
    <t>196. Parfois, je pense que je suis utile a rien</t>
  </si>
  <si>
    <t>196. A wasu lokuta ina ganin bani da amfani.</t>
  </si>
  <si>
    <t>201. At times I think I am no good at all.</t>
  </si>
  <si>
    <t>201. Parfois, je pense que je suis utile a rien</t>
  </si>
  <si>
    <t>201. A wasu lokuta ina ganin bani da amfani.</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</si>
  <si>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</si>
  <si>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</si>
  <si>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Cikin waɗannan maganganun da za'a zana sai ka bada amsa idan ka yarda sosai, ka yarda, baka yarda ba, baka yarda ba sam sam da shi.</t>
  </si>
  <si>
    <t>287. To whom your daughter should marry?</t>
  </si>
  <si>
    <t>287. Avec qui votre fille devrait-elle se marier ?</t>
  </si>
  <si>
    <t>287. Wa ya kamata ƴarku ta aura?</t>
  </si>
  <si>
    <t>w_ladder_scale</t>
  </si>
  <si>
    <t>197.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</si>
  <si>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197.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</si>
  <si>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197.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</si>
  <si>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202. 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</si>
  <si>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202. 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</si>
  <si>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202. 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t>
  </si>
  <si>
    <t>w_worries</t>
  </si>
  <si>
    <t>Worries</t>
  </si>
  <si>
    <t>nopay</t>
  </si>
  <si>
    <t>w_worries_note</t>
  </si>
  <si>
    <t>198. Now I am going to ask you about the areas of your life that worry you.</t>
  </si>
  <si>
    <t>Family business / land</t>
  </si>
  <si>
    <t>Entreprise familiale / terre</t>
  </si>
  <si>
    <t>198. Je voudrais maintenant vous poser des questions sur les choses qui vous inquiètent dans votre vie.</t>
  </si>
  <si>
    <t>Kasuwancin iyali / ƙasa</t>
  </si>
  <si>
    <t>198. Yanzu ina son in tambaye ku bisa abubuwan da ke damun ku a cikin rayuwar ku.</t>
  </si>
  <si>
    <t>203. Now I am going to ask you about the areas of your life that worry you.</t>
  </si>
  <si>
    <t>203. Je voudrais maintenant vous poser des questions sur les choses qui vous inquiètent dans votre vie.</t>
  </si>
  <si>
    <t>203. Yanzu ina son in tambaye ku bisa abubuwan da ke damun ku a cikin rayuwar ku.</t>
  </si>
  <si>
    <t>w_risk_prob_note</t>
  </si>
  <si>
    <t>Employer refused to pay me</t>
  </si>
  <si>
    <t>199. How stressed are you about the following areas of your life?</t>
  </si>
  <si>
    <t>L'employeur a refusé de me payer</t>
  </si>
  <si>
    <t>Mai gida ya ƙi biya na</t>
  </si>
  <si>
    <t>199. Dans quelle mesure êtes-vous stressé par les domaines suivants de votre vie ?</t>
  </si>
  <si>
    <t>199. Yaya damuwarku game da abubuwa na rayuwarku da zan zana?</t>
  </si>
  <si>
    <t>204. How stressed are you about the following areas of your life?</t>
  </si>
  <si>
    <t>204. Dans quelle mesure êtes-vous stressé par les domaines suivants de votre vie ?</t>
  </si>
  <si>
    <t>204. Yaya damuwarku game da abubuwa na rayuwarku da zan zana?</t>
  </si>
  <si>
    <t>w_health_problems</t>
  </si>
  <si>
    <t>200. Your own health problems, illness</t>
  </si>
  <si>
    <t>200. Vos propres problèmes de santé</t>
  </si>
  <si>
    <t>200. Matsalolin lafiyar jikinku</t>
  </si>
  <si>
    <t>205. Your own health problems, illness</t>
  </si>
  <si>
    <t>Paid out debt through work</t>
  </si>
  <si>
    <t>205. Vos propres problèmes de santé</t>
  </si>
  <si>
    <t>205. Matsalolin lafiyar jikinku</t>
  </si>
  <si>
    <t>Rembourser la dette par le travail</t>
  </si>
  <si>
    <t>Biyan bashi ta hanyar aiki</t>
  </si>
  <si>
    <t>w_home_problems</t>
  </si>
  <si>
    <t>201. Problems at home and with relatives</t>
  </si>
  <si>
    <t>201. Problèmes dans le ménage et avec les proches</t>
  </si>
  <si>
    <t>201. Matsaloli na cikin gida da na dangi</t>
  </si>
  <si>
    <t>206. Problems at home and with relatives</t>
  </si>
  <si>
    <t>206. Problèmes dans le ménage et avec les proches</t>
  </si>
  <si>
    <t>206. Matsaloli na cikin gida da na dangi</t>
  </si>
  <si>
    <t>w_accidents_disasters</t>
  </si>
  <si>
    <t>202. Accidents and disasters</t>
  </si>
  <si>
    <t>202. Accidents et catastrophes</t>
  </si>
  <si>
    <t>202. Hatsari da bala'o'i</t>
  </si>
  <si>
    <t>207. Accidents and disasters</t>
  </si>
  <si>
    <t>Self-employed but did not earn profit</t>
  </si>
  <si>
    <t>207. Accidents et catastrophes</t>
  </si>
  <si>
    <t>Indépendant mais n'a pas réalisé de profit</t>
  </si>
  <si>
    <t>207. Hatsari da bala'o'i</t>
  </si>
  <si>
    <t>Mai aikin kansa amma bai samu riba ba</t>
  </si>
  <si>
    <t>w_prob_other_ethnicity</t>
  </si>
  <si>
    <t>208. Problems with people in other ethnic groups</t>
  </si>
  <si>
    <t>208. Problèmes avec les personnes d'autres groupes ethniques</t>
  </si>
  <si>
    <t>208. Matsaloli da mutanen wasu kabilu daban</t>
  </si>
  <si>
    <t>Apprenticeship</t>
  </si>
  <si>
    <t>Apprentissage</t>
  </si>
  <si>
    <t>Koyo</t>
  </si>
  <si>
    <t>w_money_problems</t>
  </si>
  <si>
    <t>203. Not enough money for basic needs (sucha as food and clothing)</t>
  </si>
  <si>
    <t>203. Pas assez d'argent pour les besoins de base (tels que la nourriture et les vêtements)</t>
  </si>
  <si>
    <t>203. Rashin isassun kuɗi don buƙatun asali (kamar abinci da sutura)</t>
  </si>
  <si>
    <t>209. Not enough money for basic needs (sucha as food and clothing)</t>
  </si>
  <si>
    <t>209. Pas assez d'argent pour les besoins de base (tels que la nourriture et les vêtements)</t>
  </si>
  <si>
    <t>209. Rashin isassun kuɗi don buƙatun asali (kamar abinci da sutura)</t>
  </si>
  <si>
    <t>w_cant_educate_children</t>
  </si>
  <si>
    <t>204. Not being able to educate all children</t>
  </si>
  <si>
    <t>204. Ne pas pouvoir scolariser tous les enfants</t>
  </si>
  <si>
    <t>204. Rashin iya rubuta dukkan yara a makarantar boko</t>
  </si>
  <si>
    <t>210. Not being able to educate all children</t>
  </si>
  <si>
    <t>210. Ne pas pouvoir scolariser tous les enfants</t>
  </si>
  <si>
    <t>210. Rashin iya rubuta dukkan yara a makarantar boko</t>
  </si>
  <si>
    <t>w_cant_find_work</t>
  </si>
  <si>
    <t>205. Difficulty finding work</t>
  </si>
  <si>
    <t>205. Difficulté à trouver du travail</t>
  </si>
  <si>
    <t>205. Wahalar neman aiki</t>
  </si>
  <si>
    <t>211. Difficulty finding work</t>
  </si>
  <si>
    <t>211. Difficulté à trouver du travail</t>
  </si>
  <si>
    <t>211. Wahalar neman aiki</t>
  </si>
  <si>
    <t>w_idleness</t>
  </si>
  <si>
    <t>206. Idleness of children or spouse</t>
  </si>
  <si>
    <t>206. L'oisiveté des enfants ou du conjoint</t>
  </si>
  <si>
    <t>206. Zaman banza na yara ko mata</t>
  </si>
  <si>
    <t>212. Idleness of children or spouse</t>
  </si>
  <si>
    <t>212. L'oisiveté des enfants ou du conjoint</t>
  </si>
  <si>
    <t>212. Zaman banza na yara ko mata</t>
  </si>
  <si>
    <t>w_alcohol_consumption</t>
  </si>
  <si>
    <t>207. Alcohol comsumption of children or spouse</t>
  </si>
  <si>
    <t>207. Consommation d'alcool des enfants ou du conjoint</t>
  </si>
  <si>
    <t>207. Shan giya na yara ko mata</t>
  </si>
  <si>
    <t>employer</t>
  </si>
  <si>
    <t>Self-employed</t>
  </si>
  <si>
    <t>Travailleur indépendant</t>
  </si>
  <si>
    <t>Aikin-kai</t>
  </si>
  <si>
    <t>213. Alcohol comsumption of children or spouse</t>
  </si>
  <si>
    <t>213. Consommation d'alcool des enfants ou du conjoint</t>
  </si>
  <si>
    <t>213. Shan giya na yara ko mata</t>
  </si>
  <si>
    <t>w_family_death</t>
  </si>
  <si>
    <t>208. Death of a family member</t>
  </si>
  <si>
    <t>208. Décès d'un membre de la famille</t>
  </si>
  <si>
    <t>208. Mutuwar wani ɗan uwa</t>
  </si>
  <si>
    <t>Employed by individual</t>
  </si>
  <si>
    <t>Employé par un particulier</t>
  </si>
  <si>
    <t>214. Death of a family member</t>
  </si>
  <si>
    <t>Mutum wani mutum mai gida</t>
  </si>
  <si>
    <t>214. Décès d'un membre de la famille</t>
  </si>
  <si>
    <t>214. Mutuwar wani ɗan uwa</t>
  </si>
  <si>
    <t>w_debt_owed</t>
  </si>
  <si>
    <t>209. Debts owed to others</t>
  </si>
  <si>
    <t>209. Dettes envers autrui</t>
  </si>
  <si>
    <t>209. Bashi da wasu ke binku</t>
  </si>
  <si>
    <t>Employed by private businesss</t>
  </si>
  <si>
    <t>Employé par des entreprises privées</t>
  </si>
  <si>
    <t>Yin aiki da kamfanoni masu zaman kansu</t>
  </si>
  <si>
    <t>215. Debts owed to others</t>
  </si>
  <si>
    <t>215. Dettes envers autrui</t>
  </si>
  <si>
    <t>215. Bashi da wasu ke binku</t>
  </si>
  <si>
    <t>Employed by public sector</t>
  </si>
  <si>
    <t>Employé par le secteur public</t>
  </si>
  <si>
    <t>Ma'aikaci na gwamnati</t>
  </si>
  <si>
    <t>319. Punch you with his fist or with something that could hurt you</t>
  </si>
  <si>
    <t>319. Vous frapper avec son poing ou avec quelque chose qui pourrait vous blesser</t>
  </si>
  <si>
    <t>319. Yi muku naushi da hannu ko da wani abu da zai iya cutar da ku</t>
  </si>
  <si>
    <t>${shm_married} = 1</t>
  </si>
  <si>
    <t>w_six_months_note</t>
  </si>
  <si>
    <t>210. Now I will ask about some things that may have happened to you during the past six months.</t>
  </si>
  <si>
    <t>purpose</t>
  </si>
  <si>
    <t>For work</t>
  </si>
  <si>
    <t>Pour le travail</t>
  </si>
  <si>
    <t>Don aiki</t>
  </si>
  <si>
    <t>216. Now I will ask about some things that may have happened to you during the past six months.</t>
  </si>
  <si>
    <t>216. Je vais maintenant vous interroger sur ce qui vous est arrivé au cours des six derniers mois.</t>
  </si>
  <si>
    <t>216. Yanzu zan yi tambaya game da wasu abubuwa da wataƙila suka faru da ku a cikin watanni shida da suka gabata.</t>
  </si>
  <si>
    <t>w_disc</t>
  </si>
  <si>
    <t>211. How often, if at all, were you personally discriminated against based on your identity (ethnicity, religion, nationality)?</t>
  </si>
  <si>
    <t>211. À quelle fréquence, si ça vous est déjà arrivé, avez-vous personnellement été victime de discrimination liée a votre identité (ethnie, religion, nationalité) ?</t>
  </si>
  <si>
    <t>211. Sau nawa, idan ya faru a gareku, aka nuna muku wariya dangance da kabilarku, ko addininku, ko ƙasarku2?</t>
  </si>
  <si>
    <t>For social reasons (visit family/friends, attend ceremony)</t>
  </si>
  <si>
    <t>Pour des raisons sociales (visiter famille/amis, assister à une cérémonie)</t>
  </si>
  <si>
    <t>Don dalilai na zamantakewa (ziyarci dangi/abokai, halartar bikin)</t>
  </si>
  <si>
    <t>217. How often, if at all, were you personally discriminated against based on your identity (ethnicity, religion, nationality)?</t>
  </si>
  <si>
    <t>217. À quelle fréquence, si ça vous est déjà arrivé, avez-vous personnellement été victime de discrimination liée a votre identité (ethnie, religion, nationalité) ?</t>
  </si>
  <si>
    <t>217. Sau nawa, idan ya faru a gareku, aka nuna muku wariya dangance da kabilarku, ko addininku, ko ƙasarku2?</t>
  </si>
  <si>
    <t>w_felt_unsafe</t>
  </si>
  <si>
    <t>212. How often, if ever, have you felt unsafe walking in the neighborhood where you are staying?</t>
  </si>
  <si>
    <t>212. Combien de fois, vous vous êtes-vous senti en danger en vous promenant dans le quartier où vous séjournez, si cela vous est jamais arrivé ?</t>
  </si>
  <si>
    <t>212. Sau nawa, idan ya faru a gareku, kuka ji kuna cikin hatsari yayin da kuke yawo a cikin unguwar da kuke zaune?</t>
  </si>
  <si>
    <t>Accompany/reunify with spouse</t>
  </si>
  <si>
    <t>Accompagner/réunifier avec le conjoint</t>
  </si>
  <si>
    <t>Rakiya/sake haduwa da miji</t>
  </si>
  <si>
    <t>218. How often, if ever, have you felt unsafe walking in the neighborhood where you are staying?</t>
  </si>
  <si>
    <t>218. Combien de fois, vous vous êtes-vous senti en danger en vous promenant dans le quartier où vous séjournez, si cela vous est jamais arrivé ?</t>
  </si>
  <si>
    <t>218. Sau nawa, idan ya faru a gareku, kuka ji kuna cikin hatsari yayin da kuke yawo a cikin unguwar da kuke zaune?</t>
  </si>
  <si>
    <t>For studies</t>
  </si>
  <si>
    <t>Pour les études</t>
  </si>
  <si>
    <t>Domin karatu</t>
  </si>
  <si>
    <t>323. attack you with a knife, gun, or other type of weapon</t>
  </si>
  <si>
    <t>323. Vous attaquer avec un couteau, une arme à feu ou tout autre type d'arme</t>
  </si>
  <si>
    <t>323. Kawo muku hari da wuka, bindiga, ko wani makami daban</t>
  </si>
  <si>
    <t>w_vict</t>
  </si>
  <si>
    <t>For medical reasons</t>
  </si>
  <si>
    <t>324. force you to perform sexual actswith him even when you did not want to</t>
  </si>
  <si>
    <t>Pour des raisons médicales</t>
  </si>
  <si>
    <t>324. vous forcer à accomplir des actes sexuels avec lui même lorsque vous ne le vouliez pas</t>
  </si>
  <si>
    <t>324. tilasta muku ka yin jima'i da shi ko da ba ki da buƙata</t>
  </si>
  <si>
    <t>w_experienced_note</t>
  </si>
  <si>
    <t>213. Have you experienced any of the following during ${period}?</t>
  </si>
  <si>
    <t>213. Avez-vous vécu l'une des situations suivantes depuis le debut de ${period_french} ?</t>
  </si>
  <si>
    <t>213. Ko kun taɓa fuskantar ɗayan waɗannan abubuwan a wannan wurin, lokacin ${period_hausa}?</t>
  </si>
  <si>
    <t>219. Have you experienced any of the following during ${period}?</t>
  </si>
  <si>
    <t>219. Avez-vous vécu l'une des situations suivantes depuis le debut de ${period_french} ?</t>
  </si>
  <si>
    <t>219. Ko kun taɓa fuskantar ɗayan waɗannan abubuwan a wannan wurin, lokacin ${period_hausa}?</t>
  </si>
  <si>
    <t>w_phys_attacked</t>
  </si>
  <si>
    <t>Transit (on my way somewhere else)</t>
  </si>
  <si>
    <t>214. Physical attack</t>
  </si>
  <si>
    <t>Transit (en route ailleurs)</t>
  </si>
  <si>
    <t>214. Attaque physique</t>
  </si>
  <si>
    <t>Tafiya (a kan hanya ta zuwa wani wuri)</t>
  </si>
  <si>
    <t>214. harin jiki</t>
  </si>
  <si>
    <t>C'est une mesure de 0 à 10,</t>
  </si>
  <si>
    <t>220. Physical attack</t>
  </si>
  <si>
    <t>Wannan ma'auni ne daga 0 zuwa 10</t>
  </si>
  <si>
    <t>220. Attaque physique</t>
  </si>
  <si>
    <t>220. harin jiki</t>
  </si>
  <si>
    <t>w_phys_threat</t>
  </si>
  <si>
    <t>. &gt;= 0 and . &lt;= 10</t>
  </si>
  <si>
    <t>215. Threat of physical violence/attack</t>
  </si>
  <si>
    <t>215. Menace de violence physique/agression</t>
  </si>
  <si>
    <t>215. Barazanar ​​harin jiki</t>
  </si>
  <si>
    <t>221. Threat of physical violence/attack</t>
  </si>
  <si>
    <t>221. Menace de violence physique/agression</t>
  </si>
  <si>
    <t>other</t>
  </si>
  <si>
    <t>221. Barazanar ​​harin jiki</t>
  </si>
  <si>
    <t>autre</t>
  </si>
  <si>
    <t>w_theft</t>
  </si>
  <si>
    <t>216. Theft of either money or property?</t>
  </si>
  <si>
    <t>216. Vol d'argent ou de propriété?</t>
  </si>
  <si>
    <t>216. Satar kudi ko dukiya?</t>
  </si>
  <si>
    <t>222. Theft of either money or property?</t>
  </si>
  <si>
    <t>222. Vol d'argent ou de propriété?</t>
  </si>
  <si>
    <t>222. Satar kudi ko dukiya?</t>
  </si>
  <si>
    <t>w_arrest</t>
  </si>
  <si>
    <t>217. Detention or arrest by state security forces?</t>
  </si>
  <si>
    <t>217. Détention ou arrestation par les forces de sécurité de l'État ?</t>
  </si>
  <si>
    <t>217. Kaso ko kamu daga jami'an tsaron gwamnati?</t>
  </si>
  <si>
    <t>223. Detention or arrest by state security forces?</t>
  </si>
  <si>
    <t>223. Détention ou arrestation par les forces de sécurité de l'État ?</t>
  </si>
  <si>
    <t>223. Kaso ko kamu daga jami'an tsaron gwamnati?</t>
  </si>
  <si>
    <t>276. You paid ${hoh_hire_livestock_total} in CFA for people to care for your animals, is this correct?</t>
  </si>
  <si>
    <t>276. Vous avez payé ${hoh_hire_livestock_total} (en CFA) aux personnes qui s'occupent de vos animaux, est-ce exact ?</t>
  </si>
  <si>
    <t>276. ${hoh_hire_livestock_total} (a sefa) kuka biya, ko daidai ne?</t>
  </si>
  <si>
    <t>w_vict_text</t>
  </si>
  <si>
    <t>277. In the past three months, did any member of your household care for livestock owned by other people?</t>
  </si>
  <si>
    <t>277. Au cours des trois derniers mois, un membre de votre ménage s'est-il occupé du bétail appartenant à d'autres personnes ?</t>
  </si>
  <si>
    <t>277. A cikin watanni uku da suka wuce, akwai wani ɗan gidanku da ya kula da dabbobin wasu mutane?</t>
  </si>
  <si>
    <t>w_vict_text_note</t>
  </si>
  <si>
    <t>218. Now I would like to ask you to tell me more about your specific experience with:</t>
  </si>
  <si>
    <t>218. J'aimerais maintenant vous demander de m'en dire un peu plus sur votre expérience spécifique avec :</t>
  </si>
  <si>
    <t>218. Yanzu ina so in tambaye ku ƙarin bayani game da takamaiman gogewarku na masamman game da:</t>
  </si>
  <si>
    <t>224. Now I would like to ask you to tell me more about your specific experience with:</t>
  </si>
  <si>
    <t>224. J'aimerais maintenant vous demander de m'en dire un peu plus sur votre expérience spécifique avec :</t>
  </si>
  <si>
    <t>224. Yanzu ina so in tambaye ku ƙarin bayani game da takamaiman gogewarku na masamman game da:</t>
  </si>
  <si>
    <t>w_attack_note</t>
  </si>
  <si>
    <t>219. Physical attack</t>
  </si>
  <si>
    <t>219. Attaque physique</t>
  </si>
  <si>
    <t>219. harin jiki</t>
  </si>
  <si>
    <t>225. Physical attack</t>
  </si>
  <si>
    <t>${speedcheck_shm_health_end} - ${speedcheck_shm_health_start}</t>
  </si>
  <si>
    <t>225. Attaque physique</t>
  </si>
  <si>
    <t>225. harin jiki</t>
  </si>
  <si>
    <t>w_phys_threat_note</t>
  </si>
  <si>
    <t>220. Threat of physical violence/attack</t>
  </si>
  <si>
    <t>220. Menace de violence physique/agression</t>
  </si>
  <si>
    <t>220. Barazanar ​​harin jiki</t>
  </si>
  <si>
    <t>stay</t>
  </si>
  <si>
    <t>Home (owned by own household)</t>
  </si>
  <si>
    <t>226. Threat of physical violence/attack</t>
  </si>
  <si>
    <t>Maison (appartenant à son propre ménage)</t>
  </si>
  <si>
    <t>226. Menace de violence physique/agression</t>
  </si>
  <si>
    <t>226. Barazanar ​​harin jiki</t>
  </si>
  <si>
    <t>Gida (mallakar gidan kansa)</t>
  </si>
  <si>
    <t>w_theft_note</t>
  </si>
  <si>
    <t>221. Theft of either money or property?</t>
  </si>
  <si>
    <t>221. Vol d'argent ou de propriété?</t>
  </si>
  <si>
    <t>221. Satar kudi ko dukiya?</t>
  </si>
  <si>
    <t>227. Theft of either money or property?</t>
  </si>
  <si>
    <t>227. Vol d'argent ou de propriété?</t>
  </si>
  <si>
    <t>227. Satar kudi ko dukiya?</t>
  </si>
  <si>
    <t>w_arrest_note</t>
  </si>
  <si>
    <t>Home of friends/familiy (no cost)</t>
  </si>
  <si>
    <t>222. Detention or arrest by state security forces?</t>
  </si>
  <si>
    <t>Maison d'amis/famille (sans frais)</t>
  </si>
  <si>
    <t>222. Détention ou arrestation par les forces de sécurité de l'État ?</t>
  </si>
  <si>
    <t>222. Kaso ko kamu daga jami'an tsaron gwamnati?</t>
  </si>
  <si>
    <t>Gidan abokai/iyali (ba farashi)</t>
  </si>
  <si>
    <t>228. Detention or arrest by state security forces?</t>
  </si>
  <si>
    <t>228. Détention ou arrestation par les forces de sécurité de l'État ?</t>
  </si>
  <si>
    <t>228. Kaso ko kamu daga jami'an tsaron gwamnati?</t>
  </si>
  <si>
    <t>Rented accomodation alone</t>
  </si>
  <si>
    <t>Logement loué seul</t>
  </si>
  <si>
    <t>Gidan haya shi kaɗai</t>
  </si>
  <si>
    <t>Rented accomodation with others</t>
  </si>
  <si>
    <t>Logement en location avec d'autres</t>
  </si>
  <si>
    <t>Hayar gida tare da wasu</t>
  </si>
  <si>
    <t>w_meals_note</t>
  </si>
  <si>
    <t>223. I will now ask you about meals people in your household have consumed in the past 7 days.</t>
  </si>
  <si>
    <t>223. Je vais maintenant vous poser des questions sur les repas que les membres de votre ménage ont consommé au cours des 7 derniers jours.</t>
  </si>
  <si>
    <t>223. Yanzu zan tambaye ku bisa abincin da mutanen gidanku suka ci a cikin kwanaki 7 da suka wuce.</t>
  </si>
  <si>
    <t>229. I will now ask you about meals people in your household have consumed in the past 7 days.</t>
  </si>
  <si>
    <t>229. Je vais maintenant vous poser des questions sur les repas que les membres de votre ménage ont consommé au cours des 7 derniers jours.</t>
  </si>
  <si>
    <t>229. Yanzu zan tambaye ku bisa abincin da mutanen gidanku suka ci a cikin kwanaki 7 da suka wuce.</t>
  </si>
  <si>
    <t>Street</t>
  </si>
  <si>
    <t>Rue</t>
  </si>
  <si>
    <t>w_adults_skip_days</t>
  </si>
  <si>
    <t>Titi</t>
  </si>
  <si>
    <t>224. In the last 7 days, have adults gone a whole day without meals?</t>
  </si>
  <si>
    <t>224. Au cours des 7 derniers jours, des adultes sont-ils restés une journée entière sans manger de repas ?</t>
  </si>
  <si>
    <t>224. A cikin kwanaki 7 da suka wuce, ko manya gidanku sun zauna tsawon wuni guda basu ci abinci ba?</t>
  </si>
  <si>
    <t>230. In the last 7 days, have adults gone a whole day without meals?</t>
  </si>
  <si>
    <t>230. Au cours des 7 derniers jours, des adultes sont-ils restés une journée entière sans manger de repas ?</t>
  </si>
  <si>
    <t>230. A cikin kwanaki 7 da suka wuce, ko manya gidanku sun zauna tsawon wuni guda basu ci abinci ba?</t>
  </si>
  <si>
    <t>Shelter (mosque, association)</t>
  </si>
  <si>
    <t>Abri (mosquée, association)</t>
  </si>
  <si>
    <t>Matsuguni (masallaci, ƙungiya)</t>
  </si>
  <si>
    <t>w_adults_skip_days_num</t>
  </si>
  <si>
    <t>225. How many days?</t>
  </si>
  <si>
    <t>225. Pendant combien de jours?</t>
  </si>
  <si>
    <t>225. 151a Tsawon kwanaki nawa?</t>
  </si>
  <si>
    <t>231. How many days?</t>
  </si>
  <si>
    <t>231. Pendant combien de jours?</t>
  </si>
  <si>
    <t>231. 151a Tsawon kwanaki nawa?</t>
  </si>
  <si>
    <t>w_adults_skip_meals</t>
  </si>
  <si>
    <t>226. In the last 7 days, have adults cut the size of meals or skipped meals?</t>
  </si>
  <si>
    <t>226. Au cours des 7 derniers jours, les adultes ont-ils réduit la taille de leur repas ou les ont-ils sauté?</t>
  </si>
  <si>
    <t>226. A cikin kwanaki 7 na ƙarshe, ko manyan gidanku sun rage yawan abincin da suka saba ci ko sun tsallake shi?</t>
  </si>
  <si>
    <t>Hotel</t>
  </si>
  <si>
    <t>232. In the last 7 days, have adults cut the size of meals or skipped meals?</t>
  </si>
  <si>
    <t>Hôtel</t>
  </si>
  <si>
    <t>232. Au cours des 7 derniers jours, les adultes ont-ils réduit la taille de leur repas ou les ont-ils sauté?</t>
  </si>
  <si>
    <t>Otal</t>
  </si>
  <si>
    <t>232. A cikin kwanaki 7 na ƙarshe, ko manyan gidanku sun rage yawan abincin da suka saba ci ko sun tsallake shi?</t>
  </si>
  <si>
    <t>w_adults_skip_meal_num</t>
  </si>
  <si>
    <t>227. How many days?</t>
  </si>
  <si>
    <t>227. Pendant combien de jours?</t>
  </si>
  <si>
    <t>227. Tsawon kwanaki nawa?</t>
  </si>
  <si>
    <t>233. How many days?</t>
  </si>
  <si>
    <t>233. Pendant combien de jours?</t>
  </si>
  <si>
    <t>233. Tsawon kwanaki nawa?</t>
  </si>
  <si>
    <t>w_adult_protein</t>
  </si>
  <si>
    <t>Employer provided room</t>
  </si>
  <si>
    <t>228. In the past week how many days have adults in your household consumed animal protein (including fish, meat, poultry)?</t>
  </si>
  <si>
    <t>228. Au cours des 7 derniers jours, combien de fois les adultes de votre ménage ont-ils consommé des protéines animales (y compris poisson, viande, volaille) ?</t>
  </si>
  <si>
    <t>Chambre fournie par l'employeur</t>
  </si>
  <si>
    <t>228. A cikin kwanaki 7 da suka wuce sau nawa manyan gidanku suka ci abinci masu gina jiki kamar su kifi ko nama ko kaji?</t>
  </si>
  <si>
    <t>Maigida ya ba da daki</t>
  </si>
  <si>
    <t>234. In the past week how many days have adults in your household consumed animal protein (including fish, meat, poultry)?</t>
  </si>
  <si>
    <t>234. Au cours des 7 derniers jours, combien de fois les adultes de votre ménage ont-ils consommé des protéines animales (y compris poisson, viande, volaille) ?</t>
  </si>
  <si>
    <t>234. A cikin kwanaki 7 da suka wuce sau nawa manyan gidanku suka ci abinci masu gina jiki kamar su kifi ko nama ko kaji?</t>
  </si>
  <si>
    <t>w_child_skip_days</t>
  </si>
  <si>
    <t>229. In the last 7 days, have children (&lt;14) gone a whole day without meals?</t>
  </si>
  <si>
    <t>229. Au cours des 7 derniers jours, des enfants (&lt;14) ont-ils passé une journée entière sans manger de repas ?</t>
  </si>
  <si>
    <t>229. A cikin kwanaki 7 na ƙarshe, ko yara ƴan ƙasa da shekara goma sha huɗu sun zauna tsawon wuni guda ba su ci da abinci ba?</t>
  </si>
  <si>
    <t>235. In the last 7 days, have children (&lt;14) gone a whole day without meals?</t>
  </si>
  <si>
    <t>235. Au cours des 7 derniers jours, des enfants (&lt;14) ont-ils passé une journée entière sans manger de repas ?</t>
  </si>
  <si>
    <t>235. A cikin kwanaki 7 na ƙarshe, ko yara ƴan ƙasa da shekara goma sha huɗu sun zauna tsawon wuni guda ba su ci da abinci ba?</t>
  </si>
  <si>
    <t>w_child_skip_days_num</t>
  </si>
  <si>
    <t>230. How many days?</t>
  </si>
  <si>
    <t>230. Pendant combien de jours?</t>
  </si>
  <si>
    <t>230. 154a Tsawon kwanaki nawa?</t>
  </si>
  <si>
    <t>236. How many days?</t>
  </si>
  <si>
    <t>236. Pendant combien de jours?</t>
  </si>
  <si>
    <t>236. 154a Tsawon kwanaki nawa?</t>
  </si>
  <si>
    <t>w_child_skip_meals</t>
  </si>
  <si>
    <t>231. In the last 7 days, have children (&lt;14) cut the size of meals or skipped meals?</t>
  </si>
  <si>
    <t>231. Au cours des 7 derniers jours, des enfants (&lt;14) ont-ils réduit la taille de leurs repas ou les ont-ils sauté?</t>
  </si>
  <si>
    <t>231. A cikin kwanaki 7 na ƙarshe, suna da yara (&lt;14) sun rage yawan abinci ko sun rasa gaba ɗaya?</t>
  </si>
  <si>
    <t>paytype</t>
  </si>
  <si>
    <t>Cash</t>
  </si>
  <si>
    <t>237. In the last 7 days, have children (&lt;14) cut the size of meals or skipped meals?</t>
  </si>
  <si>
    <t>Especes</t>
  </si>
  <si>
    <t>237. Au cours des 7 derniers jours, des enfants (&lt;14) ont-ils réduit la taille de leurs repas ou les ont-ils sauté?</t>
  </si>
  <si>
    <t>237. A cikin kwanaki 7 na ƙarshe, suna da yara (&lt;14) sun rage yawan abinci ko sun rasa gaba ɗaya?</t>
  </si>
  <si>
    <t>Kuɗi fari</t>
  </si>
  <si>
    <t>w_child_skip_meals_num</t>
  </si>
  <si>
    <t>232. How many days?</t>
  </si>
  <si>
    <t>232. Pendant combien de jours?</t>
  </si>
  <si>
    <t>232. 155a Tsawon kwanaki nawa?</t>
  </si>
  <si>
    <t>238. How many days?</t>
  </si>
  <si>
    <t>238. Pendant combien de jours?</t>
  </si>
  <si>
    <t>238. 155a Tsawon kwanaki nawa?</t>
  </si>
  <si>
    <t>w_child_protein</t>
  </si>
  <si>
    <t>233. In the past week how many days have children in your household consumed animal protein (inlcuding fish, meat, poultry)?</t>
  </si>
  <si>
    <t>233. Au cours des 7 derniers jours, combien de fois les enfants de votre ménage ont-ils consommé des protéines animales (y compris poisson, viande, volaille) ?</t>
  </si>
  <si>
    <t>233. A cikin kwanaki 7 da suka gabata sau nawa yara a cikin gidanku suka ci abinci masu gina jiki kamar su kifi, nama, kaji ?</t>
  </si>
  <si>
    <t>239. In the past week how many days have children in your household consumed animal protein (inlcuding fish, meat, poultry)?</t>
  </si>
  <si>
    <t>239. Au cours des 7 derniers jours, combien de fois les enfants de votre ménage ont-ils consommé des protéines animales (y compris poisson, viande, volaille) ?</t>
  </si>
  <si>
    <t>In-kind</t>
  </si>
  <si>
    <t>239. A cikin kwanaki 7 da suka gabata sau nawa yara a cikin gidanku suka ci abinci masu gina jiki kamar su kifi, nama, kaji ?</t>
  </si>
  <si>
    <t>Nature</t>
  </si>
  <si>
    <t>Wani kaya</t>
  </si>
  <si>
    <t>w_consumption</t>
  </si>
  <si>
    <t>benefits</t>
  </si>
  <si>
    <t>select_multiple cons_month</t>
  </si>
  <si>
    <t>Housing</t>
  </si>
  <si>
    <t>w_monthly_consumption_any</t>
  </si>
  <si>
    <t>Logement</t>
  </si>
  <si>
    <t>234. Has your household spent money on the following types of expenses in the past month?</t>
  </si>
  <si>
    <t>Gidaje</t>
  </si>
  <si>
    <t>234. Votre ménage a-t-il dépensé de l'argent pour les types de dépenses suivants au cours du dernier mois ?</t>
  </si>
  <si>
    <t>234. Shin gidanku ya kashe kuɗi akan irin waɗannan abubuwan a cikin watan da ya gabata?</t>
  </si>
  <si>
    <t>240. Has your household spent money on the following types of expenses in the past month?</t>
  </si>
  <si>
    <t>240. Votre ménage a-t-il dépensé de l'argent pour les types de dépenses suivants au cours du dernier mois ?</t>
  </si>
  <si>
    <t>240. Shin gidanku ya kashe kuɗi akan irin waɗannan abubuwan a cikin watan da ya gabata?</t>
  </si>
  <si>
    <t>w_cons_month</t>
  </si>
  <si>
    <t>Consumption - Monthly</t>
  </si>
  <si>
    <t>Consommation - Mensuelle</t>
  </si>
  <si>
    <t>Cimaka - kowane wata</t>
  </si>
  <si>
    <t>Food</t>
  </si>
  <si>
    <t>Nourriture</t>
  </si>
  <si>
    <t>Abinci</t>
  </si>
  <si>
    <t>w_item</t>
  </si>
  <si>
    <t>item</t>
  </si>
  <si>
    <t>${shm_phys_attacked} = 1 or ${shm_phys_attacked} = 1 or ${shm_theft} = 1 or ${shm_arrest} = 1</t>
  </si>
  <si>
    <t>article</t>
  </si>
  <si>
    <t>kaya</t>
  </si>
  <si>
    <t>Phone Credit</t>
  </si>
  <si>
    <t>Crédit téléphonique</t>
  </si>
  <si>
    <t>Kuɗin kira/Kiredi</t>
  </si>
  <si>
    <t>w_monthly_consumption_amt</t>
  </si>
  <si>
    <t>235. How much did your household spend on ${w_item} in the past month (in CFA)?</t>
  </si>
  <si>
    <t>235. Combien votre ménage a-t-il dépensé pour ${w_item} au cours du dernier mois (en CFA) ?</t>
  </si>
  <si>
    <t>235. Nawa ne (a CFA) gidanku ya kashe akan ${w_item} cikin watan da ya gabata ?</t>
  </si>
  <si>
    <t>241. How much did your household spend on ${w_item} in the past month (in CFA)?</t>
  </si>
  <si>
    <t>241. Combien votre ménage a-t-il dépensé pour ${w_item} au cours du dernier mois (en CFA) ?</t>
  </si>
  <si>
    <t>241. Nawa ne (a CFA) gidanku ya kashe akan ${w_item} cikin watan da ya gabata ?</t>
  </si>
  <si>
    <t>select_multiple cons_week</t>
  </si>
  <si>
    <t>w_weekly_consumption_any</t>
  </si>
  <si>
    <t>236. Has your household spent money on the following types of expenses in the past week?</t>
  </si>
  <si>
    <t>If they refuse, enter -888</t>
  </si>
  <si>
    <t>236. Votre ménage a-t-il dépensé de l'argent pour les types de dépenses suivants au cours de la semaine dernière ?</t>
  </si>
  <si>
    <t>S'il refuse, entrez -888</t>
  </si>
  <si>
    <t>236. Ko gidanku sun kashe kuɗi akan ire iren waɗannan abubuwan a cikin satin da ya gabata?</t>
  </si>
  <si>
    <t>Idan ya ƙiya, shigar da -888</t>
  </si>
  <si>
    <t>${shm_phys_attacked} = 1</t>
  </si>
  <si>
    <t>242. Has your household spent money on the following types of expenses in the past week?</t>
  </si>
  <si>
    <t>242. Votre ménage a-t-il dépensé de l'argent pour les types de dépenses suivants au cours de la semaine dernière ?</t>
  </si>
  <si>
    <t>242. Ko gidanku sun kashe kuɗi akan ire iren waɗannan abubuwan a cikin satin da ya gabata?</t>
  </si>
  <si>
    <t>w_cons_week</t>
  </si>
  <si>
    <t>Consumption - Weekly</t>
  </si>
  <si>
    <t>Consommation - Hebdomadaire</t>
  </si>
  <si>
    <t>Cimakar - sati-sati</t>
  </si>
  <si>
    <t>306. How did you transmit the money to the recipient?</t>
  </si>
  <si>
    <t>306. Comment avez-vous envoyé l'argent au destinataire ?</t>
  </si>
  <si>
    <t>306. Ta wace hanya kuka aika kuɗin ga mai karɓa?</t>
  </si>
  <si>
    <t>w_item_week</t>
  </si>
  <si>
    <t>item weekly</t>
  </si>
  <si>
    <t>article hebdomadaire</t>
  </si>
  <si>
    <t>kayan sati-sati</t>
  </si>
  <si>
    <t>${shm_phys_threat} = 1</t>
  </si>
  <si>
    <t>w_weekly_consumption_amt</t>
  </si>
  <si>
    <t>237. How much did your household spend on ${w_item_week} in the past week (in CFA)?</t>
  </si>
  <si>
    <t>237. Combien votre ménage a-t-il dépensé en ${w_item_week} la semaine dernière (en CFA) ?</t>
  </si>
  <si>
    <t>237. Nawa ne gidan ku ya kashe (a CFA) a ${w_item_week} satin da ya gabata ?</t>
  </si>
  <si>
    <t>243. How much did your household spend on ${w_item_week} in the past week (in CFA)?</t>
  </si>
  <si>
    <t>243. Combien votre ménage a-t-il dépensé en ${w_item_week} la semaine dernière (en CFA) ?</t>
  </si>
  <si>
    <t>243. Nawa ne gidan ku ya kashe (a CFA) a ${w_item_week} satin da ya gabata ?</t>
  </si>
  <si>
    <t>334. What is ${hoh_new_mem_name}'s age?</t>
  </si>
  <si>
    <t>334. Quel âge a ${hoh_new_mem_name} ?</t>
  </si>
  <si>
    <t>334. ${hoh_new_mem_name} Shekarun shi/ta nawa?</t>
  </si>
  <si>
    <t>w_tabaski</t>
  </si>
  <si>
    <t>experience</t>
  </si>
  <si>
    <t>${shm_theft} = 1</t>
  </si>
  <si>
    <t>No did not experience</t>
  </si>
  <si>
    <t>297. Specify the activity</t>
  </si>
  <si>
    <t>297. Précisez l'activité</t>
  </si>
  <si>
    <t>297. Baiyana aikin</t>
  </si>
  <si>
    <t>Non je n'ai pas fait l'expérience</t>
  </si>
  <si>
    <t>w_purchase</t>
  </si>
  <si>
    <t>A'a ban taɓa godawa ba</t>
  </si>
  <si>
    <t>238. For Tabaski, did your household purchase any of the following?</t>
  </si>
  <si>
    <t>Pour la Tabaski, votre menage a-t-il acheté l'un des articles suivants ?</t>
  </si>
  <si>
    <t>Don sallar laiya, gidanku sun sayi ɗaya daga cikin waɗannan abubuwan ?</t>
  </si>
  <si>
    <t>244. For Tabaski, did your household purchase any of the following?</t>
  </si>
  <si>
    <t>244. Pour la Tabaski, votre menage a-t-il acheté l'un des articles suivants ?</t>
  </si>
  <si>
    <t>244. Don sallar laiya, gidanku sun sayi ɗaya daga cikin waɗannan abubuwan ?</t>
  </si>
  <si>
    <t>w_purchase_clothing</t>
  </si>
  <si>
    <t>239. Clothing</t>
  </si>
  <si>
    <t>239. Vêtements</t>
  </si>
  <si>
    <t>239. Tufafi</t>
  </si>
  <si>
    <t>${shm_arrest} = 1</t>
  </si>
  <si>
    <t>245. Clothing</t>
  </si>
  <si>
    <t>245. Vêtements</t>
  </si>
  <si>
    <t>245. Tufafi</t>
  </si>
  <si>
    <t>w_purchase_sheep</t>
  </si>
  <si>
    <t>240. Sheep</t>
  </si>
  <si>
    <t>240. Mouton</t>
  </si>
  <si>
    <t>240. Rago</t>
  </si>
  <si>
    <t>Threatened</t>
  </si>
  <si>
    <t>Menacé</t>
  </si>
  <si>
    <t>Barazana</t>
  </si>
  <si>
    <t>246. Sheep</t>
  </si>
  <si>
    <t>246. Mouton</t>
  </si>
  <si>
    <t>246. Rago</t>
  </si>
  <si>
    <t>w_purchase_goat</t>
  </si>
  <si>
    <t>241. Goat</t>
  </si>
  <si>
    <t>241. Chèvre</t>
  </si>
  <si>
    <t>241. Akuya</t>
  </si>
  <si>
    <t>247. Goat</t>
  </si>
  <si>
    <t>247. Chèvre</t>
  </si>
  <si>
    <t>247. Akuya</t>
  </si>
  <si>
    <t>w_purchase_poultry</t>
  </si>
  <si>
    <t>Experienced</t>
  </si>
  <si>
    <t>242. Poultry</t>
  </si>
  <si>
    <t>Vécu</t>
  </si>
  <si>
    <t>242. Volaille</t>
  </si>
  <si>
    <t>242. Kaji/zabi</t>
  </si>
  <si>
    <t>Kwarewa</t>
  </si>
  <si>
    <t>248. Poultry</t>
  </si>
  <si>
    <t>248. Volaille</t>
  </si>
  <si>
    <t>248. Kaji/zabi</t>
  </si>
  <si>
    <t>316. In the past three months, have you or anyone in your household shared or sent goods (payment in kind) to someone who is not a member of your household and who lives in a foreign country (outside of Niger)?</t>
  </si>
  <si>
    <t>316. Au cours des trois derniers mois, vous ou quelqu'un de votre ménage avez-vous partagé ou envoyé &lt;b&gt;des biens&lt;/b&gt; (paiement en nature) à quelqu'un qui n'est pas membre de votre ménage et qui habite &lt;b&gt;à l'extérieur du Niger&lt;/b&gt; (dans un autre pays) ?</t>
  </si>
  <si>
    <t>316. A cikin watanni uku da suka wuce, kai ko wani a cikin gidanku kun bada ko kun aika kaya (a matsayin biya) ga wanda ba ɗan gidanku ba da ke zaune a wajen Nijar (a wata kasa)?</t>
  </si>
  <si>
    <t>317. What was the value of the goods members of your household sent to people out of Niger?</t>
  </si>
  <si>
    <t>317. Quel était le valeur au total des biens que les membres de votre ménage ont envoyé aux personnes qui sont quelques part hors du Niger ?</t>
  </si>
  <si>
    <t>317. Nawa ne kimar kayan da ƴan gidanku suka aikawa wasu mutane da ke wani wuri ba a Nijar ba?</t>
  </si>
  <si>
    <t>${speedcheck_shm_vict_end} - ${speedcheck_shm_vict_start}</t>
  </si>
  <si>
    <t>301. In the past three months, have you or anyone in your household received money from someone who is not a member of your household and who lives elsewhere in Niger (outside your village)?</t>
  </si>
  <si>
    <t>301. Au cours des trois derniers mois, vous ou un membre de votre ménage avez reçu &lt;b&gt;de l'argent&lt;/b&gt; d'une personne qui n'est pas membre de votre ménage et qui habite &lt;b&gt;ailleurs au Niger&lt;/b&gt; (en dehors de votre village)?</t>
  </si>
  <si>
    <t>301. A cikin watanni uku da suka wuce, kai ko ɗan gidanku kun samu kuɗi daga wani da ba ɗan gidanku ba wanda yake zaune a wani gari a Nijar (wajen kauyenku)?</t>
  </si>
  <si>
    <t>select_multiple emergency</t>
  </si>
  <si>
    <t>w_emergency</t>
  </si>
  <si>
    <t>243. During ${period}, was your household negatively affected by any of the following types of events?</t>
  </si>
  <si>
    <t>243. Au cours de ${period_french}, votre ménage a-t-il été affecté négativement par l'un des types d'événements suivants ?</t>
  </si>
  <si>
    <t>243. A lokacin ${period_hausa}, ko gidanku ya fuskanci wani daga cikin matsaloli nan masu zuwa? Zaɓi duk abin da ya dace</t>
  </si>
  <si>
    <t>249. During ${period}, was your household negatively affected by any of the following types of events?</t>
  </si>
  <si>
    <t>249. Au cours de ${period_french}, votre ménage a-t-il été affecté négativement par l'un des types d'événements suivants ?</t>
  </si>
  <si>
    <t>249. A lokacin ${period_hausa}, ko gidanku ya fuskanci wani daga cikin matsaloli nan masu zuwa? Zaɓi duk abin da ya dace</t>
  </si>
  <si>
    <t>w_emergency_o</t>
  </si>
  <si>
    <t>244. Please briefly describe the event(s) that negatveily affected your household</t>
  </si>
  <si>
    <t>244. Veuillez décrire brièvement le/les événement(s) qui ont eu des effets négatifs sur votre ménage au cours des 3 derniers mois</t>
  </si>
  <si>
    <t>244. Da fatan za ku yi taƙaitaccen bayani a kan abin da ya shafi gidan ku</t>
  </si>
  <si>
    <t>250. Please briefly describe the event(s) that negatveily affected your household</t>
  </si>
  <si>
    <t>250. Veuillez décrire brièvement le/les événement(s) qui ont eu des effets négatifs sur votre ménage au cours des 3 derniers mois</t>
  </si>
  <si>
    <t>250. Da fatan za ku yi taƙaitaccen bayani a kan abin da ya shafi gidan ku</t>
  </si>
  <si>
    <t>health</t>
  </si>
  <si>
    <t>w_emerg_resp</t>
  </si>
  <si>
    <t>Emergency response</t>
  </si>
  <si>
    <t>Very poor</t>
  </si>
  <si>
    <t>Très faible</t>
  </si>
  <si>
    <t>Babu kyau</t>
  </si>
  <si>
    <t>304. Specify other transfer method</t>
  </si>
  <si>
    <t>304. Précisez la méthode du transfert</t>
  </si>
  <si>
    <t>304. Wani daban a Bayyana</t>
  </si>
  <si>
    <t>w_emergency_name</t>
  </si>
  <si>
    <t>Emergency Name</t>
  </si>
  <si>
    <t>305. In the past three months, have you or anyone in your household received goods (payment in kind) from someone who is not a member of your household and who lives elsewhere in Niger (outside your village)?</t>
  </si>
  <si>
    <t>305. Au cours des trois derniers mois, vous ou un membre de votre ménage avez reçu &lt;b&gt;des biens&lt;/b&gt; (paiement en nature) d'une personne qui n'est pas membre de votre ménage et qui habite &lt;b&gt;ailleurs au Niger&lt;/b&gt; (en dehors de votre village)?</t>
  </si>
  <si>
    <t>305. A cikin watanni ukun da suka wuce, kai ko wani a cikin gidanku kun karɓi kaya (a matsayin biya) daga wani wanda ba ɗan gidanku ba ne kuma yana zaune a wani wuri a Nijar (Ba'a garinku ba)?</t>
  </si>
  <si>
    <t>w_emerg_yes</t>
  </si>
  <si>
    <t>Poor</t>
  </si>
  <si>
    <t>306. What was the value of the goods members of your household receive from people elsewhere in Niger (in CFA)?</t>
  </si>
  <si>
    <t>Faible</t>
  </si>
  <si>
    <t>306. Quel était la valeur au totale des biens que les membres de votre ménage ont reçu des personnes qui sont quelques part au Niger 
(en USD)?</t>
  </si>
  <si>
    <t>Babu kyau sosai</t>
  </si>
  <si>
    <t>306. Nawa kimar kayayyakin da ƴan gidanku suka karba daga wasu mutane a wasu wurare a Nijar (in CFA)?</t>
  </si>
  <si>
    <t>w_emerg_note</t>
  </si>
  <si>
    <t>245. In response to ${w_emergency_name}, did you or your household take the following actions?</t>
  </si>
  <si>
    <t>245. En réponse à ${w_emergency_name}, avez-vous vous ou votre ménage pris les mesures suivantes ??</t>
  </si>
  <si>
    <t>245. Dangance da ${w_emergency_name}, ku ko ƴan gindanku kun ɗauki waɗannan matakai?</t>
  </si>
  <si>
    <t>251. In response to ${w_emergency_name}, did you or your household take the following actions?</t>
  </si>
  <si>
    <t>Neither good nor poor</t>
  </si>
  <si>
    <t>251. En réponse à ${w_emergency_name}, avez-vous vous ou votre ménage pris les mesures suivantes ??</t>
  </si>
  <si>
    <t>Ni bonne ni faible</t>
  </si>
  <si>
    <t>251. Dangance da ${w_emergency_name}, ku ko ƴan gindanku kun ɗauki waɗannan matakai?</t>
  </si>
  <si>
    <t>Ba mai kyau ba kuma ba maras kyau ba</t>
  </si>
  <si>
    <t>w_emerg_sell</t>
  </si>
  <si>
    <t>246. Sell assets?</t>
  </si>
  <si>
    <t>246. Vendre des actifs</t>
  </si>
  <si>
    <t>246. Saida kadarori</t>
  </si>
  <si>
    <t>252. Sell assets?</t>
  </si>
  <si>
    <t>252. Vendre des actifs</t>
  </si>
  <si>
    <t>252. Saida kadarori</t>
  </si>
  <si>
    <t>w_emerg_borrow</t>
  </si>
  <si>
    <t>247. Borrow money?</t>
  </si>
  <si>
    <t>Good</t>
  </si>
  <si>
    <t>247. Emprunter de l'argent</t>
  </si>
  <si>
    <t>Bonne</t>
  </si>
  <si>
    <t>247. Bashin kuɗi</t>
  </si>
  <si>
    <t>Da kyau</t>
  </si>
  <si>
    <t>253. Borrow money?</t>
  </si>
  <si>
    <t>253. Emprunter de l'argent</t>
  </si>
  <si>
    <t>253. Bashin kuɗi</t>
  </si>
  <si>
    <t>w_emerg_spend</t>
  </si>
  <si>
    <t>248. Spend your savings?</t>
  </si>
  <si>
    <t>248. Utiliser votre épargne</t>
  </si>
  <si>
    <t>248. Kashe kuɗin ajiyar ku</t>
  </si>
  <si>
    <t>Very good</t>
  </si>
  <si>
    <t>Très bonne</t>
  </si>
  <si>
    <t>. &gt;= 0</t>
  </si>
  <si>
    <t>Da kyau sosai</t>
  </si>
  <si>
    <t>${shm_pm_work} = 1</t>
  </si>
  <si>
    <t>254. Spend your savings?</t>
  </si>
  <si>
    <t>254. Utiliser votre épargne</t>
  </si>
  <si>
    <t>254. Kashe kuɗin ajiyar ku</t>
  </si>
  <si>
    <t>w_emerg_consume</t>
  </si>
  <si>
    <t>249. Reduce spending on food or change your food consumption?</t>
  </si>
  <si>
    <t>249. Réduire les dépenses alimentaires ou changé des habitudes de consommation ?</t>
  </si>
  <si>
    <t>249. Rage kashe kuɗi akan abinci ko canza abincin?</t>
  </si>
  <si>
    <t>255. Reduce spending on food or change your food consumption?</t>
  </si>
  <si>
    <t>255. Réduire les dépenses alimentaires ou changé des habitudes de consommation ?</t>
  </si>
  <si>
    <t>255. Rage kashe kuɗi akan abinci ko canza abincin?</t>
  </si>
  <si>
    <t>336. ${hoh_roster_name}
Sex: ${hoh_roster_sex}
Age: ${hoh_roster_age}</t>
  </si>
  <si>
    <t>w_emerg_amt</t>
  </si>
  <si>
    <t>agree_likert</t>
  </si>
  <si>
    <t>Strongly Disagree</t>
  </si>
  <si>
    <t>Pas du tout d'accord</t>
  </si>
  <si>
    <t>Ban yarda ba sam sam</t>
  </si>
  <si>
    <t>${shm_pm_home} = 0</t>
  </si>
  <si>
    <t>337. Is ${hoh_roster_name} a Nigerien national?</t>
  </si>
  <si>
    <t>337. ${hoh_roster_name} est-il un citoyen(ne) du Niger ?</t>
  </si>
  <si>
    <t>337. Ko ${hoh_roster_name} ɗan ƙasar Nijar ne?</t>
  </si>
  <si>
    <t>w_emerg_note2</t>
  </si>
  <si>
    <t>250. For ${w_emergency_name}
 What was the value of the following in CFA?</t>
  </si>
  <si>
    <t>250. Par rapport à ${w_emergency_name}
 Quelle était la valeur des éléments suivantes en CFA?</t>
  </si>
  <si>
    <t>250. Game da ${w_emergency_name}
 Nawa ne kimar waɗannan abubuwan a kuɗin CFA?</t>
  </si>
  <si>
    <t>Disagree</t>
  </si>
  <si>
    <t>Pas D'accord</t>
  </si>
  <si>
    <t>Ban yarda ba</t>
  </si>
  <si>
    <t>256. For ${w_emergency_name}
 What was the value of the following in CFA?</t>
  </si>
  <si>
    <t>256. Par rapport à ${w_emergency_name}
 Quelle était la valeur des éléments suivantes en CFA?</t>
  </si>
  <si>
    <t>256. Game da ${w_emergency_name}
 Nawa ne kimar waɗannan abubuwan a kuɗin CFA?</t>
  </si>
  <si>
    <t>w_emerg_sell_amt</t>
  </si>
  <si>
    <t>251. Assets you sold</t>
  </si>
  <si>
    <t>251. Les actifs que vous avez vendus</t>
  </si>
  <si>
    <t>251. Kadarorin da kuka saida</t>
  </si>
  <si>
    <t>${shm_pm_in_niger} = 1</t>
  </si>
  <si>
    <t>Neither agree nor disagree</t>
  </si>
  <si>
    <t>Ni d'accord ni en désaccord</t>
  </si>
  <si>
    <t>Babu yarda ko rashin yarda</t>
  </si>
  <si>
    <t>257. Assets you sold</t>
  </si>
  <si>
    <t>257. Les actifs que vous avez vendus</t>
  </si>
  <si>
    <t>257. Kadarorin da kuka saida</t>
  </si>
  <si>
    <t>w_emerg_borrow_amt</t>
  </si>
  <si>
    <t>252. Loan(s) you took</t>
  </si>
  <si>
    <t>252. Les prêt(s) que vous avez contracté</t>
  </si>
  <si>
    <t>252. Bashin da kuka ɗauka</t>
  </si>
  <si>
    <t>Agree</t>
  </si>
  <si>
    <t>D'accord</t>
  </si>
  <si>
    <t>Na yarda</t>
  </si>
  <si>
    <t>258. Loan(s) you took</t>
  </si>
  <si>
    <t>258. Les prêt(s) que vous avez contracté</t>
  </si>
  <si>
    <t>258. Bashin da kuka ɗauka</t>
  </si>
  <si>
    <t>w_emerg_spend_amt</t>
  </si>
  <si>
    <t>253. Savings you spent?</t>
  </si>
  <si>
    <t>253. L'épargne que vous avez utilisé</t>
  </si>
  <si>
    <t>253. Ajiyar da kuka kashe</t>
  </si>
  <si>
    <t>${shm_pm_in_niger} = 0</t>
  </si>
  <si>
    <t>Strongly Agree</t>
  </si>
  <si>
    <t>Totalement d'accord</t>
  </si>
  <si>
    <t>259. Savings you spent?</t>
  </si>
  <si>
    <t>259. L'épargne que vous avez utilisé</t>
  </si>
  <si>
    <t>Na yarda sosai</t>
  </si>
  <si>
    <t>259. Ajiyar da kuka kashe</t>
  </si>
  <si>
    <t>${shm_pm_country} = -777</t>
  </si>
  <si>
    <t>343. Enumerator: Record any details about the death of the family member</t>
  </si>
  <si>
    <t>343. Enqueteur: Veuillez noter toute information pertinente concernant le décès</t>
  </si>
  <si>
    <t>worries</t>
  </si>
  <si>
    <t>Not at all worried</t>
  </si>
  <si>
    <t>Pas du tout inquiet</t>
  </si>
  <si>
    <t>Ba damuwa ko kadan</t>
  </si>
  <si>
    <t>344. Is ${hoh_roster_name} currently living in your household?</t>
  </si>
  <si>
    <t>344. Est-ce que ${hoh_roster_name} vit actuellement dans votre ménage ?</t>
  </si>
  <si>
    <t>344. Ko ${hoh_roster_name} yana zaune a gidanku a halin yanzu ?</t>
  </si>
  <si>
    <t>w_opinion_note</t>
  </si>
  <si>
    <t>254. I would like to ask your opinion about a several different topics. There are no right answers to these questions, we just want to understand what you think.</t>
  </si>
  <si>
    <t>254. J'aimerais vous demander votre avis sur plusieurs sujets différents. Il n'y a pas de bonnes réponses à ces questions, nous voulons juste comprendre ce que vous pensez.</t>
  </si>
  <si>
    <t>254. Ina so in tambayi ra'ayin ku game bisa batutuwa daban-daban. Babu amsoshin da suka dace ga waɗannan tambayoyin, muna son mu fafimci ra'ayinki ne kawai.</t>
  </si>
  <si>
    <t>260. I would like to ask your opinion about a several different topics. There are no right answers to these questions, we just want to understand what you think.</t>
  </si>
  <si>
    <t>260. J'aimerais vous demander votre avis sur plusieurs sujets différents. Il n'y a pas de bonnes réponses à ces questions, nous voulons juste comprendre ce que vous pensez.</t>
  </si>
  <si>
    <t>search('towns', 'matches', 'country_id', ${shm_pm_country})</t>
  </si>
  <si>
    <t>Not very worried</t>
  </si>
  <si>
    <t>Pas très inquiet</t>
  </si>
  <si>
    <t>Ba damuwa sosai</t>
  </si>
  <si>
    <t>260. Ina so in tambayi ra'ayin ku game bisa batutuwa daban-daban. Babu amsoshin da suka dace ga waɗannan tambayoyin, muna son mu fafimci ra'ayinki ne kawai.</t>
  </si>
  <si>
    <t>${shm_pm_in_niger} = 0 and ${shm_pm_country} != -999</t>
  </si>
  <si>
    <t>w_opinion_matter</t>
  </si>
  <si>
    <t>Somewhat worried</t>
  </si>
  <si>
    <t>Un peu inquiet</t>
  </si>
  <si>
    <t>Dan damuwa</t>
  </si>
  <si>
    <t>select_one opinion_important</t>
  </si>
  <si>
    <t>w_matter_note</t>
  </si>
  <si>
    <t>255. I would like to ask you about how decisions are made in your household. Please tell me to what degree does your opinion matter in decisions related to the following topics:</t>
  </si>
  <si>
    <t>255. Je voudrais vous poser quelques quetions sur la prise de décision dans votre ménage, dans quelle mesure votre opinion compte-t-elle dans les décisions liées aux sujets suivants :</t>
  </si>
  <si>
    <t>255. Ina son in tambaye ku yadda ake yanke hukunci a gidanku. Da fatan za ku gaya mani matsayin ra'ayinku a yanke shawara bisa abubuwa masu zuwa:</t>
  </si>
  <si>
    <t>261. I would like to ask you about how decisions are made in your household. Please tell me to what degree does your opinion matter in decisions related to the following topics:</t>
  </si>
  <si>
    <t>${shm_pm_town} = -777</t>
  </si>
  <si>
    <t>261. Je voudrais vous poser quelques quetions sur la prise de décision dans votre ménage, dans quelle mesure votre opinion compte-t-elle dans les décisions liées aux sujets suivants :</t>
  </si>
  <si>
    <t>261. Ina son in tambaye ku yadda ake yanke hukunci a gidanku. Da fatan za ku gaya mani matsayin ra'ayinku a yanke shawara bisa abubuwa masu zuwa:</t>
  </si>
  <si>
    <t>w_use_money_opinion</t>
  </si>
  <si>
    <t>Very worried</t>
  </si>
  <si>
    <t>256. How to use money that you earn</t>
  </si>
  <si>
    <t>Très inquiet</t>
  </si>
  <si>
    <t>256. Comment utiliser l'argent que vous gagnez</t>
  </si>
  <si>
    <t>Damuwa sosai</t>
  </si>
  <si>
    <t>256. Yadda ake amfani da kuɗin da kuke samu</t>
  </si>
  <si>
    <t>262. How to use money that you earn</t>
  </si>
  <si>
    <t>262. Comment utiliser l'argent que vous gagnez</t>
  </si>
  <si>
    <t>262. Yadda ake amfani da kuɗin da kuke samu</t>
  </si>
  <si>
    <t>w_daily_hh_expenses_opinion</t>
  </si>
  <si>
    <t>257. Daily household expenses (Less than 500 CFA)</t>
  </si>
  <si>
    <t>257. Dépenses quotidiennes du ménage (Moins de 500 CFA)</t>
  </si>
  <si>
    <t>257. Kashe Kuɗin gidan na yau da kullum ( Kasa da dala ɗari CFA 500)</t>
  </si>
  <si>
    <t>Enumerator: If yes, please ask the respondent when the best time to return to survey ${pm_name} and note it down. We would like you to return to the household then to survey ${pm_name}.</t>
  </si>
  <si>
    <t>263. Daily household expenses (Less than 500 CFA)</t>
  </si>
  <si>
    <t>Enquêteur : Si oui, veuillez demander au répondant quel est le meilleur moment pour revenir à l'enquête ${pm_name} et notez-le. Nous aimerions que vous retourniez au ménage pour enquêter ${pm_name}.</t>
  </si>
  <si>
    <t>263. Dépenses quotidiennes du ménage (Moins de 500 CFA)</t>
  </si>
  <si>
    <t>Mai bincike: Idan eh ne, ka tambayi mai bada amsa lokacin da ya fi dacewa don komawa binciken ${pm_name} kuma arubuta shi. Da fatan za'a koma gidan don yin binciken ${pm_name}.</t>
  </si>
  <si>
    <t>263. Kashe Kuɗin gidan na yau da kullum ( Kasa da dala ɗari CFA 500)</t>
  </si>
  <si>
    <t>w_hh_purchases_opinion</t>
  </si>
  <si>
    <t>258. Household purchases (over 500 CFA)</t>
  </si>
  <si>
    <t>258. Achats du ménage (plus de 500 CFA)</t>
  </si>
  <si>
    <t>258. Sayayya na gida (sama da dala ɗari CFA 500)</t>
  </si>
  <si>
    <t>264. Household purchases (over 500 CFA)</t>
  </si>
  <si>
    <t>264. Achats du ménage (plus de 500 CFA)</t>
  </si>
  <si>
    <t>264. Sayayya na gida (sama da dala ɗari CFA 500)</t>
  </si>
  <si>
    <t>w_illnesses_opinion</t>
  </si>
  <si>
    <t>259. What to do if someone in your household falls ill</t>
  </si>
  <si>
    <t>259. Que faire si un membre de votre ménage tombe malade</t>
  </si>
  <si>
    <t>259. Abin da za'a yi idan wani a cikin gidanku ya kamu da rashin lafiya</t>
  </si>
  <si>
    <t>state_likert</t>
  </si>
  <si>
    <t>Strongly agree with Statement 1</t>
  </si>
  <si>
    <t>265. What to do if someone in your household falls ill</t>
  </si>
  <si>
    <t>Tout à fait d'accord avec l'énoncé 1</t>
  </si>
  <si>
    <t>265. Que faire si un membre de votre ménage tombe malade</t>
  </si>
  <si>
    <t>Amincewa sosai da Bayanin 1</t>
  </si>
  <si>
    <t>265. Abin da za'a yi idan wani a cikin gidanku ya kamu da rashin lafiya</t>
  </si>
  <si>
    <t>w_attend_school_opinion</t>
  </si>
  <si>
    <t>260. Whether children attend school or not</t>
  </si>
  <si>
    <t>If they do not know, enter -999</t>
  </si>
  <si>
    <t>260. Que les enfants soient scolarisés ou non</t>
  </si>
  <si>
    <t>S'ils ne le savent pas, entrez -999</t>
  </si>
  <si>
    <t>260. Ko za'a rubuta yara makaranta ko a'a</t>
  </si>
  <si>
    <t>Idan ba su sani ba, shigar da -999</t>
  </si>
  <si>
    <t>. &gt;= 0 or . = -999</t>
  </si>
  <si>
    <t>266. Whether children attend school or not</t>
  </si>
  <si>
    <t>266. Que les enfants soient scolarisés ou non</t>
  </si>
  <si>
    <t>266. Ko za'a rubuta yara makaranta ko a'a</t>
  </si>
  <si>
    <t>w_migrate_opinion</t>
  </si>
  <si>
    <t>261. Whether you will migrate to find work or stay at home</t>
  </si>
  <si>
    <t>261. Si vous migrez pour trouver du travail ou rester à la maison</t>
  </si>
  <si>
    <t>261. Ko za ku yi tahiya wurin biɗa ko za ku zauna a gida</t>
  </si>
  <si>
    <t>267. Whether you will migrate to find work or stay at home</t>
  </si>
  <si>
    <t>267. Si vous migrez pour trouver du travail ou rester à la maison</t>
  </si>
  <si>
    <t>267. Ko za ku yi tahiya wurin biɗa ko za ku zauna a gida</t>
  </si>
  <si>
    <t>Agree with Statement 1</t>
  </si>
  <si>
    <t>D'accord avec l'énoncé 1</t>
  </si>
  <si>
    <t>Amincewa da Bayanin 1</t>
  </si>
  <si>
    <t>353. Other, specify:</t>
  </si>
  <si>
    <t>353. Autre précisez:</t>
  </si>
  <si>
    <t>353. Sauran, bayar da cikakkun bayanai:</t>
  </si>
  <si>
    <t>w_input</t>
  </si>
  <si>
    <t>Agree with Statement 2</t>
  </si>
  <si>
    <t>D'accord avec l'énoncé 2</t>
  </si>
  <si>
    <t>354. Does ${hoh_roster_name} have children?</t>
  </si>
  <si>
    <t>Amincewa da Bayanin 2</t>
  </si>
  <si>
    <t>354. Est-ce que ${hoh_roster_name} a des enfants ?</t>
  </si>
  <si>
    <t>354. ko ${hoh_roster_name} yana da yara?</t>
  </si>
  <si>
    <t>w_input_note</t>
  </si>
  <si>
    <t>262. Can you make your own decisions, without the input of anyone else if you want to regarding:</t>
  </si>
  <si>
    <t>262. Pouvez-vous prendre vos propres décisions, sans l'intervention de quelqu'un d'autre, si vous le souhaitez concernant :</t>
  </si>
  <si>
    <t>262. Za ku iya yanke shawara da kanku, ba tare da sa bakin wani ba idan kuna so dangance da:</t>
  </si>
  <si>
    <t>268. Can you make your own decisions, without the input of anyone else if you want to regarding:</t>
  </si>
  <si>
    <t>268. Pouvez-vous prendre vos propres décisions, sans l'intervention de quelqu'un d'autre, si vous le souhaitez concernant :</t>
  </si>
  <si>
    <t>268. Za ku iya yanke shawara da kanku, ba tare da sa bakin wani ba idan kuna so dangance da:</t>
  </si>
  <si>
    <t>w_use_money_decide</t>
  </si>
  <si>
    <t>263. How to use money that you earn</t>
  </si>
  <si>
    <t>263. Comment utiliser l'argent que vous gagnez</t>
  </si>
  <si>
    <t>263. Yadda ake amfani da kuɗin da kuke samu</t>
  </si>
  <si>
    <t>269. How to use money that you earn</t>
  </si>
  <si>
    <t>269. Comment utiliser l'argent que vous gagnez</t>
  </si>
  <si>
    <t>${shm_pm_away_time} &gt; 0</t>
  </si>
  <si>
    <t>269. Yadda ake amfani da kuɗin da kuke samu</t>
  </si>
  <si>
    <t>Strongly agree with Statement 2</t>
  </si>
  <si>
    <t>w_daily_hh_expenses_decide</t>
  </si>
  <si>
    <t>Tout à fait d'accord avec l'énoncé 2</t>
  </si>
  <si>
    <t>264. Daily household expenses (less than 500 CFA)</t>
  </si>
  <si>
    <t>264. Dépenses quotidiennes du ménage (moins de 500 CFA)</t>
  </si>
  <si>
    <t>264. Kashe Kuɗin gida na yau da kullum ( Kasa da dala ɗari CFA 500)</t>
  </si>
  <si>
    <t>270. Daily household expenses (less than 500 CFA)</t>
  </si>
  <si>
    <t>270. Dépenses quotidiennes du ménage (moins de 500 CFA)</t>
  </si>
  <si>
    <t>270. Kashe Kuɗin gida na yau da kullum ( Kasa da dala ɗari CFA 500)</t>
  </si>
  <si>
    <t>w_hh_purchases_decide</t>
  </si>
  <si>
    <t>265. Household purchases (over 500 CFA)</t>
  </si>
  <si>
    <t>265. Achats du ménage (plus de 500 CFA)</t>
  </si>
  <si>
    <t>265. Sayayya na gida (sama da dala ɗari CFA 500)</t>
  </si>
  <si>
    <t>271. Household purchases (over 500 CFA)</t>
  </si>
  <si>
    <t>271. Achats du ménage (plus de 500 CFA)</t>
  </si>
  <si>
    <t>271. Sayayya na gida (sama da dala ɗari CFA 500)</t>
  </si>
  <si>
    <t>w_job_decide</t>
  </si>
  <si>
    <t>266. What job you do</t>
  </si>
  <si>
    <t>266. Quel travail tu fais</t>
  </si>
  <si>
    <t>266. Wane aiki kuke yi</t>
  </si>
  <si>
    <t>272. What job you do</t>
  </si>
  <si>
    <t>272. Quel travail tu fais</t>
  </si>
  <si>
    <t>272. Wane aiki kuke yi</t>
  </si>
  <si>
    <t>w_migrate_decide</t>
  </si>
  <si>
    <t>267. Whether you will migrate to find work</t>
  </si>
  <si>
    <t>267. Si vous migrez pour trouver du travail</t>
  </si>
  <si>
    <t>267. Ko za ku yi tahiya don neman aiki</t>
  </si>
  <si>
    <t>statement</t>
  </si>
  <si>
    <t>Statement 1</t>
  </si>
  <si>
    <t>273. Whether you will migrate to find work</t>
  </si>
  <si>
    <t>273. Si vous migrez pour trouver du travail</t>
  </si>
  <si>
    <t>Énoncé 1</t>
  </si>
  <si>
    <t>273. Ko za ku yi tahiya don neman aiki</t>
  </si>
  <si>
    <t>Bayanin 1</t>
  </si>
  <si>
    <t>361. In the past month (four weeks) how many days has ${hoh_roster_name} missed school for work or other reasons?</t>
  </si>
  <si>
    <t>361. Au cours du dernier mois (quatre semaines), combien de jours ${hoh_roster_name} a-t-il manqué l'école pour le travail ou pour d'autres raisons ?</t>
  </si>
  <si>
    <t>361. A cikin watan da ya gabata (makonni hudu), kwanaki nawa ${hoh_roster_name} yayi fashin makaranta saboda aiki ko wasu dalilai?</t>
  </si>
  <si>
    <t>w_married</t>
  </si>
  <si>
    <t>268. The next set of questions are for married women only. Are you married?</t>
  </si>
  <si>
    <t>Statement 2</t>
  </si>
  <si>
    <t>268. La serie des questions suivantes s'adresse uniquement aux femmes mariées. Es-tu marié?</t>
  </si>
  <si>
    <t>Énoncé 2</t>
  </si>
  <si>
    <t>268. Tambayoyi na gaba na matan aure ne kawai. Ko ki na da aure?</t>
  </si>
  <si>
    <t>Bayanin 2</t>
  </si>
  <si>
    <t>274. The next set of questions are for married women only. Are you married?</t>
  </si>
  <si>
    <t>274. La serie des questions suivantes s'adresse uniquement aux femmes mariées. Es-tu marié?</t>
  </si>
  <si>
    <t>274. Tambayoyi na gaba na matan aure ne kawai. Ko ki na da aure?</t>
  </si>
  <si>
    <t>Statement 3</t>
  </si>
  <si>
    <t>w_pm_married</t>
  </si>
  <si>
    <t>Énoncé 3</t>
  </si>
  <si>
    <t>Are you married to ${pm_name}?</t>
  </si>
  <si>
    <t>${shm_member_send_money} &gt; 0</t>
  </si>
  <si>
    <t>Bayanin 3</t>
  </si>
  <si>
    <t>Êtes-vous mariée à ${pm_name} ?</t>
  </si>
  <si>
    <t>Kuna da aure ${pm_name}?</t>
  </si>
  <si>
    <t>275. Are you married to ${pm_name}?</t>
  </si>
  <si>
    <t>275. Êtes-vous mariée à ${pm_name} ?</t>
  </si>
  <si>
    <t>275. Kuna da aure ${pm_name}?</t>
  </si>
  <si>
    <t>w_spouse_together</t>
  </si>
  <si>
    <t>In the past month, how many nights have you and your spouse stayed in the same place?</t>
  </si>
  <si>
    <t>Au cours du mois dernier, combien de nuits avez-vous passées avec votre conjoint au même endroit ?</t>
  </si>
  <si>
    <t>A cikin watan da ya gabata, dare nawa kuka zauna tare da mijinki a wuri daya?</t>
  </si>
  <si>
    <t>276. In the past month, how many nights have you and your spouse stayed in the same place?</t>
  </si>
  <si>
    <t>276. Au cours du mois dernier, combien de nuits avez-vous passées avec votre conjoint au même endroit ?</t>
  </si>
  <si>
    <t>276. A cikin watan da ya gabata, dare nawa kuka zauna tare da mijinki a wuri daya?</t>
  </si>
  <si>
    <t>If ${pm_name} is away from home location, please ask about migration from current location</t>
  </si>
  <si>
    <t>save_or_share</t>
  </si>
  <si>
    <t>w_husband_wife_discuss</t>
  </si>
  <si>
    <t>1. Save the surplus for the future</t>
  </si>
  <si>
    <t>269. I am now going to mention some things that husband and wives sometimes speak about. Please tell me if you and your spouse talk about these things</t>
  </si>
  <si>
    <t>1. Économisez le surplus pour l'avenir</t>
  </si>
  <si>
    <t>269. Je vais maintenant mentionner certaines choses dont les maris et les femmes parlent parfois. Veuillez me dire si vous et votre conjoint parlez de ces choses</t>
  </si>
  <si>
    <t>1. Ajiyar ƙarin don gaba</t>
  </si>
  <si>
    <t>269. Yanzu zan ambaci wasu abubuwa da mata da miji suke magana akai. Don Allah ku gaya mini idan ku da mijinku kuna magana a kan waɗannan abubuwan</t>
  </si>
  <si>
    <t>277. I am now going to mention some things that husband and wives sometimes speak about. Please tell me if you and your spouse talk about these things</t>
  </si>
  <si>
    <t>277. Je vais maintenant mentionner certaines choses dont les maris et les femmes parlent parfois. Veuillez me dire si vous et votre conjoint parlez de ces choses</t>
  </si>
  <si>
    <t>277. Yanzu zan ambaci wasu abubuwa da mata da miji suke magana akai. Don Allah ku gaya mini idan ku da mijinku kuna magana a kan waɗannan abubuwan</t>
  </si>
  <si>
    <t>2. Share its surplus with less fortunate households in the village</t>
  </si>
  <si>
    <t>w_discuss_work</t>
  </si>
  <si>
    <t>2. Partager son surplus avec les ménages moins fortunés du village</t>
  </si>
  <si>
    <t>270. Things that happen at work or in the fields?</t>
  </si>
  <si>
    <t>2. Raba ƙarin da sauran gidaje marasa galihu a garin</t>
  </si>
  <si>
    <t>270. Des choses qui se passent au travail ou dans les champs ?</t>
  </si>
  <si>
    <t>270. Abubuwan da ke faruwa a wurin aiki ko a gona?</t>
  </si>
  <si>
    <t>278. Things that happen at work or in the fields?</t>
  </si>
  <si>
    <t>278. Des choses qui se passent au travail ou dans les champs ?</t>
  </si>
  <si>
    <t>278. Abubuwan da ke faruwa a wurin aiki ko a gona?</t>
  </si>
  <si>
    <t>w_discuss_community</t>
  </si>
  <si>
    <t>271. Things that happen in the community?</t>
  </si>
  <si>
    <t>271. Des choses qui se passent dans la communauté ?</t>
  </si>
  <si>
    <t>271. Abubuwan da ke faruwa a cikin al'umma?</t>
  </si>
  <si>
    <t>279. Things that happen in the community?</t>
  </si>
  <si>
    <t>279. Des choses qui se passent dans la communauté ?</t>
  </si>
  <si>
    <t>279. Abubuwan da ke faruwa a cikin al'umma?</t>
  </si>
  <si>
    <t>w_discuss_election</t>
  </si>
  <si>
    <t>272. Who to vote for in local elections?</t>
  </si>
  <si>
    <t>272. Pour qui voter aux élections municipales ?</t>
  </si>
  <si>
    <t>272. Wanene za'a zaɓa a zaɓen ƙananan hukumomi?</t>
  </si>
  <si>
    <t>${shm_pm_mig_intent} != 1</t>
  </si>
  <si>
    <t>attitude</t>
  </si>
  <si>
    <t>1. The entire way our society is organized must be radically changed by revolutionary action</t>
  </si>
  <si>
    <t>280. Who to vote for in local elections?</t>
  </si>
  <si>
    <t>1. Toute la manière dont notre société est organisée doit être radicalement changée par l'action révolutionnaire</t>
  </si>
  <si>
    <t>280. Pour qui voter aux élections municipales ?</t>
  </si>
  <si>
    <t>1. Dukkanin yadda al'ummarmu take da tsari dole ne a canza su ta hanyar juyin juya hali</t>
  </si>
  <si>
    <t>280. Wanene za'a zaɓa a zaɓen ƙananan hukumomi?</t>
  </si>
  <si>
    <t>w_discuss_invest</t>
  </si>
  <si>
    <t>273. How to you invest your money such as whether to improve your house</t>
  </si>
  <si>
    <t>273. Comment investir votre argent, par exemple pour améliorer votre maison</t>
  </si>
  <si>
    <t>273. Yadda za ku kashe kuɗin ku, kamar gyaran gidanku</t>
  </si>
  <si>
    <t>281. How to you invest your money such as whether to improve your house</t>
  </si>
  <si>
    <t>281. Comment investir votre argent, par exemple pour améliorer votre maison</t>
  </si>
  <si>
    <t>2. Our society must be gradually improved by reforms</t>
  </si>
  <si>
    <t>281. Yadda za ku kashe kuɗin ku, kamar gyaran gidanku</t>
  </si>
  <si>
    <t>2. Notre société doit être progressivement améliorée par des réformes</t>
  </si>
  <si>
    <t>Enumerator: Probe if in Niger or another country</t>
  </si>
  <si>
    <t>2. Dole ne a inganta al'ummarmu a hankali ta hanyar gyara</t>
  </si>
  <si>
    <t>Enquêteur : Sonder si au Niger ou dans un autre pays</t>
  </si>
  <si>
    <t>w_discuss_children</t>
  </si>
  <si>
    <t>Ɗan bincike: Bincika idan a Najar ne ko a wata ƙasa</t>
  </si>
  <si>
    <t>274. Family planning (when to have children)</t>
  </si>
  <si>
    <t>274. Planification familiale (quand avoir des enfants)</t>
  </si>
  <si>
    <t>274. Tsarin iyali (lokacin ɗaukan ciki)</t>
  </si>
  <si>
    <t>${shm_pm_mig_intent}=1 or ${shm_pm_mig_intent_1} = 1</t>
  </si>
  <si>
    <t>282. Family planning (when to have children)</t>
  </si>
  <si>
    <t>282. Planification familiale (quand avoir des enfants)</t>
  </si>
  <si>
    <t>282. Tsarin iyali (lokacin ɗaukan ciki)</t>
  </si>
  <si>
    <t>w_discuss_school</t>
  </si>
  <si>
    <t>Children’s enrollment in school</t>
  </si>
  <si>
    <t>Scolarisation des enfants</t>
  </si>
  <si>
    <t>Shigar da yara makaranta</t>
  </si>
  <si>
    <t>3. Our present society must be valiantly defended against all subversive forces</t>
  </si>
  <si>
    <t>3. Notre société actuelle doit être vaillamment défendue contre toutes les forces subversives</t>
  </si>
  <si>
    <t>3. Dole ne al'ummarmu ta yanzu ta kasance da jajircewa wajen kare kai daga duk wani yunkuri na zagon kasa</t>
  </si>
  <si>
    <t>283. Children’s enrollment in school</t>
  </si>
  <si>
    <t>283. Scolarisation des enfants</t>
  </si>
  <si>
    <t>283. Shigar da yara makaranta</t>
  </si>
  <si>
    <t>w_discuss_age_marry</t>
  </si>
  <si>
    <t>The age at which your daughters should marry</t>
  </si>
  <si>
    <t>Âge auquel vos filles devraient se marier</t>
  </si>
  <si>
    <t>Shekarar da ƴaƴanku mata zasu yin aure</t>
  </si>
  <si>
    <t>284. The age at which your daughters should marry</t>
  </si>
  <si>
    <t>284. Âge auquel vos filles devraient se marier</t>
  </si>
  <si>
    <t>284. Shekarar da ƴaƴanku mata zasu yin aure</t>
  </si>
  <si>
    <t>w_spouse_disagree</t>
  </si>
  <si>
    <t>275. Do you and your spouse ever disagree about any of these topics?</t>
  </si>
  <si>
    <t>275. Vous et votre conjoint avez-vous déjà eu un désaccord sur ces sujets ?</t>
  </si>
  <si>
    <t>275. Ko ke da mijnki kun taɓa samun saɓani game da waɗannan batutuwa?</t>
  </si>
  <si>
    <t>customs</t>
  </si>
  <si>
    <t>1. I feel constrained by the number of customs and habits that exist in my society</t>
  </si>
  <si>
    <t>1. Je me sens contraint par le nombre des us et coutumes qui existent dans ma société</t>
  </si>
  <si>
    <t>1. Ina jin takura da yawan al'adu da dabi'un da ke cikin al'ummata</t>
  </si>
  <si>
    <t>285. Do you and your spouse ever disagree about any of these topics?</t>
  </si>
  <si>
    <t>285. Vous et votre conjoint avez-vous déjà eu un désaccord sur ces sujets ?</t>
  </si>
  <si>
    <t>285. Ko ke da mijnki kun taɓa samun saɓani game da waɗannan batutuwa?</t>
  </si>
  <si>
    <t>w_spouse_contentious</t>
  </si>
  <si>
    <t>276. Do these conversations ever get contentious?</t>
  </si>
  <si>
    <t>276. Ces conversations deviennent-elles parfois controversées ?</t>
  </si>
  <si>
    <t>276. Ko waɗannan hirarrakin sun taɓa zama sabani?</t>
  </si>
  <si>
    <t>${shm_pm_mig_intent_country} = 1</t>
  </si>
  <si>
    <t>286. Do these conversations ever get contentious?</t>
  </si>
  <si>
    <t>2. There are not enough customs and habits in my society to guide me</t>
  </si>
  <si>
    <t>286. Ces conversations deviennent-elles parfois controversées ?</t>
  </si>
  <si>
    <t>2. Il n'y a pas assez des us et coutumes dans ma société pour me guider</t>
  </si>
  <si>
    <t>286. Ko waɗannan hirarrakin sun taɓa zama sabani?</t>
  </si>
  <si>
    <t>2. Babu isassun al'adu da ɗabi'a a cikin al'ummata da za su jagorance ni</t>
  </si>
  <si>
    <t>w_spouse_avoid</t>
  </si>
  <si>
    <t>Do you avoid talking with your husband about certain topics due to fear about how your husband would respond?</t>
  </si>
  <si>
    <t>Évitez-vous d'aborder certains sujets avec votre mari par crainte de sa réaction ?</t>
  </si>
  <si>
    <t>Ko kina gujewa yin magana da mijinki akan wasu batutuwa saboda tsoron yadda zai mayar miki da maganar ?</t>
  </si>
  <si>
    <t>287. Do you avoid talking with your husband about certain topics due to fear about how your husband would respond?</t>
  </si>
  <si>
    <t>287. Évitez-vous d'aborder certains sujets avec votre mari par crainte de sa réaction ?</t>
  </si>
  <si>
    <t>287. Ko kina gujewa yin magana da mijinki akan wasu batutuwa saboda tsoron yadda zai mayar miki da maganar ?</t>
  </si>
  <si>
    <t>select_multiple topics</t>
  </si>
  <si>
    <t>search('towns', 'matches', 'country_id', ${shm_pm_mig_intent_country})</t>
  </si>
  <si>
    <t>w_spouse_avoid_topics</t>
  </si>
  <si>
    <t>What topics do you avoid?</t>
  </si>
  <si>
    <t>3. There are just about the right amount of customs and habits in my society</t>
  </si>
  <si>
    <t>Quels sujets évitez-vous ?</t>
  </si>
  <si>
    <t>${shm_pm_mig_intent}=1 and not(${shm_pm_mig_intent_country} = 1 or ${shm_pm_mig_intent_country} = -999)</t>
  </si>
  <si>
    <t>Wadanne batutuwa kuke gujewa?</t>
  </si>
  <si>
    <t>3. Il y a à peu près ce qu'il faut des us et coutumes dans ma société</t>
  </si>
  <si>
    <t>3. Akwai daidai adadin al'adu da halaye a cikin al'ummata</t>
  </si>
  <si>
    <t>288. What topics do you avoid?</t>
  </si>
  <si>
    <t>288. Quels sujets évitez-vous ?</t>
  </si>
  <si>
    <t>288. Wadanne batutuwa kuke gujewa?</t>
  </si>
  <si>
    <t>w_spouse_avoid_topics_o</t>
  </si>
  <si>
    <t>Specify other</t>
  </si>
  <si>
    <t>Wani daban a Bayyana</t>
  </si>
  <si>
    <t>289. Specify other</t>
  </si>
  <si>
    <t>289. Autre à préciser</t>
  </si>
  <si>
    <t>289. Wani daban a Bayyana</t>
  </si>
  <si>
    <t>w_agree_note</t>
  </si>
  <si>
    <t>277. I will read you several statements. Please tell me the extent do you agree/disagree with each:</t>
  </si>
  <si>
    <t>277. Je vais vous lire plusieurs déclarations. Veuillez me dire dans quelle mesure êtes-vous d'accord/pas d'accord avec chacun :</t>
  </si>
  <si>
    <t>277. Zan karanta muku maganganu da yawa. Da fatan za a gaya mini iya yarda/rishin yarda da kowanne:</t>
  </si>
  <si>
    <t>husbandwife</t>
  </si>
  <si>
    <t>290. I will read you several statements. Please tell me the extent do you agree/disagree with each:</t>
  </si>
  <si>
    <t>290. Je vais vous lire plusieurs déclarations. Veuillez me dire dans quelle mesure êtes-vous d'accord/pas d'accord avec chacun :</t>
  </si>
  <si>
    <t>290. Zan karanta muku maganganu da yawa. Da fatan za a gaya mini iya yarda/rishin yarda da kowanne:</t>
  </si>
  <si>
    <t>Only wife decides</t>
  </si>
  <si>
    <t>w_respect_decision</t>
  </si>
  <si>
    <t>Seule la femme décide</t>
  </si>
  <si>
    <t>278. I must always respect decisions taken by my household even if you do not agree</t>
  </si>
  <si>
    <t>Mace ce kawai ta yanke shawara</t>
  </si>
  <si>
    <t>278. Je dois toujours respecter les décisions prises par mon ménage même si je ne suis pas d'accord</t>
  </si>
  <si>
    <t>278. Dole ne in mutunta shawarar da gidanmu ya yanke ko da ba ra'ayina ba ne</t>
  </si>
  <si>
    <t>291. I must always respect decisions taken by my household even if you do not agree</t>
  </si>
  <si>
    <t>291. Je dois toujours respecter les décisions prises par mon ménage même si je ne suis pas d'accord</t>
  </si>
  <si>
    <t>291. Dole ne in mutunta shawarar da gidanmu ya yanke ko da ba ra'ayina ba ne</t>
  </si>
  <si>
    <t>w_duty_family</t>
  </si>
  <si>
    <t>279. I should always sacrifice my personal needs and wants to satisfy my parents.</t>
  </si>
  <si>
    <t>279. Je devrais toujours sacrifier mes besoins personnels et vouloir satisfaire mes parents.</t>
  </si>
  <si>
    <t>279. Dole ne ko yaushe in sadaukar da bukatuna na kaina don in gamsar da iyayena.</t>
  </si>
  <si>
    <t>Somewhat more than the husband</t>
  </si>
  <si>
    <t>Un peu plus que le mari</t>
  </si>
  <si>
    <t>Da ɗan fiye da mijin</t>
  </si>
  <si>
    <t>292. I should always sacrifice my personal needs and wants to satisfy my parents.</t>
  </si>
  <si>
    <t>292. Je devrais toujours sacrifier mes besoins personnels et vouloir satisfaire mes parents.</t>
  </si>
  <si>
    <t>292. Dole ne ko yaushe in sadaukar da bukatuna na kaina don in gamsar da iyayena.</t>
  </si>
  <si>
    <t>w_emergency_capital</t>
  </si>
  <si>
    <t>280. If I had an emergency that required 5,000 CFA urgently (within 3 days), I would be able to find the money.</t>
  </si>
  <si>
    <t>280. Si j'avais une urgence qui nécessitait 5 000 CFA en urgence (dans les 3 jours), je serais capable de trouver l'argent.</t>
  </si>
  <si>
    <t>280. Idan ina da biƙatar gaggawa na 5,000 CFA (a cikin kwanaki 3), zan iya samun kuɗin.</t>
  </si>
  <si>
    <t>293. If I had an emergency that required 5,000 CFA urgently (within 3 days), I would be able to find the money.</t>
  </si>
  <si>
    <t>293. Si j'avais une urgence qui nécessitait 5 000 CFA en urgence (dans les 3 jours), je serais capable de trouver l'argent.</t>
  </si>
  <si>
    <t>Equal to husband</t>
  </si>
  <si>
    <t>293. Idan ina da biƙatar gaggawa na 5,000 CFA (a cikin kwanaki 3), zan iya samun kuɗin.</t>
  </si>
  <si>
    <t>Égal au mari</t>
  </si>
  <si>
    <t>select_one contact_relation</t>
  </si>
  <si>
    <t>Daidai da miji</t>
  </si>
  <si>
    <t>w_emergency_who</t>
  </si>
  <si>
    <t>281. What type of person would you go to first for this money?</t>
  </si>
  <si>
    <t>281. Vers quel type de personne iriez-vous en premier pour cet argent ?</t>
  </si>
  <si>
    <t>281. Wane irin mutum ne za ku fara zuwa wurin shi don wannan kuɗin?</t>
  </si>
  <si>
    <t>294. What type of person would you go to first for this money?</t>
  </si>
  <si>
    <t>294. Vers quel type de personne iriez-vous en premier pour cet argent ?</t>
  </si>
  <si>
    <t>294. Wane irin mutum ne za ku fara zuwa wurin shi don wannan kuɗin?</t>
  </si>
  <si>
    <t>w_emergency_who_o</t>
  </si>
  <si>
    <t>282. Specify your relationship with this person</t>
  </si>
  <si>
    <t>282. Précisez votre relation avec cette personne</t>
  </si>
  <si>
    <t>282. Faɗi dangantakar ku da wannan mutumen</t>
  </si>
  <si>
    <t>Somewhat less than husband</t>
  </si>
  <si>
    <t>Un peu moins que le mari</t>
  </si>
  <si>
    <t>Kasan miji</t>
  </si>
  <si>
    <t>295. Specify your relationship with this person</t>
  </si>
  <si>
    <t>295. Précisez votre relation avec cette personne</t>
  </si>
  <si>
    <t>295. Faɗi dangantakar ku da wannan mutumen</t>
  </si>
  <si>
    <t>w_roles_note</t>
  </si>
  <si>
    <t>283. The next set of questions are about your opinions regarding the roles that women and men play</t>
  </si>
  <si>
    <t>283. La prochaine série de questions porte sur vos opinions concernant les rôles que jouent les femmes et les hommes</t>
  </si>
  <si>
    <t>283. Tambayoyi na gaba sun ta'allaƙa ne da ra'ayoyin ku game da rawar da mata da maza suke takawa.</t>
  </si>
  <si>
    <t>Only husband decides</t>
  </si>
  <si>
    <t>Seul le mari décide</t>
  </si>
  <si>
    <t>Miji ne kawai ya yanke shawara</t>
  </si>
  <si>
    <t>296. The next set of questions are about your opinions regarding the roles that women and men play</t>
  </si>
  <si>
    <t>296. La prochaine série de questions porte sur vos opinions concernant les rôles que jouent les femmes et les hommes</t>
  </si>
  <si>
    <t>296. Tambayoyi na gaba sun ta'allaƙa ne da ra'ayoyin ku game da rawar da mata da maza suke takawa.</t>
  </si>
  <si>
    <t>w_discuss_women</t>
  </si>
  <si>
    <t>284. How often, if ever do you talk about the role of women in society with other people?</t>
  </si>
  <si>
    <t>284. À quelle fréquence, si jamais cela est arrivé, parlez-vous du rôle des femmes dans la société avec d'autres personnes ?</t>
  </si>
  <si>
    <t>284. Sau nawa, idan ya na faruwa, kuke yin magana game da taka rawan mata a cikin al'umma tare da sauran mutane?</t>
  </si>
  <si>
    <t>297. How often, if ever do you talk about the role of women in society with other people?</t>
  </si>
  <si>
    <t>297. À quelle fréquence, si jamais cela est arrivé, parlez-vous du rôle des femmes dans la société avec d'autres personnes ?</t>
  </si>
  <si>
    <t>297. Sau nawa, idan ya na faruwa, kuke yin magana game da taka rawan mata a cikin al'umma tare da sauran mutane?</t>
  </si>
  <si>
    <t>w_influence_note</t>
  </si>
  <si>
    <t>285. In your opinion, how much influence a wife should have over the following decisions within a couple?</t>
  </si>
  <si>
    <t>285. Selon vous, quelle influence une épouse devrait-elle avoir sur les décisions suivantes au sein d'un couple ?</t>
  </si>
  <si>
    <t>285. A ra'ayinka, wane tasiri mace ya kamata ta yi bisa yanke shawarwari da zan zana a tsakanin ta da mijinta?</t>
  </si>
  <si>
    <t>298. In your opinion, how much influence a wife should have over the following decisions within a couple?</t>
  </si>
  <si>
    <t>298. Selon vous, quelle influence une épouse devrait-elle avoir sur les décisions suivantes au sein d'un couple ?</t>
  </si>
  <si>
    <t>298. A ra'ayinka, wane tasiri mace ya kamata ta yi bisa yanke shawarwari da zan zana a tsakanin ta da mijinta?</t>
  </si>
  <si>
    <t>live_home</t>
  </si>
  <si>
    <t>w_daily_hh_expenses_couple</t>
  </si>
  <si>
    <t>286. Daily household expenses (Less than 500 CFA)</t>
  </si>
  <si>
    <t>286. Dépenses quotidiennes du ménage (Moins de 500 CFA)</t>
  </si>
  <si>
    <t>Will surely live at home</t>
  </si>
  <si>
    <t>286. Kashe kashen kuɗin gida na yau da kullun ( Kasa da dala ɗari CFA 500)</t>
  </si>
  <si>
    <t>Est presque sûr de toujours habiter ici</t>
  </si>
  <si>
    <t>Tabbas zai rayu a gida</t>
  </si>
  <si>
    <t>${speedcheck_shm_pmmig_end} - ${speedcheck_shm_pmmig_start}</t>
  </si>
  <si>
    <t>299. Daily household expenses (Less than 500 CFA)</t>
  </si>
  <si>
    <t>299. Dépenses quotidiennes du ménage (Moins de 500 CFA)</t>
  </si>
  <si>
    <t>299. Kashe kashen kuɗin gida na yau da kullun ( Kasa da dala ɗari CFA 500)</t>
  </si>
  <si>
    <t>w_hh_purchases_couple</t>
  </si>
  <si>
    <t>287. Household purchases worth more than 500 CFA</t>
  </si>
  <si>
    <t>287. Achats des ménages d'une valeur supérieure à 500 CFA</t>
  </si>
  <si>
    <t>287. Siyayyar gida na sama da dala ɗari 500 CFA</t>
  </si>
  <si>
    <t>Very likely to live at home</t>
  </si>
  <si>
    <t>Est probable de toujours habiter ici'</t>
  </si>
  <si>
    <t>300. Household purchases worth more than 500 CFA</t>
  </si>
  <si>
    <t>300. Achats des ménages d'une valeur supérieure à 500 CFA</t>
  </si>
  <si>
    <t>300. Siyayyar gida na sama da dala ɗari 500 CFA</t>
  </si>
  <si>
    <t>Yiwuwar zama a gida</t>
  </si>
  <si>
    <t>w_fam_plan_couple</t>
  </si>
  <si>
    <t>288. Family planning (how many children to have)</t>
  </si>
  <si>
    <t>288. Planification familiale (combien d'enfants avoir)</t>
  </si>
  <si>
    <t>288. Tsarin iyali (ƴaƴa nawa za a haifa)</t>
  </si>
  <si>
    <t>301. Family planning (how many children to have)</t>
  </si>
  <si>
    <t>301. Planification familiale (combien d'enfants avoir)</t>
  </si>
  <si>
    <t>301. Tsarin iyali (ƴaƴa nawa za a haifa)</t>
  </si>
  <si>
    <t>More likely than not to live at home</t>
  </si>
  <si>
    <t>Plus probable de toujours habiter ici qu'ailleurs</t>
  </si>
  <si>
    <t>w_migrate_couple</t>
  </si>
  <si>
    <t>Mafi kusantar zama a gida</t>
  </si>
  <si>
    <t>289. Whether the husband will migrate to find work</t>
  </si>
  <si>
    <t>289. Si le mari va migrer pour trouver du travail</t>
  </si>
  <si>
    <t>289. Ko miji zai yi tahiya don neman aiki</t>
  </si>
  <si>
    <t>302. Whether the husband will migrate to find work</t>
  </si>
  <si>
    <t>302. Si le mari va migrer pour trouver du travail</t>
  </si>
  <si>
    <t>302. Ko miji zai yi tahiya don neman aiki</t>
  </si>
  <si>
    <t>w_vote_couple</t>
  </si>
  <si>
    <t>More likely than not to live elsewhere</t>
  </si>
  <si>
    <t>290. Who to vote for in local elections?</t>
  </si>
  <si>
    <t>Plus probable d'habiter ailleurs qu'ici</t>
  </si>
  <si>
    <t>290. Pour qui voter aux élections municipales ?</t>
  </si>
  <si>
    <t>Mai yuwuwa fiye da kada ku zauna a wani wuri</t>
  </si>
  <si>
    <t>290. Wanene za'a zaɓa a zaɓen ƙananan hukumomi?</t>
  </si>
  <si>
    <t>303. Who to vote for in local elections?</t>
  </si>
  <si>
    <t>303. Pour qui voter aux élections municipales ?</t>
  </si>
  <si>
    <t>303. Wanene za'a zaɓa a zaɓen ƙananan hukumomi?</t>
  </si>
  <si>
    <t>w_marry_couple</t>
  </si>
  <si>
    <t>291. To whom your daughter should marry?</t>
  </si>
  <si>
    <t>291. Avec qui votre fille devrait-elle se marier ?</t>
  </si>
  <si>
    <t>291. Wa ya kamata ƴarku ta aura?</t>
  </si>
  <si>
    <t>Very likely to live elsewhere</t>
  </si>
  <si>
    <t>Est probable d'habiter ailleurs</t>
  </si>
  <si>
    <t>Yiwuwar zama wani wuri</t>
  </si>
  <si>
    <t>304. To whom your daughter should marry?</t>
  </si>
  <si>
    <t>304. Avec qui votre fille devrait-elle se marier ?</t>
  </si>
  <si>
    <t>304. Wa ya kamata ƴarku ta aura?</t>
  </si>
  <si>
    <t>w_school_couple</t>
  </si>
  <si>
    <t>292. Children's enrollment in school</t>
  </si>
  <si>
    <t>292. Inscription des enfants à l'école</t>
  </si>
  <si>
    <t>292. Rubuta yara a makaranta</t>
  </si>
  <si>
    <t>305. Children's enrollment in school</t>
  </si>
  <si>
    <t>Will surely live elsewhere</t>
  </si>
  <si>
    <t>305. Inscription des enfants à l'école</t>
  </si>
  <si>
    <t>305. Rubuta yara a makaranta</t>
  </si>
  <si>
    <t>Est presque sûr d'habiter ailleurs</t>
  </si>
  <si>
    <t>Tabbas zai rayu a wani wuri</t>
  </si>
  <si>
    <t>w_marry_daughter_relig</t>
  </si>
  <si>
    <t>293. Imagine one of your daughters wanted to marry someone of a different religious faith, would you give them your permission?</t>
  </si>
  <si>
    <t>293. Imaginez qu'une de vos filles veuille épouser quelqu'un d'une confession religieuse différente, leur donneriez-vous votre permission ?</t>
  </si>
  <si>
    <t>293. Ku ƙaddara da wata ɗiyarku ta na son ta auri wani mai bin wani addini daban, za ku bada izininku?</t>
  </si>
  <si>
    <t>306. Imagine one of your daughters wanted to marry someone of a different religious faith, would you give them your permission?</t>
  </si>
  <si>
    <t>306. Imaginez qu'une de vos filles veuille épouser quelqu'un d'une confession religieuse différente, leur donneriez-vous votre permission ?</t>
  </si>
  <si>
    <t>306. Ku ƙaddara da wata ɗiyarku ta na son ta auri wani mai bin wani addini daban, za ku bada izininku?</t>
  </si>
  <si>
    <t>w_marry_son_relig</t>
  </si>
  <si>
    <t>294. Imagine one of your sons wanted to marry someone of a different religious faith, would you give them your permission?</t>
  </si>
  <si>
    <t>294. Imaginez que l'un de vos fils veuille épouser quelqu'un d'une confession religieuse différente, leur donneriez-vous votre permission ?</t>
  </si>
  <si>
    <t>294. Ku ƙaddara da wani ɗanku ya na son ya auri wata ƴa mai bin wani addini daban, za ku bada izininku?</t>
  </si>
  <si>
    <t>307. Imagine one of your sons wanted to marry someone of a different religious faith, would you give them your permission?</t>
  </si>
  <si>
    <t>307. Imaginez que l'un de vos fils veuille épouser quelqu'un d'une confession religieuse différente, leur donneriez-vous votre permission ?</t>
  </si>
  <si>
    <t>307. Ku ƙaddara da wani ɗanku ya na son ya auri wata ƴa mai bin wani addini daban, za ku bada izininku?</t>
  </si>
  <si>
    <t>w_marry_daughter_eth</t>
  </si>
  <si>
    <t>295. Imagine one of your daughters wanted to marry someone of a different ethnic group, would you give them your permission?</t>
  </si>
  <si>
    <t>295. Imaginez qu'une de vos filles veuille épouser quelqu'un d'un groupe ethnique différent, leur donneriez-vous votre permission ?</t>
  </si>
  <si>
    <t>295. Ku ƙaddara da wata ɗiyarka tana son ta auri ɗan wata kabila daban, za ku bada izininka?</t>
  </si>
  <si>
    <t>live_away</t>
  </si>
  <si>
    <t>Will surely live in Niger</t>
  </si>
  <si>
    <t>Est presque sûr de toujours habiter au Niger</t>
  </si>
  <si>
    <t>Tabbas ya fi son ya zauna ya rayu a Nijar</t>
  </si>
  <si>
    <t>308. Imagine one of your daughters wanted to marry someone of a different ethnic group, would you give them your permission?</t>
  </si>
  <si>
    <t>308. Imaginez qu'une de vos filles veuille épouser quelqu'un d'un groupe ethnique différent, leur donneriez-vous votre permission ?</t>
  </si>
  <si>
    <t>308. Ku ƙaddara da wata ɗiyarka tana son ta auri ɗan wata kabila daban, za ku bada izininka?</t>
  </si>
  <si>
    <t>w_marry_son_eth</t>
  </si>
  <si>
    <t>296. Imagine one of your sons wanted to marry someone of a different ethnic group, would you give them your permission?</t>
  </si>
  <si>
    <t>296. Imaginez que l'un de vos fils veuille épouser quelqu'un d'un groupe ethnique différent, leur donneriez-vous votre permission ?</t>
  </si>
  <si>
    <t>296. Ku ƙaddara da wani ɗanku ya na son ya auri wani ɗan wata ƙabila daban, za ku bada izininka?</t>
  </si>
  <si>
    <t>309. Imagine one of your sons wanted to marry someone of a different ethnic group, would you give them your permission?</t>
  </si>
  <si>
    <t>309. Imaginez que l'un de vos fils veuille épouser quelqu'un d'un groupe ethnique différent, leur donneriez-vous votre permission ?</t>
  </si>
  <si>
    <t>309. Ku ƙaddara da wani ɗanku ya na son ya auri wani ɗan wata ƙabila daban, za ku bada izininka?</t>
  </si>
  <si>
    <t>w_statement_note</t>
  </si>
  <si>
    <t>297. Please tell me the degree to which you agree or disagree with the following statements.</t>
  </si>
  <si>
    <t>Very likely to live in Niger</t>
  </si>
  <si>
    <t>297. Veuillez me dire dans quelle mesure vous êtes d'accord ou pas d'accord avec les énoncés suivants.</t>
  </si>
  <si>
    <t>Est probable de toujours habiter au Niger</t>
  </si>
  <si>
    <t>297. Yanzu ina son ku gaya mini har zuwa wane matsayi kuka yarda ko baku yarda ba da waɗannan maganganun da zan zana muku.</t>
  </si>
  <si>
    <t>Ya fi son sosai ya zauna ya rayu a Nijar</t>
  </si>
  <si>
    <t>310. Please tell me the degree to which you agree or disagree with the following statements.</t>
  </si>
  <si>
    <t>310. Veuillez me dire dans quelle mesure vous êtes d'accord ou pas d'accord avec les énoncés suivants.</t>
  </si>
  <si>
    <t>310. Yanzu ina son ku gaya mini har zuwa wane matsayi kuka yarda ko baku yarda ba da waɗannan maganganun da zan zana muku.</t>
  </si>
  <si>
    <t>w_male_education_priority</t>
  </si>
  <si>
    <t>298. Middle school education for males is more important than middle school education for females.</t>
  </si>
  <si>
    <t>298. L'enseignement secondaire pour les hommes est plus important que l'enseignement secondaire pour les femmes.</t>
  </si>
  <si>
    <t>298. Ilimin koleji ga maza yana da mahimmanci fiye da ilimin koleji ga mata.</t>
  </si>
  <si>
    <t>More likely than not to live in Niger</t>
  </si>
  <si>
    <t>Plus probable de toujours habiter au Niger qu'ailleurs</t>
  </si>
  <si>
    <t>Ya fi son zama a Nijar fiye da wani wuri</t>
  </si>
  <si>
    <t>311. Middle school education for males is more important than middle school education for females.</t>
  </si>
  <si>
    <t>311. L'enseignement secondaire pour les hommes est plus important que l'enseignement secondaire pour les femmes.</t>
  </si>
  <si>
    <t>311. Ilimin koleji ga maza yana da mahimmanci fiye da ilimin koleji ga mata.</t>
  </si>
  <si>
    <t>w_equal_rights_inheritance</t>
  </si>
  <si>
    <t>299. Women and men should have equal rights to their inheritance (Women should not be denied their right)</t>
  </si>
  <si>
    <t>299. Les femmes et les hommes devraient avoir des droits égaux à l'héritage (les femmes ne devraient pas être privées de leur droit)</t>
  </si>
  <si>
    <t>299. Ya kamata mata da maza su samu haƙƙi daidai akan gado (Bai Kamata a hana ma mata haƙƙinsu ba)</t>
  </si>
  <si>
    <t>More likely than not to live in another country</t>
  </si>
  <si>
    <t>Plus probable d'habiter ailleurs que Niger</t>
  </si>
  <si>
    <t>Ya fi son sosai ya zauna ya rayu a wani wuri</t>
  </si>
  <si>
    <t>312. Women and men should have equal rights to their inheritance (Women should not be denied their right)</t>
  </si>
  <si>
    <t>312. Les femmes et les hommes devraient avoir des droits égaux à l'héritage (les femmes ne devraient pas être privées de leur droit)</t>
  </si>
  <si>
    <t>312. Ya kamata mata da maza su samu haƙƙi daidai akan gado (Bai Kamata a hana ma mata haƙƙinsu ba)</t>
  </si>
  <si>
    <t>w_woman_reject_marriage</t>
  </si>
  <si>
    <t>300. A woman can reject a marriage that her family chose for her without her consent</t>
  </si>
  <si>
    <t>300. Une femme peut refuser un mariage que sa famille a choisi pour elle sans son consentement</t>
  </si>
  <si>
    <t>300. Mace za ta iya ƙin auren da danginta suka zaɓa mata idan bata yarda ba</t>
  </si>
  <si>
    <t>Very likely to live in another country</t>
  </si>
  <si>
    <t>313. A woman can reject a marriage that her family chose for her without her consent</t>
  </si>
  <si>
    <t>313. Une femme peut refuser un mariage que sa famille a choisi pour elle sans son consentement</t>
  </si>
  <si>
    <t>313. Mace za ta iya ƙin auren da danginta suka zaɓa mata idan bata yarda ba</t>
  </si>
  <si>
    <t>w_equal_rights_divorce</t>
  </si>
  <si>
    <t>301. Women and men should have equal rights in making the decision to divorce.</t>
  </si>
  <si>
    <t>301. Les femmes et les hommes devraient avoir des droits égaux dans la décision de divorcer.</t>
  </si>
  <si>
    <t>301. Yakamata a ce mata da maza suna da haƙƙi daidai wajen yanke shawarar rabuwar aure.</t>
  </si>
  <si>
    <t>314. Women and men should have equal rights in making the decision to divorce.</t>
  </si>
  <si>
    <t>314. Les femmes et les hommes devraient avoir des droits égaux dans la décision de divorcer.</t>
  </si>
  <si>
    <t>314. Yakamata a ce mata da maza suna da haƙƙi daidai wajen yanke shawarar rabuwar aure.</t>
  </si>
  <si>
    <t>w_polygamy</t>
  </si>
  <si>
    <t>302. The law should not allow a man to marry more than one woman.</t>
  </si>
  <si>
    <t>302. La loi ne devrait pas permettre à un homme d'épouser plus d'une femme.</t>
  </si>
  <si>
    <t>Will surely live in another country</t>
  </si>
  <si>
    <t>302. Yakamata doka ta hana ma namiji ya auri fiye da mace ɗaya.</t>
  </si>
  <si>
    <t>Tabbas ya zauna ya rayu a wani wuri</t>
  </si>
  <si>
    <t>315. The law should not allow a man to marry more than one woman.</t>
  </si>
  <si>
    <t>315. La loi ne devrait pas permettre à un homme d'épouser plus d'une femme.</t>
  </si>
  <si>
    <t>315. Yakamata doka ta hana ma namiji ya auri fiye da mace ɗaya.</t>
  </si>
  <si>
    <t>w_gbv</t>
  </si>
  <si>
    <t>365. In the last three months did you or a member of your household try to secure a loan from any source but were refused?</t>
  </si>
  <si>
    <t>365. Au cours des trois derniers mois, vous ou un membre de votre ménage avez-vous essayé d'obtenir un prêt auprès de n'importe quelle source, mais cela a été refusé ?</t>
  </si>
  <si>
    <t>365. A cikin watanni uku da suka wuce kai ko wani dan gidanku kun yi ƙoƙarin samun bashi daga kowace hanya amma an ƙi?</t>
  </si>
  <si>
    <t>w_gbv_note</t>
  </si>
  <si>
    <t>303. In your opinion, is a husband justified in hitting or beating his wife if:</t>
  </si>
  <si>
    <t>303. A votre avis, est-il justifié pour un mari de frapper ou de battre sa femme si :</t>
  </si>
  <si>
    <t>303. A ganinku, ko ya cancanta miji ya bugi matarshi ko ya bata kashi idan:</t>
  </si>
  <si>
    <t>316. In your opinion, is a husband justified in hitting or beating his wife if:</t>
  </si>
  <si>
    <t>316. A votre avis, est-il justifié pour un mari de frapper ou de battre sa femme si :</t>
  </si>
  <si>
    <t>316. A ganinku, ko ya cancanta miji ya bugi matarshi ko ya bata kashi idan:</t>
  </si>
  <si>
    <t>w_neglects_children</t>
  </si>
  <si>
    <t>304. She neglects the children</t>
  </si>
  <si>
    <t>304. Elle néglige les enfants</t>
  </si>
  <si>
    <t>304. Ta yi sakaci da yara</t>
  </si>
  <si>
    <t>school_prefer_son</t>
  </si>
  <si>
    <t>Strongly prefer sons complete koranic school</t>
  </si>
  <si>
    <t>Préfère fortement que les fils terminent l'école coranique</t>
  </si>
  <si>
    <t>317. She neglects the children</t>
  </si>
  <si>
    <t>317. Elle néglige les enfants</t>
  </si>
  <si>
    <t>Ya fi son sosai ƴaƴa maza su kammala karatun ƙur'ani</t>
  </si>
  <si>
    <t>317. Ta yi sakaci da yara</t>
  </si>
  <si>
    <t>w_argues</t>
  </si>
  <si>
    <t>305. She argues with him</t>
  </si>
  <si>
    <t>305. Elle se dispute avec lui</t>
  </si>
  <si>
    <t>305. Ta yi mishi gardama</t>
  </si>
  <si>
    <t>318. She argues with him</t>
  </si>
  <si>
    <t>318. Elle se dispute avec lui</t>
  </si>
  <si>
    <t>318. Ta yi mishi gardama</t>
  </si>
  <si>
    <t>w_refuses_pray</t>
  </si>
  <si>
    <t>306. She refuses to pray</t>
  </si>
  <si>
    <t>Somewhat prefer sons complete koranic school</t>
  </si>
  <si>
    <t>306. Elle refuse de prier</t>
  </si>
  <si>
    <t>306. Ta ƙi yin sallah</t>
  </si>
  <si>
    <t>Préfère un peu que les fils terminent l'école coranique</t>
  </si>
  <si>
    <t>Ya ɗan fi son ƴaƴa maza su kammala karatun ƙur'ani</t>
  </si>
  <si>
    <t>319. She refuses to pray</t>
  </si>
  <si>
    <t>319. Elle refuse de prier</t>
  </si>
  <si>
    <t>319. Ta ƙi yin sallah</t>
  </si>
  <si>
    <t>w_burns_food</t>
  </si>
  <si>
    <t>307. She burns the food</t>
  </si>
  <si>
    <t>307. Elle brûle la nourriture</t>
  </si>
  <si>
    <t>307. Ta ƙona abincin</t>
  </si>
  <si>
    <t>320. She burns the food</t>
  </si>
  <si>
    <t>Indifferent between completion of koranic school or bacalaureat</t>
  </si>
  <si>
    <t>320. Elle brûle la nourriture</t>
  </si>
  <si>
    <t>320. Ta ƙona abincin</t>
  </si>
  <si>
    <t>Indifférent entre l'achèvement de l'école coranique et de l'école formelle jusqu'au baccalauréat</t>
  </si>
  <si>
    <t>Babu zaɓi tsakanin kammala karatun kur'ani ko boko har zuwa Bak</t>
  </si>
  <si>
    <t>370. How many days?</t>
  </si>
  <si>
    <t>370. Pendant combien de jours?</t>
  </si>
  <si>
    <t>Somewhat prefer sons complete bacalaureat</t>
  </si>
  <si>
    <t>370. 151a Tsawon kwanaki nawa?</t>
  </si>
  <si>
    <t>Préfère un peu que les fils terminent l'école jusqu'au bac</t>
  </si>
  <si>
    <t>select_multiple changes</t>
  </si>
  <si>
    <t>Ya ɗan fi son ƴaƴa maza su kammala karatun boko har zuwa Bak</t>
  </si>
  <si>
    <t>w_other_changes</t>
  </si>
  <si>
    <t>308. I've asked you a lot of questions about your life in the past period in order to better understand your experiences. Is there anything else that has happened recently to you that has changed your life in an important way?</t>
  </si>
  <si>
    <t>308. Je vous ai posé beaucoup de questions sur votre vie au cours de la période écoulée afin de mieux comprendre vos expériences. Y a-t-il autre chose qui vous est arrivé récemment qui a changé votre vie de manière importante ?</t>
  </si>
  <si>
    <t>308. Na yi muku tambayoyi da yawa game da rayuwarku a cikin kwanakin da suka wuce don in gane yanda kuke tahiyar rayuwarku. Ko akwai wani abu da ya faru da ku cikin kwanan nan wanda ya kawo wani mahimmin canji ga rayuwarku ?</t>
  </si>
  <si>
    <t>321. I've asked you a lot of questions about your life in the past period in order to better understand your experiences. Is there anything else that has happened recently to you that has changed your life in an important way?</t>
  </si>
  <si>
    <t>321. Je vous ai posé beaucoup de questions sur votre vie au cours de la période écoulée afin de mieux comprendre vos expériences. Y a-t-il autre chose qui vous est arrivé récemment qui a changé votre vie de manière importante ?</t>
  </si>
  <si>
    <t>321. Na yi muku tambayoyi da yawa game da rayuwarku a cikin kwanakin da suka wuce don in gane yanda kuke tahiyar rayuwarku. Ko akwai wani abu da ya faru da ku cikin kwanan nan wanda ya kawo wani mahimmin canji ga rayuwarku ?</t>
  </si>
  <si>
    <t>w_other_change_desc</t>
  </si>
  <si>
    <t>309. Enumerator: Briefly summarize the changes described by the respondent</t>
  </si>
  <si>
    <t>309. Enquêteur : Résumez brièvement les changements décrits par le répondant</t>
  </si>
  <si>
    <t>309. Ɗan bincike: A taƙaice rubuta canje-canjen da mai bada amsa ya gaya maka</t>
  </si>
  <si>
    <t>Strongly prefer sons complete bacalaureat</t>
  </si>
  <si>
    <t>Préfère fortement que les garçons termnent l'école jusqu'au baccalauréat</t>
  </si>
  <si>
    <t>Ya fi son sosai ƴaƴa maza su kammala karatun boko har zuwa Bak</t>
  </si>
  <si>
    <t>322. Enumerator: Briefly summarize the changes described by the respondent</t>
  </si>
  <si>
    <t>322. Enquêteur : Résumez brièvement les changements décrits par le répondant</t>
  </si>
  <si>
    <t>322. Ɗan bincike: A taƙaice rubuta canje-canjen da mai bada amsa ya gaya maka</t>
  </si>
  <si>
    <t>speedcheck_w_nothoh_end</t>
  </si>
  <si>
    <t>dur_w_nothoh</t>
  </si>
  <si>
    <t>work_prefer_son</t>
  </si>
  <si>
    <t>Strongly prefer sons stay and work the land</t>
  </si>
  <si>
    <t>Préfère fortement que les fils restent et travaillent la terre</t>
  </si>
  <si>
    <t>Ya fi so sosai ƴaƴa maza su zauna su yi aikin gona</t>
  </si>
  <si>
    <t>w_private</t>
  </si>
  <si>
    <t>376. In the last 7 days, have children (&lt;14) cut the size of meals or skipped meals?</t>
  </si>
  <si>
    <t>376. Au cours des 7 derniers jours, des enfants (&lt;14) ont-ils réduit la taille de leurs repas ou les ont-ils sauté?</t>
  </si>
  <si>
    <t>376. A cikin kwanaki 7 na ƙarshe, suna da yara (&lt;14) sun rage yawan abinci ko sun rasa gaba ɗaya?</t>
  </si>
  <si>
    <t>w_private_note</t>
  </si>
  <si>
    <t>310.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t>
  </si>
  <si>
    <t>Somewhat prefer sons stay and work the land</t>
  </si>
  <si>
    <t>«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t>
  </si>
  <si>
    <t>Yanzu ina son in yi muku tambayoyi game da wasu muhimman al'amura na rayuwar mace, na san cewa wasu daga cikin tambayoyin na sirri ne, Amma ina tabbatar muku cewa zamu sirrin amsoshin ku kuma ba za a gaya wa kowa ba. 
 A cikin wata shida mijinki ko wani dan gidanki ya hana ki</t>
  </si>
  <si>
    <t>Préfère un peu que les fils restent et travaillent la terre</t>
  </si>
  <si>
    <t>Ya ɗan fi son ƴaƴa maza su zauna su yi aikin gona</t>
  </si>
  <si>
    <t>323. 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t>
  </si>
  <si>
    <t>323. «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t>
  </si>
  <si>
    <t>323. Yanzu ina son in yi muku tambayoyi game da wasu muhimman al'amura na rayuwar mace, na san cewa wasu daga cikin tambayoyin na sirri ne, Amma ina tabbatar muku cewa zamu sirrin amsoshin ku kuma ba za a gaya wa kowa ba. 
 A cikin wata shida mijinki ko wani dan gidanki ya hana ki</t>
  </si>
  <si>
    <t>w_prevent_visit</t>
  </si>
  <si>
    <t>311. visiting your family or friends?</t>
  </si>
  <si>
    <t>311. rendre visite à votre famille ou à vos amis ?</t>
  </si>
  <si>
    <t>Indifferent between sons staying and leaving</t>
  </si>
  <si>
    <t>311. ziyartar danginku ko abokananku?</t>
  </si>
  <si>
    <t>Indifférent entre les fils restent travailler la terre et partent en ville</t>
  </si>
  <si>
    <t>Bashi da zaɓi tsakanin ƴaƴa su zauna su yi aikin gona da su je birni</t>
  </si>
  <si>
    <t>324. visiting your family or friends?</t>
  </si>
  <si>
    <t>324. rendre visite à votre famille ou à vos amis ?</t>
  </si>
  <si>
    <t>324. ziyartar danginku ko abokananku?</t>
  </si>
  <si>
    <t>w_prevent_work</t>
  </si>
  <si>
    <t>312. working outside the household?</t>
  </si>
  <si>
    <t>312. travailler en dehors du ménage ?</t>
  </si>
  <si>
    <t>312. aiki a wajen gidanku?</t>
  </si>
  <si>
    <t>Somewhat prefer sons go to a city to find professional opportunities</t>
  </si>
  <si>
    <t>325. working outside the household?</t>
  </si>
  <si>
    <t>325. travailler en dehors du ménage ?</t>
  </si>
  <si>
    <t>Préfère un peu que les fils aillent en ville pour trouver des opportunités professionnelles</t>
  </si>
  <si>
    <t>325. aiki a wajen gidanku?</t>
  </si>
  <si>
    <t>Ya ɗan fi son ƴaƴa maza su je birni don neman sana'a</t>
  </si>
  <si>
    <t>Strongly prefer sons go to a city to find professional opportunities</t>
  </si>
  <si>
    <t>Préfère fortement que les fils partent en ville pour trouver des opportunités professionnelles</t>
  </si>
  <si>
    <t>Ya fi so sosai ƴaƴa maza su je birni don neman sana'a</t>
  </si>
  <si>
    <t>381. Do you have a Whatsapp account/ phone number you use for WhatsApp?</t>
  </si>
  <si>
    <t>381. Avez-vous un compte/numéro de téléphone Whatsapp que vous utilisez pour WhatsApp ?</t>
  </si>
  <si>
    <t>381. Kuna yin WhatsApp / lambar wayar da kuke amfani da ita ta WhatsApp ce?</t>
  </si>
  <si>
    <t>w_married_only</t>
  </si>
  <si>
    <t>not(count-selected(.) &gt; 1 and selected(., 0))</t>
  </si>
  <si>
    <t>382. Is this the phone number you use for whatsapp?</t>
  </si>
  <si>
    <t>382. Est-ce le numéro de téléphone que vous utilisez pour WhatsApp ?</t>
  </si>
  <si>
    <t>382. Wannan ita ce lambar wayar da kuke amfani da ita don yin whatsapp?</t>
  </si>
  <si>
    <t>school_prefer_d</t>
  </si>
  <si>
    <t>w_relationship</t>
  </si>
  <si>
    <t>Strongly prefer daughters complete koranic school</t>
  </si>
  <si>
    <t>Préfère fortement que les filles terminent l'école coranique</t>
  </si>
  <si>
    <t>Ya fi son sosai ƴaƴa mata su kammala karatun ƙur'ani</t>
  </si>
  <si>
    <t>380. How much did your household spend on ${hoh_item} in the past month (in CFA)?</t>
  </si>
  <si>
    <t>380. Combien votre ménage a-t-il dépensé pour ${hoh_item} au cours du dernier mois (en CFA) ?</t>
  </si>
  <si>
    <t>380. Nawa ne (a CFA) gidanku ya kashe akan ${hoh_item} cikin watan da ya gabata ?</t>
  </si>
  <si>
    <t>w_married_note</t>
  </si>
  <si>
    <t>313. The next set of questions are for married women only</t>
  </si>
  <si>
    <t>313. La série de questions suivante s'adresse uniquement aux femmes mariées.</t>
  </si>
  <si>
    <t>313. Tambayoyi na gaba na matan aure ne kawai</t>
  </si>
  <si>
    <t>Somewhat prefer daughters complete koranic school</t>
  </si>
  <si>
    <t>326. The next set of questions are for married women only</t>
  </si>
  <si>
    <t>326. La série de questions suivante s'adresse uniquement aux femmes mariées.</t>
  </si>
  <si>
    <t>Préfére un peu que les filles terminent l'école coranique</t>
  </si>
  <si>
    <t>326. Tambayoyi na gaba na matan aure ne kawai</t>
  </si>
  <si>
    <t>Ya ɗan fi son ƴaƴa mata su kammala karatun ƙur'ani</t>
  </si>
  <si>
    <t>w_relationship_note</t>
  </si>
  <si>
    <t>314. When two people marry or live together, they share both good and bad moments. In your relationship with your husband/partner do the following happen frequently, only sometimes, or never?</t>
  </si>
  <si>
    <t>314. Lorsque deux personnes se marient ou vivent ensemble, elles partagent de bons et de mauvais moments. Dans votre relation avec votre mari/partenaire, les situations suivantes se produisent-elles a quelle frequence?</t>
  </si>
  <si>
    <t>314. Idan mutum biyu suka yi aure ko suna zaune tare, suna raba lokutta masu daɗi da marasa daɗi. A cikin zamantakewarku da mijinki/abokin zaman, ko waɗannan abubuwan suna faruwa kai-aka?</t>
  </si>
  <si>
    <t>327. When two people marry or live together, they share both good and bad moments. In your relationship with your husband/partner do the following happen frequently, only sometimes, or never?</t>
  </si>
  <si>
    <t>327. Lorsque deux personnes se marient ou vivent ensemble, elles partagent de bons et de mauvais moments. Dans votre relation avec votre mari/partenaire, les situations suivantes se produisent-elles a quelle frequence?</t>
  </si>
  <si>
    <t>327. Idan mutum biyu suka yi aure ko suna zaune tare, suna raba lokutta masu daɗi da marasa daɗi. A cikin zamantakewarku da mijinki/abokin zaman, ko waɗannan abubuwan suna faruwa kai-aka?</t>
  </si>
  <si>
    <t>Indifférent entre l'achèvement de l'école coranique et le baccalauréat</t>
  </si>
  <si>
    <t>w_affectionate</t>
  </si>
  <si>
    <t>315. He is affectionnate with you</t>
  </si>
  <si>
    <t>315. Il est affectueux avec vous</t>
  </si>
  <si>
    <t>315. Yana nuna muku soyayya</t>
  </si>
  <si>
    <t>. &gt;= 0 and . &lt; 100</t>
  </si>
  <si>
    <t>328. He is affectionnate with you</t>
  </si>
  <si>
    <t>328. Il est affectueux avec vous</t>
  </si>
  <si>
    <t>Somewhat prefer daughters complete bacalaureat</t>
  </si>
  <si>
    <t>328. Yana nuna muku soyayya</t>
  </si>
  <si>
    <t>Préfère un peu que les filles terminent l'école jusqu'au bac</t>
  </si>
  <si>
    <t>Ya ɗan fi son ƴaƴa mata su kammala karatun boko har zuwa Bak</t>
  </si>
  <si>
    <t>w_respectful</t>
  </si>
  <si>
    <t>316. He respects you and your wishes</t>
  </si>
  <si>
    <t>316. Il vous respecte et respecte vos souhaits</t>
  </si>
  <si>
    <t>316. Yana girmama ku kuma ya na girmama buƙatuntu</t>
  </si>
  <si>
    <t>329. He respects you and your wishes</t>
  </si>
  <si>
    <t>329. Il vous respecte et respecte vos souhaits</t>
  </si>
  <si>
    <t>329. Yana girmama ku kuma ya na girmama buƙatuntu</t>
  </si>
  <si>
    <t>Strongly prefer daughters complete bacalaureat</t>
  </si>
  <si>
    <t>Préfére fortement que les filles terminent l'école jusqu'au bac</t>
  </si>
  <si>
    <t>Ya fi son sosai ƴaƴa mata su kammala karatun boko har zuwa Bak</t>
  </si>
  <si>
    <t>w_sitatuations</t>
  </si>
  <si>
    <t>w_situations_note</t>
  </si>
  <si>
    <t>317. Now I am going to ask you about some situations which happen to some women. Please tell me if these apply to your relationship with your husband?</t>
  </si>
  <si>
    <t>317. Maintenant, je vais vous poser des questions sur certaines situations qui arrivent à certaines femmes. Veuillez me dire si cela s'applique à votre relation avec votre mari ?</t>
  </si>
  <si>
    <t>317. To, yanzu zan tambaye ku game da wasu al’amura da suke faruwa ga wasu mata. Ko kun gaya mini idan waɗannan sun shafi zamantakewarku da mijinku?</t>
  </si>
  <si>
    <t>330. Now I am going to ask you about some situations which happen to some women. Please tell me if these apply to your relationship with your husband?</t>
  </si>
  <si>
    <t>330. Maintenant, je vais vous poser des questions sur certaines situations qui arrivent à certaines femmes. Veuillez me dire si cela s'applique à votre relation avec votre mari ?</t>
  </si>
  <si>
    <t>330. To, yanzu zan tambaye ku game da wasu al’amura da suke faruwa ga wasu mata. Ko kun gaya mini idan waɗannan sun shafi zamantakewarku da mijinku?</t>
  </si>
  <si>
    <t>w_accuse_unfaithful</t>
  </si>
  <si>
    <t>318. He does not trust your fidelty</t>
  </si>
  <si>
    <t>318. Il est jaloux et vous montre qu'il n’a pas confiance en vous ?</t>
  </si>
  <si>
    <t>318. Yana zargin ku kullum da nuna rashin yarda?</t>
  </si>
  <si>
    <t>work_prefer_d</t>
  </si>
  <si>
    <t>Strongly prefer daughters stay and work the land</t>
  </si>
  <si>
    <t>331. He does not trust your fidelty</t>
  </si>
  <si>
    <t>Préfère fortement que les filles restent et travaillent la terre</t>
  </si>
  <si>
    <t>331. Il est jaloux et vous montre qu'il n’a pas confiance en vous ?</t>
  </si>
  <si>
    <t>331. Yana zargin ku kullum da nuna rashin yarda?</t>
  </si>
  <si>
    <t>Ya fi so sosai ƴaƴa mata su zauna su yi aikin gona</t>
  </si>
  <si>
    <t>w_not_permit_friends</t>
  </si>
  <si>
    <t>319. He (does/did) not permit you to meet your girl friends?</t>
  </si>
  <si>
    <t>319. Il ne vous a pas permis de rencontrer vos copines ?</t>
  </si>
  <si>
    <t>319. Bai baku izinin ganin ƙawayenku ba?</t>
  </si>
  <si>
    <t>332. He (does/did) not permit you to meet your girl friends?</t>
  </si>
  <si>
    <t>332. Il ne vous a pas permis de rencontrer vos copines ?</t>
  </si>
  <si>
    <t>332. Bai baku izinin ganin ƙawayenku ba?</t>
  </si>
  <si>
    <t>w_limit_fam_contact</t>
  </si>
  <si>
    <t>320. He (tries/tried) to limit your contact with your family?</t>
  </si>
  <si>
    <t>320. Il essaie de limiter vos contacts avec votre famille ?</t>
  </si>
  <si>
    <t>320. Ya na ƙoƙarin ya rage hulɗarku da danginku?</t>
  </si>
  <si>
    <t>Somewhat prefer daughters stay and work the land</t>
  </si>
  <si>
    <t>Préfère un peu que les filles restent et travaillent la terre</t>
  </si>
  <si>
    <t>Ya ɗan fi son ƴaƴa mata su zauna su yi aikin gona</t>
  </si>
  <si>
    <t>333. He (tries/tried) to limit your contact with your family?</t>
  </si>
  <si>
    <t>333. Il essaie de limiter vos contacts avec votre famille ?</t>
  </si>
  <si>
    <t>333. Ya na ƙoƙarin ya rage hulɗarku da danginku?</t>
  </si>
  <si>
    <t>w_not_permit_health</t>
  </si>
  <si>
    <t>He expects you to ask his permission before seeking health care for yourself?</t>
  </si>
  <si>
    <t>Il s’attend à ce que vous demandiez sa permission avant de chercher à obtenir des soins de santé pour vous-même ?</t>
  </si>
  <si>
    <t>Yana tsammanin ki nemi izininshi kafin ki nemi lafiyar kanka?</t>
  </si>
  <si>
    <t>Indifferent between daughters staying and leaving</t>
  </si>
  <si>
    <t>334. He expects you to ask his permission before seeking health care for yourself?</t>
  </si>
  <si>
    <t>334. Il s’attend à ce que vous demandiez sa permission avant de chercher à obtenir des soins de santé pour vous-même ?</t>
  </si>
  <si>
    <t>Indifférent entre les filles qui restent travailler la terre et partent en ville</t>
  </si>
  <si>
    <t>334. Yana tsammanin ki nemi izininshi kafin ki nemi lafiyar kanka?</t>
  </si>
  <si>
    <t>w_not_permit_health_child</t>
  </si>
  <si>
    <t>not(selected(${shm_mig_risk}, '0'))</t>
  </si>
  <si>
    <t>He expects you to ask his permission before seeking health care for your children?</t>
  </si>
  <si>
    <t>S’attend-il à ce que vous demandiez sa permission avant de consulter pour vos enfants ?</t>
  </si>
  <si>
    <t>Yana tsammanin ki nemi izininshi kafin ki nemi lafiyar yaranku?</t>
  </si>
  <si>
    <t>335. He expects you to ask his permission before seeking health care for your children?</t>
  </si>
  <si>
    <t>335. S’attend-il à ce que vous demandiez sa permission avant de consulter pour vos enfants ?</t>
  </si>
  <si>
    <t>335. Yana tsammanin ki nemi izininshi kafin ki nemi lafiyar yaranku?</t>
  </si>
  <si>
    <t>Somewhat prefer daughters go to a city to find professional opportunities</t>
  </si>
  <si>
    <t>w_intimidate</t>
  </si>
  <si>
    <t>He does things to scare or intimidate you (e.g. by the way he looked at you, by yelling and smashing things)?</t>
  </si>
  <si>
    <t>Préfèrent un peu que les filles aillent en ville pour trouver des opportunités professionnelles</t>
  </si>
  <si>
    <t>Il agit pour vous effrayer ou vous intimider (par exemple, par son regard, en criant et en cassant des objets) ?</t>
  </si>
  <si>
    <t>Ya ɗan fi son ƴaƴa mata su je birni don neman sana'a</t>
  </si>
  <si>
    <t>Yana yin abubuwa don ya firgitar ko ya tsoratar da ku (misali ta hanyar harare, ta hanyar ihu da fasa abubuwa)?</t>
  </si>
  <si>
    <t>336. He does things to scare or intimidate you (e.g. by the way he looked at you, by yelling and smashing things)?</t>
  </si>
  <si>
    <t>336. Il agit pour vous effrayer ou vous intimider (par exemple, par son regard, en criant et en cassant des objets) ?</t>
  </si>
  <si>
    <t>336. Yana yin abubuwa don ya firgitar ko ya tsoratar da ku (misali ta hanyar harare, ta hanyar ihu da fasa abubuwa)?</t>
  </si>
  <si>
    <t>Strongly prefer daughters go to a city to find professional opportunities</t>
  </si>
  <si>
    <t>Préfère fortement que les filles aillent en ville pour trouver des opportunités professionnelles</t>
  </si>
  <si>
    <t>Ya fi so sosai ƴaƴa mata su je birni don neman sana'a</t>
  </si>
  <si>
    <t>398. Which of the following crops did your household grow during the last agricultural season?</t>
  </si>
  <si>
    <t>398. Laquelle des cultures suivantes votre ménage a-t-il cultivées au cours de la dernière saison agricole ?</t>
  </si>
  <si>
    <t>398. Wanne daga cikin waɗannan amfanin gidanku ya noma a damanar da ta gabata?</t>
  </si>
  <si>
    <t>w_actions</t>
  </si>
  <si>
    <t>399. Specify other:</t>
  </si>
  <si>
    <t>399. Précisez la culture</t>
  </si>
  <si>
    <t>399. Baiyana wani abu daban:</t>
  </si>
  <si>
    <t>w_actions_note</t>
  </si>
  <si>
    <t>321. Now if you will permit me, I need to ask some more questions about your relationship with your husband. Does he ever?</t>
  </si>
  <si>
    <t>321. Maintenant, si vous me le permettez, je dois poser quelques questions supplémentaires sur votre relation avec votre mari. Est-ce qu'il a jamais?</t>
  </si>
  <si>
    <t>321. Yanzu idan za ki ba ni izini, Ina bukatar yin wasu tambayoyi game da dangantakarki da mijinki. Ko ya taba?</t>
  </si>
  <si>
    <t>337. Now if you will permit me, I need to ask some more questions about your relationship with your husband. Does he ever?</t>
  </si>
  <si>
    <t>337. Maintenant, si vous me le permettez, je dois poser quelques questions supplémentaires sur votre relation avec votre mari. Est-ce qu'il a jamais?</t>
  </si>
  <si>
    <t>337. Yanzu idan za ki ba ni izini, Ina bukatar yin wasu tambayoyi game da dangantakarki da mijinki. Ko ya taba?</t>
  </si>
  <si>
    <t>w_humiliate</t>
  </si>
  <si>
    <t>322. Say or do something to humiliate you in front of others</t>
  </si>
  <si>
    <t>322. Dit ou fait quelque chose pour vous humilier devant les autres</t>
  </si>
  <si>
    <t>322. Fadi ko yin wani abu don wulaƙanta ku a gaban wasu</t>
  </si>
  <si>
    <t>ethnicity</t>
  </si>
  <si>
    <t>Arab</t>
  </si>
  <si>
    <t>Arabe</t>
  </si>
  <si>
    <t>Balarabe</t>
  </si>
  <si>
    <t>338. Say or do something to humiliate you in front of others</t>
  </si>
  <si>
    <t>338. Dit ou fait quelque chose pour vous humilier devant les autres</t>
  </si>
  <si>
    <t>338. Fadi ko yin wani abu don wulaƙanta ku a gaban wasu</t>
  </si>
  <si>
    <t>w_threaten</t>
  </si>
  <si>
    <t>323. Threaten you or someone close to you with harm</t>
  </si>
  <si>
    <t>323. Vous menacer vous-même ou quelqu'un proche de vous à vous faire du mal</t>
  </si>
  <si>
    <t>323. Yi muku barazana ko wani na kusa da ku da cutarwa</t>
  </si>
  <si>
    <t>339. Threaten you or someone close to you with harm</t>
  </si>
  <si>
    <t>339. Vous menacer vous-même ou quelqu'un proche de vous à vous faire du mal</t>
  </si>
  <si>
    <t>339. Yi muku barazana ko wani na kusa da ku da cutarwa</t>
  </si>
  <si>
    <t>w_push_shake</t>
  </si>
  <si>
    <t>324. Push you shake you or throw something at you</t>
  </si>
  <si>
    <t>324. Vous pousser, vous secouer ou jeter quelque chose sur vous</t>
  </si>
  <si>
    <t>Djerma/Songhai</t>
  </si>
  <si>
    <t>324. Tura ku girgiza ku ko jefar da wani abu bisanku</t>
  </si>
  <si>
    <t>Ba zabarme/ba songaye</t>
  </si>
  <si>
    <t>340. Push you shake you or throw something at you</t>
  </si>
  <si>
    <t>340. Vous pousser, vous secouer ou jeter quelque chose sur vous</t>
  </si>
  <si>
    <t>340. Tura ku girgiza ku ko jefar da wani abu bisanku</t>
  </si>
  <si>
    <t>w_slap_twist</t>
  </si>
  <si>
    <t>325. Slap you or twist your arm</t>
  </si>
  <si>
    <t>325. Vous gifler ou vous tordre le bras</t>
  </si>
  <si>
    <t>325. Mari ko murɗa hannunku</t>
  </si>
  <si>
    <t>${shm_future_live_home} &gt;3</t>
  </si>
  <si>
    <t>341. Slap you or twist your arm</t>
  </si>
  <si>
    <t>Gourmantche</t>
  </si>
  <si>
    <t>341. Vous gifler ou vous tordre le bras</t>
  </si>
  <si>
    <t>341. Mari ko murɗa hannunku</t>
  </si>
  <si>
    <t>Ba gurme</t>
  </si>
  <si>
    <t>w_punch</t>
  </si>
  <si>
    <t>326. Punch you with his fist or with something that could hurt you</t>
  </si>
  <si>
    <t>326. Vous frapper avec son poing ou avec quelque chose qui pourrait vous blesser</t>
  </si>
  <si>
    <t>326. Yi muku naushi da hannu ko da wani abu da zai iya cutar da ku</t>
  </si>
  <si>
    <t>342. Punch you with his fist or with something that could hurt you</t>
  </si>
  <si>
    <t>342. Vous frapper avec son poing ou avec quelque chose qui pourrait vous blesser</t>
  </si>
  <si>
    <t>342. Yi muku naushi da hannu ko da wani abu da zai iya cutar da ku</t>
  </si>
  <si>
    <t>w_kick</t>
  </si>
  <si>
    <t>327. Kick you or drag you</t>
  </si>
  <si>
    <t>327. Vous donner un coup de pied ou vous traîner</t>
  </si>
  <si>
    <t>327. Habre ku ko jan ku</t>
  </si>
  <si>
    <t>Haoussa</t>
  </si>
  <si>
    <t>Ba haushe</t>
  </si>
  <si>
    <t>343. Kick you or drag you</t>
  </si>
  <si>
    <t>343. Vous donner un coup de pied ou vous traîner</t>
  </si>
  <si>
    <t>343. Habre ku ko jan ku</t>
  </si>
  <si>
    <t>w_strangle_burn</t>
  </si>
  <si>
    <t>328. Try to strangle you or burn you</t>
  </si>
  <si>
    <t>328. Essayer de vous étrangler ou de vous brûler</t>
  </si>
  <si>
    <t>328. Yi ƙoƙarin shake ku ko kona ku</t>
  </si>
  <si>
    <t>344. Try to strangle you or burn you</t>
  </si>
  <si>
    <t>Kanouri-Manga</t>
  </si>
  <si>
    <t>344. Essayer de vous étrangler ou de vous brûler</t>
  </si>
  <si>
    <t>344. Yi ƙoƙarin shake ku ko kona ku</t>
  </si>
  <si>
    <t>Kanouri/ Ba mange</t>
  </si>
  <si>
    <t>w_threaten_weapon</t>
  </si>
  <si>
    <t>329. threaten you with a knife, gun, or other type of weapon</t>
  </si>
  <si>
    <t>329. Vous menacer avec un couteau, une arme à feu ou tout autre type d'arme</t>
  </si>
  <si>
    <t>329. yi muku barazana da wuka, bindiga, ko wani makami daban</t>
  </si>
  <si>
    <t>345. threaten you with a knife, gun, or other type of weapon</t>
  </si>
  <si>
    <t>345. Vous menacer avec un couteau, une arme à feu ou tout autre type d'arme</t>
  </si>
  <si>
    <t>345. yi muku barazana da wuka, bindiga, ko wani makami daban</t>
  </si>
  <si>
    <t>w_attack_weapon</t>
  </si>
  <si>
    <t>330. attack you with a knife, gun, or other type of weapon</t>
  </si>
  <si>
    <t>330. Vous attaquer avec un couteau, une arme à feu ou tout autre type d'arme</t>
  </si>
  <si>
    <t>${speedcheck_shm_future_end} - ${speedcheck_shm_future_start}</t>
  </si>
  <si>
    <t>330. Kawo muku hari da wuka, bindiga, ko wani makami daban</t>
  </si>
  <si>
    <t>346. attack you with a knife, gun, or other type of weapon</t>
  </si>
  <si>
    <t>346. Vous attaquer avec un couteau, une arme à feu ou tout autre type d'arme</t>
  </si>
  <si>
    <t>346. Kawo muku hari da wuka, bindiga, ko wani makami daban</t>
  </si>
  <si>
    <t>Peul</t>
  </si>
  <si>
    <t>w_sexual_assault</t>
  </si>
  <si>
    <t>331. force you to perform sexual actswith him even when you did not want to</t>
  </si>
  <si>
    <t>331. vous forcer à accomplir des actes sexuels avec lui même lorsque vous ne le vouliez pas</t>
  </si>
  <si>
    <t>Ba fullace</t>
  </si>
  <si>
    <t>331. tilasta muku ka yin jima'i da shi ko da ba ki da buƙata</t>
  </si>
  <si>
    <t>347. force you to perform sexual actswith him even when you did not want to</t>
  </si>
  <si>
    <t>347. vous forcer à accomplir des actes sexuels avec lui même lorsque vous ne le vouliez pas</t>
  </si>
  <si>
    <t>347. tilasta muku ka yin jima'i da shi ko da ba ki da buƙata</t>
  </si>
  <si>
    <t>w_actions_otherhh</t>
  </si>
  <si>
    <t>Do other members of your household ever threaten you with violence or acted violently toward you?</t>
  </si>
  <si>
    <t>D'autres membres de votre menage vous ont-ils déjà menacée de violence ou agi de manière violente à votre égard ?</t>
  </si>
  <si>
    <t>Ko wasu ƴan gidanku sun taɓa yi muku barazana da tashin hankali ko kuma sun yi muku tashin hankali?</t>
  </si>
  <si>
    <t>Touareg</t>
  </si>
  <si>
    <t>Bouzou/Ba abzine</t>
  </si>
  <si>
    <t>348. Do other members of your household ever threaten you with violence or acted violently toward you?</t>
  </si>
  <si>
    <t>348. D'autres membres de votre menage vous ont-ils déjà menacée de violence ou agi de manière violente à votre égard ?</t>
  </si>
  <si>
    <t>348. Ko wasu ƴan gidanku sun taɓa yi muku barazana da tashin hankali ko kuma sun yi muku tashin hankali?</t>
  </si>
  <si>
    <t>w_allowance</t>
  </si>
  <si>
    <t>Toubou</t>
  </si>
  <si>
    <t>406. The amount you have left (${hoh_qty_left}) is negative. Please return and revise your responses.</t>
  </si>
  <si>
    <t xml:space="preserve">406. </t>
  </si>
  <si>
    <t>Ba Tube</t>
  </si>
  <si>
    <t>w_allowance_husband</t>
  </si>
  <si>
    <t>Does your husband provide you with money to buy food or other necessary items for the household?</t>
  </si>
  <si>
    <t>Votre mari vous donne-t-il de l’argent pour acheter de la nourriture ou d’autres articles de première nécessité pour le ménage ?</t>
  </si>
  <si>
    <t>Ko mijinki yana ba ki kuɗi don sayen abinci ko wasu abubuwan da ake bukata a gidan?</t>
  </si>
  <si>
    <t>349. Does your husband provide you with money to buy food or other necessary items for the household?</t>
  </si>
  <si>
    <t>349. Votre mari vous donne-t-il de l’argent pour acheter de la nourriture ou d’autres articles de première nécessité pour le ménage ?</t>
  </si>
  <si>
    <t>349. Ko mijinki yana ba ki kuɗi don sayen abinci ko wasu abubuwan da ake bukata a gidan?</t>
  </si>
  <si>
    <t>w_allowance_amt</t>
  </si>
  <si>
    <t>What was the amount in CFA you received the last time you were given this allowance?</t>
  </si>
  <si>
    <t>Quel était le montant en francs CFA que vous avez reçu la dernière fois que vous avez reçu cette allocation ?</t>
  </si>
  <si>
    <t>Nawa ne a kuɗin CFA abinda kika karɓa na ƙarshe lokacin da aka ba ki wannan alawus ɗin?</t>
  </si>
  <si>
    <t>350. What was the amount in CFA you received the last time you were given this allowance?</t>
  </si>
  <si>
    <t>350. Quel était le montant en francs CFA que vous avez reçu la dernière fois que vous avez reçu cette allocation ?</t>
  </si>
  <si>
    <t>350. Nawa ne a kuɗin CFA abinda kika karɓa na ƙarshe lokacin da aka ba ki wannan alawus ɗin?</t>
  </si>
  <si>
    <t>w_allowance_permission</t>
  </si>
  <si>
    <t>Do you need permission from your husband or another family member to make purchases with this money?</t>
  </si>
  <si>
    <t>Avez-vous besoin de la permission de votre mari ou d’un autre membre de votre famille pour faire des achats avec cet argent ?</t>
  </si>
  <si>
    <t>Ko kina da buƙatar izinin mijinki ko wani ƴan gidanku don yin sayayya da wannan kuɗin?</t>
  </si>
  <si>
    <t>351. Do you need permission from your husband or another family member to make purchases with this money?</t>
  </si>
  <si>
    <t>351. Avez-vous besoin de la permission de votre mari ou d’un autre membre de votre famille pour faire des achats avec cet argent ?</t>
  </si>
  <si>
    <t>351. Ko kina da buƙatar izinin mijinki ko wani ƴan gidanku don yin sayayya da wannan kuɗin?</t>
  </si>
  <si>
    <t>w_allowance_freedom</t>
  </si>
  <si>
    <t>If a wife has earned some money, does she have the right to buy clothing for herself or her children without asking the permission of her husband?</t>
  </si>
  <si>
    <t>Si une femme a gagné de l’argent, a-t-elle le droit d’acheter des vêtements pour elle-même ou ses enfants sans demander la permission de son mari ?</t>
  </si>
  <si>
    <t>Idan mace ta sami kuɗi, shin tana da ikon sayen tufafi ga kanta ko ƴaƴanta ba tare da neman izinin mijinta ba?</t>
  </si>
  <si>
    <t>vax</t>
  </si>
  <si>
    <t>352. If a wife has earned some money, does she have the right to buy clothing for herself or her children without asking the permission of her husband?</t>
  </si>
  <si>
    <t>352. Si une femme a gagné de l’argent, a-t-elle le droit d’acheter des vêtements pour elle-même ou ses enfants sans demander la permission de son mari ?</t>
  </si>
  <si>
    <t>Babu ko ɗaya</t>
  </si>
  <si>
    <t>352. Idan mace ta sami kuɗi, shin tana da ikon sayen tufafi ga kanta ko ƴaƴanta ba tare da neman izinin mijinta ba?</t>
  </si>
  <si>
    <t>400. How many other additional phone numbers?</t>
  </si>
  <si>
    <t>400. Y-a t-il d'autres numéros de téléphone supplémentaires ?</t>
  </si>
  <si>
    <t>400. 220 a. Ko akwai ƙarin wasu lambobin waya?</t>
  </si>
  <si>
    <t>Yellow Fever</t>
  </si>
  <si>
    <t>Farar masara</t>
  </si>
  <si>
    <t>407. How interested was the resppondent</t>
  </si>
  <si>
    <t>407. Dans quelle mesure le répondant était-il intéressé</t>
  </si>
  <si>
    <t>407. Yaya kake ganin maida hankalin mai bada amsa yake</t>
  </si>
  <si>
    <t>w_enum_note</t>
  </si>
  <si>
    <t>332. Enumerator: THANK THE RESPONDENT FOR HER COOPERATION AND REASSURE HER ABOUT THE CONFIDENTIALITY OF HER ANSWERS.</t>
  </si>
  <si>
    <t>332. Enquêteur : REMERCIER LA RÉPONDANTE POUR SA COOPÉRATION ET LA RASSURER SUR LA CONFIDENTIALITÉ DE SES RÉPONSES.</t>
  </si>
  <si>
    <t>332. Ɗan bincike: Ka gode wa mai bada amsa bisa haɗin kai da kuma ka tabbatar mata game da kiyaye SIRRIN HIRAR A KA YI DA ITA.</t>
  </si>
  <si>
    <t>Meningitis</t>
  </si>
  <si>
    <t>Sankarau</t>
  </si>
  <si>
    <t>353. Enumerator: THANK THE RESPONDENT FOR HER COOPERATION AND REASSURE HER ABOUT THE CONFIDENTIALITY OF HER ANSWERS.</t>
  </si>
  <si>
    <t>353. Enquêteur : REMERCIER LA RÉPONDANTE POUR SA COOPÉRATION ET LA RASSURER SUR LA CONFIDENTIALITÉ DE SES RÉPONSES.</t>
  </si>
  <si>
    <t>353. Ɗan bincike: Ka gode wa mai bada amsa bisa haɗin kai da kuma ka tabbatar mata game da kiyaye SIRRIN HIRAR A KA YI DA ITA.</t>
  </si>
  <si>
    <t>408. How much did your household spend on the following types of expenses during the last agricultural season in CFA?</t>
  </si>
  <si>
    <t>408. Combien votre ménage a-t-il dépensé pour les types de dépenses suivantes au cours de la dernière saison agricole (en CFA) ?</t>
  </si>
  <si>
    <t>408. Nawa ne gidanku ya kashe akan waɗannan abubuwan a lokacin noman da ya wuce (a sefa)?</t>
  </si>
  <si>
    <t>COVID-19</t>
  </si>
  <si>
    <t>speedcheck_w_end</t>
  </si>
  <si>
    <t>COVID 19</t>
  </si>
  <si>
    <t>CUTAR COVID 19</t>
  </si>
  <si>
    <t>393. Now we'll talk about your households' agricultural and and animal husbandry activities. 
Let's starting with the most recent agricultural season</t>
  </si>
  <si>
    <t>393. Maintenant, nous allons parler des activités agricoles et d'élevage de votre ménage.
Commençons par la dernière saison agricole</t>
  </si>
  <si>
    <t>393. Yanzu za mu yi hira bisa aikin noma da kiwo na gidanku.</t>
  </si>
  <si>
    <t>dur_w</t>
  </si>
  <si>
    <t>Polio</t>
  </si>
  <si>
    <t>Cutar shan inna</t>
  </si>
  <si>
    <t>394. Thinking of all the agricultural land your household owned, rented or and had access to during the last agricultural season, please estimate its total size in hectres</t>
  </si>
  <si>
    <t>394. En pensant à toutes les terres agricoles que votre ménage possédait, louait ou auxquelles il avait accès au cours de la dernière saison agricole, veuillez estimer leur superficie totale en hectares</t>
  </si>
  <si>
    <t>394. A ganinka da gonakan da kuka mallaka da na haya da na aro wanda kuka noma a bana sun kai eka nawa?</t>
  </si>
  <si>
    <t>Tuberculosis</t>
  </si>
  <si>
    <t>Babban tari</t>
  </si>
  <si>
    <t>speedcheck_hoh_start</t>
  </si>
  <si>
    <t>hoh_questions</t>
  </si>
  <si>
    <t>HoH Questionnaire</t>
  </si>
  <si>
    <t>397. How much of this land, if any have you purchased in the past year?</t>
  </si>
  <si>
    <t>397. Quelle superficie de ce terrain, si c'est déjà arrivé, avez-vous acheté au cours de la dernière année ?</t>
  </si>
  <si>
    <t>397. Eka nawa ne kuka saye, idan ya faru, a cikin shekarar da ta gabata?</t>
  </si>
  <si>
    <t>hoh_note</t>
  </si>
  <si>
    <t>333. HoH Questions</t>
  </si>
  <si>
    <t>333. Questions Chef de menage</t>
  </si>
  <si>
    <t>333. Tambayoyin mai gida</t>
  </si>
  <si>
    <t>354. HoH Questions</t>
  </si>
  <si>
    <t>354. Questions Chef de menage</t>
  </si>
  <si>
    <t>languages</t>
  </si>
  <si>
    <t>354. Tambayoyin mai gida</t>
  </si>
  <si>
    <t>French</t>
  </si>
  <si>
    <t>Français</t>
  </si>
  <si>
    <t>Faransanci</t>
  </si>
  <si>
    <t>399. How much did you pay to rent this land during the last agricultural season (in CFA)?</t>
  </si>
  <si>
    <t>399. A combien avez-vous loué ce terrain (en CFA) au cours de la dernière saison agricole ?</t>
  </si>
  <si>
    <t>399. A nawa kuka yi hayar wannan gonar a lokacin noman da ta wuce (a sefa)?</t>
  </si>
  <si>
    <t>speedcheck_hoh_rosternew_start</t>
  </si>
  <si>
    <t>414. Think about the last agricultural season. How many weeks were people working in your fields? This includes work by people who are members of your household and those who are not members of your household.</t>
  </si>
  <si>
    <t>414. Pensez à la dernière saison agricole. Combien de semaines au total les gens ont-ils travaillé dans vos champs ? Cela inclut le travail des personnes qui sont membres de votre ménage et celles qui ne le sont pas.</t>
  </si>
  <si>
    <t>414. Ku tuna da lokacin noma na ƙarshe. Makonni nawa mutane ke aiki a filayenku? Wannan ya haɗa da aikin mutanen da ke cikin gidanku da waɗanda ba ƴan gidanku ba ne.</t>
  </si>
  <si>
    <t>hoh_definition_note</t>
  </si>
  <si>
    <t>334. A household is a group of people, related or unrelated, who live together in the same housing, pool their resources together, share their meals and recognize the authority of the same one person who is the head of household.</t>
  </si>
  <si>
    <t>334. Un ménage est l’ensemble des personnes apparentées ou non qui vivent habituellement dans un même logement, mettent en commun leurs ressources, partagent leurs repas, et reconnaissent l’autorité d’une seule et même personne appelée chef de ménage.</t>
  </si>
  <si>
    <t>334. Gida shine mutanen da ko dangi ko a'a wanda suke rayuwa cikin gida guda, sun sa dukiyar su tare, suna cin abinci tare, kuma sun yarda da shugabancin mutum ɗaya wanda a ke ce ma mai gida.</t>
  </si>
  <si>
    <t>Arabic</t>
  </si>
  <si>
    <t>arabe</t>
  </si>
  <si>
    <t>Larabci</t>
  </si>
  <si>
    <t>355. A household is a group of people, related or unrelated, who live together in the same housing, pool their resources together, share their meals and recognize the authority of the same one person who is the head of household.</t>
  </si>
  <si>
    <t>355. Un ménage est l’ensemble des personnes apparentées ou non qui vivent habituellement dans un même logement, mettent en commun leurs ressources, partagent leurs repas, et reconnaissent l’autorité d’une seule et même personne appelée chef de ménage.</t>
  </si>
  <si>
    <t>355. Gida shine mutanen da ko dangi ko a'a wanda suke rayuwa cikin gida guda, sun sa dukiyar su tare, suna cin abinci tare, kuma sun yarda da shugabancin mutum ɗaya wanda a ke ce ma mai gida.</t>
  </si>
  <si>
    <t>hoh_new_hh_mems</t>
  </si>
  <si>
    <t>335. Are there new members in the household since we last spoke to you? For reference, these are the members you mentioned:
 ${hoh_roster_list}</t>
  </si>
  <si>
    <t>335. Y a-t-il de nouveaux membres dans le foyer depuis notre dernière conversation ? Pour référence, voici les membres que vous avez mentionnés : 
 ${hoh_roster_list}</t>
  </si>
  <si>
    <t>335. Shin akwai sabbin membobi a gidan tun da muka yi magana da ku a ƙarshe? Don tunani, waɗannan su ne membobin da ka ambata: 
 ${hoh_roster_list}</t>
  </si>
  <si>
    <t>Haussa</t>
  </si>
  <si>
    <t>Hausa</t>
  </si>
  <si>
    <t>356. Are there new members in the household since we last spoke to you? For reference, these are the members you mentioned:
 ${hoh_roster_list}</t>
  </si>
  <si>
    <t>356. Y a-t-il de nouveaux membres dans le foyer depuis notre dernière conversation ? Pour référence, voici les membres que vous avez mentionnés : 
 ${hoh_roster_list}</t>
  </si>
  <si>
    <t>356. Shin akwai sabbin membobi a gidan tun da muka yi magana da ku a ƙarshe? Don tunani, waɗannan su ne membobin da ka ambata: 
 ${hoh_roster_list}</t>
  </si>
  <si>
    <t>hoh_new_hh_mems_num</t>
  </si>
  <si>
    <t>336. How many?</t>
  </si>
  <si>
    <t>Songhai</t>
  </si>
  <si>
    <t>336. Combien?</t>
  </si>
  <si>
    <t>Songhaï</t>
  </si>
  <si>
    <t>336. Nawa?</t>
  </si>
  <si>
    <t>Songhai/ zabarmanci</t>
  </si>
  <si>
    <t>357. How many?</t>
  </si>
  <si>
    <t>357. Combien?</t>
  </si>
  <si>
    <t>357. Nawa?</t>
  </si>
  <si>
    <t>Tamasheq</t>
  </si>
  <si>
    <t>Buzanci</t>
  </si>
  <si>
    <t>402. Specify other:</t>
  </si>
  <si>
    <t>402. Précisez la culture</t>
  </si>
  <si>
    <t>402. Baiyana wani abu daban:</t>
  </si>
  <si>
    <t>hoh_roster_new</t>
  </si>
  <si>
    <t>Add new members to existing roster</t>
  </si>
  <si>
    <t>Fulfulde</t>
  </si>
  <si>
    <t>Hillanci/Fulatanci</t>
  </si>
  <si>
    <t>411.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</si>
  <si>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411.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</si>
  <si>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411.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</si>
  <si>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hoh_hhindex</t>
  </si>
  <si>
    <t>Index</t>
  </si>
  <si>
    <t>Kanuri</t>
  </si>
  <si>
    <t>hoh_hhtext</t>
  </si>
  <si>
    <t>Kanuri /Barbarci</t>
  </si>
  <si>
    <t>416. Can you estimate how many days during the last agricultural season did ${hoh_labor_name} work in field?</t>
  </si>
  <si>
    <t xml:space="preserve">416. </t>
  </si>
  <si>
    <t>Gourmanchema</t>
  </si>
  <si>
    <t>Gourmanci</t>
  </si>
  <si>
    <t>hoh_hhtextfrench</t>
  </si>
  <si>
    <t>413. What is the first name of this person</t>
  </si>
  <si>
    <t>413. Quel est le prénom de cette personne?</t>
  </si>
  <si>
    <t>413. Menene sunan wannan mutumen?</t>
  </si>
  <si>
    <t>hoh_hhtexthausa</t>
  </si>
  <si>
    <t>Tebu</t>
  </si>
  <si>
    <t>Tubanci</t>
  </si>
  <si>
    <t>English</t>
  </si>
  <si>
    <t>Anglais</t>
  </si>
  <si>
    <t>Turanci</t>
  </si>
  <si>
    <t>hoh_hhname</t>
  </si>
  <si>
    <t>Name</t>
  </si>
  <si>
    <t>Dioula</t>
  </si>
  <si>
    <t>hoh_new_mem_name_last</t>
  </si>
  <si>
    <t>337. What is the last name of ${hoh_hhtext}?</t>
  </si>
  <si>
    <t>337. Quel est le nom de ${hoh_hhtextfrench} ?</t>
  </si>
  <si>
    <t>337. Menene sunan uban ${hoh_hhtexthausa}?</t>
  </si>
  <si>
    <t>358. What is the last name of ${hoh_hhtext}?</t>
  </si>
  <si>
    <t>358. Quel est le nom de ${hoh_hhtextfrench} ?</t>
  </si>
  <si>
    <t>358. Menene sunan uban ${hoh_hhtexthausa}?</t>
  </si>
  <si>
    <t>hoh_new_mem_name_first</t>
  </si>
  <si>
    <t>Bambara</t>
  </si>
  <si>
    <t>338. What is the first name of ${hoh_hhtext}?</t>
  </si>
  <si>
    <t>338. Quel est le prenom de cette personne ${hoh_hhtextfrench} ?</t>
  </si>
  <si>
    <t>338. Menene sunan ${hoh_hhtexthausa}?</t>
  </si>
  <si>
    <t>359. What is the first name of ${hoh_hhtext}?</t>
  </si>
  <si>
    <t>359. Quel est le prenom de cette personne ${hoh_hhtextfrench} ?</t>
  </si>
  <si>
    <t>359. Menene sunan ${hoh_hhtexthausa}?</t>
  </si>
  <si>
    <t>Bamiléké</t>
  </si>
  <si>
    <t>419. How many different people did you hire people to work in your fields?</t>
  </si>
  <si>
    <t>419. Combien de personnes avez-vous embauchées pour travailler dans vos champs ?</t>
  </si>
  <si>
    <t>419. Mutane nawa kuka ɗauka don yin aiki a gonakinku?</t>
  </si>
  <si>
    <t>Chinese</t>
  </si>
  <si>
    <t>Chinois</t>
  </si>
  <si>
    <t>hoh_new_mem_name</t>
  </si>
  <si>
    <t>Canis</t>
  </si>
  <si>
    <t>select_one relation</t>
  </si>
  <si>
    <t>hoh_new_mem_relation</t>
  </si>
  <si>
    <t>339. What is ${hoh_new_mem_name}'s relationship to you, the household head?</t>
  </si>
  <si>
    <t>339. Quelle est la relation entre ${hoh_new_mem_name} et vous, le chef de ménage ?</t>
  </si>
  <si>
    <t>339. Menene alaƙa tsakanin ${hoh_new_mem_name} da, mai gida?</t>
  </si>
  <si>
    <t>360. What is ${hoh_new_mem_name}'s relationship to you, the household head?</t>
  </si>
  <si>
    <t>360. Quelle est la relation entre ${hoh_new_mem_name} et vous, le chef de ménage ?</t>
  </si>
  <si>
    <t>360. Menene alaƙa tsakanin ${hoh_new_mem_name} da, mai gida?</t>
  </si>
  <si>
    <t>select_one sex</t>
  </si>
  <si>
    <t>hoh_new_mem_sex</t>
  </si>
  <si>
    <t>340. What is ${hoh_new_mem_name}'s sex?</t>
  </si>
  <si>
    <t>340. Quel est le sexe de ${hoh_new_mem_name} ?</t>
  </si>
  <si>
    <t>340. Menene jinsin ${hoh_new_mem_name}?</t>
  </si>
  <si>
    <t>361. What is ${hoh_new_mem_name}'s sex?</t>
  </si>
  <si>
    <t>361. Quel est le sexe de ${hoh_new_mem_name} ?</t>
  </si>
  <si>
    <t>361. Menene jinsin ${hoh_new_mem_name}?</t>
  </si>
  <si>
    <t>hoh_new_mem_age</t>
  </si>
  <si>
    <t>341. What is ${hoh_new_mem_name}'s age?</t>
  </si>
  <si>
    <t>341. Quel âge a ${hoh_new_mem_name} ?</t>
  </si>
  <si>
    <t>341. ${hoh_new_mem_name} Shekarun shi/ta nawa?</t>
  </si>
  <si>
    <t>362. What is ${hoh_new_mem_name}'s age?</t>
  </si>
  <si>
    <t>362. Quel âge a ${hoh_new_mem_name} ?</t>
  </si>
  <si>
    <t>362. ${hoh_new_mem_name} Shekarun shi/ta nawa?</t>
  </si>
  <si>
    <t>transmit</t>
  </si>
  <si>
    <t>speedcheck_hoh_rosternew_end</t>
  </si>
  <si>
    <t>dur_hoh_rosternew</t>
  </si>
  <si>
    <t>420. How interested was the resppondent</t>
  </si>
  <si>
    <t>420. Dans quelle mesure le répondant était-il intéressé</t>
  </si>
  <si>
    <t>420. Yaya kake ganin maida hankalin mai bada amsa yake</t>
  </si>
  <si>
    <t>hoh_hhmembers_new</t>
  </si>
  <si>
    <t>421. How impatient was the respondent?</t>
  </si>
  <si>
    <t>421. À quel point le répondant était-il impatient ?</t>
  </si>
  <si>
    <t>421. Yaya kake ganin rashin haƙurin mai bada amsa?</t>
  </si>
  <si>
    <t>hoh_roster_note</t>
  </si>
  <si>
    <t>342. I want to ask a few questions about the members of your household who are currently residing here.</t>
  </si>
  <si>
    <t>342. Je veux poser quelques questions sur les membres de votre ménage qui résident actuellement ici.</t>
  </si>
  <si>
    <t>342. Ina so in muku ƴan tambayoyi bisa yan gidanku da ke zaune a gida a yanzu.</t>
  </si>
  <si>
    <t>363. I want to ask a few questions about the members of your household who are currently residing here.</t>
  </si>
  <si>
    <t>363. Je veux poser quelques questions sur les membres de votre ménage qui résident actuellement ici.</t>
  </si>
  <si>
    <t>363. Ina so in muku ƴan tambayoyi bisa yan gidanku da ke zaune a gida a yanzu.</t>
  </si>
  <si>
    <t>423. Was the interview conducted in the presence of other people?</t>
  </si>
  <si>
    <t>423. L'entretien a-t-il été réalisé en présence d'autres personnes ?</t>
  </si>
  <si>
    <t>423. Ko an yi hirar ne a gaban wasu mutane?</t>
  </si>
  <si>
    <t>Ta hanyar wayar hannu</t>
  </si>
  <si>
    <t>hoh_roster</t>
  </si>
  <si>
    <t>Roster</t>
  </si>
  <si>
    <t>speedcheck_hoh_roster_start</t>
  </si>
  <si>
    <t>hoh_roster_index</t>
  </si>
  <si>
    <t>hoh_roster_name_cases</t>
  </si>
  <si>
    <t>Member name from case management</t>
  </si>
  <si>
    <t>414. Renting machines and tools (i.e. for plowing or spraying)</t>
  </si>
  <si>
    <t>414. Location de machines et d'outils (c'est-à-dire pour labourer ou pulvériser)</t>
  </si>
  <si>
    <t>414. Hayar injina da kayan aiki ( don noma ko feshi)</t>
  </si>
  <si>
    <t>hoh_roster_age_cases</t>
  </si>
  <si>
    <t>Member age from case management</t>
  </si>
  <si>
    <t>415. Water</t>
  </si>
  <si>
    <t>415. Eau</t>
  </si>
  <si>
    <t>415. Ruwa</t>
  </si>
  <si>
    <t>hoh_roster_sex_cases</t>
  </si>
  <si>
    <t>Member sex from case management</t>
  </si>
  <si>
    <t>425. That is the end of the survey. Thank you for your time.</t>
  </si>
  <si>
    <t>425. C'est la fin de l'enquête. Merci pour votre temps.</t>
  </si>
  <si>
    <t>425. Karshen tambayoyin kenan. Na gode da lokacin da kuka bani.</t>
  </si>
  <si>
    <t>hoh_roster_new_index</t>
  </si>
  <si>
    <t>changes</t>
  </si>
  <si>
    <t>427. Thinking about the last agricultural season, did you need to pay other expenses we did not ask you about?</t>
  </si>
  <si>
    <t>427. En pensant à la dernière saison agricole, avez-vous dû faire d'autres dépenses dont nous n'avons pas parlé ?</t>
  </si>
  <si>
    <t>No change</t>
  </si>
  <si>
    <t>427. A tunaninka a lokacin noman da ya gabata, akwai wasu kashe kashen kuɗi da kuka yi wanda ba mu yi zancen su ba?</t>
  </si>
  <si>
    <t>Pas de changement</t>
  </si>
  <si>
    <t>hoh_roster_name_new</t>
  </si>
  <si>
    <t>New member name (only populated if no more members to enumerate in the cases data)</t>
  </si>
  <si>
    <t>Babu canji</t>
  </si>
  <si>
    <t>428. What was the expense?</t>
  </si>
  <si>
    <t>428. Quelle était la dépense ?</t>
  </si>
  <si>
    <t>428. wane kashe kuɗi ne ?</t>
  </si>
  <si>
    <t>hoh_roster_age_new</t>
  </si>
  <si>
    <t>New member age</t>
  </si>
  <si>
    <t>429. What was the approximate value of ${hoh_ag_exp_other_name} in CFA?</t>
  </si>
  <si>
    <t>429. Quelle était la valeur approximative de ${hoh_ag_exp_other_name} en CFA ?</t>
  </si>
  <si>
    <t>429. Nawa farashin ${hoh_ag_exp_other_name} a wacan lokacin a sefa?</t>
  </si>
  <si>
    <t>Respondent got married</t>
  </si>
  <si>
    <t>Le répondant s'est marié</t>
  </si>
  <si>
    <t>Mai bada amsa yana da aure</t>
  </si>
  <si>
    <t>hoh_roster_sex_new</t>
  </si>
  <si>
    <t>New member sex</t>
  </si>
  <si>
    <t>hoh_roster_name</t>
  </si>
  <si>
    <t>Respondent divorced</t>
  </si>
  <si>
    <t>Le répondant a divorcé</t>
  </si>
  <si>
    <t>Mai bada amsa gobro ne</t>
  </si>
  <si>
    <t>hoh_roster_age</t>
  </si>
  <si>
    <t>Respondent had new baby (self or spouse)</t>
  </si>
  <si>
    <t>La répondante a eu un nouveau bébé (elle-même ou son conjoint)</t>
  </si>
  <si>
    <t>Mai bada amsa tanada jariri ita da kanta ko kishiyarta</t>
  </si>
  <si>
    <t>hoh_roster_sex</t>
  </si>
  <si>
    <t>Death of respondent's child</t>
  </si>
  <si>
    <t>Décès de l'enfant du répondant</t>
  </si>
  <si>
    <t>Mutuwar ɗan mai bada amsa</t>
  </si>
  <si>
    <t>hoh_info</t>
  </si>
  <si>
    <t>343. ${hoh_roster_name}
 Sex: ${hoh_roster_sex}
 Age: ${hoh_roster_age}</t>
  </si>
  <si>
    <t>Death of household head</t>
  </si>
  <si>
    <t>Décès du chef de famille</t>
  </si>
  <si>
    <t>Mutuwar maigida</t>
  </si>
  <si>
    <t>364. ${hoh_roster_name}
 Sex: ${hoh_roster_sex}
 Age: ${hoh_roster_age}</t>
  </si>
  <si>
    <t>hoh_nationality</t>
  </si>
  <si>
    <t>344. Is ${hoh_roster_name} a Nigerien national?</t>
  </si>
  <si>
    <t>344. ${hoh_roster_name} est-il un citoyen(ne) du Niger ?</t>
  </si>
  <si>
    <t>344. Ko ${hoh_roster_name} ɗan ƙasar Nijar ne?</t>
  </si>
  <si>
    <t>365. Is ${hoh_roster_name} a Nigerien national?</t>
  </si>
  <si>
    <t>365. ${hoh_roster_name} est-il un citoyen(ne) du Niger ?</t>
  </si>
  <si>
    <t>365. Ko ${hoh_roster_name} ɗan ƙasar Nijar ne?</t>
  </si>
  <si>
    <t>Death of other household member</t>
  </si>
  <si>
    <t>hoh_nationality_country</t>
  </si>
  <si>
    <t>Décès d'un autre membre du ménage</t>
  </si>
  <si>
    <t>Mutuwar wani ɗan gida</t>
  </si>
  <si>
    <t>345. Where are they a cititzen of?</t>
  </si>
  <si>
    <t>345. D'où sont-ils citoyens ?</t>
  </si>
  <si>
    <t>345. Ƴan wace ƙasa ce?</t>
  </si>
  <si>
    <t>366. Where are they a cititzen of?</t>
  </si>
  <si>
    <t>366. D'où sont-ils citoyens ?</t>
  </si>
  <si>
    <t>366. Ƴan wace ƙasa ce?</t>
  </si>
  <si>
    <t>hoh_nationality_country_o</t>
  </si>
  <si>
    <t>346. Please enter the nationality of ${hoh_roster_name}</t>
  </si>
  <si>
    <t>346. Veuillez saisir la nationalité de ${hoh_roster_name}</t>
  </si>
  <si>
    <t>346. Da fatan za a shigar da ƙasar ${hoh_roster_name}</t>
  </si>
  <si>
    <t>Loss of land/housing</t>
  </si>
  <si>
    <t>Perte de terrain/logement</t>
  </si>
  <si>
    <t>Badda gonaki/gidaje</t>
  </si>
  <si>
    <t>367. Please enter the nationality of ${hoh_roster_name}</t>
  </si>
  <si>
    <t>367. Veuillez saisir la nationalité de ${hoh_roster_name}</t>
  </si>
  <si>
    <t>367. Da fatan za a shigar da ƙasar ${hoh_roster_name}</t>
  </si>
  <si>
    <t>hoh_roster_in</t>
  </si>
  <si>
    <t>347. Is ${hoh_roster_name} still a member of this household?</t>
  </si>
  <si>
    <t>347. ${hoh_roster_name} est-il toujours membre de ce ménage ?</t>
  </si>
  <si>
    <t>347. Ko suna yana cikin ƴan gidan nan?</t>
  </si>
  <si>
    <t>368. Is ${hoh_roster_name} still a member of this household?</t>
  </si>
  <si>
    <t>368. ${hoh_roster_name} est-il toujours membre de ce ménage ?</t>
  </si>
  <si>
    <t>368. Ko suna yana cikin ƴan gidan nan?</t>
  </si>
  <si>
    <t>select_one whyno_in</t>
  </si>
  <si>
    <t>hoh_roster_notin_why</t>
  </si>
  <si>
    <t>348. Why are they not a member of this household?</t>
  </si>
  <si>
    <t>348. Pourquoi ne font-ils pas partie de ce ménage ?</t>
  </si>
  <si>
    <t>348. Me ya sa ba su cikin ƴan gidan nan ?</t>
  </si>
  <si>
    <t>369. Why are they not a member of this household?</t>
  </si>
  <si>
    <t>369. Pourquoi ne font-ils pas partie de ce ménage ?</t>
  </si>
  <si>
    <t>369. Me ya sa ba su cikin ƴan gidan nan ?</t>
  </si>
  <si>
    <t>hoh_roster_notin_why_o</t>
  </si>
  <si>
    <t>349. Other, specify:</t>
  </si>
  <si>
    <t>349. Autre précisez:</t>
  </si>
  <si>
    <t>349. Sauran, bayar da cikakkun bayanai:</t>
  </si>
  <si>
    <t>370. Other, specify:</t>
  </si>
  <si>
    <t>370. Autre précisez:</t>
  </si>
  <si>
    <t>370. Sauran, bayar da cikakkun bayanai:</t>
  </si>
  <si>
    <t>risks</t>
  </si>
  <si>
    <t>hoh_roster_notin_death_rel</t>
  </si>
  <si>
    <t>Please indicate the relation of this member to ${pm_name}</t>
  </si>
  <si>
    <t>Veuillez indiquer la relation de ce membre avec ${pm_name}</t>
  </si>
  <si>
    <t>Da fatan za a nuna alakar wannan memba zuwa ${pm_name}</t>
  </si>
  <si>
    <t>371. Please indicate the relation of this member to ${pm_name}</t>
  </si>
  <si>
    <t>371. Veuillez indiquer la relation de ce membre avec ${pm_name}</t>
  </si>
  <si>
    <t>371. Da fatan za a nuna alakar wannan memba zuwa ${pm_name}</t>
  </si>
  <si>
    <t>hoh_roster_notin_death</t>
  </si>
  <si>
    <t>350. Enumerator: Record any details about the death of the family member</t>
  </si>
  <si>
    <t>350. Enqueteur: Veuillez noter toute information pertinente concernant le décès</t>
  </si>
  <si>
    <t>Theft</t>
  </si>
  <si>
    <t>Vol</t>
  </si>
  <si>
    <t>372. Enumerator: Record any details about the death of the family member</t>
  </si>
  <si>
    <t>Sata</t>
  </si>
  <si>
    <t>372. Enqueteur: Veuillez noter toute information pertinente concernant le décès</t>
  </si>
  <si>
    <t>hoh_living_in_hh</t>
  </si>
  <si>
    <t>351. Is ${hoh_roster_name} currently living in your household?</t>
  </si>
  <si>
    <t>351. Est-ce que ${hoh_roster_name} vit actuellement dans votre ménage ?</t>
  </si>
  <si>
    <t>351. Ko ${hoh_roster_name} yana zaune a gidanku a halin yanzu ?</t>
  </si>
  <si>
    <t>Psychological stress</t>
  </si>
  <si>
    <t>Stress psychologique</t>
  </si>
  <si>
    <t>Damuwar tunani</t>
  </si>
  <si>
    <t>373. Is ${hoh_roster_name} currently living in your household?</t>
  </si>
  <si>
    <t>373. Est-ce que ${hoh_roster_name} vit actuellement dans votre ménage ?</t>
  </si>
  <si>
    <t>373. Ko ${hoh_roster_name} yana zaune a gidanku a halin yanzu ?</t>
  </si>
  <si>
    <t>hoh_in_niger</t>
  </si>
  <si>
    <t>352. Is ${hoh_roster_name} currently living in Niger?</t>
  </si>
  <si>
    <t>352. Est-ce que ${hoh_roster_name} vit actuellement au Niger ?</t>
  </si>
  <si>
    <t>352. Ko ${hoh_roster_name} yana zaune a Nijar a halin yanzu?</t>
  </si>
  <si>
    <t>Negative impacts on household in Niger</t>
  </si>
  <si>
    <t>374. Is ${hoh_roster_name} currently living in Niger?</t>
  </si>
  <si>
    <t>Impacts négatifs sur les ménages au Niger</t>
  </si>
  <si>
    <t>374. Est-ce que ${hoh_roster_name} vit actuellement au Niger ?</t>
  </si>
  <si>
    <t>Mummunan Tasiri kan gidaje a Nijar</t>
  </si>
  <si>
    <t>374. Ko ${hoh_roster_name} yana zaune a Nijar a halin yanzu?</t>
  </si>
  <si>
    <t>hoh_in_niger_region</t>
  </si>
  <si>
    <t>353. What region is ${hoh_roster_name} currently living in?</t>
  </si>
  <si>
    <t>353. Dans quelle région vit actuellement ${hoh_roster_name} ?</t>
  </si>
  <si>
    <t>353. A cikin wace jaha ce ${hoh_roster_name} yake zaune a yanzu?</t>
  </si>
  <si>
    <t>375. What region is ${hoh_roster_name} currently living in?</t>
  </si>
  <si>
    <t>Inability to find a job or earn sufficient wages</t>
  </si>
  <si>
    <t>375. Dans quelle région vit actuellement ${hoh_roster_name} ?</t>
  </si>
  <si>
    <t>Incapacité de trouver un emploi ou de gagner un salaire suffisant</t>
  </si>
  <si>
    <t>375. A cikin wace jaha ce ${hoh_roster_name} yake zaune a yanzu?</t>
  </si>
  <si>
    <t>Rashin iya samun aiki ko samun isashen albashi</t>
  </si>
  <si>
    <t>hoh_out_niger</t>
  </si>
  <si>
    <t>354. What country is ${hoh_roster_name} currently living in?</t>
  </si>
  <si>
    <t>354. Dans quel pays vit actuellement ${hoh_roster_name} ?</t>
  </si>
  <si>
    <t>354. A cikin wace kasa ce ${hoh_roster_name} yake zaune a yanzu?</t>
  </si>
  <si>
    <t>376. What country is ${hoh_roster_name} currently living in?</t>
  </si>
  <si>
    <t>376. Dans quel pays vit actuellement ${hoh_roster_name} ?</t>
  </si>
  <si>
    <t>376. A cikin wace kasa ce ${hoh_roster_name} yake zaune a yanzu?</t>
  </si>
  <si>
    <t>Illness and injuries</t>
  </si>
  <si>
    <t>Maladie et blessures</t>
  </si>
  <si>
    <t>hoh_out_niger_o</t>
  </si>
  <si>
    <t>Rashin lafiya da raunuka</t>
  </si>
  <si>
    <t>355. Specify other</t>
  </si>
  <si>
    <t>355. Autre à préciser</t>
  </si>
  <si>
    <t>355. Wani daban a Bayyana</t>
  </si>
  <si>
    <t>377. Specify other</t>
  </si>
  <si>
    <t>377. Autre à préciser</t>
  </si>
  <si>
    <t>377. Wani daban a Bayyana</t>
  </si>
  <si>
    <t>hoh_out_town</t>
  </si>
  <si>
    <t>356. Enumerator: Select town</t>
  </si>
  <si>
    <t>356. Enquêteur : Sélectionnez la ville</t>
  </si>
  <si>
    <t>356. Ɗan bincike: Zaɓi gari</t>
  </si>
  <si>
    <t>378. Enumerator: Select town</t>
  </si>
  <si>
    <t>Exploitation or human trafficking</t>
  </si>
  <si>
    <t>378. Enquêteur : Sélectionnez la ville</t>
  </si>
  <si>
    <t>Exploitation ou traite des êtres humains</t>
  </si>
  <si>
    <t>378. Ɗan bincike: Zaɓi gari</t>
  </si>
  <si>
    <t>Amfani ko fataucin mutane</t>
  </si>
  <si>
    <t>hoh_out_town_o</t>
  </si>
  <si>
    <t>357. Specify other</t>
  </si>
  <si>
    <t>357. Autre à préciser</t>
  </si>
  <si>
    <t>357. Wani daban a Bayyana</t>
  </si>
  <si>
    <t>379. Specify other</t>
  </si>
  <si>
    <t>379. Autre à préciser</t>
  </si>
  <si>
    <t>379. Wani daban a Bayyana</t>
  </si>
  <si>
    <t>hoh_mem_in_hh</t>
  </si>
  <si>
    <t>435. In the past three months, how much did you spend on food and health expense for all of your animals (in CFA)?</t>
  </si>
  <si>
    <t>435. Au cours des trois derniers mois, combien avez-vous dépensé en frais de nourriture et de santé pour tous vos animaux (en CFA) ?</t>
  </si>
  <si>
    <t>Don’t know</t>
  </si>
  <si>
    <t>435. Nawa kuka kashe akan abinci da kiwon lafiyar dukkan dabbobinku (a sefa) ?</t>
  </si>
  <si>
    <t>hoh_illness_limit</t>
  </si>
  <si>
    <t>358. Does ${hoh_roster_name} currently suffer from any illness or disability that limits their ability to travel or work?</t>
  </si>
  <si>
    <t>358. Est-ce que ${hoh_roster_name} souffre actuellement d'une maladie ou d'un handicap qui limite sa capacité à voyager ou à travailler ?</t>
  </si>
  <si>
    <t>358. ko a halin yanzu ${hoh_roster_name} yana da rashin lafiya ko naƙasa wanda ke iya hanashi zuwa balaguro ko yin aiki?</t>
  </si>
  <si>
    <t>380. Does ${hoh_roster_name} currently suffer from any illness or disability that limits their ability to travel or work?</t>
  </si>
  <si>
    <t>380. Est-ce que ${hoh_roster_name} souffre actuellement d'une maladie ou d'un handicap qui limite sa capacité à voyager ou à travailler ?</t>
  </si>
  <si>
    <t>380. ko a halin yanzu ${hoh_roster_name} yana da rashin lafiya ko naƙasa wanda ke iya hanashi zuwa balaguro ko yin aiki?</t>
  </si>
  <si>
    <t>hoh_illness_limit_type</t>
  </si>
  <si>
    <t>359. What illness limits ${hoh_roster_name} in this way?</t>
  </si>
  <si>
    <t>359. Quelle maladie limite ${hoh_roster_name} de cette manière ?</t>
  </si>
  <si>
    <t>359. Wace rashin lafiya ke tsaida ${hoh_roster_name} ta haka ?</t>
  </si>
  <si>
    <t>381. What illness limits ${hoh_roster_name} in this way?</t>
  </si>
  <si>
    <t>381. Quelle maladie limite ${hoh_roster_name} de cette manière ?</t>
  </si>
  <si>
    <t>381. Wace rashin lafiya ke tsaida ${hoh_roster_name} ta haka ?</t>
  </si>
  <si>
    <t>hoh_illness_limit_type_o</t>
  </si>
  <si>
    <t>360. Other, specify:</t>
  </si>
  <si>
    <t>360. Autre précisez:</t>
  </si>
  <si>
    <t>360. Sauran, bayar da cikakkun bayanai:</t>
  </si>
  <si>
    <t>mitigate</t>
  </si>
  <si>
    <t>There is no way to mitigate these risks</t>
  </si>
  <si>
    <t>382. Other, specify:</t>
  </si>
  <si>
    <t>Il n'y a aucun moyen d'atténuer ces risques</t>
  </si>
  <si>
    <t>382. Autre précisez:</t>
  </si>
  <si>
    <t>Babu wata hanyar da za a iya rage waɗannan haɗari</t>
  </si>
  <si>
    <t>382. Sauran, bayar da cikakkun bayanai:</t>
  </si>
  <si>
    <t>hoh_any_children</t>
  </si>
  <si>
    <t>361. Does ${hoh_roster_name} have children?</t>
  </si>
  <si>
    <t>361. Est-ce que ${hoh_roster_name} a des enfants ?</t>
  </si>
  <si>
    <t>361. ko ${hoh_roster_name} yana da yara?</t>
  </si>
  <si>
    <t>383. Does ${hoh_roster_name} have children?</t>
  </si>
  <si>
    <t>383. Est-ce que ${hoh_roster_name} a des enfants ?</t>
  </si>
  <si>
    <t>383. ko ${hoh_roster_name} yana da yara?</t>
  </si>
  <si>
    <t>hoh_children</t>
  </si>
  <si>
    <t>362. How many children is ${hoh_roster_name} responsible for?</t>
  </si>
  <si>
    <t>362. De combien d'enfants ${hoh_roster_name} est-il responsable ?</t>
  </si>
  <si>
    <t>362. Yara nawa ne ${hoh_roster_name} yake ɗauke da Nauyinsu?</t>
  </si>
  <si>
    <t>384. How many children is ${hoh_roster_name} responsible for?</t>
  </si>
  <si>
    <t>384. De combien d'enfants ${hoh_roster_name} est-il responsable ?</t>
  </si>
  <si>
    <t>Talk with friends and other people who have migrated about their experiences and recommendations</t>
  </si>
  <si>
    <t>384. Yara nawa ne ${hoh_roster_name} yake ɗauke da Nauyinsu?</t>
  </si>
  <si>
    <t>Discutez avec des amis et d'autres personnes qui ont migré de leurs expériences et recommandations</t>
  </si>
  <si>
    <t>select_one education</t>
  </si>
  <si>
    <t>Yin magana da abokai ko wasu mutanen da suka je biɗa game da abubuwan da suka faru da shawarwarin su</t>
  </si>
  <si>
    <t>hoh_education</t>
  </si>
  <si>
    <t>363. What is the highest level of education that ${hoh_roster_name} has completed?</t>
  </si>
  <si>
    <t>363. Quel est le plus haut niveau d'études atteint par ${hoh_roster_name} ?</t>
  </si>
  <si>
    <t>363. Menene mafi girman mastayin ilimi da ${hoh_roster_name} ya kai?</t>
  </si>
  <si>
    <t>385. What is the highest level of education that ${hoh_roster_name} has completed?</t>
  </si>
  <si>
    <t>385. Quel est le plus haut niveau d'études atteint par ${hoh_roster_name} ?</t>
  </si>
  <si>
    <t>385. Menene mafi girman mastayin ilimi da ${hoh_roster_name} ya kai?</t>
  </si>
  <si>
    <t>hoh_attending_school</t>
  </si>
  <si>
    <t>364. Is ${hoh_roster_name} currently enrolled in school?</t>
  </si>
  <si>
    <t>364. Est-ce que ${hoh_roster_name} est actuellement inscrit à l'école ?</t>
  </si>
  <si>
    <t>364. Ko ${hoh_roster_name} yana yin lakwal a halin yanzu?</t>
  </si>
  <si>
    <t>Discuss migration plans with household before migrating</t>
  </si>
  <si>
    <t>Discutez des projets de migration avec le ménage avant de migrer</t>
  </si>
  <si>
    <t>Tattauna tsare-tsaren zuwa biɗa tare da ƴan gida kafin zuwa biɗa</t>
  </si>
  <si>
    <t>386. Is ${hoh_roster_name} currently enrolled in school?</t>
  </si>
  <si>
    <t>386. Est-ce que ${hoh_roster_name} est actuellement inscrit à l'école ?</t>
  </si>
  <si>
    <t>386. Ko ${hoh_roster_name} yana yin lakwal a halin yanzu?</t>
  </si>
  <si>
    <t>select_one schools</t>
  </si>
  <si>
    <t>hoh_school_type</t>
  </si>
  <si>
    <t>365. What kind of school is ${hoh_roster_name} enrolled in?</t>
  </si>
  <si>
    <t>365. Dans quel type d'école est inscrit ${hoh_roster_name} ?</t>
  </si>
  <si>
    <t>365. Wace irin makaranta aka rubuta ${hoh_roster_name}?</t>
  </si>
  <si>
    <t>387. What kind of school is ${hoh_roster_name} enrolled in?</t>
  </si>
  <si>
    <t>387. Dans quel type d'école est inscrit ${hoh_roster_name} ?</t>
  </si>
  <si>
    <t>387. Wace irin makaranta aka rubuta ${hoh_roster_name}?</t>
  </si>
  <si>
    <t>Keep in touch with family and friends after migrating</t>
  </si>
  <si>
    <t>Restez en contact avec votre famille et vos amis après la migration</t>
  </si>
  <si>
    <t>Ci gaba da tuntuɓar dangi da abokai bayan zuwa biɗa</t>
  </si>
  <si>
    <t>hoh_school_cost</t>
  </si>
  <si>
    <t>366. What is the cost of school fees for the current academic year in CFA?</t>
  </si>
  <si>
    <t>366. Quel est le coût des frais de scolarité pour l'année scolaire en cours (en CFA) ?</t>
  </si>
  <si>
    <t>366. Nawa ne kuɗin makaranta na wannan shekarar (a sefa)?</t>
  </si>
  <si>
    <t>${shm_fam_disagree} = 1</t>
  </si>
  <si>
    <t>388. What is the cost of school fees for the current academic year in CFA?</t>
  </si>
  <si>
    <t>388. Quel est le coût des frais de scolarité pour l'année scolaire en cours (en CFA) ?</t>
  </si>
  <si>
    <t>388. Nawa ne kuɗin makaranta na wannan shekarar (a sefa)?</t>
  </si>
  <si>
    <t>hoh_school_absent_health</t>
  </si>
  <si>
    <t>367. In the past month (four weeks) how many days has ${hoh_roster_name} missed school for health reasons?</t>
  </si>
  <si>
    <t>367. Au cours du dernier mois (quatre semaines), combien de jours ${hoh_roster_name} a-t-il manqué l'école pour des raisons de santé ?</t>
  </si>
  <si>
    <t>367. A cikin watan da ya gabata (sati hudu), kwanaki nawa ${hoh_roster_name} yayi fashin zuwa makaranta saboda wata rishin lafiya?</t>
  </si>
  <si>
    <t>Build your social network in the destination</t>
  </si>
  <si>
    <t>Construisez votre réseau social dans la destination</t>
  </si>
  <si>
    <t>Gina hanyar sadarwar ku a wurin da ake nufi</t>
  </si>
  <si>
    <t>389. In the past month (four weeks) how many days has ${hoh_roster_name} missed school for health reasons?</t>
  </si>
  <si>
    <t>389. Au cours du dernier mois (quatre semaines), combien de jours ${hoh_roster_name} a-t-il manqué l'école pour des raisons de santé ?</t>
  </si>
  <si>
    <t>389. A cikin watan da ya gabata (sati hudu), kwanaki nawa ${hoh_roster_name} yayi fashin zuwa makaranta saboda wata rishin lafiya?</t>
  </si>
  <si>
    <t>hoh_school_absent_work</t>
  </si>
  <si>
    <t>368. In the past month (four weeks) how many days has ${hoh_roster_name} missed school for work or other reasons?</t>
  </si>
  <si>
    <t>368. Au cours du dernier mois (quatre semaines), combien de jours ${hoh_roster_name} a-t-il manqué l'école pour le travail ou pour d'autres raisons ?</t>
  </si>
  <si>
    <t>368. A cikin watan da ya gabata (makonni hudu), kwanaki nawa ${hoh_roster_name} yayi fashin makaranta saboda aiki ko wasu dalilai?</t>
  </si>
  <si>
    <t>Know which services and help are available to Nigeriens in the destination (example: embassy, mosque, etc.)</t>
  </si>
  <si>
    <t>Savoir quels services et aides sont disponibles pour les Nigériens dans la destination (exemple : ambassade, mosquée, etc.)</t>
  </si>
  <si>
    <t>390. In the past month (four weeks) how many days has ${hoh_roster_name} missed school for work or other reasons?</t>
  </si>
  <si>
    <t>Sanin irin ayyuka da taimako da ake samu ga ƴan Nijar a wurin da a ka je (misali: ofishin jakadanci, masallaci, da sauransu)</t>
  </si>
  <si>
    <t>390. Au cours du dernier mois (quatre semaines), combien de jours ${hoh_roster_name} a-t-il manqué l'école pour le travail ou pour d'autres raisons ?</t>
  </si>
  <si>
    <t>390. A cikin watan da ya gabata (makonni hudu), kwanaki nawa ${hoh_roster_name} yayi fashin makaranta saboda aiki ko wasu dalilai?</t>
  </si>
  <si>
    <t>hoh_married</t>
  </si>
  <si>
    <t>369. Is ${hoh_roster_name} married?</t>
  </si>
  <si>
    <t>369. Est-ce que ${hoh_roster_name} est marié ?</t>
  </si>
  <si>
    <t>369. Ko ${hoh_roster_name} yanada aure?</t>
  </si>
  <si>
    <t>391. Is ${hoh_roster_name} married?</t>
  </si>
  <si>
    <t>391. Est-ce que ${hoh_roster_name} est marié ?</t>
  </si>
  <si>
    <t>391. Ko ${hoh_roster_name} yanada aure?</t>
  </si>
  <si>
    <t>Do not travel hidden in a vehicle while crossing the border</t>
  </si>
  <si>
    <t>Ne voyagez pas caché dans un véhicule lors du passage de la frontière</t>
  </si>
  <si>
    <t>Kada ku yi tafiya a ɓoye a cikin mota yayin ketare iyaka</t>
  </si>
  <si>
    <t>hoh_wives</t>
  </si>
  <si>
    <t>370. How many wives does ${hoh_new_mem_name} have?</t>
  </si>
  <si>
    <t>370. Combien de femmes a ${hoh_roster_name} ?</t>
  </si>
  <si>
    <t>370. Mata nawa ${hoh_roster_name} yake da su?</t>
  </si>
  <si>
    <t>392. How many wives does ${hoh_new_mem_name} have?</t>
  </si>
  <si>
    <t>392. Combien de femmes a ${hoh_roster_name} ?</t>
  </si>
  <si>
    <t>392. Mata nawa ${hoh_roster_name} yake da su?</t>
  </si>
  <si>
    <t>${speedcheck_shm_consult_end}-${speedcheck_shm_consult_start}</t>
  </si>
  <si>
    <t>hoh_mem_in_in</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</si>
  <si>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</si>
  <si>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</si>
  <si>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</si>
  <si>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448. In the past three months, what is the total value of interest from loans you have given to others in CFA?</t>
  </si>
  <si>
    <t>448. Au cours des trois derniers mois, quelle est la valeur totale des intérêts des prêts que vous avez accordés à d'autres en CFA?</t>
  </si>
  <si>
    <t>448. A cikin watanni uku da suka gabata, nawa ne jimillar kudin ruwan basussuka da kuka baiwa wasu (a sefa)?</t>
  </si>
  <si>
    <t>hoh_past_migration</t>
  </si>
  <si>
    <t>Past Migration</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</si>
  <si>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</si>
  <si>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</si>
  <si>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</si>
  <si>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449. Does anyone in the household fully, or partly own and operate an income generating activity that is not farming or herding? (i.e. a shop where you sell goods, restaurant, butcher shop)?</t>
  </si>
  <si>
    <t>449. Quelqu'un dans le ménage possède-t-il entièrement ou partiellement une activité génératrice de revenus autre que l'agriculture ou l'élevage ? (C'est-à-dire un magasin où vous vendez des marchandises, un restaurant, une boucherie) ?</t>
  </si>
  <si>
    <t>449. Ko akwai wani ɗan gidanku mai sana'a wanda jarin gaba daya nashi ko na hadin gwiwa ne banda noma da kiyo? ( kantin saida kaya, gidan abinci, fawa)?</t>
  </si>
  <si>
    <t>Keep your phone safe and away from strangers</t>
  </si>
  <si>
    <t>hoh_past_migration_note</t>
  </si>
  <si>
    <t>Gardez votre téléphone en sécurité et loin des étrangers</t>
  </si>
  <si>
    <t>Kiyaye wayarka da nisantata da baƙi</t>
  </si>
  <si>
    <t>371. We would now like to ask you about the migration history of ${hoh_roster_name}.</t>
  </si>
  <si>
    <t>371. Nous aimerions maintenant vous poser des questions sur l'historique de migration de ${hoh_roster_name}.</t>
  </si>
  <si>
    <t>371. Yanzu muna so mu tambaye ka tarihin zuwa biɗa na ${hoh_roster_name}.</t>
  </si>
  <si>
    <t>MC hotline</t>
  </si>
  <si>
    <t>393. We would now like to ask you about the migration history of ${hoh_roster_name}.</t>
  </si>
  <si>
    <t>Ligne d'assistance MC</t>
  </si>
  <si>
    <t>393. Nous aimerions maintenant vous poser des questions sur l'historique de migration de ${hoh_roster_name}.</t>
  </si>
  <si>
    <t>Hanyar sadarwa na taimako</t>
  </si>
  <si>
    <t>393. Yanzu muna so mu tambaye ka tarihin zuwa biɗa na ${hoh_roster_name}.</t>
  </si>
  <si>
    <t>hoh_mem_migrate</t>
  </si>
  <si>
    <t>372. Since ${period}, has ${hoh_roster_name} spent more than a week (7 days) away from home?</t>
  </si>
  <si>
    <t>372. Depuis cette ${period_french}, ${hoh_roster_name} a-t-il passé plus d'une semaine (7 jours) loin de chez lui ?</t>
  </si>
  <si>
    <t>372. Tun wancan ${period_hausa}, ${hoh_roster_name} ya shafe fiye da mako guda (kwana 7) baya gida?</t>
  </si>
  <si>
    <t>394. Since ${period}, has ${hoh_roster_name} spent more than a week (7 days) away from home?</t>
  </si>
  <si>
    <t>394. Depuis cette ${period_french}, ${hoh_roster_name} a-t-il passé plus d'une semaine (7 jours) loin de chez lui ?</t>
  </si>
  <si>
    <t>394. Tun wancan ${period_hausa}, ${hoh_roster_name} ya shafe fiye da mako guda (kwana 7) baya gida?</t>
  </si>
  <si>
    <t>select_multiple countries</t>
  </si>
  <si>
    <t>hoh_dest_country</t>
  </si>
  <si>
    <t>373. Since ${period}, in which of the following countries has ${hoh_roster_name} spent more than one week? Select all that apply</t>
  </si>
  <si>
    <t>373. Depuis cette ${period_french}, dans lequel des pays suivants hoh_roster_name a-t-il passé plus d'une semaine ? Sélectionnez tout ce qui s'y rapporte</t>
  </si>
  <si>
    <t>373. Tun daga wancan ${period_hausa}, a cikin waɗanne ƙasashe ne ${hoh_roster_name} ya shafe fiye da mako ɗaya? Zaɓi duk abin da ya dace</t>
  </si>
  <si>
    <t>395. Since ${period}, in which of the following countries has ${hoh_roster_name} spent more than one week? Select all that apply</t>
  </si>
  <si>
    <t>395. Depuis cette ${period_french}, dans lequel des pays suivants hoh_roster_name a-t-il passé plus d'une semaine ? Sélectionnez tout ce qui s'y rapporte</t>
  </si>
  <si>
    <t>395. Tun daga wancan ${period_hausa}, a cikin waɗanne ƙasashe ne ${hoh_roster_name} ya shafe fiye da mako ɗaya? Zaɓi duk abin da ya dace</t>
  </si>
  <si>
    <t>hoh_dest_country_o</t>
  </si>
  <si>
    <t>374. Specify other</t>
  </si>
  <si>
    <t>374. Autre à préciser</t>
  </si>
  <si>
    <t>374. Wani daban a Bayyana</t>
  </si>
  <si>
    <t>396. Specify other</t>
  </si>
  <si>
    <t>396. Autre à préciser</t>
  </si>
  <si>
    <t>396. Wani daban a Bayyana</t>
  </si>
  <si>
    <t>fail_reason</t>
  </si>
  <si>
    <t>hoh_dom_mig_ind</t>
  </si>
  <si>
    <t>Insufficient funds</t>
  </si>
  <si>
    <t>Fonds insuffisants</t>
  </si>
  <si>
    <t>Rashin isassun kudade</t>
  </si>
  <si>
    <t>453. How many people outside of your household do you employ in this business?</t>
  </si>
  <si>
    <t>453. Combien de personnes en dehors de votre ménage employez-vous dans cette entreprise ?</t>
  </si>
  <si>
    <t>453. Mutane nawa ne kuka dauka aiki banda ƴan gidan a wannan kasuwancin?</t>
  </si>
  <si>
    <t>hoh_border_cross_ind</t>
  </si>
  <si>
    <t>454. How much do you pay per day for people to work in this business in CFA?</t>
  </si>
  <si>
    <t>454. Combien payez-vous par jour pour que les gens travaillent dans cette entreprise (en CFA) ?</t>
  </si>
  <si>
    <t>454. Nawa kuke biyan su a wuni (a sefa) ?</t>
  </si>
  <si>
    <t>Needed to stay home to help household (e.g., on farm)</t>
  </si>
  <si>
    <t>hoh_border_cross_ecowas_ind</t>
  </si>
  <si>
    <t>Nécessité de rester à la maison pour aider le ménage (par exemple, à la ferme)</t>
  </si>
  <si>
    <t>Excludes Burkina Faso and Mali</t>
  </si>
  <si>
    <t>Ana buƙatar zama a gida don taimakawa gida (misali, a gona)</t>
  </si>
  <si>
    <t>Insecurity/decided it was not safe to migrate</t>
  </si>
  <si>
    <t>Insécurité/décide qu'il n'était pas garanti de voyager</t>
  </si>
  <si>
    <t>Rashin tsaro/yanke shawarar bai kamata ya tafi nema ba</t>
  </si>
  <si>
    <t>hoh_num_dest_country</t>
  </si>
  <si>
    <t>Too much concern about finding a job or housing in destination</t>
  </si>
  <si>
    <t>Trop d'inquiétudes pour trouver un emploi ou un logement dans la destination</t>
  </si>
  <si>
    <t>Damuwa da yawa game da tabbacin samun aiki ko matsuguni a inda za'a je</t>
  </si>
  <si>
    <t>speedcheck_hoh_rosterdest_start</t>
  </si>
  <si>
    <t>hoh_countries</t>
  </si>
  <si>
    <t>Countries</t>
  </si>
  <si>
    <t>Sickness</t>
  </si>
  <si>
    <t>hoh_destinations_index</t>
  </si>
  <si>
    <t>Maladie</t>
  </si>
  <si>
    <t>Repeat Group Index</t>
  </si>
  <si>
    <t>Rashin lafiya</t>
  </si>
  <si>
    <t>hoh_dest_index</t>
  </si>
  <si>
    <t>Country Index</t>
  </si>
  <si>
    <t>Decided to stay home for studies/training</t>
  </si>
  <si>
    <t>A décidé de rester à la maison pour des études/une formation</t>
  </si>
  <si>
    <t>Yanke shawarar zama a gida don karatu / horo</t>
  </si>
  <si>
    <t>hoh_destination</t>
  </si>
  <si>
    <t>Country Name</t>
  </si>
  <si>
    <t>Please use a scale from 0 to 10 where 0 is very negative and 10 is very positive</t>
  </si>
  <si>
    <t>select_multiple towns</t>
  </si>
  <si>
    <t>Veuillez utiliser une échelle de 0 à 10 où 0 est très négatif et 10 est très positif</t>
  </si>
  <si>
    <t>hoh_dest_town</t>
  </si>
  <si>
    <t>Da fatan za a yi amfani da kuranga daga 0 zuwa 10 inda 0 ba shi da kyau sosai kuma 10 yana da kyau sosai</t>
  </si>
  <si>
    <t>375. In ${hoh_destination}, what was the name of the city or town that ${hoh_roster_name} moved to?</t>
  </si>
  <si>
    <t>375. À ${hoh_destination}, quel était le nom de la ville dans laquelle ${hoh_roster_name} il a séjourné ?</t>
  </si>
  <si>
    <t>375. A ${hoh_destination}, menene sunan birnin da ${hoh_roster_name} ya zauna?</t>
  </si>
  <si>
    <t>Parents/household refused permission</t>
  </si>
  <si>
    <t>Les parents/le ménage ont refusé l'autorisation</t>
  </si>
  <si>
    <t>Iyaye/masu gida sun ƙi bada izini</t>
  </si>
  <si>
    <t>397. In ${hoh_destination}, what was the name of the city or town that ${hoh_roster_name} moved to?</t>
  </si>
  <si>
    <t>397. À ${hoh_destination}, quel était le nom de la ville dans laquelle ${hoh_roster_name} il a séjourné ?</t>
  </si>
  <si>
    <t>397. A ${hoh_destination}, menene sunan birnin da ${hoh_roster_name} ya zauna?</t>
  </si>
  <si>
    <t>hoh_dest_town_o</t>
  </si>
  <si>
    <t>376. Specify other</t>
  </si>
  <si>
    <t>376. Autre à préciser</t>
  </si>
  <si>
    <t>376. Wani daban a Bayyana</t>
  </si>
  <si>
    <t>398. Specify other</t>
  </si>
  <si>
    <t>398. Autre à préciser</t>
  </si>
  <si>
    <t>398. Wani daban a Bayyana</t>
  </si>
  <si>
    <t>select_multiple region</t>
  </si>
  <si>
    <t xml:space="preserve">hoh_dest_region </t>
  </si>
  <si>
    <t>377. In ${hoh_destination}, what was the name of the region that ${hoh_roster_name} moved to?</t>
  </si>
  <si>
    <t>377. Dans ${hoh_destination}, quel était le nom de la région vers laquelle ${hoh_roster_name} a été déplacé ?</t>
  </si>
  <si>
    <t>377. A ${hoh_destination}, menene sunan yankin da ${hoh_roster_name} ya koma?</t>
  </si>
  <si>
    <t>399. In ${hoh_destination}, what was the name of the region that ${hoh_roster_name} moved to?</t>
  </si>
  <si>
    <t>399. Dans ${hoh_destination}, quel était le nom de la région vers laquelle ${hoh_roster_name} a été déplacé ?</t>
  </si>
  <si>
    <t>399. A ${hoh_destination}, menene sunan yankin da ${hoh_roster_name} ya koma?</t>
  </si>
  <si>
    <t>hoh_dest_region_o</t>
  </si>
  <si>
    <t>Ne sait pas</t>
  </si>
  <si>
    <t>378. Specify other</t>
  </si>
  <si>
    <t>378. Autre à préciser</t>
  </si>
  <si>
    <t>378. Wani daban a Bayyana</t>
  </si>
  <si>
    <t>400. Specify other</t>
  </si>
  <si>
    <t>400. Autre à préciser</t>
  </si>
  <si>
    <t>400. Wani daban a Bayyana</t>
  </si>
  <si>
    <t>hoh_dest_frequency</t>
  </si>
  <si>
    <t>379. How many times did ${hoh_roster_name} travel to ${hoh_destination} since ${period}?</t>
  </si>
  <si>
    <t>379. Combien de fois ${hoh_roster_name} s'est-il rendu à ${hoh_destination} depuis la ${period_french}?</t>
  </si>
  <si>
    <t>379. Sau nawa ${hoh_roster_name} yayi tafiya zuwa ${hoh_destination} tun daga wancan ${period_hausa}?</t>
  </si>
  <si>
    <t>401. How many times did ${hoh_roster_name} travel to ${hoh_destination} since ${period}?</t>
  </si>
  <si>
    <t>401. Combien de fois ${hoh_roster_name} s'est-il rendu à ${hoh_destination} depuis la ${period_french}?</t>
  </si>
  <si>
    <t>401. Sau nawa ${hoh_roster_name} yayi tafiya zuwa ${hoh_destination} tun daga wancan ${period_hausa}?</t>
  </si>
  <si>
    <t>Other Countries</t>
  </si>
  <si>
    <t>opinion_important</t>
  </si>
  <si>
    <t>Doesn't matter at all</t>
  </si>
  <si>
    <t>Pas du tout important</t>
  </si>
  <si>
    <t>Babu muhimmanci ko kadan</t>
  </si>
  <si>
    <t>speedcheck_hoh_rosterdest_end</t>
  </si>
  <si>
    <t>matters somewhat</t>
  </si>
  <si>
    <t>Assez important</t>
  </si>
  <si>
    <t>Da muhimmanci kadan</t>
  </si>
  <si>
    <t>dur_hoh_rosterdest</t>
  </si>
  <si>
    <t>hoh_failed_prep</t>
  </si>
  <si>
    <t>Matters a lot</t>
  </si>
  <si>
    <t>380. Since ${period}, was there ever a time when ${hoh_roster_name} planned to migrate but then had to cancel their plans?</t>
  </si>
  <si>
    <t>Très important</t>
  </si>
  <si>
    <t>Da muhimmanci sosai</t>
  </si>
  <si>
    <t>380. Depuis cette ${period_french}, y a-t-il déjà eu un moment où ${hoh_roster_name} avait prévu de migrer mais a ensuite dû annuler ses projets ?</t>
  </si>
  <si>
    <t>380. Tun daga ${period_hausa}, ko akwai lokacin da ${hoh_roster_name} ya shirya zuwa biɗa amma sai ya soke shirinshi?</t>
  </si>
  <si>
    <t>402. Since ${period}, was there ever a time when ${hoh_roster_name} planned to migrate but then had to cancel their plans?</t>
  </si>
  <si>
    <t>402. Depuis cette ${period_french}, y a-t-il déjà eu un moment où ${hoh_roster_name} avait prévu de migrer mais a ensuite dû annuler ses projets ?</t>
  </si>
  <si>
    <t>402. Tun daga ${period_hausa}, ko akwai lokacin da ${hoh_roster_name} ya shirya zuwa biɗa amma sai ya soke shirinshi?</t>
  </si>
  <si>
    <t>hoh_failed_prep_country</t>
  </si>
  <si>
    <t>381. Where did they plan to migrate?</t>
  </si>
  <si>
    <t>381. Où envisageait-il de migrer ?</t>
  </si>
  <si>
    <t>381. Zuwa ina ya shirya zuwa biɗar?</t>
  </si>
  <si>
    <t>members</t>
  </si>
  <si>
    <t>${hhmem1}</t>
  </si>
  <si>
    <t>403. Where did they plan to migrate?</t>
  </si>
  <si>
    <t>403. Où envisageait-il de migrer ?</t>
  </si>
  <si>
    <t>403. Zuwa ina ya shirya zuwa biɗar?</t>
  </si>
  <si>
    <t>hoh_failed_prep_country_o</t>
  </si>
  <si>
    <t>${hhmem2}</t>
  </si>
  <si>
    <t>382. Specify other</t>
  </si>
  <si>
    <t>382. Autre à préciser</t>
  </si>
  <si>
    <t>382. Wani daban a Bayyana</t>
  </si>
  <si>
    <t>404. Specify other</t>
  </si>
  <si>
    <t>404. Autre à préciser</t>
  </si>
  <si>
    <t>404. Wani daban a Bayyana</t>
  </si>
  <si>
    <t>hoh_failed_repeat</t>
  </si>
  <si>
    <t>Failed Migrations</t>
  </si>
  <si>
    <t>${hhmem3}</t>
  </si>
  <si>
    <t>${hhmem4}</t>
  </si>
  <si>
    <t>hoh_failed_index</t>
  </si>
  <si>
    <t>445. In the past three months, did any member of your household care for livestock owned by other people?</t>
  </si>
  <si>
    <t>${hhmem5}</t>
  </si>
  <si>
    <t>445. Au cours des trois derniers mois, un membre de votre ménage s'est-il occupé du bétail appartenant à d'autres personnes ?</t>
  </si>
  <si>
    <t>445. A cikin watanni uku da suka wuce, akwai wani ɗan gidanku da ya kula da dabbobin wasu mutane?</t>
  </si>
  <si>
    <t>hoh_failed_country_index</t>
  </si>
  <si>
    <t>446. In a typical week, how many days did they do this job?</t>
  </si>
  <si>
    <t>${hhmem6}</t>
  </si>
  <si>
    <t>446. Au cours d'une semaine normale, combien de jours ont-ils fait ce travail ?</t>
  </si>
  <si>
    <t>446. A cikin mako, kwana nawa suka yi wannan aikin?</t>
  </si>
  <si>
    <t>hoh_failed_country</t>
  </si>
  <si>
    <t>${hhmem7}</t>
  </si>
  <si>
    <t>${hhmem8}</t>
  </si>
  <si>
    <t>hoh_failed_town</t>
  </si>
  <si>
    <t>383. In ${hoh_failed_country}, what was the name of the city or town that ${hoh_roster_name} planned to move to?</t>
  </si>
  <si>
    <t>383. Dans ${hoh_failed_country}, quel était le nom de la ville ou du village vers lequel ${hoh_roster_name} prévoyait de voyager ?</t>
  </si>
  <si>
    <t>[Interviewer: Probe for strength of opinion: Do you agree or agree very strongly?]</t>
  </si>
  <si>
    <t>383. A ƙasar ${hoh_failed_country}, menene sunan birni ko garin da sunan ${hoh_roster_name} yayi shirin zuwa?</t>
  </si>
  <si>
    <t>${hhmem9}</t>
  </si>
  <si>
    <t>[Enquêteur : Sonder la force de l'opinion : Êtes-vous d'accord ou très d'accord ?]</t>
  </si>
  <si>
    <t>[Ɗan bincike: Bincika don sanin ra'ayin da ya fi ƙarfi: Kun yarda ko kun yarda sosai?]</t>
  </si>
  <si>
    <t>405. In ${hoh_failed_country}, what was the name of the city or town that ${hoh_roster_name} planned to move to?</t>
  </si>
  <si>
    <t>405. Dans ${hoh_failed_country}, quel était le nom de la ville ou du village vers lequel ${hoh_roster_name} prévoyait de voyager ?</t>
  </si>
  <si>
    <t>405. A ƙasar ${hoh_failed_country}, menene sunan birni ko garin da sunan ${hoh_roster_name} yayi shirin zuwa?</t>
  </si>
  <si>
    <t>hoh_failed_town_o</t>
  </si>
  <si>
    <t>${hhmem10}</t>
  </si>
  <si>
    <t>384. Specify other</t>
  </si>
  <si>
    <t>384. Autre à préciser</t>
  </si>
  <si>
    <t>384. Wani daban a Bayyana</t>
  </si>
  <si>
    <t>406. Specify other</t>
  </si>
  <si>
    <t>406. Autre à préciser</t>
  </si>
  <si>
    <t>406. Wani daban a Bayyana</t>
  </si>
  <si>
    <t>${hhmem11}</t>
  </si>
  <si>
    <t xml:space="preserve">hoh_failed_region </t>
  </si>
  <si>
    <t>385. In ${hoh_failed_country}, what was the name of the region that ${hoh_roster_name} planned to move to?</t>
  </si>
  <si>
    <t>385. Dans ${hoh_failed_country}, quel était le nom de la région dans laquelle ${hoh_roster_name} prévoyait de voyager ?</t>
  </si>
  <si>
    <t>385. A kasar ${hoh_failed_country}, menene sunan yankin da sunan ${hoh_roster_name} ya shirya zuwa?</t>
  </si>
  <si>
    <t>${hhmem12}</t>
  </si>
  <si>
    <t>407. In ${hoh_failed_country}, what was the name of the region that ${hoh_roster_name} planned to move to?</t>
  </si>
  <si>
    <t>407. Dans ${hoh_failed_country}, quel était le nom de la région dans laquelle ${hoh_roster_name} prévoyait de voyager ?</t>
  </si>
  <si>
    <t>407. A kasar ${hoh_failed_country}, menene sunan yankin da sunan ${hoh_roster_name} ya shirya zuwa?</t>
  </si>
  <si>
    <t>hoh_failed_region_o</t>
  </si>
  <si>
    <t>386. Specify other</t>
  </si>
  <si>
    <t>386. Autre à préciser</t>
  </si>
  <si>
    <t>386. Wani daban a Bayyana</t>
  </si>
  <si>
    <t>${hhmem13}</t>
  </si>
  <si>
    <t>408. Specify other</t>
  </si>
  <si>
    <t>408. Autre à préciser</t>
  </si>
  <si>
    <t>408. Wani daban a Bayyana</t>
  </si>
  <si>
    <t>hoh_failed_prep_count</t>
  </si>
  <si>
    <t>387. How many times did they plan to migrate to ${hoh_failed_country} and fail?</t>
  </si>
  <si>
    <t>387. Combien de fois ont-ils prévu de migrer vers ${hoh_failed_country} et ont-ils échoué ?</t>
  </si>
  <si>
    <t>387. Sau nawa ya shirya zuwa ƙasar ${hoh_failed_country} kuma ya kasa?</t>
  </si>
  <si>
    <t>${hhmem14}</t>
  </si>
  <si>
    <t>409. How many times did they plan to migrate to ${hoh_failed_country} and fail?</t>
  </si>
  <si>
    <t>409. Combien de fois ont-ils prévu de migrer vers ${hoh_failed_country} et ont-ils échoué ?</t>
  </si>
  <si>
    <t>409. Sau nawa ya shirya zuwa ƙasar ${hoh_failed_country} kuma ya kasa?</t>
  </si>
  <si>
    <t>select_multiple fail_reason</t>
  </si>
  <si>
    <t>hoh_failed_prep_reason</t>
  </si>
  <si>
    <t>388. Why did they change their plans?</t>
  </si>
  <si>
    <t>388. Pourquoi a-t-il changé son plan?</t>
  </si>
  <si>
    <t>388. Me yasa ya fasa tafiyar?</t>
  </si>
  <si>
    <t>${hhmem15}</t>
  </si>
  <si>
    <t>410. Why did they change their plans?</t>
  </si>
  <si>
    <t>410. Pourquoi a-t-il changé son plan?</t>
  </si>
  <si>
    <t>410. Me yasa ya fasa tafiyar?</t>
  </si>
  <si>
    <t>hoh_failed_prep_reason_o</t>
  </si>
  <si>
    <t>389. Specify other reason</t>
  </si>
  <si>
    <t>389. Précisez une autre raison</t>
  </si>
  <si>
    <t>389. Baiyana wani dalili daban</t>
  </si>
  <si>
    <t>${hhmem16}</t>
  </si>
  <si>
    <t>${speedcheck_shm_soc_op_end} - ${speedcheck_shm_soc_op_start}</t>
  </si>
  <si>
    <t>411. Specify other reason</t>
  </si>
  <si>
    <t>411. Précisez une autre raison</t>
  </si>
  <si>
    <t>411. Baiyana wani dalili daban</t>
  </si>
  <si>
    <t>${hhmem17}</t>
  </si>
  <si>
    <t>${hhmem18}</t>
  </si>
  <si>
    <t>speedcheck_hoh_roster_end</t>
  </si>
  <si>
    <t>dur_hoh_roster</t>
  </si>
  <si>
    <t>${hhmem19}</t>
  </si>
  <si>
    <t>${hhmem20}</t>
  </si>
  <si>
    <t>468. How was this money transmitted to your household?</t>
  </si>
  <si>
    <t>468. Comment cet argent a-t-il été envoyé à votre ménage ?</t>
  </si>
  <si>
    <t>468. Ta wace hanya aka aikawa gidanku wannan kuɗin ?</t>
  </si>
  <si>
    <t>${hhmem21}</t>
  </si>
  <si>
    <t>hoh_members_above_7</t>
  </si>
  <si>
    <t>Members 7+</t>
  </si>
  <si>
    <t>Membres 7+</t>
  </si>
  <si>
    <t>Membobi 7+</t>
  </si>
  <si>
    <t>${hhmem22}</t>
  </si>
  <si>
    <t>hoh_members_living_in_hh</t>
  </si>
  <si>
    <t>Members Living in HH</t>
  </si>
  <si>
    <t>${hhmem23}</t>
  </si>
  <si>
    <t>457. How much do you pay per day for people to work in this business in CFA?</t>
  </si>
  <si>
    <t>457. Combien payez-vous par jour pour que les gens travaillent dans cette entreprise (en CFA) ?</t>
  </si>
  <si>
    <t>457. Nawa kuke biyan su a wuni (a sefa) ?</t>
  </si>
  <si>
    <t>hoh_members_in_hh</t>
  </si>
  <si>
    <t>${hhmem24}</t>
  </si>
  <si>
    <t>472. How were these goods transmitted to your household?</t>
  </si>
  <si>
    <t>472. Comment ces biens ont-ils été envoyé à votre ménage ?</t>
  </si>
  <si>
    <t>472. Ta yaya aka aika waɗannan kayayyakin zuwa gidanku?</t>
  </si>
  <si>
    <t>hoh_dom_mig</t>
  </si>
  <si>
    <t>${hhmem25}</t>
  </si>
  <si>
    <t>473. Specify other transfer method</t>
  </si>
  <si>
    <t>473. Précisez la méthode du transfert</t>
  </si>
  <si>
    <t>473. Wani daban a Bayyana</t>
  </si>
  <si>
    <t>${speedcheck_shm_end} - ${speedcheck_shm_start}</t>
  </si>
  <si>
    <t>hoh_border_cross</t>
  </si>
  <si>
    <t>${hhmem26}</t>
  </si>
  <si>
    <t>474. In the past three months, have you or anyone in your household received money from someone who is not a member of your household and who lives in a foreign country (outside of Niger)?</t>
  </si>
  <si>
    <t>474. Au cours des trois derniers mois, vous ou un membre de votre ménage avez-vous reçu &lt;b&gt;de l'argent&lt;/b&gt; d'une personne qui n'est pas membre de votre ménage et qui habite &lt;b&gt;à l'extérieur du Niger&lt;/b&gt; (dans un autre pays)?</t>
  </si>
  <si>
    <t>474. A cikin watanni uku da suka wuce, kai ko dan gidanku kun samu kuɗi daga wanda ba dan gidanku ba da ke zaune a ƙetaren Nijar (a wata kasa)?</t>
  </si>
  <si>
    <t>hoh_border_cross_ecowas</t>
  </si>
  <si>
    <t>${hhmem27}</t>
  </si>
  <si>
    <t>475. How much in total did members of your household receive from people out of Niger?</t>
  </si>
  <si>
    <t>475. Combien au total les membres de votre ménage ont-ils reçu des personnes qui ne sont pas au Niger ?</t>
  </si>
  <si>
    <t>475. Nawa ne yan gidanku ya samu daga mutanen da ke zaune a ƙasar waje ba Nijar ba?</t>
  </si>
  <si>
    <t>hoh_mig_any</t>
  </si>
  <si>
    <t>${hhmem28}</t>
  </si>
  <si>
    <t>476. How was this money transmitted to your household?</t>
  </si>
  <si>
    <t>476. Comment cet argent a-t-il été envoyé à votre ménage ?</t>
  </si>
  <si>
    <t>476. Ta wace hanya aka aikawa gidanku wannan kuɗin ?</t>
  </si>
  <si>
    <t>458. In a typical week during the past three months, how many days did ${hoh_biz_name} work in the household business?</t>
  </si>
  <si>
    <t>458. Au cours d'une semaine normale au cours des trois derniers mois, combien de jours ${hoh_biz_name} a-t-il travaillé dans l'entreprise familiale ?</t>
  </si>
  <si>
    <t>458. Kwanaki nawa a cikin kowane mako guda a cikin watanni uku da suka gabata, ${hoh_biz_name} yayi aiki a cikin kasuwancin gida?</t>
  </si>
  <si>
    <t>hoh_hh_resources</t>
  </si>
  <si>
    <t>Household Resources</t>
  </si>
  <si>
    <t>unavail_why</t>
  </si>
  <si>
    <t>478. In the past three months, have you or anyone in your household received goods (payment in kind) from someone who is not a member of your household and who lives in a foreign country (outside of Niger)?</t>
  </si>
  <si>
    <t>Sick</t>
  </si>
  <si>
    <t>478. Au cours des trois derniers mois, vous ou un membre de votre ménage avez reçu &lt;b&gt;des biens&lt;/b&gt; (paiement en nature) d'une personne qui n'est pas membre de votre ménage et qui habite &lt;b&gt;à l'extérieur du Niger&lt;/b&gt; (dans un autre pays)?</t>
  </si>
  <si>
    <t>478. A cikin wata uku da suka wuce, kai ko wani a cikin gidanku an baku wasu kaya (a matsayin biya) daga wani wanda ba ɗan gidanku ba da ke zaune a ƙetaren Nijar (a wata kasa)?</t>
  </si>
  <si>
    <t>hoh_hh_resources_note</t>
  </si>
  <si>
    <t>390. Now I will ask you about how your household manages its resources.</t>
  </si>
  <si>
    <t>Malade</t>
  </si>
  <si>
    <t>390. Je vais maintenant vous demander comment votre ménage gère ses ressources.</t>
  </si>
  <si>
    <t>Rishin lafia</t>
  </si>
  <si>
    <t>390. Yanzu zan tambaye ku yadda gidanku yake sarrafa dukiyoyinshi.</t>
  </si>
  <si>
    <t>412. Now I will ask you about how your household manages its resources.</t>
  </si>
  <si>
    <t>412. Je vais maintenant vous demander comment votre ménage gère ses ressources.</t>
  </si>
  <si>
    <t>412. Yanzu zan tambaye ku yadda gidanku yake sarrafa dukiyoyinshi.</t>
  </si>
  <si>
    <t>hoh_own_home</t>
  </si>
  <si>
    <t>391. Do you or another member of the household own this house?</t>
  </si>
  <si>
    <t>391. Est-ce que vous ou un autre membre du ménage êtes propriétaire de cette maison ?</t>
  </si>
  <si>
    <t>391. Shin wannan gidan mallakarku ne kai ko wani dan cikin gidan ?</t>
  </si>
  <si>
    <t>ya rasou</t>
  </si>
  <si>
    <t>413. Do you or another member of the household own this house?</t>
  </si>
  <si>
    <t>413. Est-ce que vous ou un autre membre du ménage êtes propriétaire de cette maison ?</t>
  </si>
  <si>
    <t>413. Shin wannan gidan mallakarku ne kai ko wani dan cikin gidan ?</t>
  </si>
  <si>
    <t>hoh_home_value</t>
  </si>
  <si>
    <t>392. What is your best estimate of the value of your home in CFA?</t>
  </si>
  <si>
    <t>392. Quelle est votre meilleure estimation de la valeur de votre maison en CFA ?</t>
  </si>
  <si>
    <t>392. A ganinka wannan gidan aƙalla ya yi nawa a kudin CFA ?</t>
  </si>
  <si>
    <t>414. What is your best estimate of the value of your home in CFA?</t>
  </si>
  <si>
    <t>414. Quelle est votre meilleure estimation de la valeur de votre maison en CFA ?</t>
  </si>
  <si>
    <t>saki</t>
  </si>
  <si>
    <t>414. A ganinka wannan gidan aƙalla ya yi nawa a kudin CFA ?</t>
  </si>
  <si>
    <t>select_multiple assets</t>
  </si>
  <si>
    <t>hoh_durable_asset</t>
  </si>
  <si>
    <t>393. Does your household own the following goods?</t>
  </si>
  <si>
    <t>393. Votre ménage possède-t-il les biens suivants ?</t>
  </si>
  <si>
    <t>393. Ko gidanku na da kadarori masu zuwa?</t>
  </si>
  <si>
    <t>${shm_home} = 1</t>
  </si>
  <si>
    <t>415. Does your household own the following goods?</t>
  </si>
  <si>
    <t>415. Votre ménage possède-t-il les biens suivants ?</t>
  </si>
  <si>
    <t>415. Ko gidanku na da kadarori masu zuwa?</t>
  </si>
  <si>
    <t>Away from home</t>
  </si>
  <si>
    <t>Exode</t>
  </si>
  <si>
    <t>select_multiple livestock</t>
  </si>
  <si>
    <t>tabarada</t>
  </si>
  <si>
    <t>hoh_livestock_any</t>
  </si>
  <si>
    <t>394. Does your household own any of the following types of livestock?</t>
  </si>
  <si>
    <t>394. Votre ménage possède-t-il l'un des types de bétail suivants ?</t>
  </si>
  <si>
    <t>394. ko gidanku yana da ɗaya daga cikin irin wadannan dabbobi?</t>
  </si>
  <si>
    <t>Visited another village</t>
  </si>
  <si>
    <t>Rendu visite dans un autre village</t>
  </si>
  <si>
    <t>416. Does your household own any of the following types of livestock?</t>
  </si>
  <si>
    <t>Ya ziyarci wani kauye</t>
  </si>
  <si>
    <t>416. Votre ménage possède-t-il l'un des types de bétail suivants ?</t>
  </si>
  <si>
    <t>416. ko gidanku yana da ɗaya daga cikin irin wadannan dabbobi?</t>
  </si>
  <si>
    <t>speedcheck_hoh_livestock_start</t>
  </si>
  <si>
    <t>hoh_livestock</t>
  </si>
  <si>
    <t>Assets</t>
  </si>
  <si>
    <t>Actifs</t>
  </si>
  <si>
    <t>Kadara</t>
  </si>
  <si>
    <t>topics</t>
  </si>
  <si>
    <t>Work in the fields</t>
  </si>
  <si>
    <t>Travail des champs</t>
  </si>
  <si>
    <t>Yin aiki a cikin gonaki</t>
  </si>
  <si>
    <t>hoh_livestock_name</t>
  </si>
  <si>
    <t xml:space="preserve">Asset Name </t>
  </si>
  <si>
    <t>Nom de l'actif</t>
  </si>
  <si>
    <t>Sunan kadara</t>
  </si>
  <si>
    <t>Things that happen in the community?</t>
  </si>
  <si>
    <t>Des choses qui se passent dans la communauté ?</t>
  </si>
  <si>
    <t>486. In the past three months, have you or anyone in your household shared or sent goods (payment in kind) to someone who is not a member of your household and who lives elsewhere in Niger (outside your village)?</t>
  </si>
  <si>
    <t>Abubuwan da ke faruwa a cikin al'umma?</t>
  </si>
  <si>
    <t>486. Au cours des trois derniers mois, vous ou quelqu'un de votre ménage avez-vous partagé ou envoyé &lt;b&gt;des biens&lt;/b&gt; (paiement en nature) à quelqu'un qui n'est pas membre de votre ménage et qui habite &lt;b&gt;ailleurs au Niger&lt;/b&gt; (en dehors de votre village) ?</t>
  </si>
  <si>
    <t>486. A cikin watanni uku da suka wuce, kai ko wani a cikin gidanku kun bada ko kun aika kaya (a matsayin biya) ga wanda ba dan giɗanku ba da ke zaune a wani wuri a cikin Nijar (Ba'a garinku ba)?</t>
  </si>
  <si>
    <t>hoh_livestock_own</t>
  </si>
  <si>
    <t>395. How many ${hoh_livestock_name} does your household own?</t>
  </si>
  <si>
    <t>395. Combien de ${hoh_livestock_name} votre ménage possède-t-il ?</t>
  </si>
  <si>
    <t>395. ${hoh_livestock_name} Nawa gidan ku ya mallaka ?</t>
  </si>
  <si>
    <t>Who to vote for in local elections?</t>
  </si>
  <si>
    <t>Pour qui voter aux élections locales ?</t>
  </si>
  <si>
    <t>Wanene za'a zaba a zaben kananan hukumomi?</t>
  </si>
  <si>
    <t>417. How many ${hoh_livestock_name} does your household own?</t>
  </si>
  <si>
    <t>417. Combien de ${hoh_livestock_name} votre ménage possède-t-il ?</t>
  </si>
  <si>
    <t>417. ${hoh_livestock_name} Nawa gidan ku ya mallaka ?</t>
  </si>
  <si>
    <t>hoh_livestock_value</t>
  </si>
  <si>
    <t>396. How much is ${hoh_livestock_name} worth in CFA?</t>
  </si>
  <si>
    <t>396. Combien vaut ${hoh_livestock_name} en CFA ?</t>
  </si>
  <si>
    <t>396. Nawa ne kuɗin ${hoh_livestock_name} a sefa?</t>
  </si>
  <si>
    <t>How to you invest your money such as whether to improve your house</t>
  </si>
  <si>
    <t>Comment investir votre argent, par exemple pour améliorer votre maison ?</t>
  </si>
  <si>
    <t>Yadda za ku saka kuɗin don kamar gyara gidan ku</t>
  </si>
  <si>
    <t>418. How much is ${hoh_livestock_name} worth in CFA?</t>
  </si>
  <si>
    <t>418. Combien vaut ${hoh_livestock_name} en CFA ?</t>
  </si>
  <si>
    <t>418. Nawa ne kuɗin ${hoh_livestock_name} a sefa?</t>
  </si>
  <si>
    <t>Family planning (when to have children)</t>
  </si>
  <si>
    <t>Planification familiale (quand avoir des enfants)</t>
  </si>
  <si>
    <t>Tsarin iyali (lokacin da za a haifi yara)</t>
  </si>
  <si>
    <t>489. Specify other transfer method</t>
  </si>
  <si>
    <t>489. Precisez la methode du transfert</t>
  </si>
  <si>
    <t>489. Wani daban a Bayyana</t>
  </si>
  <si>
    <t>speedcheck_hoh_livestock_end</t>
  </si>
  <si>
    <t>Scolarité des enfants</t>
  </si>
  <si>
    <t>Shigar da yara a makaranta</t>
  </si>
  <si>
    <t>Shekarar da ƴaƴanku mata zasu yi aure</t>
  </si>
  <si>
    <t>dur_hoh_livestock</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</si>
  <si>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</si>
  <si>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</si>
  <si>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464. What was the activity?</t>
  </si>
  <si>
    <t>464. Quelle était l'activité ?</t>
  </si>
  <si>
    <t>464. Menene aikin?</t>
  </si>
  <si>
    <t>speedcheck_hoh_land_start</t>
  </si>
  <si>
    <t>465. Specify the activity</t>
  </si>
  <si>
    <t>465. Précisez l'activité</t>
  </si>
  <si>
    <t>465. Baiyana aikin</t>
  </si>
  <si>
    <t>hoh_agriculture_note</t>
  </si>
  <si>
    <t>397. Now we'll talk about your households' agricultural and and animal husbandry activities. 
 Let's starting with the most recent agricultural season</t>
  </si>
  <si>
    <t>397. Maintenant, nous allons parler des activités agricoles et d'élevage de votre ménage.
 Commençons par la dernière saison agricole</t>
  </si>
  <si>
    <t>397. Yanzu za mu yi hira bisa aikin noma da kiwo na gidanku.</t>
  </si>
  <si>
    <t>419. Now we'll talk about your households' agricultural and and animal husbandry activities. 
 Let's starting with the most recent agricultural season</t>
  </si>
  <si>
    <t>419. Maintenant, nous allons parler des activités agricoles et d'élevage de votre ménage.
 Commençons par la dernière saison agricole</t>
  </si>
  <si>
    <t>419. Yanzu za mu yi hira bisa aikin noma da kiwo na gidanku.</t>
  </si>
  <si>
    <t>savings_reasons</t>
  </si>
  <si>
    <t>No plan</t>
  </si>
  <si>
    <t>Aucun projet</t>
  </si>
  <si>
    <t>Babu shiri</t>
  </si>
  <si>
    <t>hoh_land_access_amt</t>
  </si>
  <si>
    <t>398. Thinking of all the agricultural land your household owned, rented or and had access to during the last agricultural season, please estimate its total size in hectres</t>
  </si>
  <si>
    <t>398. En pensant à toutes les terres agricoles que votre ménage possédait, louait ou auxquelles il avait accès au cours de la dernière saison agricole, veuillez estimer leur superficie totale en hectares</t>
  </si>
  <si>
    <t>398. A ganinka da gonakan da kuka mallaka da na haya da na aro wanda kuka noma a bana sun kai eka nawa?</t>
  </si>
  <si>
    <t>Please enter a number greater than 0!</t>
  </si>
  <si>
    <t>To make a major purchase</t>
  </si>
  <si>
    <t>Pour faire un achat important</t>
  </si>
  <si>
    <t>Don yin muhimmin sayeyya</t>
  </si>
  <si>
    <t>${hoh_new_hh_mems} = 1</t>
  </si>
  <si>
    <t>420. Thinking of all the agricultural land your household owned, rented or and had access to during the last agricultural season, please estimate its total size in hectres</t>
  </si>
  <si>
    <t>420. En pensant à toutes les terres agricoles que votre ménage possédait, louait ou auxquelles il avait accès au cours de la dernière saison agricole, veuillez estimer leur superficie totale en hectares</t>
  </si>
  <si>
    <t>420. A ganinka da gonakan da kuka mallaka da na haya da na aro wanda kuka noma a bana sun kai eka nawa?</t>
  </si>
  <si>
    <t>hoh_own_hectares</t>
  </si>
  <si>
    <t>399. How much of this land (in hectares) do you or another member of your household own?</t>
  </si>
  <si>
    <t>399. Quelle superficie de cette terre (en hectares) vous ou un autre membre de votre ménage possédez?</t>
  </si>
  <si>
    <t>399. Eka nawa ne mallakinku cikin wadannan gonakin, ku ko wani ɗan gidanku?</t>
  </si>
  <si>
    <t>For unforeseen expenses, emergencies</t>
  </si>
  <si>
    <t>Pour des dépenses imprévues, des urgences</t>
  </si>
  <si>
    <t>Don kashe kashen kudaden ba zata ba, na gaggawa</t>
  </si>
  <si>
    <t>421. How much of this land (in hectares) do you or another member of your household own?</t>
  </si>
  <si>
    <t>421. Quelle superficie de cette terre (en hectares) vous ou un autre membre de votre ménage possédez?</t>
  </si>
  <si>
    <t>421. Eka nawa ne mallakinku cikin wadannan gonakin, ku ko wani ɗan gidanku?</t>
  </si>
  <si>
    <t>hoh_land_sold</t>
  </si>
  <si>
    <t>400. How much of this land, if any have you sold in the past year?</t>
  </si>
  <si>
    <t>400. Quelle superficie de ce terrain, si c'est déjà arrivé, avez-vous vendu au cours de l'année écoulée ?</t>
  </si>
  <si>
    <t>400. Eka nawa ne kuka saida, idan ya taɓa faruwa, a cikin shekarar da ta gabata?</t>
  </si>
  <si>
    <t>To build/repair a home</t>
  </si>
  <si>
    <t>422. How much of this land, if any have you sold in the past year?</t>
  </si>
  <si>
    <t>422. Quelle superficie de ce terrain, si c'est déjà arrivé, avez-vous vendu au cours de l'année écoulée ?</t>
  </si>
  <si>
    <t>422. Eka nawa ne kuka saida, idan ya taɓa faruwa, a cikin shekarar da ta gabata?</t>
  </si>
  <si>
    <t>Pour construire/réparer une maison</t>
  </si>
  <si>
    <t>Don ginawa/gyara gida</t>
  </si>
  <si>
    <t>hoh_land_purchased</t>
  </si>
  <si>
    <t>401. How much of this land, if any have you purchased in the past year?</t>
  </si>
  <si>
    <t>401. Quelle superficie de ce terrain, si c'est déjà arrivé, avez-vous acheté au cours de la dernière année ?</t>
  </si>
  <si>
    <t>401. Eka nawa ne kuka saye, idan ya faru, a cikin shekarar da ta gabata?</t>
  </si>
  <si>
    <t>423. How much of this land, if any have you purchased in the past year?</t>
  </si>
  <si>
    <t>423. Quelle superficie de ce terrain, si c'est déjà arrivé, avez-vous acheté au cours de la dernière année ?</t>
  </si>
  <si>
    <t>423. Eka nawa ne kuka saye, idan ya faru, a cikin shekarar da ta gabata?</t>
  </si>
  <si>
    <t>hoh_rent_land</t>
  </si>
  <si>
    <t>402. How much of this land (in hectares) did you rent during the last agricultural season?</t>
  </si>
  <si>
    <t>402. Quelle superficie de cette terre (en hectares) avez-vous louée au cours de la dernière saison agricole ?</t>
  </si>
  <si>
    <t>402. Eka nawa ne kuka yi haya a lokacin noman da ta wuce?</t>
  </si>
  <si>
    <t>To migrate or support someone else’s migration</t>
  </si>
  <si>
    <t>Pour migrer ou soutenir la migration d'une autre personne</t>
  </si>
  <si>
    <t>Don balaguro ko tallafawa balaguron wani</t>
  </si>
  <si>
    <t>424. How much of this land (in hectares) did you rent during the last agricultural season?</t>
  </si>
  <si>
    <t>424. Quelle superficie de cette terre (en hectares) avez-vous louée au cours de la dernière saison agricole ?</t>
  </si>
  <si>
    <t>424. Eka nawa ne kuka yi haya a lokacin noman da ta wuce?</t>
  </si>
  <si>
    <t>hoh_rent_land_amt</t>
  </si>
  <si>
    <t>403. How much did you pay to rent this land during the last agricultural season (in CFA)?</t>
  </si>
  <si>
    <t>403. A combien avez-vous loué ce terrain (en CFA) au cours de la dernière saison agricole ?</t>
  </si>
  <si>
    <t>403. A nawa kuka yi hayar wannan gonar a lokacin noman da ta wuce (a sefa)?</t>
  </si>
  <si>
    <t>425. How much did you pay to rent this land during the last agricultural season (in CFA)?</t>
  </si>
  <si>
    <t>425. A combien avez-vous loué ce terrain (en CFA) au cours de la dernière saison agricole ?</t>
  </si>
  <si>
    <t>425. A nawa kuka yi hayar wannan gonar a lokacin noman da ta wuce (a sefa)?</t>
  </si>
  <si>
    <t>speedcheck_hoh_land_end</t>
  </si>
  <si>
    <t>To get married</t>
  </si>
  <si>
    <t>Pour se marier</t>
  </si>
  <si>
    <t>Don yin aure</t>
  </si>
  <si>
    <t>500. In addition to the transfers we just discussed, what is the total value of income from charity or gifts your household has received &lt;b&gt;in the past three months&lt;/b&gt; in CFA?</t>
  </si>
  <si>
    <t>${hoh_new_hh_mems_num}</t>
  </si>
  <si>
    <t>500. En dehors des transferts qu'on vient de citer, quelle est la valeur totale des revenus provenant d'œuvres caritatives ou de cadeaux que votre ménage a reçus &lt;b&gt; au cours des trois derniers mois&lt;/b&gt; (en CFA) ?</t>
  </si>
  <si>
    <t>500. Nawa ne yawan kuɗin taimako ko kyauta da ƴan gidanku suka samu a cikin watanni uku da suka gabata (a sefa) ?</t>
  </si>
  <si>
    <t>dur_hoh_land</t>
  </si>
  <si>
    <t>To pay for school fees</t>
  </si>
  <si>
    <t>hoh_last_season_note</t>
  </si>
  <si>
    <t>Pour payer les frais de scolarité</t>
  </si>
  <si>
    <t>404. Now we will focus on agricultural activities during last agricultural season</t>
  </si>
  <si>
    <t>Domin biyan kudin makaranta</t>
  </si>
  <si>
    <t>404. Maintenant, nous allons nous concentrer sur les activités agricoles au cours de la dernière saison agricole</t>
  </si>
  <si>
    <t>To share with immediate or extended family</t>
  </si>
  <si>
    <t>Pour partager avec la famille proche ou élargie</t>
  </si>
  <si>
    <t>Don rabawa tare da dangi na kusa ko dangi na nesa</t>
  </si>
  <si>
    <t>404. Yanzu za mu maida hankali kan ayyukan noma a lokacin damanar da ta wuce</t>
  </si>
  <si>
    <t>To share with non-family members</t>
  </si>
  <si>
    <t>Pour partager avec des personnes extérieures à la famille</t>
  </si>
  <si>
    <t>Don rabawa tare da waɗanda ba dangi ba</t>
  </si>
  <si>
    <t>426. Now we will focus on agricultural activities during last agricultural season</t>
  </si>
  <si>
    <t>426. Maintenant, nous allons nous concentrer sur les activités agricoles au cours de la dernière saison agricole</t>
  </si>
  <si>
    <t>426. Yanzu za mu maida hankali kan ayyukan noma a lokacin damanar da ta wuce</t>
  </si>
  <si>
    <t>select_multiple crops</t>
  </si>
  <si>
    <t>To start or expand a business</t>
  </si>
  <si>
    <t>Pour créer ou développer une entreprise</t>
  </si>
  <si>
    <t>Don farawa ko fadada kasuwanci</t>
  </si>
  <si>
    <t>hoh_crops</t>
  </si>
  <si>
    <t>405. Which of the following crops did your household grow during the last agricultural season?</t>
  </si>
  <si>
    <t>405. Laquelle des cultures suivantes votre ménage a-t-il cultivées au cours de la dernière saison agricole ?</t>
  </si>
  <si>
    <t>405. Wanne daga cikin waɗannan amfanin gidanku ya noma a damanar da ta gabata?</t>
  </si>
  <si>
    <t>concat("new member ", ${hoh_hhindex})</t>
  </si>
  <si>
    <t>427. Which of the following crops did your household grow during the last agricultural season?</t>
  </si>
  <si>
    <t>427. Laquelle des cultures suivantes votre ménage a-t-il cultivées au cours de la dernière saison agricole ?</t>
  </si>
  <si>
    <t>427. Wanne daga cikin waɗannan amfanin gidanku ya noma a damanar da ta gabata?</t>
  </si>
  <si>
    <t>hoh_crops_o</t>
  </si>
  <si>
    <t>406. Specify other:</t>
  </si>
  <si>
    <t>406. Précisez la culture</t>
  </si>
  <si>
    <t>406. Baiyana wani abu daban:</t>
  </si>
  <si>
    <t>428. Specify other:</t>
  </si>
  <si>
    <t>428. Précisez la culture</t>
  </si>
  <si>
    <t>428. Baiyana wani abu daban:</t>
  </si>
  <si>
    <t>speedcheck_hoh_cropsinfo_start</t>
  </si>
  <si>
    <t>concat("nouveau membre ", ${hoh_hhindex})</t>
  </si>
  <si>
    <t>purchases</t>
  </si>
  <si>
    <t>Land</t>
  </si>
  <si>
    <t>Terre</t>
  </si>
  <si>
    <t>Ƙasa</t>
  </si>
  <si>
    <t>hoh_crops_info</t>
  </si>
  <si>
    <t>Livestock</t>
  </si>
  <si>
    <t>Bétail</t>
  </si>
  <si>
    <t>Crops - ${hoh_crop_name}</t>
  </si>
  <si>
    <t>Dabbobi</t>
  </si>
  <si>
    <t>Cultures - ${hoh_crop_name}</t>
  </si>
  <si>
    <t>amfanin gona - ${hoh_crop_name}</t>
  </si>
  <si>
    <t>concat("sabon memba ", ${hoh_hhindex})</t>
  </si>
  <si>
    <t>hoh_crop_name</t>
  </si>
  <si>
    <t>Crop Name</t>
  </si>
  <si>
    <t>Nom de la culture</t>
  </si>
  <si>
    <t>Sunan amfanin gona</t>
  </si>
  <si>
    <t>hoh_crop_desc</t>
  </si>
  <si>
    <t>hoh_crop_quantity</t>
  </si>
  <si>
    <t>407. How much of ${hoh_crop_name} did your household produce?</t>
  </si>
  <si>
    <t>407. Quelle quantité de ${hoh_crop_name} votre ménage a-t-il produit ?</t>
  </si>
  <si>
    <t>407. ${hoh_crop_name} Nawa gidanku ya samu?</t>
  </si>
  <si>
    <t>429. How much of ${hoh_crop_name} did your household produce?</t>
  </si>
  <si>
    <t>429. Quelle quantité de ${hoh_crop_name} votre ménage a-t-il produit ?</t>
  </si>
  <si>
    <t>429. ${hoh_crop_name} Nawa gidanku ya samu?</t>
  </si>
  <si>
    <t>select_one unit</t>
  </si>
  <si>
    <t>hoh_crop_unit</t>
  </si>
  <si>
    <t>408. Select crop unit for ${hoh_crop_name}</t>
  </si>
  <si>
    <t>408. Sélectionnez l'unité de culture pour ${hoh_crop_name}</t>
  </si>
  <si>
    <t>408. Zaɓi amfanin gonar don ${hoh_crop_name}</t>
  </si>
  <si>
    <t>430. Select crop unit for ${hoh_crop_name}</t>
  </si>
  <si>
    <t>430. Sélectionnez l'unité de culture pour ${hoh_crop_name}</t>
  </si>
  <si>
    <t>430. Zaɓi amfanin gonar don ${hoh_crop_name}</t>
  </si>
  <si>
    <t>477. In the past three months, have you or anyone in your household received money from someone who is not a member of your household and who lives in a foreign country (outside of Niger)?</t>
  </si>
  <si>
    <t>477. Au cours des trois derniers mois, vous ou un membre de votre ménage avez-vous reçu &lt;b&gt;de l'argent&lt;/b&gt; d'une personne qui n'est pas membre de votre ménage et qui habite &lt;b&gt;à l'extérieur du Niger&lt;/b&gt; (dans un autre pays)?</t>
  </si>
  <si>
    <t>477. A cikin watanni uku da suka wuce, kai ko dan gidanku kun samu kuɗi daga wanda ba dan gidanku ba da ke zaune a ƙetaren Nijar (a wata kasa)?</t>
  </si>
  <si>
    <t>hoh_crop_unit_o</t>
  </si>
  <si>
    <t>409. Specify other unit:</t>
  </si>
  <si>
    <t>409. Spécifiez une autre unité :</t>
  </si>
  <si>
    <t>409. Baiyana wani amfanin gonar daban:</t>
  </si>
  <si>
    <t>431. Specify other unit:</t>
  </si>
  <si>
    <t>431. Spécifiez une autre unité :</t>
  </si>
  <si>
    <t>431. Baiyana wani amfanin gonar daban:</t>
  </si>
  <si>
    <t>hoh_crop_unit_name</t>
  </si>
  <si>
    <t>Unit Name</t>
  </si>
  <si>
    <t>concat(${hoh_new_mem_name_first}, ' ', ${hoh_new_mem_name_last})</t>
  </si>
  <si>
    <t>hoh_qty_sold</t>
  </si>
  <si>
    <t>410. What quantity (${hoh_crop_unit_name}) of ${hoh_crop_name} did your household sell since the last harvest?</t>
  </si>
  <si>
    <t>410. Quelle quantité (${hoh_crop_unit_name}) de ${hoh_crop_name} votre ménage a-t-il vendu depuis la dernière récolte ?</t>
  </si>
  <si>
    <t>410. Nawa ne yawan (${hoh_crop_unit_name}) na ${hoh_crop_name} gidanku ya saida tun daga kaka na ƙarshe?</t>
  </si>
  <si>
    <t>enquêteur : ne pas lire les options, code basé sur la réponse</t>
  </si>
  <si>
    <t>432. What quantity (${hoh_crop_unit_name}) of ${hoh_crop_name} did your household sell since the last harvest?</t>
  </si>
  <si>
    <t>432. Quelle quantité (${hoh_crop_unit_name}) de ${hoh_crop_name} votre ménage a-t-il vendu depuis la dernière récolte ?</t>
  </si>
  <si>
    <t>432. Nawa ne yawan (${hoh_crop_unit_name}) na ${hoh_crop_name} gidanku ya saida tun daga kaka na ƙarshe?</t>
  </si>
  <si>
    <t>hoh_price_sold</t>
  </si>
  <si>
    <t>411. What was the price per ${hoh_crop_unit_name} of ${hoh_crop_name} you sold in CFA?</t>
  </si>
  <si>
    <t>411. Quel était le prix unitaire (${hoh_crop_unit_name}) de ${hoh_crop_name} que vous avez vendu en CFA ?</t>
  </si>
  <si>
    <t>411. Nawa farashin kowane ${hoh_crop_unit_name} na ${hoh_crop_name} da kuka saida a CFA?</t>
  </si>
  <si>
    <t>433. What was the price per ${hoh_crop_unit_name} of ${hoh_crop_name} you sold in CFA?</t>
  </si>
  <si>
    <t>433. Quel était le prix unitaire (${hoh_crop_unit_name}) de ${hoh_crop_name} que vous avez vendu en CFA ?</t>
  </si>
  <si>
    <t>433. Nawa farashin kowane ${hoh_crop_unit_name} na ${hoh_crop_name} da kuka saida a CFA?</t>
  </si>
  <si>
    <t>hoh_qty_consume</t>
  </si>
  <si>
    <t>412. How many ${hoh_crop_unit_name}s of ${hoh_crop_name} did your household consume?</t>
  </si>
  <si>
    <t>412. Quelle quantité (${hoh_crop_unit_name}) de ${hoh_crop_name} votre ménage a-t-il consommé ?</t>
  </si>
  <si>
    <t>412. Nawa yawan ${hoh_crop_unit_name} na ${hoh_crop_name} gidanku ya cinye?</t>
  </si>
  <si>
    <t>434. How many ${hoh_crop_unit_name}s of ${hoh_crop_name} did your household consume?</t>
  </si>
  <si>
    <t>434. Quelle quantité (${hoh_crop_unit_name}) de ${hoh_crop_name} votre ménage a-t-il consommé ?</t>
  </si>
  <si>
    <t>434. Nawa yawan ${hoh_crop_unit_name} na ${hoh_crop_name} gidanku ya cinye?</t>
  </si>
  <si>
    <t>hoh_price_consume</t>
  </si>
  <si>
    <t>413.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</si>
  <si>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</si>
  <si>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</si>
  <si>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435. If you were to sell the ${hoh_crop_name} that you consumed, what would be the price per ${hoh_crop_unit_name} in CFA?</t>
  </si>
  <si>
    <t>435. Si vous devriez vendre les ${hoh_crop_name} que vous avez consommés, quel serait le prix par ${hoh_crop_unit_name} en CFA ?</t>
  </si>
  <si>
    <t>435. Idan za ku sayar da ${hoh_crop_name} da kuka cinye, nawa zaku iya sayar da $ {hoh_crop_unit_name} a CFA?</t>
  </si>
  <si>
    <t>hoh_qty_left</t>
  </si>
  <si>
    <t>phones</t>
  </si>
  <si>
    <t>${phone_1_name}, ${phone_1_rel}: ${phone_1}</t>
  </si>
  <si>
    <t>1. ${phone_1_name}, ${phone_1_rel}: ${phone_1}</t>
  </si>
  <si>
    <t>hoh_qty_left_over</t>
  </si>
  <si>
    <t>414. The amount you have left (${hoh_qty_left}) is negative. Please return and revise your responses.</t>
  </si>
  <si>
    <t>414. Le montant qu'il vous reste (${hoh_qty_left}) est négatif. Veuillez revenir et réviser vos réponses.</t>
  </si>
  <si>
    <t>414. jimillar kuɗin da suka saura (${hoh_qty_left}) maras kyau ne. Da fatan za a dawo a sake duba amsoshin.</t>
  </si>
  <si>
    <t>436. The amount you have left (${hoh_qty_left}) is negative. Please return and revise your responses.</t>
  </si>
  <si>
    <t>${phone_2_name}, ${phone_2_rel}: ${phone_2}</t>
  </si>
  <si>
    <t>436. Le montant qu'il vous reste (${hoh_qty_left}) est négatif. Veuillez revenir et réviser vos réponses.</t>
  </si>
  <si>
    <t>2. ${phone_2_name}, ${phone_2_rel}: ${phone_2}</t>
  </si>
  <si>
    <t>436. jimillar kuɗin da suka saura (${hoh_qty_left}) maras kyau ne. Da fatan za a dawo a sake duba amsoshin.</t>
  </si>
  <si>
    <t>hoh_qty_left_confirm</t>
  </si>
  <si>
    <t>415. Based on your responses, you had ${hoh_qty_left} ${hoh_crop_unit_name} left over. Does this sound correct?</t>
  </si>
  <si>
    <t>415. D'après vos réponses, il vous restait ${hoh_qty_left} ${hoh_crop_unit_name}. Est-ce que cela semble correct ?</t>
  </si>
  <si>
    <t>415. Dangane da amsoshinku, kuna da sauran ${hoh_qty_left} ${hoh_crop_unit_name}. Ko wannan yayi daidai?</t>
  </si>
  <si>
    <t>437. Based on your responses, you had ${hoh_qty_left} ${hoh_crop_unit_name} left over. Does this sound correct?</t>
  </si>
  <si>
    <t>437. D'après vos réponses, il vous restait ${hoh_qty_left} ${hoh_crop_unit_name}. Est-ce que cela semble correct ?</t>
  </si>
  <si>
    <t>${phone_3_name}, ${phone_3_rel}: ${phone_3}</t>
  </si>
  <si>
    <t>437. Dangane da amsoshinku, kuna da sauran ${hoh_qty_left} ${hoh_crop_unit_name}. Ko wannan yayi daidai?</t>
  </si>
  <si>
    <t>3. ${phone_3_name}, ${phone_3_rel}: ${phone_3}</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</si>
  <si>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</si>
  <si>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</si>
  <si>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</si>
  <si>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</si>
  <si>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${phone_4_name}, ${phone_4_rel}: ${phone_4}</t>
  </si>
  <si>
    <t>438. If you were to sell the ${hoh_crop_name} that you had left over, what would be the price per ${hoh_crop_unit_name} in CFA?</t>
  </si>
  <si>
    <t>4. ${phone_4_name}, ${phone_4_rel}: ${phone_4}</t>
  </si>
  <si>
    <t>438. Si vous deviez vendre les ${hoh_crop_name} qui vous reste, quel serait le prix par ${hoh_crop_unit_name} en CFA ?</t>
  </si>
  <si>
    <t>438. Idan za ku sayar da ${hoh_crop_name} da ya muku saura, zaku iya sayar da $ {hoh_crop_unit_name} a CFA?</t>
  </si>
  <si>
    <t>hoh_crop_revenue</t>
  </si>
  <si>
    <t>488. Specify other transfer method</t>
  </si>
  <si>
    <t>488. Précisez la méthode du transfert</t>
  </si>
  <si>
    <t>488. Wani daban a Bayyana</t>
  </si>
  <si>
    <t>${phone_5_name}, ${phone_5_rel}: ${phone_5}</t>
  </si>
  <si>
    <t>5. ${phone_5_name}, ${phone_5_rel}: ${phone_5}</t>
  </si>
  <si>
    <t>Crops</t>
  </si>
  <si>
    <t>Cultures</t>
  </si>
  <si>
    <t>amfanin gona</t>
  </si>
  <si>
    <t>489. In the past three months, have you or anyone in your household shared or sent goods (payment in kind) to someone who is not a member of your household and who lives elsewhere in Niger (outside your village)?</t>
  </si>
  <si>
    <t>489. Au cours des trois derniers mois, vous ou quelqu'un de votre ménage avez-vous partagé ou envoyé &lt;b&gt;des biens&lt;/b&gt; (paiement en nature) à quelqu'un qui n'est pas membre de votre ménage et qui habite &lt;b&gt;ailleurs au Niger&lt;/b&gt; (en dehors de votre village) ?</t>
  </si>
  <si>
    <t>489. A cikin watanni uku da suka wuce, kai ko wani a cikin gidanku kun bada ko kun aika kaya (a matsayin biya) ga wanda ba dan giɗanku ba da ke zaune a wani wuri a cikin Nijar (Ba'a garinku ba)?</t>
  </si>
  <si>
    <t>Doesn't have any phone number to share</t>
  </si>
  <si>
    <t>N'a pas de numéro de téléphone à donner</t>
  </si>
  <si>
    <t>Ba shi da kowace lambar waya da za a badawa</t>
  </si>
  <si>
    <t xml:space="preserve">${speedcheck_hoh_rosternew_end} - ${speedcheck_hoh_rosternew_start} </t>
  </si>
  <si>
    <t>hh_agr_expenses</t>
  </si>
  <si>
    <t>Household Agriculture Expenses</t>
  </si>
  <si>
    <t>Dépenses agricoles du ménage</t>
  </si>
  <si>
    <t>Kashe kashen kuɗin aikin gona na gida</t>
  </si>
  <si>
    <t>hoh_spend_ag</t>
  </si>
  <si>
    <t>416. How much did your household spend on the following types of expenses during the last agricultural season in CFA?</t>
  </si>
  <si>
    <t>416. Combien votre ménage a-t-il dépensé pour les types de dépenses suivantes au cours de la dernière saison agricole (en CFA) ?</t>
  </si>
  <si>
    <t>416. Nawa ne gidanku ya kashe akan waɗannan abubuwan a lokacin noman da ya wuce (a sefa)?</t>
  </si>
  <si>
    <t>if(${hoh_new_hh_mems} = 0, ${hhmembers}, ${hhmembers} + ${hoh_new_hh_mems_num})</t>
  </si>
  <si>
    <t>439. How much did your household spend on the following types of expenses during the last agricultural season in CFA?</t>
  </si>
  <si>
    <t>439. Combien votre ménage a-t-il dépensé pour les types de dépenses suivantes au cours de la dernière saison agricole (en CFA) ?</t>
  </si>
  <si>
    <t>439. Nawa ne gidanku ya kashe akan waɗannan abubuwan a lokacin noman da ya wuce (a sefa)?</t>
  </si>
  <si>
    <t>hoh_spend_seeds</t>
  </si>
  <si>
    <t>417. Seeds</t>
  </si>
  <si>
    <t>417. Semences</t>
  </si>
  <si>
    <t>417. Iri</t>
  </si>
  <si>
    <t>440. Seeds</t>
  </si>
  <si>
    <t>440. Semences</t>
  </si>
  <si>
    <t>440. Iri</t>
  </si>
  <si>
    <t>hoh_spend_fert</t>
  </si>
  <si>
    <t>418. Fertilizer</t>
  </si>
  <si>
    <t>418. Engrais</t>
  </si>
  <si>
    <t>418. Takin zamani</t>
  </si>
  <si>
    <t>441. Fertilizer</t>
  </si>
  <si>
    <t>441. Engrais</t>
  </si>
  <si>
    <t>441. Takin zamani</t>
  </si>
  <si>
    <t>hoh_spend_rent</t>
  </si>
  <si>
    <t>419. Renting machines and tools (i.e. for plowing or spraying)</t>
  </si>
  <si>
    <t>419. Location de machines et d'outils (c'est-à-dire pour labourer ou pulvériser)</t>
  </si>
  <si>
    <t>419. Hayar injina da kayan aiki ( don noma ko feshi)</t>
  </si>
  <si>
    <t>442. Renting machines and tools (i.e. for plowing or spraying)</t>
  </si>
  <si>
    <t>442. Location de machines et d'outils (c'est-à-dire pour labourer ou pulvériser)</t>
  </si>
  <si>
    <t>442. Hayar injina da kayan aiki ( don noma ko feshi)</t>
  </si>
  <si>
    <t>hoh_spend_water</t>
  </si>
  <si>
    <t>420. Water</t>
  </si>
  <si>
    <t>420. Eau</t>
  </si>
  <si>
    <t>420. Ruwa</t>
  </si>
  <si>
    <t>443. Water</t>
  </si>
  <si>
    <t>443. Eau</t>
  </si>
  <si>
    <t>443. Ruwa</t>
  </si>
  <si>
    <t>Dépenses agricoles des ménages</t>
  </si>
  <si>
    <t>Kashe-kashen kuɗin aikin gona na gida</t>
  </si>
  <si>
    <t>Answered the phone, correct respondent</t>
  </si>
  <si>
    <t>497. In the past three months, have you or anyone in your household shared or sent goods (payment in kind) to someone who is not a member of your household and who lives in a foreign country (outside of Niger)?</t>
  </si>
  <si>
    <t>Répondu au téléphone, répondant prévu</t>
  </si>
  <si>
    <t>497. Au cours des trois derniers mois, vous ou quelqu'un de votre ménage avez-vous partagé ou envoyé &lt;b&gt;des biens&lt;/b&gt; (paiement en nature) à quelqu'un qui n'est pas membre de votre ménage et qui habite &lt;b&gt;à l'extérieur du Niger&lt;/b&gt; (dans un autre pays) ?</t>
  </si>
  <si>
    <t>497. A cikin watanni uku da suka wuce, kai ko wani a cikin gidanku kun bada ko kun aika kaya (a matsayin biya) ga wanda ba ɗan gidanku ba da ke zaune a wajen Nijar (a wata kasa)?</t>
  </si>
  <si>
    <t>An amshi kiran waya, wanda ake neman ya bada amsa da kanshi</t>
  </si>
  <si>
    <t>speedcheck_hoh_cropsinfo_end</t>
  </si>
  <si>
    <t>dur_hoh_cropsinfo</t>
  </si>
  <si>
    <t>Answered, but not by the respondent</t>
  </si>
  <si>
    <t>Répondu, mais pas par le répondant</t>
  </si>
  <si>
    <t>An amsa, amma ba wanda ake nema ya bada amsa da kanshi ba ne</t>
  </si>
  <si>
    <t>500. Specify other transfer method</t>
  </si>
  <si>
    <t>500. Precisez la methode du transfert</t>
  </si>
  <si>
    <t>500. Wani daban a Bayyana</t>
  </si>
  <si>
    <t>speedcheck_hoh_labor_start</t>
  </si>
  <si>
    <t>No answer</t>
  </si>
  <si>
    <t>Pas de réponse</t>
  </si>
  <si>
    <t>Babu amsa</t>
  </si>
  <si>
    <t>501. In the past three months, have you received support from any of the following sources?</t>
  </si>
  <si>
    <t>501. Au cours des trois derniers mois, avez-vous reçu de l'aide de l'une des sources suivantes ?</t>
  </si>
  <si>
    <t>501. A cikin watanni uku da suka wuce, kun samu taimako daga ɗayan waɗannan hanyoyin?</t>
  </si>
  <si>
    <t>hoh_work_note</t>
  </si>
  <si>
    <t>421. We want to understand how many days people worked in your fields and who did this work.</t>
  </si>
  <si>
    <t>${hoh_hhmembers_new}</t>
  </si>
  <si>
    <t>421. Nous voulons comprendre combien de jours des gens ont travaillé dans vos champs et qui a fait ce travail.</t>
  </si>
  <si>
    <t>421. Muna son mu fahimci kwanaki nawa mutane suka yi aiki a gonakinku da kuma wanda ya yi wannan aikin.</t>
  </si>
  <si>
    <t>444. We want to understand how many days people worked in your fields and who did this work.</t>
  </si>
  <si>
    <t>444. Nous voulons comprendre combien de jours des gens ont travaillé dans vos champs et qui a fait ce travail.</t>
  </si>
  <si>
    <t>444. Muna son mu fahimci kwanaki nawa mutane suka yi aiki a gonakinku da kuma wanda ya yi wannan aikin.</t>
  </si>
  <si>
    <t>Number does not work (does not ring/connect to a phone)</t>
  </si>
  <si>
    <t>hoh_weeks_labor</t>
  </si>
  <si>
    <t>Le numéro ne fonctionne pas (ne sonne pas/ne se connecte pas à un téléphone)</t>
  </si>
  <si>
    <t>422. Think about the last agricultural season. How many weeks were people working in your fields? This includes work by people who are members of your household and those who are not members of your household.</t>
  </si>
  <si>
    <t>Lambar ba ta aiki (ba ta yi ƙara ba/bata haɗuwa da kowace waya)</t>
  </si>
  <si>
    <t>422. Pensez à la dernière saison agricole. Combien de semaines au total les gens ont-ils travaillé dans vos champs ? Cela inclut le travail des personnes qui sont membres de votre ménage et celles qui ne le sont pas.</t>
  </si>
  <si>
    <t>422. Ku tuna da lokacin noma na ƙarshe. Makonni nawa mutane ke aiki a filayenku? Wannan ya haɗa da aikin mutanen da ke cikin gidanku da waɗanda ba ƴan gidanku ba ne.</t>
  </si>
  <si>
    <t>445. Think about the last agricultural season. How many weeks were people working in your fields? This includes work by people who are members of your household and those who are not members of your household.</t>
  </si>
  <si>
    <t>445. Pensez à la dernière saison agricole. Combien de semaines au total les gens ont-ils travaillé dans vos champs ? Cela inclut le travail des personnes qui sont membres de votre ménage et celles qui ne le sont pas.</t>
  </si>
  <si>
    <t>445. Ku tuna da lokacin noma na ƙarshe. Makonni nawa mutane ke aiki a filayenku? Wannan ya haɗa da aikin mutanen da ke cikin gidanku da waɗanda ba ƴan gidanku ba ne.</t>
  </si>
  <si>
    <t>hoh_days_labor</t>
  </si>
  <si>
    <t>423. Think about a typical week during the last agricultural season. How many days were people working in your fields? This includes work by people who are members of your household and those who are not members of your household.</t>
  </si>
  <si>
    <t>423. Pensez à une semaine typique au cours de la dernière saison agricole. Combien de jours les gens ont-ils travaillé dans vos champs par semaine ? Cela inclut le travail des personnes qui sont membres de votre ménage et celles qui ne le sont pas.</t>
  </si>
  <si>
    <t>423. Ku tuna da mako guda na lokacin damana ta ƙarshe. Kwanaki nawa mutane suke aiki a gonkinku a cikin kowane sati? Wannan ya haɗa da aikin mutanen da ke cikin gidan ku da waɗanda ba 'yan gidan ku ba ne.</t>
  </si>
  <si>
    <t>446. Think about a typical week during the last agricultural season. How many days were people working in your fields? This includes work by people who are members of your household and those who are not members of your household.</t>
  </si>
  <si>
    <t>446. Pensez à une semaine typique au cours de la dernière saison agricole. Combien de jours les gens ont-ils travaillé dans vos champs par semaine ? Cela inclut le travail des personnes qui sont membres de votre ménage et celles qui ne le sont pas.</t>
  </si>
  <si>
    <t>446. Ku tuna da mako guda na lokacin damana ta ƙarshe. Kwanaki nawa mutane suke aiki a gonkinku a cikin kowane sati? Wannan ya haɗa da aikin mutanen da ke cikin gidan ku da waɗanda ba 'yan gidan ku ba ne.</t>
  </si>
  <si>
    <t>hoh_days_labor_tot</t>
  </si>
  <si>
    <t>relationship</t>
  </si>
  <si>
    <t>The respondent</t>
  </si>
  <si>
    <t>Le répondant</t>
  </si>
  <si>
    <t>Mai bada amsa da kanshi</t>
  </si>
  <si>
    <t>521. In response to ${hoh_emergency_name}, did you or your household take the following actions?</t>
  </si>
  <si>
    <t>521. En réponse à ${hoh_emergency_name}, avez-vous vous ou votre ménage pris les mesures suivantes ??</t>
  </si>
  <si>
    <t>521. Dangance da ${hoh_emergency_name}, ku ko ƴan gindanku kun ɗauki waɗannan matakai?</t>
  </si>
  <si>
    <t>hoh_hh_labor</t>
  </si>
  <si>
    <t>Household Members Working</t>
  </si>
  <si>
    <t>Membres actifs du ménage</t>
  </si>
  <si>
    <t>Ƴan gida masu Ƙarhin aiki</t>
  </si>
  <si>
    <t>522. Sell assets?</t>
  </si>
  <si>
    <t>522. Vendre des actifs</t>
  </si>
  <si>
    <t>522. Saida kadarori</t>
  </si>
  <si>
    <t>hoh_labor_index</t>
  </si>
  <si>
    <t>Family member</t>
  </si>
  <si>
    <t>523. Borrow money?</t>
  </si>
  <si>
    <t>Membre de la famille</t>
  </si>
  <si>
    <t>523. Emprunter de l'argent</t>
  </si>
  <si>
    <t>Dan uwa/dangi</t>
  </si>
  <si>
    <t>523. Bashin kuɗi</t>
  </si>
  <si>
    <t>hoh_labor_name</t>
  </si>
  <si>
    <t>Household Name</t>
  </si>
  <si>
    <t>Nom du ménage</t>
  </si>
  <si>
    <t>Sunan gida</t>
  </si>
  <si>
    <t>pulldata('baseline_ids_el', concat('hhname', ${hoh_roster_index}), 'hh_id', ${hh_id})</t>
  </si>
  <si>
    <t>524. Spend your savings?</t>
  </si>
  <si>
    <t>524. Utiliser votre épargne</t>
  </si>
  <si>
    <t>524. Kashe kuɗin ajiyar ku</t>
  </si>
  <si>
    <t>hoh_ag_days_member</t>
  </si>
  <si>
    <t>424. Can you estimate how many days during the last agricultural season did ${hoh_labor_name} work in field?</t>
  </si>
  <si>
    <t>424. Pouvez-vous estimer combien de jours au cours de la dernière saison agricole ${hoh_labor_name} a-t-il travaillé dans les champs ?</t>
  </si>
  <si>
    <t>424. Za ku iya ƙiyasin kwanaki nawa a lokacin noman da ya gabata ${hoh_labor_name} ya yi aikin a noma?</t>
  </si>
  <si>
    <t>Voisine</t>
  </si>
  <si>
    <t>Maƙwabci</t>
  </si>
  <si>
    <t>447. Can you estimate how many days during the last agricultural season did ${hoh_labor_name} work in field?</t>
  </si>
  <si>
    <t>447. Pouvez-vous estimer combien de jours au cours de la dernière saison agricole ${hoh_labor_name} a-t-il travaillé dans les champs ?</t>
  </si>
  <si>
    <t>447. Za ku iya ƙiyasin kwanaki nawa a lokacin noman da ya gabata ${hoh_labor_name} ya yi aikin a noma?</t>
  </si>
  <si>
    <t>pulldata('baseline_ids_el', concat('hhage', ${hoh_roster_index}), 'hh_id', ${hh_id})</t>
  </si>
  <si>
    <t>hoh_hire_note</t>
  </si>
  <si>
    <t>425. The following questions about agricultural labor are for the last agricultural season (last 180 days).</t>
  </si>
  <si>
    <t>425. Les questions suivantes sur le travail agricole concernent la derniere saison agricole (180 derniers jours)</t>
  </si>
  <si>
    <t>425. Q.420 Tambayoyi masu zuwa game da aikin noma bara (koinakin 180 na baya)</t>
  </si>
  <si>
    <t>448. The following questions about agricultural labor are for the last agricultural season (last 180 days).</t>
  </si>
  <si>
    <t>448. Les questions suivantes sur le travail agricole concernent la derniere saison agricole (180 derniers jours)</t>
  </si>
  <si>
    <t>448. Q.420 Tambayoyi masu zuwa game da aikin noma bara (koinakin 180 na baya)</t>
  </si>
  <si>
    <t>hoh_hire_ag</t>
  </si>
  <si>
    <t>426. Did you hire anyone outside of your household to work in your fields?</t>
  </si>
  <si>
    <t>426. Avez-vous embauché quelqu'un en dehors de votre ménage pour travailler dans vos champs ?</t>
  </si>
  <si>
    <t>426. Ko kun ɗauki wani dan barema da ba ɗan gidanku ba don yin aiki a gonakinku?</t>
  </si>
  <si>
    <t>Doesn't know the respondent</t>
  </si>
  <si>
    <t>Ne connaît pas le répondant</t>
  </si>
  <si>
    <t>Bai san mai bada amsa ba</t>
  </si>
  <si>
    <t>449. Did you hire anyone outside of your household to work in your fields?</t>
  </si>
  <si>
    <t>449. Avez-vous embauché quelqu'un en dehors de votre ménage pour travailler dans vos champs ?</t>
  </si>
  <si>
    <t>449. Ko kun ɗauki wani dan barema da ba ɗan gidanku ba don yin aiki a gonakinku?</t>
  </si>
  <si>
    <t>hoh_hire_ag_num</t>
  </si>
  <si>
    <t>427. How many different people did you hire people to work in your fields?</t>
  </si>
  <si>
    <t>427. Combien de personnes avez-vous embauchées pour travailler dans vos champs ?</t>
  </si>
  <si>
    <t>pulldata('baseline_ids_el', concat('hhsex', ${hoh_roster_index}), 'hh_id', ${hh_id})</t>
  </si>
  <si>
    <t>427. Mutane nawa kuka ɗauka don yin aiki a gonakinku?</t>
  </si>
  <si>
    <t>450. How many different people did you hire people to work in your fields?</t>
  </si>
  <si>
    <t>450. Combien de personnes avez-vous embauchées pour travailler dans vos champs ?</t>
  </si>
  <si>
    <t>450. Mutane nawa kuka ɗauka don yin aiki a gonakinku?</t>
  </si>
  <si>
    <t>hoh_hire_ag_days</t>
  </si>
  <si>
    <t>428. How many days did each laborer work in your fields?</t>
  </si>
  <si>
    <t>428. Combien de jours chaque ouvrier a-t-il travaillé dans vos champs ?</t>
  </si>
  <si>
    <t>428. Kwanaki nawa kowane ma'aikaci yayi aiki a gonakinku?</t>
  </si>
  <si>
    <t>451. How many days did each laborer work in your fields?</t>
  </si>
  <si>
    <t>451. Combien de jours chaque ouvrier a-t-il travaillé dans vos champs ?</t>
  </si>
  <si>
    <t>451. Kwanaki nawa kowane ma'aikaci yayi aiki a gonakinku?</t>
  </si>
  <si>
    <t>hoh_hire_ag_wage</t>
  </si>
  <si>
    <t>429. What was the daily wage you paid for people to work in your fields, or how much would you pay in CFA?</t>
  </si>
  <si>
    <t>429. Quel était le salaire journalier que vous payiez pour que les gens travaillent dans vos champs, ou combien paieriez-vous en CFA ?</t>
  </si>
  <si>
    <t>429. Nawa ne kuke biyan waɗanda suka yi aiki a gonakinku a dukkan wuni a sefa ?</t>
  </si>
  <si>
    <t>empty(${hoh_roster_name_cases})</t>
  </si>
  <si>
    <t>452. What was the daily wage you paid for people to work in your fields, or how much would you pay in CFA?</t>
  </si>
  <si>
    <t>452. Quel était le salaire journalier que vous payiez pour que les gens travaillent dans vos champs, ou combien paieriez-vous en CFA ?</t>
  </si>
  <si>
    <t>452. Nawa ne kuke biyan waɗanda suka yi aiki a gonakinku a dukkan wuni a sefa ?</t>
  </si>
  <si>
    <t xml:space="preserve">${hoh_roster_index} - ${hhmembers} </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</si>
  <si>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</si>
  <si>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</si>
  <si>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</si>
  <si>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</si>
  <si>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</si>
  <si>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430. Thinking of your expenses related to labor and investment in your fields during the last agricultural season, you spent a total of ${hoh_total_paid} in CFA, is this correct?</t>
  </si>
  <si>
    <t>430. Pour toutes les dépenses pour vos champs dont nous avons parlé, vous avez payé ${hoh_total_paid} en CFA, est-ce correct ?</t>
  </si>
  <si>
    <t>430. Ku tuna da dukkan kuɗaɗen da kuka kashe a kan aikin gona a lokacin aikin noma na ƙarshe, kun kashe jimillar ${hoh_total_paid} a CFA, wannan daidai ne?</t>
  </si>
  <si>
    <t>status</t>
  </si>
  <si>
    <t>Completed</t>
  </si>
  <si>
    <t>453. Thinking of your expenses related to labor and investment in your fields during the last agricultural season, you spent a total of ${hoh_total_paid} in CFA, is this correct?</t>
  </si>
  <si>
    <t>453. Pour toutes les dépenses pour vos champs dont nous avons parlé, vous avez payé ${hoh_total_paid} en CFA, est-ce correct ?</t>
  </si>
  <si>
    <t>Complété</t>
  </si>
  <si>
    <t>453. Ku tuna da dukkan kuɗaɗen da kuka kashe a kan aikin gona a lokacin aikin noma na ƙarshe, kun kashe jimillar ${hoh_total_paid} a CFA, wannan daidai ne?</t>
  </si>
  <si>
    <t>An kammala</t>
  </si>
  <si>
    <t>hoh_paid_ag_note</t>
  </si>
  <si>
    <t>431. Now we'll ask about any work by members of your household in fields owned by other people.</t>
  </si>
  <si>
    <t>431. Nous allons maintenant poser des questions sur tout travail effectué par des membres de votre ménage dans des champs appartenant à d'autres personnes.</t>
  </si>
  <si>
    <t>431. Yanzu za mu yi tambayoyi game da duk wani aiki da ƴan gidanku suka yi a gonakin wasu mutane.</t>
  </si>
  <si>
    <t>454. Now we'll ask about any work by members of your household in fields owned by other people.</t>
  </si>
  <si>
    <t>454. Nous allons maintenant poser des questions sur tout travail effectué par des membres de votre ménage dans des champs appartenant à d'autres personnes.</t>
  </si>
  <si>
    <t>454. Yanzu za mu yi tambayoyi game da duk wani aiki da ƴan gidanku suka yi a gonakin wasu mutane.</t>
  </si>
  <si>
    <t>hoh_members_paid_ag</t>
  </si>
  <si>
    <t>432. Have any family members worked as a day labor in fields for someone else?</t>
  </si>
  <si>
    <t>432. Pensez à tout membre de votre ménage, y-a t-il des membres de votre ménage qui ont travaillé comme journaliers dans le champs de quelqu'un d'autre ?</t>
  </si>
  <si>
    <t>432. Ko wani ɗan gidanku ya yi aiki a matsayin ɗan barema a gonar wani?</t>
  </si>
  <si>
    <t>Answered, but not completed</t>
  </si>
  <si>
    <t>455. Have any family members worked as a day labor in fields for someone else?</t>
  </si>
  <si>
    <t>Répondu, mais pas terminé</t>
  </si>
  <si>
    <t>455. Pensez à tout membre de votre ménage, y-a t-il des membres de votre ménage qui ont travaillé comme journaliers dans le champs de quelqu'un d'autre ?</t>
  </si>
  <si>
    <t>An bada amsa, amma ba a kammala ba</t>
  </si>
  <si>
    <t>indexed-repeat(${hoh_new_mem_name}, ${hoh_roster_new}, ${hoh_roster_new_index})</t>
  </si>
  <si>
    <t>455. Ko wani ɗan gidanku ya yi aiki a matsayin ɗan barema a gonar wani?</t>
  </si>
  <si>
    <t>speedcheck_hoh_labor_end</t>
  </si>
  <si>
    <t>514. In the past 3 months did you make any investments to improve the productivity of your land?</t>
  </si>
  <si>
    <t>514. Au cours des 3 derniers mois, avez-vous fait des investissements pour améliorer la productivité de votre terre ?</t>
  </si>
  <si>
    <t>514. A cikin watanni 3 da suka gabata, kun zuba kudi don inganta samun amfanin gonakinku?</t>
  </si>
  <si>
    <t>dur_hoh_labor</t>
  </si>
  <si>
    <t>An bada amsa, amma ba wanda ake neman ya bada amsa ba ne</t>
  </si>
  <si>
    <t>515. Specify improvement to land</t>
  </si>
  <si>
    <t>515. Précisez les améliorations de votre terre que vous avez fait</t>
  </si>
  <si>
    <t>515. Ku bayyana kuɗin da kuka kashe don haɓɓaka gonarku</t>
  </si>
  <si>
    <t>speedcheck_hoh_paid_start</t>
  </si>
  <si>
    <t>532. What was the value of the loan in CFA?</t>
  </si>
  <si>
    <t>532. Quelle était la valeur du prêt en CFA?</t>
  </si>
  <si>
    <t>532. Nawa ne yawan kuɗin bashin a sefa?</t>
  </si>
  <si>
    <t>hoh_hh_paid</t>
  </si>
  <si>
    <t>Household Day Laborers</t>
  </si>
  <si>
    <t>Travaileurs journaliers</t>
  </si>
  <si>
    <t>Masu aikin wuni</t>
  </si>
  <si>
    <t>indexed-repeat(${hoh_new_mem_age}, ${hoh_roster_new}, ${hoh_roster_new_index})</t>
  </si>
  <si>
    <t>533. Think about all the people you or members of your household owe money, including recent loans, what is the total value your household owes (in CFA)?</t>
  </si>
  <si>
    <t>533. Pensez à toutes les personnes que vous ou les membres de votre ménage devez de l'argent, y compris les prêts récents, quelle est la valeur totale que votre ménage doit (en CFA) ?</t>
  </si>
  <si>
    <t>533. Ku tuna da duk mutanen da ke bin da ƴan gidanku kuɗi, dukan basussuka sabi da tsohi, nawa jimillar kuɗin a ke bin gidanku (a kuɗin sefa CFA)?</t>
  </si>
  <si>
    <t>hoh_paid_name</t>
  </si>
  <si>
    <t>534. Do you know if a loan was given to your household by a household that participated in the TSARI or other Mercy Corp programs?</t>
  </si>
  <si>
    <t>Refusal</t>
  </si>
  <si>
    <t xml:space="preserve">534. </t>
  </si>
  <si>
    <t>Refus</t>
  </si>
  <si>
    <t>ƙi</t>
  </si>
  <si>
    <t>hoh_paid_age</t>
  </si>
  <si>
    <t>516. Now I will ask you about different ways your household may use money that you earn.</t>
  </si>
  <si>
    <t>516. Je vais maintenant vous poser des questions sur les différentes façons dont votre ménage peut utiliser l'argent que vous gagnez.</t>
  </si>
  <si>
    <t>516. Yanzu zan yi muku tambayoyi game hanyoyi daban-daban da gidanku ke iya amfani da su don kashe kuɗin da yake samu.</t>
  </si>
  <si>
    <t>hoh_paid_ag</t>
  </si>
  <si>
    <t>433. Can you estimate how many days ${hoh_paid_name} worked as a day laborer in the fields for someone else?</t>
  </si>
  <si>
    <t>433. Pouvez-vous estimer combien de jours ${hoh_paid_name} a travaillé comme journalier dans les champs d'autres personnes ?</t>
  </si>
  <si>
    <t>433. Za ku iya misalta ko wuni nawa ${hoh_paid_name} yayi aiki a matsayin ma'aikacin barema a gonar wasu mutane?</t>
  </si>
  <si>
    <t>456. Can you estimate how many days ${hoh_paid_name} worked as a day laborer in the fields for someone else?</t>
  </si>
  <si>
    <t>456. Pouvez-vous estimer combien de jours ${hoh_paid_name} a travaillé comme journalier dans les champs d'autres personnes ?</t>
  </si>
  <si>
    <t>456. Za ku iya misalta ko wuni nawa ${hoh_paid_name} yayi aiki a matsayin ma'aikacin barema a gonar wasu mutane?</t>
  </si>
  <si>
    <t>hoh_paid_ag_wage</t>
  </si>
  <si>
    <t>434. What was the daily wage paid to ${hoh_paid_name} working as a day laborer for someone else in CFA?</t>
  </si>
  <si>
    <t>434. Quel était le salaire journalier payé à ${hoh_paid_name} travaillant comme journalier pour quelqu'un d'autre en CFA ?</t>
  </si>
  <si>
    <t>434. Nawa biyan ${hoh_paid_name} na wuni a lokacin da yake barema a gonar wani a sefa?</t>
  </si>
  <si>
    <t>if(indexed-repeat(${hoh_new_mem_sex}, ${hoh_roster_new}, ${hoh_roster_new_index}) = 1, 'Male', 'Female')</t>
  </si>
  <si>
    <t>457. What was the daily wage paid to ${hoh_paid_name} working as a day laborer for someone else in CFA?</t>
  </si>
  <si>
    <t>457. Quel était le salaire journalier payé à ${hoh_paid_name} travaillant comme journalier pour quelqu'un d'autre en CFA ?</t>
  </si>
  <si>
    <t>457. Nawa biyan ${hoh_paid_name} na wuni a lokacin da yake barema a gonar wani a sefa?</t>
  </si>
  <si>
    <t>hoh_paid_ag_total</t>
  </si>
  <si>
    <t>paid_ag * paid_ag_wage</t>
  </si>
  <si>
    <t>payé_ag * payé_ag_wage</t>
  </si>
  <si>
    <t>biya_ag * biya_ag_wage</t>
  </si>
  <si>
    <t>countrycode</t>
  </si>
  <si>
    <t>229</t>
  </si>
  <si>
    <t>537. I will now ask you about meals people in your household have consumed in the past 7 days.</t>
  </si>
  <si>
    <t>537. Je vais maintenant vous poser des questions sur les repas que les membres de votre ménage ont consommé au cours des 7 derniers jours.</t>
  </si>
  <si>
    <t>537. Yanzu zan tambaye ku bisa abincin da mutanen gidanku suka ci a cikin kwanaki 7 da suka wuce.</t>
  </si>
  <si>
    <t>538. In the last 7 days, have adults gone a whole day without meals?</t>
  </si>
  <si>
    <t>538. Au cours des 7 derniers jours, des adultes sont-ils restés une journée entière sans manger de repas ?</t>
  </si>
  <si>
    <t>538. A cikin kwanaki 7 da suka wuce, ko manya gidanku sun zauna tsawon wuni guda basu ci abinci ba?</t>
  </si>
  <si>
    <t>speedcheck_hoh_paid_end</t>
  </si>
  <si>
    <t>539. How many days?</t>
  </si>
  <si>
    <t>Benin: +229</t>
  </si>
  <si>
    <t>539. Pendant combien de jours?</t>
  </si>
  <si>
    <t>539. 151a Tsawon kwanaki nawa?</t>
  </si>
  <si>
    <t>dur_hoh_paid</t>
  </si>
  <si>
    <t>if(empty(${hoh_roster_name_cases}), ${hoh_roster_name_new}, ${hoh_roster_name_cases})</t>
  </si>
  <si>
    <t>hoh_ag_exp_other</t>
  </si>
  <si>
    <t>435. Thinking about the last agricultural season, did you need to pay other expenses we did not ask you about?</t>
  </si>
  <si>
    <t>435. En pensant à la dernière saison agricole, avez-vous dû faire d'autres dépenses dont nous n'avons pas parlé ?</t>
  </si>
  <si>
    <t>435. A tunaninka a lokacin noman da ya gabata, akwai wasu kashe kashen kuɗi da kuka yi wanda ba mu yi zancen su ba?</t>
  </si>
  <si>
    <t>458. Thinking about the last agricultural season, did you need to pay other expenses we did not ask you about?</t>
  </si>
  <si>
    <t>458. En pensant à la dernière saison agricole, avez-vous dû faire d'autres dépenses dont nous n'avons pas parlé ?</t>
  </si>
  <si>
    <t>458. A tunaninka a lokacin noman da ya gabata, akwai wasu kashe kashen kuɗi da kuka yi wanda ba mu yi zancen su ba?</t>
  </si>
  <si>
    <t>hoh_ag_exp_other_name</t>
  </si>
  <si>
    <t>436. What was the expense?</t>
  </si>
  <si>
    <t>436. Quelle était la dépense ?</t>
  </si>
  <si>
    <t>436. wane kashe kuɗi ne ?</t>
  </si>
  <si>
    <t>459. What was the expense?</t>
  </si>
  <si>
    <t>459. Quelle était la dépense ?</t>
  </si>
  <si>
    <t>459. wane kashe kuɗi ne ?</t>
  </si>
  <si>
    <t>if(empty(${hoh_roster_name_cases}), ${hoh_roster_age_new}, ${hoh_roster_age_cases})</t>
  </si>
  <si>
    <t>hoh_ag_exp_other_amt</t>
  </si>
  <si>
    <t>437. What was the approximate value of ${hoh_ag_exp_other_name} in CFA?</t>
  </si>
  <si>
    <t>437. Quelle était la valeur approximative de ${hoh_ag_exp_other_name} en CFA ?</t>
  </si>
  <si>
    <t>437. Nawa farashin ${hoh_ag_exp_other_name} a wacan lokacin a sefa?</t>
  </si>
  <si>
    <t>460. What was the approximate value of ${hoh_ag_exp_other_name} in CFA?</t>
  </si>
  <si>
    <t>460. Quelle était la valeur approximative de ${hoh_ag_exp_other_name} en CFA ?</t>
  </si>
  <si>
    <t>460. Nawa farashin ${hoh_ag_exp_other_name} a wacan lokacin a sefa?</t>
  </si>
  <si>
    <t>hoh_income1</t>
  </si>
  <si>
    <t>Total wages from outside ag work</t>
  </si>
  <si>
    <t>Burkina Faso: +226</t>
  </si>
  <si>
    <t>544. How many days?</t>
  </si>
  <si>
    <t>544. Pendant combien de jours?</t>
  </si>
  <si>
    <t>544. 154a Tsawon kwanaki nawa?</t>
  </si>
  <si>
    <t>hoh_income2</t>
  </si>
  <si>
    <t>Total sales of own crops (not incl. own consumption)</t>
  </si>
  <si>
    <t>545. In the last 7 days, have children (&lt;14) cut the size of meals or skipped meals?</t>
  </si>
  <si>
    <t>if(empty(${hoh_roster_name_cases}), ${hoh_roster_sex_new}, ${hoh_roster_sex_cases})</t>
  </si>
  <si>
    <t>545. Au cours des 7 derniers jours, des enfants (&lt;14) ont-ils réduit la taille de leurs repas ou les ont-ils sauté?</t>
  </si>
  <si>
    <t>545. A cikin kwanaki 7 na ƙarshe, suna da yara (&lt;14) sun rage yawan abinci ko sun rasa gaba ɗaya?</t>
  </si>
  <si>
    <t>hoh_income3</t>
  </si>
  <si>
    <t>Wages paid for work on own farm</t>
  </si>
  <si>
    <t>Cape Verde: +238</t>
  </si>
  <si>
    <t>hoh_income4</t>
  </si>
  <si>
    <t>Cost of seed</t>
  </si>
  <si>
    <t>547. In the past week how many days have children in your household consumed animal protein (inlcuding fish, meat, poultry)?</t>
  </si>
  <si>
    <t>547. Au cours des 7 derniers jours, combien de fois les enfants de votre ménage ont-ils consommé des protéines animales (y compris poisson, viande, volaille) ?</t>
  </si>
  <si>
    <t>547. A cikin kwanaki 7 da suka gabata sau nawa yara a cikin gidanku suka ci abinci masu gina jiki kamar su kifi, nama, kaji ?</t>
  </si>
  <si>
    <t>Cote d'Ivoire: +225</t>
  </si>
  <si>
    <t>hoh_income5</t>
  </si>
  <si>
    <t>Cost of fertilizer</t>
  </si>
  <si>
    <t>hoh_income6</t>
  </si>
  <si>
    <t>Cost of machinery</t>
  </si>
  <si>
    <t>Gambia: +220</t>
  </si>
  <si>
    <t>hoh_income7</t>
  </si>
  <si>
    <t>Cost of water</t>
  </si>
  <si>
    <t>548. Has your household spent money on the following types of expenses in the past month?</t>
  </si>
  <si>
    <t>548. Votre ménage a-t-il dépensé de l'argent pour les types de dépenses suivants au cours du dernier mois ?</t>
  </si>
  <si>
    <t>548. Shin gidanku ya kashe kuɗi akan irin waɗannan abubuwan a cikin watan da ya gabata?</t>
  </si>
  <si>
    <t>hoh_income8</t>
  </si>
  <si>
    <t>Cost of other expenses</t>
  </si>
  <si>
    <t>Ghana: +233</t>
  </si>
  <si>
    <t>hoh_total_income</t>
  </si>
  <si>
    <t>total_income_confirm</t>
  </si>
  <si>
    <t>438. Total income: ${hoh_total_income}
 Does this seem right?</t>
  </si>
  <si>
    <t>438. Revenu total : ${hoh_total_income}
 Cela vous semble-t-il juste ?</t>
  </si>
  <si>
    <t>438. Jimillar kuɗin shiga: ${hoh_total_income}
 ko kuna ganin hakan yayi daidai?</t>
  </si>
  <si>
    <t>${hoh_nationality} = 0</t>
  </si>
  <si>
    <t>Guinea: +224</t>
  </si>
  <si>
    <t>filter != 0</t>
  </si>
  <si>
    <t>461. Total income: ${hoh_total_income}
 Does this seem right?</t>
  </si>
  <si>
    <t>461. Revenu total : ${hoh_total_income}
 Cela vous semble-t-il juste ?</t>
  </si>
  <si>
    <t>461. Jimillar kuɗin shiga: ${hoh_total_income}
 ko kuna ganin hakan yayi daidai?</t>
  </si>
  <si>
    <t>livestock_act_note</t>
  </si>
  <si>
    <t>439. Now we'll ask about income generating activity from animal husbandry in the past six months</t>
  </si>
  <si>
    <t>462. Now we'll ask about income generating activity from animal husbandry in the past six months</t>
  </si>
  <si>
    <t xml:space="preserve">462. </t>
  </si>
  <si>
    <t>speedcheck_hoh_livestockact_start</t>
  </si>
  <si>
    <t>Guinea-Bissau: +245</t>
  </si>
  <si>
    <t>${hoh_nationality_country} = -777</t>
  </si>
  <si>
    <t>hoh_livestock_activity</t>
  </si>
  <si>
    <t>Livestock Activity</t>
  </si>
  <si>
    <t>Activité d'élevage</t>
  </si>
  <si>
    <t>Ayyukan kiwo</t>
  </si>
  <si>
    <t>Liberia: +231</t>
  </si>
  <si>
    <t>526. Borrow money?</t>
  </si>
  <si>
    <t>526. Emprunter de l'argent</t>
  </si>
  <si>
    <t>526. Bashin kuɗi</t>
  </si>
  <si>
    <t>hoh_livestock_act_name</t>
  </si>
  <si>
    <t>not(empty(${hoh_roster_name_cases}))</t>
  </si>
  <si>
    <t>hoh_livestock_bought</t>
  </si>
  <si>
    <t>440. How many ${hoh_livestock_act_name} did you buy?</t>
  </si>
  <si>
    <t>Mali: +223</t>
  </si>
  <si>
    <t>440. Au cours des trois derniers mois, combien de ${hoh_livestock_act_name} avez-vous acheté ?</t>
  </si>
  <si>
    <t>440. ${hoh_livestock_act_name} Nawa kuka saye?</t>
  </si>
  <si>
    <t>463. How many ${hoh_livestock_act_name} did you buy?</t>
  </si>
  <si>
    <t>463. Au cours des trois derniers mois, combien de ${hoh_livestock_act_name} avez-vous acheté ?</t>
  </si>
  <si>
    <t>463. ${hoh_livestock_act_name} Nawa kuka saye?</t>
  </si>
  <si>
    <t>hoh_livestock_bought_val</t>
  </si>
  <si>
    <t>441. How much did you buy ${hoh_livestock_act_name} for in CFA?</t>
  </si>
  <si>
    <t>570. Pour combien avez-vous acheté ${hoh_livestock_act_name} en CFA ?</t>
  </si>
  <si>
    <t>570. A nawa kuka sayi ${hoh_livestock_act_name} a kuɗin CFA?</t>
  </si>
  <si>
    <t xml:space="preserve">${hoh_roster_in} = 0 </t>
  </si>
  <si>
    <t>464. How much did you buy ${hoh_livestock_act_name} for in CFA?</t>
  </si>
  <si>
    <t>464. Pour combien avez-vous acheté ${hoh_livestock_act_name} en CFA ?</t>
  </si>
  <si>
    <t>464. A nawa kuka sayi ${hoh_livestock_act_name} a kuɗin CFA?</t>
  </si>
  <si>
    <t>hoh_livestock_sold</t>
  </si>
  <si>
    <t>442. How many ${hoh_livestock_act_name} did you sell?</t>
  </si>
  <si>
    <t>442. Au cours des trois derniers mois, combien de ${hoh_livestock_act_name} avez-vous vendu ?</t>
  </si>
  <si>
    <t>442. ${hoh_livestock_act_name} nawa kuka saida?</t>
  </si>
  <si>
    <t>Niger: +227</t>
  </si>
  <si>
    <t>465. How many ${hoh_livestock_act_name} did you sell?</t>
  </si>
  <si>
    <t>465. Au cours des trois derniers mois, combien de ${hoh_livestock_act_name} avez-vous vendu ?</t>
  </si>
  <si>
    <t>465. ${hoh_livestock_act_name} nawa kuka saida?</t>
  </si>
  <si>
    <t>hoh_livestock_sold_val</t>
  </si>
  <si>
    <t>443. How much did you sell ${hoh_livestock_act_name} for in CFA?</t>
  </si>
  <si>
    <t>572. Pour combien avez-vous vendu ${hoh_livestock_act_name} en CFA ?</t>
  </si>
  <si>
    <t>572. Nawa kuka sayar da ${hoh_livestock_act_name} a kuɗin CFA?</t>
  </si>
  <si>
    <t>466. How much did you sell ${hoh_livestock_act_name} for in CFA?</t>
  </si>
  <si>
    <t>466. Pour combien avez-vous vendu ${hoh_livestock_act_name} en CFA ?</t>
  </si>
  <si>
    <t>Nigeria: +234</t>
  </si>
  <si>
    <t>selected(${hoh_roster_notin_why}, '-777')</t>
  </si>
  <si>
    <t>466. Nawa kuka sayar da ${hoh_livestock_act_name} a kuɗin CFA?</t>
  </si>
  <si>
    <t>hoh_livestock_consumed</t>
  </si>
  <si>
    <t>444. How many ${hoh_livestock_act_name} did you consume?</t>
  </si>
  <si>
    <t>444. Au cours des trois derniers mois, combien de ${hoh_livestock_act_name} avez-vous consommé ?</t>
  </si>
  <si>
    <t>444. ${hoh_livestock_act_name} Nawa kuka cinye ?</t>
  </si>
  <si>
    <t>467. How many ${hoh_livestock_act_name} did you consume?</t>
  </si>
  <si>
    <t>467. Au cours des trois derniers mois, combien de ${hoh_livestock_act_name} avez-vous consommé ?</t>
  </si>
  <si>
    <t>467. ${hoh_livestock_act_name} Nawa kuka cinye ?</t>
  </si>
  <si>
    <t>hoh_livestock_consumed_val</t>
  </si>
  <si>
    <t>445.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</si>
  <si>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</si>
  <si>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</si>
  <si>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468. If you were to sell the ${hoh_livestock_act_name} you consumed, how much would you sell them for in CFA?</t>
  </si>
  <si>
    <t>468. Si vous devriez vendre les ${hoh_livestock_act_name} que vous avez consommés, à combien les vendriez-vous en CFA ?</t>
  </si>
  <si>
    <t>468. Idan za ku sayar da ${hoh_livestock_act_name} da kuka cinye, nawa za ku sayar da su a CFA?</t>
  </si>
  <si>
    <t>Senegal: +221</t>
  </si>
  <si>
    <t>selected(${hoh_roster_notin_why}, '4')</t>
  </si>
  <si>
    <t>Sierra Leone: +232</t>
  </si>
  <si>
    <t>553. Clothing</t>
  </si>
  <si>
    <t>553. Vêtements</t>
  </si>
  <si>
    <t>553. Tufafi</t>
  </si>
  <si>
    <t>554. Sheep</t>
  </si>
  <si>
    <t>554. Mouton</t>
  </si>
  <si>
    <t>554. Rago</t>
  </si>
  <si>
    <t>hoh_livestock_expend</t>
  </si>
  <si>
    <t>446. In the past six months, how much did you spend on food and health expense for all of your animals (in CFA)?</t>
  </si>
  <si>
    <t>Au cours des six derniers mois, combien avez-vous dépensé en nourriture et en soins pour tous vos animaux (en CFA) ?</t>
  </si>
  <si>
    <t>A cikin watanni shida da suka gabata, nawa kuka kashe akan abinci da kuɗin kiwon lafiya ga dukan dabbobinku (a cikin CFA)?</t>
  </si>
  <si>
    <t>Togo: +228</t>
  </si>
  <si>
    <t>469. In the past six months, how much did you spend on food and health expense for all of your animals (in CFA)?</t>
  </si>
  <si>
    <t>469. Au cours des six derniers mois, combien avez-vous dépensé en nourriture et en soins pour tous vos animaux (en CFA) ?</t>
  </si>
  <si>
    <t>469. A cikin watanni shida da suka gabata, nawa kuka kashe akan abinci da kuɗin kiwon lafiya ga dukan dabbobinku (a cikin CFA)?</t>
  </si>
  <si>
    <t>hoh_typical_week_note</t>
  </si>
  <si>
    <t>447. When thinking about the past six months, I would like to ask you about how many days a typical week people in your household worked. We know people may work more during some weeks rather than others, please think about what happens during most weeks.</t>
  </si>
  <si>
    <t>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</si>
  <si>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</si>
  <si>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470. When thinking about the past six months, I would like to ask you about how many days a typical week people in your household worked. We know people may work more during some weeks rather than others, please think about what happens during most weeks.</t>
  </si>
  <si>
    <t>470. 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</si>
  <si>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470. 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</si>
  <si>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Cameroon: +237</t>
  </si>
  <si>
    <t>hoh_livestock_days_member</t>
  </si>
  <si>
    <t>448. How many days did people in your household work to care for your animals in a typical week in the past six months?</t>
  </si>
  <si>
    <t>Au cours des six derniers mois, combien de jours de travail les membres de votre menage ont-ils consacrés à vos animaux par semaine ?</t>
  </si>
  <si>
    <t>A cikin watanni shida da suka gabata, kwana nawa mutanen gidanku suka yi aiki don kula da dabbobinku a cikin mako guda ?</t>
  </si>
  <si>
    <t>${hoh_roster_in} = 1</t>
  </si>
  <si>
    <t>471. How many days did people in your household work to care for your animals in a typical week in the past six months?</t>
  </si>
  <si>
    <t>471. Au cours des six derniers mois, combien de jours de travail les membres de votre menage ont-ils consacrés à vos animaux par semaine ?</t>
  </si>
  <si>
    <t>471. A cikin watanni shida da suka gabata, kwana nawa mutanen gidanku suka yi aiki don kula da dabbobinku a cikin mako guda ?</t>
  </si>
  <si>
    <t>hoh_hire_livestock</t>
  </si>
  <si>
    <t>449. In the past six months, did you hire anyone outside your household to care for your animals?</t>
  </si>
  <si>
    <t>Au cours des six derniers mois, avez-vous embauché une personne extérieure à votre foyer pour s'occuper de vos animaux ?</t>
  </si>
  <si>
    <t>A cikin wata shida da suka gabata, ko kun dauki hayar wani wanda ba ɗan gidanku ba don kula da dabbobinku?</t>
  </si>
  <si>
    <t>472. In the past six months, did you hire anyone outside your household to care for your animals?</t>
  </si>
  <si>
    <t>472. Au cours des six derniers mois, avez-vous embauché une personne extérieure à votre foyer pour s'occuper de vos animaux ?</t>
  </si>
  <si>
    <t>472. A cikin wata shida da suka gabata, ko kun dauki hayar wani wanda ba ɗan gidanku ba don kula da dabbobinku?</t>
  </si>
  <si>
    <t>hoh_hire_livestock_days</t>
  </si>
  <si>
    <t>450. In the last six months, for how many weeks did you hire people to care for your livestock?</t>
  </si>
  <si>
    <t>Gabon: +241</t>
  </si>
  <si>
    <t>Au cours des six derniers mois, pendant combien de semaines avez-vous embauché des personnes pour s'occuper de votre bétail ?</t>
  </si>
  <si>
    <t>A cikin watanni shida da suka gabata, tsawon makonni nawa kuka dauki hayar mutane don kula da dabbobinku?</t>
  </si>
  <si>
    <t>473. In the last six months, for how many weeks did you hire people to care for your livestock?</t>
  </si>
  <si>
    <t>473. Au cours des six derniers mois, pendant combien de semaines avez-vous embauché des personnes pour s'occuper de votre bétail ?</t>
  </si>
  <si>
    <t>${hoh_living_in_hh} = 0</t>
  </si>
  <si>
    <t>473. A cikin watanni shida da suka gabata, tsawon makonni nawa kuka dauki hayar mutane don kula da dabbobinku?</t>
  </si>
  <si>
    <t>hoh_hire_livestock_wage</t>
  </si>
  <si>
    <t>451. What was the weekly wage paid to people who care for your animals, or how much would you pay in CFA?</t>
  </si>
  <si>
    <t>451. Quel était les frais hebdomadaire payés aux personnes qui s'occupent de vos animaux, ou combien paieriez-vous en CFA ?</t>
  </si>
  <si>
    <t>451. 105 a. Nawa albashin mako-mako na wannan mutanen da ke kula da dabbobinku a CFA?</t>
  </si>
  <si>
    <t>474. What was the weekly wage paid to people who care for your animals, or how much would you pay in CFA?</t>
  </si>
  <si>
    <t>474. Quel était les frais hebdomadaire payés aux personnes qui s'occupent de vos animaux, ou combien paieriez-vous en CFA ?</t>
  </si>
  <si>
    <t>474. 105 a. Nawa albashin mako-mako na wannan mutanen da ke kula da dabbobinku a CFA?</t>
  </si>
  <si>
    <t>hoh_hire_livestock_total</t>
  </si>
  <si>
    <t>Algeria: +213</t>
  </si>
  <si>
    <t>hoh_livestock_total_confirm</t>
  </si>
  <si>
    <t>452. You paid ${hoh_hire_livestock_total} in CFA for people to care for your animals, is this correct?</t>
  </si>
  <si>
    <t>452. Vous avez payé ${hoh_hire_livestock_total} (en CFA) aux personnes qui s'occupent de vos animaux, est-ce exact ?</t>
  </si>
  <si>
    <t>452. ${hoh_hire_livestock_total} (a sefa) kuka biya, ko daidai ne?</t>
  </si>
  <si>
    <t>475. You paid ${hoh_hire_livestock_total} in CFA for people to care for your animals, is this correct?</t>
  </si>
  <si>
    <t>475. Vous avez payé ${hoh_hire_livestock_total} (en CFA) aux personnes qui s'occupent de vos animaux, est-ce exact ?</t>
  </si>
  <si>
    <t>475. ${hoh_hire_livestock_total} (a sefa) kuka biya, ko daidai ne?</t>
  </si>
  <si>
    <t>hoh_paid_livestock</t>
  </si>
  <si>
    <t>453. In the past six months, did any member of your household care for livestock owned by other people?</t>
  </si>
  <si>
    <t>453. Au cours des six derniers mois, un membre de votre menage a-t-il pris soin du bétail appartenant à d'autres personnes ?</t>
  </si>
  <si>
    <t>453. A cikin wata shida da suka wuce, akwai wani daga cikin ƴan gidan ku da ya kula da dabbobin wasu mutane?</t>
  </si>
  <si>
    <t>Libya: +218</t>
  </si>
  <si>
    <t>${hoh_in_niger} = 1</t>
  </si>
  <si>
    <t>476. In the past six months, did any member of your household care for livestock owned by other people?</t>
  </si>
  <si>
    <t>476. Au cours des six derniers mois, un membre de votre menage a-t-il pris soin du bétail appartenant à d'autres personnes ?</t>
  </si>
  <si>
    <t>476. A cikin wata shida da suka wuce, akwai wani daga cikin ƴan gidan ku da ya kula da dabbobin wasu mutane?</t>
  </si>
  <si>
    <t>hoh_paid_livestock_days</t>
  </si>
  <si>
    <t>454. In a typical week, how many days did they do this job?</t>
  </si>
  <si>
    <t>454. Au cours d'une semaine normale, combien de jours ont-ils fait ce travail ?</t>
  </si>
  <si>
    <t>454. A cikin mako, kwana nawa suka yi wannan aikin?</t>
  </si>
  <si>
    <t>477. In a typical week, how many days did they do this job?</t>
  </si>
  <si>
    <t>477. Au cours d'une semaine normale, combien de jours ont-ils fait ce travail ?</t>
  </si>
  <si>
    <t>477. A cikin mako, kwana nawa suka yi wannan aikin?</t>
  </si>
  <si>
    <t>hoh_paid_livestock_wage</t>
  </si>
  <si>
    <t>455. What was the daily wage paid to household members who cared for livestock owned by other people?</t>
  </si>
  <si>
    <t>455. Quel étaient les frais journaliers payés aux membres de votre ménage qui s'occupent des animaux du bétail appartenant à d'autres personnes en CFA ?</t>
  </si>
  <si>
    <t>455. Nawa ne biyan wuni na ƴan gida masu kula da dabbobin wasu mutane (a kuɗin CFA)?</t>
  </si>
  <si>
    <t>Mauritania: +222</t>
  </si>
  <si>
    <t>478. What was the daily wage paid to household members who cared for livestock owned by other people?</t>
  </si>
  <si>
    <t>478. Quel étaient les frais journaliers payés aux membres de votre ménage qui s'occupent des animaux du bétail appartenant à d'autres personnes en CFA ?</t>
  </si>
  <si>
    <t>478. Nawa ne biyan wuni na ƴan gida masu kula da dabbobin wasu mutane (a kuɗin CFA)?</t>
  </si>
  <si>
    <t>hoh_other_income_note</t>
  </si>
  <si>
    <t>456. Now we will ask about other forms of income people in your household may have earned in the past six months.</t>
  </si>
  <si>
    <t>${hoh_in_niger} = 0</t>
  </si>
  <si>
    <t>479. Now we will ask about other forms of income people in your household may have earned in the past six months.</t>
  </si>
  <si>
    <t xml:space="preserve">479. </t>
  </si>
  <si>
    <t>filter != 1 and filter != 2</t>
  </si>
  <si>
    <t>-777</t>
  </si>
  <si>
    <t>hoh_own_other</t>
  </si>
  <si>
    <t>457. Do you or another member of your household own land that is currently not used for agriculture, outside of your current home?</t>
  </si>
  <si>
    <t>457. Est-ce que vous ou un autre membre de votre ménage possédez des terres qui ne sont actuellement pas utilisées pour l'agriculture, en dehors de votre domicile actuel ?</t>
  </si>
  <si>
    <t>457. Shin kai ko wani na gidanku kuna da wasu hilaye wanda ba na noma ba bancin gidanku da kuke ciki a halin yanzu?</t>
  </si>
  <si>
    <t>${hoh_out_niger} = -777</t>
  </si>
  <si>
    <t>search('towns', 'matches', 'country_id', ${hoh_out_niger})</t>
  </si>
  <si>
    <t>480. Do you or another member of your household own land that is currently not used for agriculture, outside of your current home?</t>
  </si>
  <si>
    <t>480. Est-ce que vous ou un autre membre de votre ménage possédez des terres qui ne sont actuellement pas utilisées pour l'agriculture, en dehors de votre domicile actuel ?</t>
  </si>
  <si>
    <t>${hoh_in_niger} = 0 and ${hoh_out_niger} != -999</t>
  </si>
  <si>
    <t>480. Shin kai ko wani na gidanku kuna da wasu hilaye wanda ba na noma ba bancin gidanku da kuke ciki a halin yanzu?</t>
  </si>
  <si>
    <t>hoh_earn_rent</t>
  </si>
  <si>
    <t>458. In the past six months, what is the total revenue from rent of land or other property in CFA?</t>
  </si>
  <si>
    <t>Au cours des six derniers mois, quel a été le montant total des revenus locatifs de terres ou d'autres biens en CFA ?</t>
  </si>
  <si>
    <t>A cikin watanni shida da suka gabata, nawa ne jimillar kuɗaɗen da kuka samu daga hayar filaye ko wasu kadarori a CFA?</t>
  </si>
  <si>
    <t>481. In the past six months, what is the total revenue from rent of land or other property in CFA?</t>
  </si>
  <si>
    <t>481. Au cours des six derniers mois, quel a été le montant total des revenus locatifs de terres ou d'autres biens en CFA ?</t>
  </si>
  <si>
    <t>481. A cikin watanni shida da suka gabata, nawa ne jimillar kuɗaɗen da kuka samu daga hayar filaye ko wasu kadarori a CFA?</t>
  </si>
  <si>
    <t>hoh_earn_interest</t>
  </si>
  <si>
    <t>${hoh_out_town} = -777</t>
  </si>
  <si>
    <t>459. In the past six months, what is the total value of interest from loans you have given to others in CFA?</t>
  </si>
  <si>
    <t>Au cours des six derniers mois, quel a été le montant total des intérêts des prêts que vous avez accordés à d'autres en CFA ?</t>
  </si>
  <si>
    <t>A cikin watanni shida da suka gabata, nawa ne jimillar ribar da kuka samu daga rancen da kuka bai wa wasu a CFA?</t>
  </si>
  <si>
    <t>482. In the past six months, what is the total value of interest from loans you have given to others in CFA?</t>
  </si>
  <si>
    <t>482. Au cours des six derniers mois, quel a été le montant total des intérêts des prêts que vous avez accordés à d'autres en CFA ?</t>
  </si>
  <si>
    <t>482. A cikin watanni shida da suka gabata, nawa ne jimillar ribar da kuka samu daga rancen da kuka bai wa wasu a CFA?</t>
  </si>
  <si>
    <t>speedcheck_hoh_livestockact_end</t>
  </si>
  <si>
    <t>reschedule</t>
  </si>
  <si>
    <t>Choose a date and time</t>
  </si>
  <si>
    <t>Choisissez une date et une heure</t>
  </si>
  <si>
    <t>${hoh_living_in_hh} = 1 or empty(${hoh_roster_name_cases})</t>
  </si>
  <si>
    <t>dur_hoh_livestockact</t>
  </si>
  <si>
    <t>Zaɓi kwanan wata da lokaci</t>
  </si>
  <si>
    <t>${hoh_roster_age} &gt; 7</t>
  </si>
  <si>
    <t>Reschedule for X hours from now</t>
  </si>
  <si>
    <t>speedcheck_hoh_biz_start</t>
  </si>
  <si>
    <t>Reprogrammer dans X heures à partir de maintenant</t>
  </si>
  <si>
    <t>Sake tsarawa a cikin wasu awanni daga yanzu</t>
  </si>
  <si>
    <t>${hoh_illness_limit} = 1</t>
  </si>
  <si>
    <t>hoh_own_biz</t>
  </si>
  <si>
    <t>460. Does anyone in the household fully, or partly own and operate an income generating activity that is not farming or herding? (i.e. a shop where you sell goods, restaurant, butcher shop)?</t>
  </si>
  <si>
    <t>460. Quelqu'un dans le ménage possède-t-il entièrement ou partiellement une activité génératrice de revenus autre que l'agriculture ou l'élevage ? (C'est-à-dire un magasin où vous vendez des marchandises, un restaurant, une boucherie) ?</t>
  </si>
  <si>
    <t>460. Ko akwai wani ɗan gidanku mai sana'a wanda jarin gaba daya nashi ko na hadin gwiwa ne banda noma da kiyo? ( kantin saida kaya, gidan abinci, fawa)?</t>
  </si>
  <si>
    <t>483. Does anyone in the household fully, or partly own and operate an income generating activity that is not farming or herding? (i.e. a shop where you sell goods, restaurant, butcher shop)?</t>
  </si>
  <si>
    <t>483. Quelqu'un dans le ménage possède-t-il entièrement ou partiellement une activité génératrice de revenus autre que l'agriculture ou l'élevage ? (C'est-à-dire un magasin où vous vendez des marchandises, un restaurant, une boucherie) ?</t>
  </si>
  <si>
    <t>483. Ko akwai wani ɗan gidanku mai sana'a wanda jarin gaba daya nashi ko na hadin gwiwa ne banda noma da kiyo? ( kantin saida kaya, gidan abinci, fawa)?</t>
  </si>
  <si>
    <t>select_one activities</t>
  </si>
  <si>
    <t>selected(${hoh_illness_limit_type}, '-777')</t>
  </si>
  <si>
    <t>hoh_biz_type</t>
  </si>
  <si>
    <t>461. What type of business is this?</t>
  </si>
  <si>
    <t>461. Quel type d'entreprise est-ce?</t>
  </si>
  <si>
    <t>461. Wane irin kasuwanci ne?</t>
  </si>
  <si>
    <t>484. What type of business is this?</t>
  </si>
  <si>
    <t>484. Quel type d'entreprise est-ce?</t>
  </si>
  <si>
    <t>484. Wane irin kasuwanci ne?</t>
  </si>
  <si>
    <t>hoh_biz_type_o</t>
  </si>
  <si>
    <t>462. Specify other</t>
  </si>
  <si>
    <t>462. Autre à préciser :</t>
  </si>
  <si>
    <t>462. Baiyana wani abu daban:</t>
  </si>
  <si>
    <t>(${hoh_roster_sex} = 1 and ${hoh_roster_age} &gt; 18) or (${hoh_roster_sex} = 0 and ${hoh_roster_age} &gt; 15)</t>
  </si>
  <si>
    <t>485. Specify other</t>
  </si>
  <si>
    <t>485. Autre à préciser :</t>
  </si>
  <si>
    <t>485. Baiyana wani abu daban:</t>
  </si>
  <si>
    <t>hoh_biz_type_name</t>
  </si>
  <si>
    <t>${hoh_any_children}=1</t>
  </si>
  <si>
    <t>hoh_biz_loc</t>
  </si>
  <si>
    <t>463. Do you have a permanent location (i.e. building)?</t>
  </si>
  <si>
    <t>463. Avez-vous un emplacement permanent (c'est-à-dire un bâtiment) ?</t>
  </si>
  <si>
    <t>463. Kuna da wurin dindindin (kamar gini)?</t>
  </si>
  <si>
    <t>486. Do you have a permanent location (i.e. building)?</t>
  </si>
  <si>
    <t>486. Avez-vous un emplacement permanent (c'est-à-dire un bâtiment) ?</t>
  </si>
  <si>
    <t>486. Kuna da wurin dindindin (kamar gini)?</t>
  </si>
  <si>
    <t>hoh_biz_employ</t>
  </si>
  <si>
    <t>464. How many people outside of your household do you employ in this business?</t>
  </si>
  <si>
    <t>464. Combien de personnes en dehors de votre ménage employez-vous dans cette entreprise ?</t>
  </si>
  <si>
    <t>464. Mutane nawa ne kuka dauka aiki banda ƴan gidan a wannan kasuwancin?</t>
  </si>
  <si>
    <t>${hoh_roster_age} &gt;= 14</t>
  </si>
  <si>
    <t>487. How many people outside of your household do you employ in this business?</t>
  </si>
  <si>
    <t>487. Combien de personnes en dehors de votre ménage employez-vous dans cette entreprise ?</t>
  </si>
  <si>
    <t>487. Mutane nawa ne kuka dauka aiki banda ƴan gidan a wannan kasuwancin?</t>
  </si>
  <si>
    <t>hoh_biz_wage</t>
  </si>
  <si>
    <t>465. How much do you pay per day for people to work in this business in CFA?</t>
  </si>
  <si>
    <t>465. Combien payez-vous par jour pour que les gens travaillent dans cette entreprise (en CFA) ?</t>
  </si>
  <si>
    <t>465. Nawa kuke biyan su a wuni (a sefa) ?</t>
  </si>
  <si>
    <t>488. How much do you pay per day for people to work in this business in CFA?</t>
  </si>
  <si>
    <t>488. Combien payez-vous par jour pour que les gens travaillent dans cette entreprise (en CFA) ?</t>
  </si>
  <si>
    <t xml:space="preserve">(${hoh_roster_age} &gt; 4 and ${hoh_roster_age} &lt; 27) </t>
  </si>
  <si>
    <t>488. Nawa kuke biyan su a wuni (a sefa) ?</t>
  </si>
  <si>
    <t>hoh_biz_days_total</t>
  </si>
  <si>
    <t>Members in Business</t>
  </si>
  <si>
    <t>570. What are these additional phone numbers?</t>
  </si>
  <si>
    <t>570. Quels sont les numéros de téléphone supplémentaires ?</t>
  </si>
  <si>
    <t>${hoh_attending_school} = 1</t>
  </si>
  <si>
    <t>570. Waɗannene ƙarin lambobin wayan?</t>
  </si>
  <si>
    <t>hoh_biz_index</t>
  </si>
  <si>
    <t>hoh_biz_name</t>
  </si>
  <si>
    <t xml:space="preserve">. &gt;= 0 </t>
  </si>
  <si>
    <t>${hoh_attending_school}=1</t>
  </si>
  <si>
    <t>hoh_biz_age</t>
  </si>
  <si>
    <t>. &gt;= 0 and . &lt;= 28</t>
  </si>
  <si>
    <t>Please enter an integer between 0 and 28 days</t>
  </si>
  <si>
    <t>hoh_biz_days</t>
  </si>
  <si>
    <t>466. In a typical week during the past six months, how many days did ${hoh_biz_name} work in the household business?</t>
  </si>
  <si>
    <t>Au cours d'une semaine normale dans les six derniers mois, combien de jours ${hoh_biz_name} a-t-il travaillé dans l'entreprise familiale ?</t>
  </si>
  <si>
    <t>A cikin mako guda a cikin watanni shida da suka gabata, kwanaki nawa ${hoh_biz_name} yayi aiki a cikin kasuwancin gida?</t>
  </si>
  <si>
    <t>489. In a typical week during the past six months, how many days did ${hoh_biz_name} work in the household business?</t>
  </si>
  <si>
    <t>489. Au cours d'une semaine normale dans les six derniers mois, combien de jours ${hoh_biz_name} a-t-il travaillé dans l'entreprise familiale ?</t>
  </si>
  <si>
    <t>489. A cikin mako guda a cikin watanni shida da suka gabata, kwanaki nawa ${hoh_biz_name} yayi aiki a cikin kasuwancin gida?</t>
  </si>
  <si>
    <t>speedcheck_hoh_biz_end</t>
  </si>
  <si>
    <t>dur_hoh_biz</t>
  </si>
  <si>
    <t>hoh_biz_revenue</t>
  </si>
  <si>
    <t>467. Thinking about all of the revenues from this business in the past six months, what was the total amount of money coming in from this business in the last six months?</t>
  </si>
  <si>
    <t>En considérant tous les revenus de cette entreprise au cours des six derniers mois, quel a été le montant total des rentrées d'argent provenant de cette entreprise au cours des six derniers mois ?</t>
  </si>
  <si>
    <t>Idan aka yi la’akari da dukkan kuɗaɗen shiga da aka samu daga wannan sana’ar a cikin watanni shida da suka gabata, nawa ne yawan kuɗaɗen da aka samu daga wannan sana’ar a cikin watanni shida da suka gabata?</t>
  </si>
  <si>
    <t>if(${hoh_roster_sex} = 1, ${hoh_roster_age} &gt;= 17, ${hoh_roster_age} &gt;= 14)</t>
  </si>
  <si>
    <t>490. Thinking about all of the revenues from this business in the past six months, what was the total amount of money coming in from this business in the last six months?</t>
  </si>
  <si>
    <t>490. En considérant tous les revenus de cette entreprise au cours des six derniers mois, quel a été le montant total des rentrées d'argent provenant de cette entreprise au cours des six derniers mois ?</t>
  </si>
  <si>
    <t>490. Idan aka yi la’akari da dukkan kuɗaɗen shiga da aka samu daga wannan sana’ar a cikin watanni shida da suka gabata, nawa ne yawan kuɗaɗen da aka samu daga wannan sana’ar a cikin watanni shida da suka gabata?</t>
  </si>
  <si>
    <t>hoh_biz_expense</t>
  </si>
  <si>
    <t>468. Thinking about all of the the expenses from this business, what was the total amount of money you spent on costs related to this business in the last six months?</t>
  </si>
  <si>
    <t>En considérant toutes les dépenses de cette entreprise, quel a été le montant total des dépenses liées à cette entreprise au cours des six derniers mois ?</t>
  </si>
  <si>
    <t>Idan aka yi la’akari da duk abin da aka kashe daga wannan kasuwancin, nawa ne jimlar kuɗin da kuka kashe akan farashi mai alaƙa da wannan kasuwancin a cikin watanni shida da suka gabata?</t>
  </si>
  <si>
    <t>491. Thinking about all of the the expenses from this business, what was the total amount of money you spent on costs related to this business in the last six months?</t>
  </si>
  <si>
    <t>491. En considérant toutes les dépenses de cette entreprise, quel a été le montant total des dépenses liées à cette entreprise au cours des six derniers mois ?</t>
  </si>
  <si>
    <t>491. Idan aka yi la’akari da duk abin da aka kashe daga wannan kasuwancin, nawa ne jimlar kuɗin da kuka kashe akan farashi mai alaƙa da wannan kasuwancin a cikin watanni shida da suka gabata?</t>
  </si>
  <si>
    <t>hoh_biz_income</t>
  </si>
  <si>
    <t>. &gt; 0 and . &lt; 10</t>
  </si>
  <si>
    <t>${hoh_married} = 1 and ${hoh_roster_sex} = 1</t>
  </si>
  <si>
    <t>hoh_biz_income_confirm</t>
  </si>
  <si>
    <t>469. Thinking about all the revenue and expense related to this business during the past six months, you said that the net income from this business for your household is ${hoh_biz_income}. Is that correct?</t>
  </si>
  <si>
    <t>En considérant tous les revenus et dépenses liés à cette entreprise au cours des six derniers mois, vous avez indiqué que le revenu net de votre menage s'élevait à ${hoh_biz_income}. Est-ce exact ?</t>
  </si>
  <si>
    <t>Idan aka yi la'akari da duk kuɗaɗen shiga da kashewa da suka shafi wannan kasuwancin a cikin watanni shida da suka gabata, kun ce yawan kuɗin da aka samu daga wannan kasuwancin na gidan ku shine ${hoh_biz_income}. Shin hakan daidai ne?</t>
  </si>
  <si>
    <t>492. Thinking about all the revenue and expense related to this business during the past six months, you said that the net income from this business for your household is ${hoh_biz_income}. Is that correct?</t>
  </si>
  <si>
    <t>492. En considérant tous les revenus et dépenses liés à cette entreprise au cours des six derniers mois, vous avez indiqué que le revenu net de votre menage s'élevait à ${hoh_biz_income}. Est-ce exact ?</t>
  </si>
  <si>
    <t>492. Idan aka yi la'akari da duk kuɗaɗen shiga da kashewa da suka shafi wannan kasuwancin a cikin watanni shida da suka gabata, kun ce yawan kuɗin da aka samu daga wannan kasuwancin na gidan ku shine ${hoh_biz_income}. Shin hakan daidai ne?</t>
  </si>
  <si>
    <t>hoh_members_other_activity_note</t>
  </si>
  <si>
    <t>470. We have discussed work done by members of your household in husbandry, in a business owned by your family.</t>
  </si>
  <si>
    <t>470. Nous avons discuté du travail effectué par les membres de votre ménage dans l'élevage, dans une entreprise appartenant à votre famille.</t>
  </si>
  <si>
    <t>470. Mun tattauna bisa ayyukan da ƴan gidanku suka yi a harakar kiwo, kasuwancin da ƴan gidanku suka mallaka.</t>
  </si>
  <si>
    <t>493. We have discussed work done by members of your household in husbandry, in a business owned by your family.</t>
  </si>
  <si>
    <t>493. Nous avons discuté du travail effectué par les membres de votre ménage dans l'élevage, dans une entreprise appartenant à votre famille.</t>
  </si>
  <si>
    <t>493. Mun tattauna bisa ayyukan da ƴan gidanku suka yi a harakar kiwo, kasuwancin da ƴan gidanku suka mallaka.</t>
  </si>
  <si>
    <t>speedcheck_hoh_memact_start</t>
  </si>
  <si>
    <t>hoh_member_activity</t>
  </si>
  <si>
    <t>Outside Activities</t>
  </si>
  <si>
    <t>Activités extérieures</t>
  </si>
  <si>
    <t>Ayyukan da ba na gida ba</t>
  </si>
  <si>
    <t>hoh_member_act_index</t>
  </si>
  <si>
    <t>hoh_member_act_name</t>
  </si>
  <si>
    <t>hoh_member_other_activity</t>
  </si>
  <si>
    <t>471. In the past six months, did ${hoh_member_act_name} earn money from any other activity?</t>
  </si>
  <si>
    <t>Au cours des six derniers mois, ${hoh_member_act_name} a-t-il gagné de l'argent grâce à une autre activité ?</t>
  </si>
  <si>
    <t>A cikin watanni shida da suka gabata, ${hoh_member_act_name} ya sami kuɗi daga wani aiki daban ?</t>
  </si>
  <si>
    <t>494. In the past six months, did ${hoh_member_act_name} earn money from any other activity?</t>
  </si>
  <si>
    <t>494. Au cours des six derniers mois, ${hoh_member_act_name} a-t-il gagné de l'argent grâce à une autre activité ?</t>
  </si>
  <si>
    <t>494. A cikin watanni shida da suka gabata, ${hoh_member_act_name} ya sami kuɗi daga wani aiki daban ?</t>
  </si>
  <si>
    <t>hoh_member_other_act</t>
  </si>
  <si>
    <t>472. What was the activity?</t>
  </si>
  <si>
    <t>472. Quelle était l'activité ?</t>
  </si>
  <si>
    <t>472. Menene aikin?</t>
  </si>
  <si>
    <t>495. What was the activity?</t>
  </si>
  <si>
    <t>495. Quelle était l'activité ?</t>
  </si>
  <si>
    <t>495. Menene aikin?</t>
  </si>
  <si>
    <t>hoh_member_other_activity_o</t>
  </si>
  <si>
    <t>473. Specify the activity</t>
  </si>
  <si>
    <t>473. Précisez l'activité</t>
  </si>
  <si>
    <t>473. Baiyana aikin</t>
  </si>
  <si>
    <t>496. Specify the activity</t>
  </si>
  <si>
    <t>496. Précisez l'activité</t>
  </si>
  <si>
    <t>496. Baiyana aikin</t>
  </si>
  <si>
    <t>hoh_member_other_activity_name</t>
  </si>
  <si>
    <t>583. What is their phone number?</t>
  </si>
  <si>
    <t>583. Quel est leur numéro de téléphone?</t>
  </si>
  <si>
    <t>583. Menene lambar wayarsu?</t>
  </si>
  <si>
    <t>hoh_member_other_amt</t>
  </si>
  <si>
    <t>474. How much does ${hoh_member_act_name} earn from this activity during an average week (that they are engaged in ${hoh_member_other_activity_name})?</t>
  </si>
  <si>
    <t>474. Combien ${hoh_member_act_name} gagne-t-il grâce à cette activité au cours d'une semaine en moyenne (pendant laquelle il est engagé comme ${hoh_member_other_activity_name}) ?</t>
  </si>
  <si>
    <t>474. A takaice nawa ${hoh_member_act_name} yake samu daga wannan aiki a cikin sati (a lokacin da suke cikin aikin ${hoh_member_other_activity_name})?</t>
  </si>
  <si>
    <t>(${hoh_roster_in} = 1 or empty(${hoh_roster_name_cases})) and ${hoh_roster_age} &gt; 17</t>
  </si>
  <si>
    <t>497. How much does ${hoh_member_act_name} earn from this activity during an average week (that they are engaged in ${hoh_member_other_activity_name})?</t>
  </si>
  <si>
    <t>497. Combien ${hoh_member_act_name} gagne-t-il grâce à cette activité au cours d'une semaine en moyenne (pendant laquelle il est engagé comme ${hoh_member_other_activity_name}) ?</t>
  </si>
  <si>
    <t>497. A takaice nawa ${hoh_member_act_name} yake samu daga wannan aiki a cikin sati (a lokacin da suke cikin aikin ${hoh_member_other_activity_name})?</t>
  </si>
  <si>
    <t>hoh_member_other_weeks</t>
  </si>
  <si>
    <t>475. Think about the past six months how many weeks did they engage in ${hoh_member_other_activity_name}?</t>
  </si>
  <si>
    <t>Pensez aux six derniers mois, combien de semaines ont-ils consacrées à ${hoh_member_other_activity_name} ?</t>
  </si>
  <si>
    <t>Ku tuna da lokacin da ${hoh_member_other_activity_name} a watanni shida da suka gabata tsawon makonni nawa suka yi wannan aikin ?</t>
  </si>
  <si>
    <t>498. Think about the past six months how many weeks did they engage in ${hoh_member_other_activity_name}?</t>
  </si>
  <si>
    <t>498. Pensez aux six derniers mois, combien de semaines ont-ils consacrées à ${hoh_member_other_activity_name} ?</t>
  </si>
  <si>
    <t>498. Ku tuna da lokacin da ${hoh_member_other_activity_name} a watanni shida da suka gabata tsawon makonni nawa suka yi wannan aikin ?</t>
  </si>
  <si>
    <t>hoh_member_contribute</t>
  </si>
  <si>
    <t>476. Can you estimate how much ${hoh_member_act_name} contributes to the household common pot in a typical week (excluding labor) including both cash and in goods?</t>
  </si>
  <si>
    <t>476. Pouvez-vous estimer la contribution de ${hoh_member_act_name} au fond commun du ménage au cours d'une semaine normale (hors main-d'œuvre), y compris en espèces et en nature ?</t>
  </si>
  <si>
    <t>476. Ko za ku iya kimanta gudunmawar kuɗi da kaya da ${hoh_member_act_name} ya kawo gidan a cikin sati guda (banda aiki)?</t>
  </si>
  <si>
    <t>499. Can you estimate how much ${hoh_member_act_name} contributes to the household common pot in a typical week (excluding labor) including both cash and in goods?</t>
  </si>
  <si>
    <t>499. Pouvez-vous estimer la contribution de ${hoh_member_act_name} au fond commun du ménage au cours d'une semaine normale (hors main-d'œuvre), y compris en espèces et en nature ?</t>
  </si>
  <si>
    <t>499. Ko za ku iya kimanta gudunmawar kuɗi da kaya da ${hoh_member_act_name} ya kawo gidan a cikin sati guda (banda aiki)?</t>
  </si>
  <si>
    <t>587. I am going to call this phone number to confirm it is correct. [Enumerator: Did the phone ring?]</t>
  </si>
  <si>
    <t>587. Je vais appeler ce numéro de téléphone pour confirmer qu'il est correct. [Enquêteur : Le téléphone a-t-il sonné ?]</t>
  </si>
  <si>
    <t>587. Zan kirayi wannan lambar wayar don tabbatar da daidai ce. [Ɗan bincike: Wayar ta yi ƙara?]</t>
  </si>
  <si>
    <t>speedcheck_hoh_memact_end</t>
  </si>
  <si>
    <t>588. Please go back and enter a new phone number.</t>
  </si>
  <si>
    <t>588. Veuillez ressaisir le numéro</t>
  </si>
  <si>
    <t xml:space="preserve">588. </t>
  </si>
  <si>
    <t>dur_hoh_memact</t>
  </si>
  <si>
    <t>hoh_remittance_qs</t>
  </si>
  <si>
    <t>Questions about remittances</t>
  </si>
  <si>
    <t>speedcheck_hoh_remit_start</t>
  </si>
  <si>
    <t>589. How interested was the resppondent</t>
  </si>
  <si>
    <t>589. Dans quelle mesure le répondant était-il intéressé</t>
  </si>
  <si>
    <t>589. Yaya kake ganin maida hankalin mai bada amsa yake</t>
  </si>
  <si>
    <t>select_multiple money_transfer</t>
  </si>
  <si>
    <t>hoh_remit_pm_method</t>
  </si>
  <si>
    <t>Since Tabaski of last year (2024), has your household received money from ${pm_name} from locations outside your village through the following methods?</t>
  </si>
  <si>
    <t>Depuis la Tabaski de l'année dernière (2024), votre menage a-t-il reçu de l'argent de ${pm_name} en dehors de votre village par les moyens suivants ?</t>
  </si>
  <si>
    <t>If don't know, enter -999</t>
  </si>
  <si>
    <t>Tun layya ta bara (2024), ko ƴan gidanku sun karɓi kuɗi daga ${pm_name} daga wajen ƙauyenku ta hanyoyi masu zuwa?</t>
  </si>
  <si>
    <t>Si la réponse est "Ne sait pas", saisissez -999</t>
  </si>
  <si>
    <t>500. Since Tabaski of last year (2024), has your household received money from ${pm_name} from locations outside your village through the following methods?</t>
  </si>
  <si>
    <t>500. Depuis la Tabaski de l'année dernière (2024), votre menage a-t-il reçu de l'argent de ${pm_name} en dehors de votre village par les moyens suivants ?</t>
  </si>
  <si>
    <t>500. Tun layya ta bara (2024), ko ƴan gidanku sun karɓi kuɗi daga ${pm_name} daga wajen ƙauyenku ta hanyoyi masu zuwa?</t>
  </si>
  <si>
    <t>hoh_remit_pm_amt</t>
  </si>
  <si>
    <t>How much have you received from ${pm_name} (in CFA) since tabaski last year?</t>
  </si>
  <si>
    <t>Combien avez-vous reçu de ${pm_name} (en francs CFA) depuis la Tabaski de l'année dernière?</t>
  </si>
  <si>
    <t>Nawa kuka karɓa daga ${pm_name} (a ​​kuɗin CFA) tun tabaski bara?</t>
  </si>
  <si>
    <t>501. How much have you received from ${pm_name} (in CFA) since tabaski last year?</t>
  </si>
  <si>
    <t>501. Combien avez-vous reçu de ${pm_name} (en francs CFA) depuis la Tabaski de l'année dernière?</t>
  </si>
  <si>
    <t>501. Nawa kuka karɓa daga ${pm_name} (a ​​kuɗin CFA) tun tabaski bara?</t>
  </si>
  <si>
    <t>hoh_remit_hh_method</t>
  </si>
  <si>
    <t>Since Tabaski of last year (2024), has your household received money from other members (not including ${pm_name}) from locations outside your village through the following methods?</t>
  </si>
  <si>
    <t>Depuis la Tabaski de l'année dernière (2024), votre menage a-t-il reçu de l'argent d'autres personnes (hors ${pm_name}) provenant de lieux extérieurs à votre village par les moyens suivants ?</t>
  </si>
  <si>
    <t>Tun daga laiya na shekarar bara (2024), ƴan gidan ku sun karɓi kuɗi daga wasu mutanin (ba tare da ${pm_name} ba) daga wajen ƙauyenku ta hanyoyi masu zuwa?</t>
  </si>
  <si>
    <t>not(count-selected(.) &gt; 1 and selected(., '-999'))</t>
  </si>
  <si>
    <t>${hoh_mem_migrate} = 1</t>
  </si>
  <si>
    <t>502. Since Tabaski of last year (2024), has your household received money from other members (not including ${pm_name}) from locations outside your village through the following methods?</t>
  </si>
  <si>
    <t>502. Depuis la Tabaski de l'année dernière (2024), votre menage a-t-il reçu de l'argent d'autres personnes (hors ${pm_name}) provenant de lieux extérieurs à votre village par les moyens suivants ?</t>
  </si>
  <si>
    <t>502. Tun daga laiya na shekarar bara (2024), ƴan gidan ku sun karɓi kuɗi daga wasu mutanin (ba tare da ${pm_name} ba) daga wajen ƙauyenku ta hanyoyi masu zuwa?</t>
  </si>
  <si>
    <t>filter != 1</t>
  </si>
  <si>
    <t>hoh_remit_hh_amt</t>
  </si>
  <si>
    <t>How much have you received from other members of the household (in CFA)?</t>
  </si>
  <si>
    <t>Combien avez-vous reçu d'autres membres du menage (en francs CFA) depuis la Tabaski de l'année dernière?</t>
  </si>
  <si>
    <t>Nawa kuka karɓa daga sauran membobin gidan (a cikin CFA) tun tabaski bara?</t>
  </si>
  <si>
    <t>503. How much have you received from other members of the household (in CFA)?</t>
  </si>
  <si>
    <t>503. Combien avez-vous reçu d'autres membres du menage (en francs CFA) depuis la Tabaski de l'année dernière?</t>
  </si>
  <si>
    <t>503. Nawa kuka karɓa daga sauran membobin gidan (a cikin CFA) tun tabaski bara?</t>
  </si>
  <si>
    <t>hoh_remit_rec_niger</t>
  </si>
  <si>
    <t>477. In the past six months, have you or anyone in your household received money from someone who is not a member of your household and who lives elsewhere in Niger (outside your village)?</t>
  </si>
  <si>
    <t>Au cours des six derniers mois, avez-vous, vous ou un membre de votre menage, reçu de l'argent d'une personne extérieure à votre menage et résidant ailleurs au Niger (hors de votre village) ?</t>
  </si>
  <si>
    <t>A cikin watanni shida da suka gabata, kai ko wani a cikin gidan ku kun karɓi kuɗi daga wanda ba ɗan gidanku ba ne kuma yana zaune a wani wuri a Nijar (a wajen ƙauyenku)?</t>
  </si>
  <si>
    <t>504. In the past six months, have you or anyone in your household received money from someone who is not a member of your household and who lives elsewhere in Niger (outside your village)?</t>
  </si>
  <si>
    <t>504. Au cours des six derniers mois, avez-vous, vous ou un membre de votre menage, reçu de l'argent d'une personne extérieure à votre menage et résidant ailleurs au Niger (hors de votre village) ?</t>
  </si>
  <si>
    <t>504. A cikin watanni shida da suka gabata, kai ko wani a cikin gidan ku kun karɓi kuɗi daga wanda ba ɗan gidanku ba ne kuma yana zaune a wani wuri a Nijar (a wajen ƙauyenku)?</t>
  </si>
  <si>
    <t>hoh_remit_rec_niger_amt</t>
  </si>
  <si>
    <t>478. How much in total did members of your household receive from people elsewhere in Niger (in CFA)?</t>
  </si>
  <si>
    <t>478. Combien au total les membres de votre ménage ont-ils reçu des personnes qui sont quelques part au Niger (en CFA)?</t>
  </si>
  <si>
    <t>478. Nawa ne ƴan gidanku suka samu daga wasu matanen da ke wani gari a Nijar (in CFA)?</t>
  </si>
  <si>
    <t>selected(${hoh_dest_country}, '-777')</t>
  </si>
  <si>
    <t>505. How much in total did members of your household receive from people elsewhere in Niger (in CFA)?</t>
  </si>
  <si>
    <t>505. Combien au total les membres de votre ménage ont-ils reçu des personnes qui sont quelques part au Niger (en CFA)?</t>
  </si>
  <si>
    <t>505. Nawa ne ƴan gidanku suka samu daga wasu matanen da ke wani gari a Nijar (in CFA)?</t>
  </si>
  <si>
    <t>hoh_remit_rec_niger_how</t>
  </si>
  <si>
    <t>479. How was this money transmitted to your household?</t>
  </si>
  <si>
    <t>479. Comment cet argent a-t-il été envoyé à votre ménage ?</t>
  </si>
  <si>
    <t>479. Ta wace hanya aka aikawa gidanku wannan kuɗin ?</t>
  </si>
  <si>
    <t>506. How was this money transmitted to your household?</t>
  </si>
  <si>
    <t>506. Comment cet argent a-t-il été envoyé à votre ménage ?</t>
  </si>
  <si>
    <t>506. Ta wace hanya aka aikawa gidanku wannan kuɗin ?</t>
  </si>
  <si>
    <t>hoh_remit_rec_niger_how_o</t>
  </si>
  <si>
    <t>480. Specify other transfer method</t>
  </si>
  <si>
    <t>480. Précisez la méthode du transfert</t>
  </si>
  <si>
    <t>480. Wani daban a Bayyana</t>
  </si>
  <si>
    <t>507. Specify other transfer method</t>
  </si>
  <si>
    <t>507. Précisez la méthode du transfert</t>
  </si>
  <si>
    <t>507. Wani daban a Bayyana</t>
  </si>
  <si>
    <t>hoh_goods_rec_niger</t>
  </si>
  <si>
    <t>481. In the past six months, have you or anyone in your household received goods (payment in kind) from someone who is not a member of your household and who lives elsewhere in Niger (outside your village)?</t>
  </si>
  <si>
    <t>Au cours des six derniers mois, avez-vous, vous ou un membre de votre foyer, reçu des biens (paiement en nature) d'une personne extérieure à votre menage et résidant ailleurs au Niger (hors de votre village) ?</t>
  </si>
  <si>
    <t>A cikin watanni shida da suka gabata, kai ko wani a cikin gidan ku kun karɓi kaya (biya daga kaya) daga wanda ba ɗan gidanku ba ne kuma yana zaune a wani wuri a Nijar (a wajen ƙauyenku)?</t>
  </si>
  <si>
    <t>if(selected(${hoh_dest_country}, '1'), 1 , 0)</t>
  </si>
  <si>
    <t>508. In the past six months, have you or anyone in your household received goods (payment in kind) from someone who is not a member of your household and who lives elsewhere in Niger (outside your village)?</t>
  </si>
  <si>
    <t>508. Au cours des six derniers mois, avez-vous, vous ou un membre de votre foyer, reçu des biens (paiement en nature) d'une personne extérieure à votre menage et résidant ailleurs au Niger (hors de votre village) ?</t>
  </si>
  <si>
    <t>508. A cikin watanni shida da suka gabata, kai ko wani a cikin gidan ku kun karɓi kaya (biya daga kaya) daga wanda ba ɗan gidanku ba ne kuma yana zaune a wani wuri a Nijar (a wajen ƙauyenku)?</t>
  </si>
  <si>
    <t>hoh_goods_rec_niger_amt</t>
  </si>
  <si>
    <t>482. What was the value of the goods members of your household receive from people elsewhere in Niger (in CFA)?</t>
  </si>
  <si>
    <t>482. Quel était la valeur au totale des biens que les membres de votre ménage ont reçu des personnes qui sont quelques part au Niger 
 (en CFA)?</t>
  </si>
  <si>
    <t>482. Nawa kimar kayayyakin da ƴan gidanku suka karba daga wasu mutane a wasu wurare a Nijar (in CFA)?</t>
  </si>
  <si>
    <t>509. What was the value of the goods members of your household receive from people elsewhere in Niger (in CFA)?</t>
  </si>
  <si>
    <t>509. Quel était la valeur au totale des biens que les membres de votre ménage ont reçu des personnes qui sont quelques part au Niger 
 (en CFA)?</t>
  </si>
  <si>
    <t>509. Nawa kimar kayayyakin da ƴan gidanku suka karba daga wasu mutane a wasu wurare a Nijar (in CFA)?</t>
  </si>
  <si>
    <t>select_multiple goods_transfer</t>
  </si>
  <si>
    <t>hoh_goods_rec_niger_how</t>
  </si>
  <si>
    <t>483. How were these goods transmitted to your household?</t>
  </si>
  <si>
    <t>483. Comment ces biens ont-ils été envoyé à votre ménage ?</t>
  </si>
  <si>
    <t>483. Ta yaya aka aika waɗannan kayayyakin zuwa gidanku?</t>
  </si>
  <si>
    <t>510. How were these goods transmitted to your household?</t>
  </si>
  <si>
    <t>510. Comment ces biens ont-ils été envoyé à votre ménage ?</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</si>
  <si>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</si>
  <si>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510. Ta yaya aka aika waɗannan kayayyakin zuwa gidanku?</t>
  </si>
  <si>
    <t>hoh_goods_rec_niger_how_o</t>
  </si>
  <si>
    <t>484. Specify other transfer method</t>
  </si>
  <si>
    <t>484. Précisez la méthode du transfert</t>
  </si>
  <si>
    <t>484. Wani daban a Bayyana</t>
  </si>
  <si>
    <t>511. Specify other transfer method</t>
  </si>
  <si>
    <t>511. Précisez la méthode du transfert</t>
  </si>
  <si>
    <t>511. Wani daban a Bayyana</t>
  </si>
  <si>
    <t>hoh_remit_rec_out</t>
  </si>
  <si>
    <t>485. In the past six months, have you or anyone in your household received money from someone who is not a member of your household and who lives in a foreign country (outside of Niger)?</t>
  </si>
  <si>
    <t>Au cours des six derniers mois, avez-vous, ou un membre de votre menage, reçu de l'argent d'une personne extérieure à votre menage et résidant à l'étranger (hors du Niger) ?</t>
  </si>
  <si>
    <t>A cikin watanni shida da suka gabata, kai ko wani a cikin gidanku ya sami kuɗi daga wani wanda ba dan gidan ku ba kuma yana zaune a wata ƙasa (wajen Nijar)?</t>
  </si>
  <si>
    <t>512. In the past six months, have you or anyone in your household received money from someone who is not a member of your household and who lives in a foreign country (outside of Niger)?</t>
  </si>
  <si>
    <t>512. Au cours des six derniers mois, avez-vous, ou un membre de votre menage, reçu de l'argent d'une personne extérieure à votre menage et résidant à l'étranger (hors du Niger) ?</t>
  </si>
  <si>
    <t>512. A cikin watanni shida da suka gabata, kai ko wani a cikin gidanku ya sami kuɗi daga wani wanda ba dan gidan ku ba kuma yana zaune a wata ƙasa (wajen Nijar)?</t>
  </si>
  <si>
    <t>hoh_remit_rec_out_amt</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</si>
  <si>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</si>
  <si>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486. How much in total did members of your household receive from people out of Niger?</t>
  </si>
  <si>
    <t>486. Combien au total les membres de votre ménage ont-ils reçu des personnes qui ne sont pas au Niger ?</t>
  </si>
  <si>
    <t>486. Nawa ne yan gidanku ya samu daga mutanen da ke zaune a ƙasar waje ba Nijar ba?</t>
  </si>
  <si>
    <t>513. How much in total did members of your household receive from people out of Niger?</t>
  </si>
  <si>
    <t>513. Combien au total les membres de votre ménage ont-ils reçu des personnes qui ne sont pas au Niger ?</t>
  </si>
  <si>
    <t>513. Nawa ne yan gidanku ya samu daga mutanen da ke zaune a ƙasar waje ba Nijar ba?</t>
  </si>
  <si>
    <t>hoh_remit_rec_out_how</t>
  </si>
  <si>
    <t>487. How was this money transmitted to your household?</t>
  </si>
  <si>
    <t>487. Comment cet argent a-t-il été envoyé à votre ménage ?</t>
  </si>
  <si>
    <t>487. Ta wace hanya aka aikawa gidanku wannan kuɗin ?</t>
  </si>
  <si>
    <t>514. How was this money transmitted to your household?</t>
  </si>
  <si>
    <t>514. Comment cet argent a-t-il été envoyé à votre ménage ?</t>
  </si>
  <si>
    <t>514. Ta wace hanya aka aikawa gidanku wannan kuɗin ?</t>
  </si>
  <si>
    <t>hoh_remit_rec_out_how_o</t>
  </si>
  <si>
    <t>count-selected(${hoh_dest_country})</t>
  </si>
  <si>
    <t>515. Specify other transfer method</t>
  </si>
  <si>
    <t>515. Précisez la méthode du transfert</t>
  </si>
  <si>
    <t>515. Wani daban a Bayyana</t>
  </si>
  <si>
    <t>hoh_goods_rec_out</t>
  </si>
  <si>
    <t>489. In the past six months, have you or anyone in your household received goods (payment in kind) from someone who is not a member of your household and who lives in a foreign country (outside of Niger)?</t>
  </si>
  <si>
    <t>Au cours des six derniers mois, avez-vous, vous ou un membre de votre menage, reçu des biens (paiement en nature) d'une personne extérieure à votre menage et résidant à l'étranger (hors du Niger) ?</t>
  </si>
  <si>
    <t>A cikin watanni shida da suka gabata, kai ko wani a cikin gidanku ya sami kaya (biyan daga kaya ) daga wanda ba ɗan gidanku ba ne kuma yana zaune a wata ƙasa (wajen Nijar)?</t>
  </si>
  <si>
    <t>516. In the past six months, have you or anyone in your household received goods (payment in kind) from someone who is not a member of your household and who lives in a foreign country (outside of Niger)?</t>
  </si>
  <si>
    <t>516. Au cours des six derniers mois, avez-vous, vous ou un membre de votre menage, reçu des biens (paiement en nature) d'une personne extérieure à votre menage et résidant à l'étranger (hors du Niger) ?</t>
  </si>
  <si>
    <t>516. A cikin watanni shida da suka gabata, kai ko wani a cikin gidanku ya sami kaya (biyan daga kaya ) daga wanda ba ɗan gidanku ba ne kuma yana zaune a wata ƙasa (wajen Nijar)?</t>
  </si>
  <si>
    <t>hoh_goods_rec_out_amt</t>
  </si>
  <si>
    <t>490. What was the value of the goods members of your household receive from people out of Niger?</t>
  </si>
  <si>
    <t>490. Quel était la valeur au totale des biens que les membres de votre ménage ont reçu des personnes qui ne sont pas au Niger ?</t>
  </si>
  <si>
    <t>490. Nawa kimar kayan da ƴan gidanku suka samo daga mutanen da ke zaune a ƙasar waje ba Nijar ba?</t>
  </si>
  <si>
    <t>517. What was the value of the goods members of your household receive from people out of Niger?</t>
  </si>
  <si>
    <t>517. Quel était la valeur au totale des biens que les membres de votre ménage ont reçu des personnes qui ne sont pas au Niger ?</t>
  </si>
  <si>
    <t>517. Nawa kimar kayan da ƴan gidanku suka samo daga mutanen da ke zaune a ƙasar waje ba Nijar ba?</t>
  </si>
  <si>
    <t>hoh_goods_rec_out_how</t>
  </si>
  <si>
    <t>491. How were these goods transmitted to your household?</t>
  </si>
  <si>
    <t>491. Comment ces biens ont-ils été envoyé à votre ménage ?</t>
  </si>
  <si>
    <t>491. Ta yaya aka aika waɗannan kayan zuwa gidanku?</t>
  </si>
  <si>
    <t>518. How were these goods transmitted to your household?</t>
  </si>
  <si>
    <t>518. Comment ces biens ont-ils été envoyé à votre ménage ?</t>
  </si>
  <si>
    <t>518. Ta yaya aka aika waɗannan kayan zuwa gidanku?</t>
  </si>
  <si>
    <t>hoh_goods_rec_out_how_o</t>
  </si>
  <si>
    <t>492. Specify other transfer method</t>
  </si>
  <si>
    <t>492. Précisez la méthode du transfert</t>
  </si>
  <si>
    <t>492. Wani daban a Bayyana</t>
  </si>
  <si>
    <t>519. Specify other transfer method</t>
  </si>
  <si>
    <t>519. Précisez la méthode du transfert</t>
  </si>
  <si>
    <t>519. Wani daban a Bayyana</t>
  </si>
  <si>
    <t>not(selected(${hoh_dest_country}, '-999'))</t>
  </si>
  <si>
    <t>hoh_remit_send_niger</t>
  </si>
  <si>
    <t>493. In the past six months, have you or anyone in your household shared or sent money to someone who is not a member of your household and who lives elsewhere in Niger (outside your village)?</t>
  </si>
  <si>
    <t>Au cours des six derniers mois, avez-vous, vous ou un membre de votre menage, partagé ou envoyé de l'argent à une personne extérieure à votre menage et résidant ailleurs à l'intérieur du Niger (hors de votre village) ?</t>
  </si>
  <si>
    <t>A cikin watanni shida da suka gabata, kai ko wani a cikin gidanku kun aika kudi ga wanda ba an gidanku ba kuma yana zaune a wani wuri a Nijar (a wajen kauyenku)?</t>
  </si>
  <si>
    <t>${hoh_num_dest_country}</t>
  </si>
  <si>
    <t>520. In the past six months, have you or anyone in your household shared or sent money to someone who is not a member of your household and who lives elsewhere in Niger (outside your village)?</t>
  </si>
  <si>
    <t>520. Au cours des six derniers mois, avez-vous, vous ou un membre de votre menage, partagé ou envoyé de l'argent à une personne extérieure à votre menage et résidant ailleurs à l'intérieur du Niger (hors de votre village) ?</t>
  </si>
  <si>
    <t>520. A cikin watanni shida da suka gabata, kai ko wani a cikin gidanku kun aika kudi ga wanda ba an gidanku ba kuma yana zaune a wani wuri a Nijar (a wajen kauyenku)?</t>
  </si>
  <si>
    <t>hoh_remit_send_niger_amt</t>
  </si>
  <si>
    <t>494. How much did your household send to people elsewhere in Niger?</t>
  </si>
  <si>
    <t>494. Combien votre ménage a-t-il envoyé à des personnes qui sont quelque part au Niger ?</t>
  </si>
  <si>
    <t>494. Nawa ne gidanku ya aikawa mutanen da ke wasu wurare a Nijar?</t>
  </si>
  <si>
    <t>521. How much did your household send to people elsewhere in Niger?</t>
  </si>
  <si>
    <t>521. Combien votre ménage a-t-il envoyé à des personnes qui sont quelque part au Niger ?</t>
  </si>
  <si>
    <t>521. Nawa ne gidanku ya aikawa mutanen da ke wasu wurare a Nijar?</t>
  </si>
  <si>
    <t>hoh_remit_send_niger_how</t>
  </si>
  <si>
    <t>495. How did you transmit the money to the recipient?</t>
  </si>
  <si>
    <t>495. Comment avez-vous envoyé l'argent au destinataire ?</t>
  </si>
  <si>
    <t>495. Ta wace hanya kuka aika kuɗin ga mai karɓa?</t>
  </si>
  <si>
    <t>522. How did you transmit the money to the recipient?</t>
  </si>
  <si>
    <t>522. Comment avez-vous envoyé l'argent au destinataire ?</t>
  </si>
  <si>
    <t>522. Ta wace hanya kuka aika kuɗin ga mai karɓa?</t>
  </si>
  <si>
    <t>hoh_remit_send_niger_how_o</t>
  </si>
  <si>
    <t>496. Specify other transfer method</t>
  </si>
  <si>
    <t>496. Précisez la méthode du transfert</t>
  </si>
  <si>
    <t>496. Wani daban a Bayyana</t>
  </si>
  <si>
    <t>523. Specify other transfer method</t>
  </si>
  <si>
    <t>523. Précisez la méthode du transfert</t>
  </si>
  <si>
    <t>523. Wani daban a Bayyana</t>
  </si>
  <si>
    <t>hoh_goods_send_niger</t>
  </si>
  <si>
    <t>497. In the past six months, have you or anyone in your household shared or sent goods (payment in kind) to someone who is not a member of your household and who lives elsewhere in Niger (outside your village)?</t>
  </si>
  <si>
    <t>Au cours des six derniers mois, avez-vous, ou un membre de votre foyer, partagé ou envoyé des biens (paiement en nature) à une personne extérieure à votre foyer et résidant ailleurs au Niger (hors de votre village) ?</t>
  </si>
  <si>
    <t>A cikin watanni shida da suka gabata, kai ko wani a cikin gidanku kun aika kaya (biya daga kaya) ga wanda ba ɗan gidanku ba kuma yana zaune a wani wuri a Nijar (wajen ƙauyenku)?</t>
  </si>
  <si>
    <t>524. In the past six months, have you or anyone in your household shared or sent goods (payment in kind) to someone who is not a member of your household and who lives elsewhere in Niger (outside your village)?</t>
  </si>
  <si>
    <t>524. Au cours des six derniers mois, avez-vous, ou un membre de votre foyer, partagé ou envoyé des biens (paiement en nature) à une personne extérieure à votre foyer et résidant ailleurs au Niger (hors de votre village) ?</t>
  </si>
  <si>
    <t>selected-at(${hoh_dest_country}, index()-1)</t>
  </si>
  <si>
    <t>524. A cikin watanni shida da suka gabata, kai ko wani a cikin gidanku kun aika kaya (biya daga kaya) ga wanda ba ɗan gidanku ba kuma yana zaune a wani wuri a Nijar (wajen ƙauyenku)?</t>
  </si>
  <si>
    <t>hoh_goods_send_niger_amt</t>
  </si>
  <si>
    <t>498. What was the value of the goods members of your household sent to people elsewhere in Niger?</t>
  </si>
  <si>
    <t>498. Quel était la valeur au totale des biens que les membres de votre ménage ont envoyé aux personnes qui sont quelques part au Niger ?</t>
  </si>
  <si>
    <t>498. Nawa ne kimar kayan da ƴan gidanku suka aika wa mutane a wasu wurare a cikin Nijar?</t>
  </si>
  <si>
    <t>525. What was the value of the goods members of your household sent to people elsewhere in Niger?</t>
  </si>
  <si>
    <t>525. Quel était la valeur au totale des biens que les membres de votre ménage ont envoyé aux personnes qui sont quelques part au Niger ?</t>
  </si>
  <si>
    <t>525. Nawa ne kimar kayan da ƴan gidanku suka aika wa mutane a wasu wurare a cikin Nijar?</t>
  </si>
  <si>
    <t>hoh_goods_send_niger_how</t>
  </si>
  <si>
    <t>499. How were these goods transmitted to the recipient?</t>
  </si>
  <si>
    <t>499. Comment ces biens ont-ils été envoyé au destinataire ?</t>
  </si>
  <si>
    <t>499. Ta yaya aka aika waɗannan kayayyaki zuwa ga mai karɓa?</t>
  </si>
  <si>
    <t>526. How were these goods transmitted to the recipient?</t>
  </si>
  <si>
    <t>526. Comment ces biens ont-ils été envoyé au destinataire ?</t>
  </si>
  <si>
    <t>526. Ta yaya aka aika waɗannan kayayyaki zuwa ga mai karɓa?</t>
  </si>
  <si>
    <t>if(${hoh_dest_index} = -777, ${hoh_dest_country_o}, choice-label(${hoh_dest_country}, ${hoh_dest_index}))</t>
  </si>
  <si>
    <t>hoh_goods_send_niger_how_o</t>
  </si>
  <si>
    <t>527. Specify other transfer method</t>
  </si>
  <si>
    <t>527. Precisez la methode du transfert</t>
  </si>
  <si>
    <t>527. Wani daban a Bayyana</t>
  </si>
  <si>
    <t>hoh_remit_send_out</t>
  </si>
  <si>
    <t>501. In the past six months, have you or anyone in your household shared or sent money to someone who is not a member of your household and who lives in a foreign country (outside of Niger)?</t>
  </si>
  <si>
    <t>Au cours des six derniers mois, avez-vous, ou un membre de votre foyer, partagé ou envoyé de l'argent à une personne extérieure à votre foyer et résidant à l'étranger (hors du Niger) ?</t>
  </si>
  <si>
    <t>A cikin watanni shida da suka gabata, kai ko wani a cikin gidanku kun raba ko aika kudi ga wanda ba dan gidanku ba kuma yana zaune a wata kasa (wajen Nijar)?</t>
  </si>
  <si>
    <t>528. In the past six months, have you or anyone in your household shared or sent money to someone who is not a member of your household and who lives in a foreign country (outside of Niger)?</t>
  </si>
  <si>
    <t>528. Au cours des six derniers mois, avez-vous, ou un membre de votre foyer, partagé ou envoyé de l'argent à une personne extérieure à votre foyer et résidant à l'étranger (hors du Niger) ?</t>
  </si>
  <si>
    <t>528. A cikin watanni shida da suka gabata, kai ko wani a cikin gidanku kun raba ko aika kudi ga wanda ba dan gidanku ba kuma yana zaune a wata kasa (wajen Nijar)?</t>
  </si>
  <si>
    <t>search('towns', 'matches', 'country_id', ${hoh_dest_index})</t>
  </si>
  <si>
    <t>hoh_remit_send_out_amt</t>
  </si>
  <si>
    <t>502. How much did your household send to people people out of Niger?</t>
  </si>
  <si>
    <t>502. Combien votre ménage a-t-il envoyé à d'autres personnes qui sont quelque part hors du Niger ?</t>
  </si>
  <si>
    <t>502. Nawa gidanku ya aikawa wasu mutane da ke wani wuri ba a Nijar ba?</t>
  </si>
  <si>
    <t>not(${hoh_dest_index} = 1 or ${hoh_dest_index} = -999)</t>
  </si>
  <si>
    <t>529. How much did your household send to people people out of Niger?</t>
  </si>
  <si>
    <t>529. Combien votre ménage a-t-il envoyé à d'autres personnes qui sont quelque part hors du Niger ?</t>
  </si>
  <si>
    <t>529. Nawa gidanku ya aikawa wasu mutane da ke wani wuri ba a Nijar ba?</t>
  </si>
  <si>
    <t>hoh_remit_send_out_how</t>
  </si>
  <si>
    <t>selected(${hoh_dest_town}, '-777')</t>
  </si>
  <si>
    <t>503. How did you transmit the money to the recipient?</t>
  </si>
  <si>
    <t>503. Comment avez-vous transmis l'argent au destinataire ?</t>
  </si>
  <si>
    <t>503. Ta wace hanya kuka aika kuɗin ga mai karɓa?</t>
  </si>
  <si>
    <t>530. How did you transmit the money to the recipient?</t>
  </si>
  <si>
    <t>530. Comment avez-vous transmis l'argent au destinataire ?</t>
  </si>
  <si>
    <t>530. Ta wace hanya kuka aika kuɗin ga mai karɓa?</t>
  </si>
  <si>
    <t>hoh_remit_send_out_how_o</t>
  </si>
  <si>
    <t>504. Specify other transfer method</t>
  </si>
  <si>
    <t>504. Precisez la methode du transfert</t>
  </si>
  <si>
    <t>504. Wani daban a Bayyana</t>
  </si>
  <si>
    <t>531. Specify other transfer method</t>
  </si>
  <si>
    <t>531. Precisez la methode du transfert</t>
  </si>
  <si>
    <t>531. Wani daban a Bayyana</t>
  </si>
  <si>
    <t>hoh_goods_send_out</t>
  </si>
  <si>
    <t>505. In the past six months, have you or anyone in your household shared or sent goods (payment in kind) to someone who is not a member of your household and who lives in a foreign country (outside of Niger)?</t>
  </si>
  <si>
    <t>Au cours des six derniers mois, avez-vous, ou un membre de votre foyer, partagé ou envoyé des biens (paiement en nature) à une personne extérieure à votre foyer et résidant à l'étranger (hors du Niger) ?</t>
  </si>
  <si>
    <t>A cikin watanni shida da suka gabata, kai ko wani a cikin gidanku kun aika kaya (biya daga kaya) ga wanda ba ɗan gidanku ba kuma yana zaune a wata ƙasa (a wajen Nijar)?</t>
  </si>
  <si>
    <t>${hoh_dest_index} = 1</t>
  </si>
  <si>
    <t>532. In the past six months, have you or anyone in your household shared or sent goods (payment in kind) to someone who is not a member of your household and who lives in a foreign country (outside of Niger)?</t>
  </si>
  <si>
    <t>532. Au cours des six derniers mois, avez-vous, ou un membre de votre foyer, partagé ou envoyé des biens (paiement en nature) à une personne extérieure à votre foyer et résidant à l'étranger (hors du Niger) ?</t>
  </si>
  <si>
    <t>532. A cikin watanni shida da suka gabata, kai ko wani a cikin gidanku kun aika kaya (biya daga kaya) ga wanda ba ɗan gidanku ba kuma yana zaune a wata ƙasa (a wajen Nijar)?</t>
  </si>
  <si>
    <t>hoh_goods_send_out_amt</t>
  </si>
  <si>
    <t>506. What was the value of the goods members of your household sent to people out of Niger?</t>
  </si>
  <si>
    <t>506. Quel était le valeur au total des biens que les membres de votre ménage ont envoyé aux personnes qui sont quelques part hors du Niger ?</t>
  </si>
  <si>
    <t>506. Nawa ne kimar kayan da ƴan gidanku suka aikawa wasu mutane da ke wani wuri ba a Nijar ba?</t>
  </si>
  <si>
    <t>533. What was the value of the goods members of your household sent to people out of Niger?</t>
  </si>
  <si>
    <t>533. Quel était le valeur au total des biens que les membres de votre ménage ont envoyé aux personnes qui sont quelques part hors du Niger ?</t>
  </si>
  <si>
    <t>533. Nawa ne kimar kayan da ƴan gidanku suka aikawa wasu mutane da ke wani wuri ba a Nijar ba?</t>
  </si>
  <si>
    <t>hoh_goods_send_out_how</t>
  </si>
  <si>
    <t>507. How were these goods transmitted to the recipient?</t>
  </si>
  <si>
    <t>507. Comment ces biens ont-ils été envoyé au destinataire ?</t>
  </si>
  <si>
    <t>507. Ta yaya aka aika waɗannan kayayyaki zuwa ga mai karɓa?</t>
  </si>
  <si>
    <t>534. How were these goods transmitted to the recipient?</t>
  </si>
  <si>
    <t>534. Comment ces biens ont-ils été envoyé au destinataire ?</t>
  </si>
  <si>
    <t>534. Ta yaya aka aika waɗannan kayayyaki zuwa ga mai karɓa?</t>
  </si>
  <si>
    <t>hoh_goods_send_out_how_o</t>
  </si>
  <si>
    <t>selected(${hoh_dest_region}, '-777')</t>
  </si>
  <si>
    <t>508. Specify other transfer method</t>
  </si>
  <si>
    <t>508. Precisez la methode du transfert</t>
  </si>
  <si>
    <t>508. Wani daban a Bayyana</t>
  </si>
  <si>
    <t>535. Specify other transfer method</t>
  </si>
  <si>
    <t>535. Precisez la methode du transfert</t>
  </si>
  <si>
    <t>535. Wani daban a Bayyana</t>
  </si>
  <si>
    <t>select_multiple support</t>
  </si>
  <si>
    <t>hoh_receive_support</t>
  </si>
  <si>
    <t>509. In the past six months, have you received support from any of the following sources?</t>
  </si>
  <si>
    <t>Au cours des six derniers mois, avez-vous reçu une aide de l'une des sources suivantes ?</t>
  </si>
  <si>
    <t>A cikin watanni shida da suka gabata, kun sami tallafi daga ɗayan waɗannan kafofin?</t>
  </si>
  <si>
    <t>536. In the past six months, have you received support from any of the following sources?</t>
  </si>
  <si>
    <t>536. Au cours des six derniers mois, avez-vous reçu une aide de l'une des sources suivantes ?</t>
  </si>
  <si>
    <t>536. A cikin watanni shida da suka gabata, kun sami tallafi daga ɗayan waɗannan kafofin?</t>
  </si>
  <si>
    <t>hoh_receive_support_amt</t>
  </si>
  <si>
    <t>510. How much did ou receive from all the sources combined?</t>
  </si>
  <si>
    <t>not(selected(${hoh_dest_index}, '-999'))</t>
  </si>
  <si>
    <t>510. Combien avez-vous reçu de toutes les sources confondues ?</t>
  </si>
  <si>
    <t>510. Nawa kuka samu daga duk hanyoyin shiga gaba ɗayan su?</t>
  </si>
  <si>
    <t>537. How much did ou receive from all the sources combined?</t>
  </si>
  <si>
    <t>537. Combien avez-vous reçu de toutes les sources confondues ?</t>
  </si>
  <si>
    <t>537. Nawa kuka samu daga duk hanyoyin shiga gaba ɗayan su?</t>
  </si>
  <si>
    <t>hoh_income_gifts</t>
  </si>
  <si>
    <t>511. In addition to the transfers we just discussed, what is the total value of income from charity or gifts your household has received &lt;b&gt;in the past six months&lt;/b&gt; in CFA?</t>
  </si>
  <si>
    <t>Outre les transferts que nous venons d'évoquer, quel est le montant total des revenus provenant d'œuvres caritatives ou de dons que votre ménage a reçus &lt;b&gt;au cours des six derniers mois&lt;/b&gt; en francs CFA ?</t>
  </si>
  <si>
    <t>Bancin aiken kuɗi da muka tattauna yanzu, nawa ne jimillar kuɗin da kuka samu na taimako ko kyaututtukan &lt;b&gt;a cikin watanni shida da suka gabata a CFA?</t>
  </si>
  <si>
    <t>538. In addition to the transfers we just discussed, what is the total value of income from charity or gifts your household has received &lt;b&gt;in the past six months&lt;/b&gt; in CFA?</t>
  </si>
  <si>
    <t>538. Outre les transferts que nous venons d'évoquer, quel est le montant total des revenus provenant d'œuvres caritatives ou de dons que votre ménage a reçus &lt;b&gt;au cours des six derniers mois&lt;/b&gt; en francs CFA ?</t>
  </si>
  <si>
    <t>538. Bancin aiken kuɗi da muka tattauna yanzu, nawa ne jimillar kuɗin da kuka samu na taimako ko kyaututtukan &lt;b&gt;a cikin watanni shida da suka gabata a CFA?</t>
  </si>
  <si>
    <t>speedcheck_hoh_remit_end</t>
  </si>
  <si>
    <t>dur_hoh_remit</t>
  </si>
  <si>
    <t>speedcheck_hoh_homeimprove_start</t>
  </si>
  <si>
    <t>hoh_improve</t>
  </si>
  <si>
    <t>Improvements</t>
  </si>
  <si>
    <t>Améliorations</t>
  </si>
  <si>
    <t>Ingantawa</t>
  </si>
  <si>
    <t>hoh_improve_home</t>
  </si>
  <si>
    <t>512. In the past six months did your household make a significant investment or improvement in the house you reside in?</t>
  </si>
  <si>
    <t>Au cours des six derniers mois, votre ménage a-t-il réalisé un investissement ou une amélioration significative dans la maison que vous occupez ?</t>
  </si>
  <si>
    <t>A cikin watanni shida da suka gabata, an yi wasu kashe kashen kuɗi don gyara gidan ku wanda kuke zaune a ciki?</t>
  </si>
  <si>
    <t>539. In the past six months did your household make a significant investment or improvement in the house you reside in?</t>
  </si>
  <si>
    <t>539. Au cours des six derniers mois, votre ménage a-t-il réalisé un investissement ou une amélioration significative dans la maison que vous occupez ?</t>
  </si>
  <si>
    <t xml:space="preserve">${speedcheck_hoh_rosterdest_end} - ${speedcheck_hoh_rosterdest_start} </t>
  </si>
  <si>
    <t>539. A cikin watanni shida da suka gabata, an yi wasu kashe kashen kuɗi don gyara gidan ku wanda kuke zaune a ciki?</t>
  </si>
  <si>
    <t>hoh_improve_add_rooms</t>
  </si>
  <si>
    <t>513. Build additional rooms</t>
  </si>
  <si>
    <t>513. Construire des chambres supplémentaires</t>
  </si>
  <si>
    <t>513. Ginin ƙarin ɗakuna</t>
  </si>
  <si>
    <t>540. Build additional rooms</t>
  </si>
  <si>
    <t>540. Construire des chambres supplémentaires</t>
  </si>
  <si>
    <t>540. Ginin ƙarin ɗakuna</t>
  </si>
  <si>
    <t>hoh_improve_floors</t>
  </si>
  <si>
    <t>514. Improve floors</t>
  </si>
  <si>
    <t>514. Améliorer les sols</t>
  </si>
  <si>
    <t>514. Inganta filalayen gida</t>
  </si>
  <si>
    <t>541. Improve floors</t>
  </si>
  <si>
    <t>541. Améliorer les sols</t>
  </si>
  <si>
    <t>541. Inganta filalayen gida</t>
  </si>
  <si>
    <t>hoh_improve_walls</t>
  </si>
  <si>
    <t>515. Improve walls</t>
  </si>
  <si>
    <t>515. Réfectionner les murs</t>
  </si>
  <si>
    <t>515. gyara katangun gida</t>
  </si>
  <si>
    <t>542. Improve walls</t>
  </si>
  <si>
    <t>542. Réfectionner les murs</t>
  </si>
  <si>
    <t>542. gyara katangun gida</t>
  </si>
  <si>
    <t>hoh_improve_roof</t>
  </si>
  <si>
    <t>516. Improve roof</t>
  </si>
  <si>
    <t>516. Réfectionner le toit</t>
  </si>
  <si>
    <t>516. gyara rufin gida</t>
  </si>
  <si>
    <t>543. Improve roof</t>
  </si>
  <si>
    <t>543. Réfectionner le toit</t>
  </si>
  <si>
    <t>543. gyara rufin gida</t>
  </si>
  <si>
    <t>hoh_improve_o</t>
  </si>
  <si>
    <t>517. Other improvement</t>
  </si>
  <si>
    <t>517. Autre amélioration</t>
  </si>
  <si>
    <t>517. Wasu gyare gyare daban</t>
  </si>
  <si>
    <t>544. Other improvement</t>
  </si>
  <si>
    <t>544. Autre amélioration</t>
  </si>
  <si>
    <t>544. Wasu gyare gyare daban</t>
  </si>
  <si>
    <t>hoh_improve_other</t>
  </si>
  <si>
    <t>518. Specify other improvement (i.e. connect to electricity, build latrine)</t>
  </si>
  <si>
    <t>518. Précisez les autres améliorations (c.-à-d. connecter de l'électricité, construire des latrines)</t>
  </si>
  <si>
    <t>${hoh_failed_prep} = 1</t>
  </si>
  <si>
    <t>518. Baiyana wasu abubuwan ingantawa (kamar sa wutar lantarki, gina salga (masai ) )</t>
  </si>
  <si>
    <t>545. Specify other improvement (i.e. connect to electricity, build latrine)</t>
  </si>
  <si>
    <t>545. Précisez les autres améliorations (c.-à-d. connecter de l'électricité, construire des latrines)</t>
  </si>
  <si>
    <t>545. Baiyana wasu abubuwan ingantawa (kamar sa wutar lantarki, gina salga (masai ) )</t>
  </si>
  <si>
    <t>hoh_improve_home_amt</t>
  </si>
  <si>
    <t>519. Approximately how much did all of these investments together cost in CFA?</t>
  </si>
  <si>
    <t>519. Combien ont coûté approximativement tous ces investissements (en CFA) ?</t>
  </si>
  <si>
    <t>519. Aƙalla nawa aka kashe akan waɗannan ayyukan a sefa?</t>
  </si>
  <si>
    <t>546. Approximately how much did all of these investments together cost in CFA?</t>
  </si>
  <si>
    <t>546. Combien ont coûté approximativement tous ces investissements (en CFA) ?</t>
  </si>
  <si>
    <t>546. Aƙalla nawa aka kashe akan waɗannan ayyukan a sefa?</t>
  </si>
  <si>
    <t>hoh_improve_business</t>
  </si>
  <si>
    <t>520. In the past six months did you make any investments in your non-agricultural business?</t>
  </si>
  <si>
    <t>Au cours des six derniers mois, avez-vous investi dans votre entreprise non agricole ?</t>
  </si>
  <si>
    <t>A cikin watanni shida da suka gabata kun saka wani jari a cikin kasuwancin ku wanda ba na noma ba?</t>
  </si>
  <si>
    <t>547. In the past six months did you make any investments in your non-agricultural business?</t>
  </si>
  <si>
    <t>547. Au cours des six derniers mois, avez-vous investi dans votre entreprise non agricole ?</t>
  </si>
  <si>
    <t>${hoh_failed_prep_country} = -777</t>
  </si>
  <si>
    <t>547. A cikin watanni shida da suka gabata kun saka wani jari a cikin kasuwancin ku wanda ba na noma ba?</t>
  </si>
  <si>
    <t>hoh_improve_business_o</t>
  </si>
  <si>
    <t>521. Specify the improvement to your business</t>
  </si>
  <si>
    <t>521. Précisez les investissements que vous avez fait dans votre entreprise</t>
  </si>
  <si>
    <t>521. Ku bayyana kuɗin da kuka kashe don haɓɓaka kasuwancin ku</t>
  </si>
  <si>
    <t>548. Specify the improvement to your business</t>
  </si>
  <si>
    <t>548. Précisez les investissements que vous avez fait dans votre entreprise</t>
  </si>
  <si>
    <t>548. Ku bayyana kuɗin da kuka kashe don haɓɓaka kasuwancin ku</t>
  </si>
  <si>
    <t>hoh_improve_land</t>
  </si>
  <si>
    <t>522. In the past six months did you make any investments to improve the productivity of your land?</t>
  </si>
  <si>
    <t>Au cours des six derniers mois, avez-vous investi pour améliorer la productivité de vos terres ?</t>
  </si>
  <si>
    <t>A cikin watanni shida da suka gabata kun yi wasu kashe kashen kuɗi don inganta samun amfani a gonakin ku?</t>
  </si>
  <si>
    <t>549. In the past six months did you make any investments to improve the productivity of your land?</t>
  </si>
  <si>
    <t>549. Au cours des six derniers mois, avez-vous investi pour améliorer la productivité de vos terres ?</t>
  </si>
  <si>
    <t>549. A cikin watanni shida da suka gabata kun yi wasu kashe kashen kuɗi don inganta samun amfani a gonakin ku?</t>
  </si>
  <si>
    <t>hoh_improve_land_other</t>
  </si>
  <si>
    <t>523. Specify improvement to land</t>
  </si>
  <si>
    <t>523. Précisez les améliorations de votre terre que vous avez fait</t>
  </si>
  <si>
    <t>523. Ku bayyana kuɗin da kuka kashe don haɓɓaka gonarku</t>
  </si>
  <si>
    <t>550. Specify improvement to land</t>
  </si>
  <si>
    <t>count-selected(${hoh_failed_prep_country})</t>
  </si>
  <si>
    <t>550. Précisez les améliorations de votre terre que vous avez fait</t>
  </si>
  <si>
    <t>550. Ku bayyana kuɗin da kuka kashe don haɓɓaka gonarku</t>
  </si>
  <si>
    <t>speedcheck_hoh_homeimprove_end</t>
  </si>
  <si>
    <t>dur_hoh_homeimprove</t>
  </si>
  <si>
    <t>speedcheck_hoh_savings_start</t>
  </si>
  <si>
    <t>hoh_use_money_note</t>
  </si>
  <si>
    <t>524. Now I will ask you about different ways your household may use money that you earn.</t>
  </si>
  <si>
    <t>524. Je vais maintenant vous poser des questions sur les différentes façons dont votre ménage peut utiliser l'argent que vous gagnez.</t>
  </si>
  <si>
    <t>524. Yanzu zan yi muku tambayoyi game hanyoyi daban-daban da gidanku ke iya amfani da su don kashe kuɗin da yake samu.</t>
  </si>
  <si>
    <t>551. Now I will ask you about different ways your household may use money that you earn.</t>
  </si>
  <si>
    <t>551. Je vais maintenant vous poser des questions sur les différentes façons dont votre ménage peut utiliser l'argent que vous gagnez.</t>
  </si>
  <si>
    <t>551. Yanzu zan yi muku tambayoyi game hanyoyi daban-daban da gidanku ke iya amfani da su don kashe kuɗin da yake samu.</t>
  </si>
  <si>
    <t>hoh_savings_type</t>
  </si>
  <si>
    <t>525. Does your household currently have any savings that you keep in any of the following ways?</t>
  </si>
  <si>
    <t>525. Votre ménage dispose-t-il actuellement d'économies que vous conservez de l'une des manières suivantes ?</t>
  </si>
  <si>
    <t>525. Ko a halin yanzu gidanku na da ajiyar kuɗi daga ɗaya a cikin wanɗannan dubaru?</t>
  </si>
  <si>
    <t>552. Does your household currently have any savings that you keep in any of the following ways?</t>
  </si>
  <si>
    <t>552. Votre ménage dispose-t-il actuellement d'économies que vous conservez de l'une des manières suivantes ?</t>
  </si>
  <si>
    <t>552. Ko a halin yanzu gidanku na da ajiyar kuɗi daga ɗaya a cikin wanɗannan dubaru?</t>
  </si>
  <si>
    <t>hoh_savings_type_o</t>
  </si>
  <si>
    <t>526. Specify other:</t>
  </si>
  <si>
    <t>526. Autre a préciser :</t>
  </si>
  <si>
    <t>526. Baiyana wani abu daban:</t>
  </si>
  <si>
    <t>selected-at(${hoh_failed_prep_country}, ${hoh_failed_index}-1)</t>
  </si>
  <si>
    <t>553. Specify other:</t>
  </si>
  <si>
    <t>553. Autre a préciser :</t>
  </si>
  <si>
    <t>553. Baiyana wani abu daban:</t>
  </si>
  <si>
    <t>hoh_savings_amt</t>
  </si>
  <si>
    <t>hoh_savings_code</t>
  </si>
  <si>
    <t>hoh_savings_name</t>
  </si>
  <si>
    <t>Sunan irin tanadi</t>
  </si>
  <si>
    <t>hoh_savings_type_amt</t>
  </si>
  <si>
    <t>527. Please share with us your best estimate of the value in CFA ${hoh_savings_name}</t>
  </si>
  <si>
    <t>527. Veuillez nous dire votre meilleure estimation de la valeur en CFA ${hoh_savings_name}</t>
  </si>
  <si>
    <t>if(${hoh_failed_country_index} = -777, ${hoh_failed_prep_country_o}, choice-label(${hoh_failed_prep_country}, ${hoh_failed_country_index}))</t>
  </si>
  <si>
    <t>527. Da fatan zaku baiyana mini yawan kuɗin a tsammaninku ${hoh_savings_name} a CFA</t>
  </si>
  <si>
    <t>554. Please share with us your best estimate of the value in CFA ${hoh_savings_name}</t>
  </si>
  <si>
    <t>554. Veuillez nous dire votre meilleure estimation de la valeur en CFA ${hoh_savings_name}</t>
  </si>
  <si>
    <t>554. Da fatan zaku baiyana mini yawan kuɗin a tsammaninku ${hoh_savings_name} a CFA</t>
  </si>
  <si>
    <t>hoh_savings_interest</t>
  </si>
  <si>
    <t>528. Do you earn interest on this money ${hoh_savings_name}?</t>
  </si>
  <si>
    <t>528. Gagnez-vous des intérêts sur cet argent ${hoh_savings_name} ?</t>
  </si>
  <si>
    <t>search('towns', 'matches', 'country_id', ${hoh_failed_country_index})</t>
  </si>
  <si>
    <t>528. Kuna samun kudin ruwa akan wannan kuɗin ${hoh_savings_name}?</t>
  </si>
  <si>
    <t>not(${hoh_failed_country_index} = 1 or ${hoh_failed_country_index} = -999)</t>
  </si>
  <si>
    <t>555. Do you earn interest on this money ${hoh_savings_name}?</t>
  </si>
  <si>
    <t>555. Gagnez-vous des intérêts sur cet argent ${hoh_savings_name} ?</t>
  </si>
  <si>
    <t>555. Kuna samun kudin ruwa akan wannan kuɗin ${hoh_savings_name}?</t>
  </si>
  <si>
    <t>speedcheck_hoh_savings_end</t>
  </si>
  <si>
    <t>selected(${hoh_failed_town} , '-777')</t>
  </si>
  <si>
    <t>dur_hoh_savings</t>
  </si>
  <si>
    <t>hoh_savings_total</t>
  </si>
  <si>
    <t>hoh_savings_confirm</t>
  </si>
  <si>
    <t>529. Total savings: ${hoh_savings_total}: Does this look correct?</t>
  </si>
  <si>
    <t>529. Économies totales : ${hoh_savings_total} : cela vous semble correct ?</t>
  </si>
  <si>
    <t>529. Jimillar ajiya: ${hoh_savings_total}: kuna ganin ​​wannan yayi daidai?</t>
  </si>
  <si>
    <t>556. Total savings: ${hoh_savings_total}: Does this look correct?</t>
  </si>
  <si>
    <t>556. Économies totales : ${hoh_savings_total} : cela vous semble correct ?</t>
  </si>
  <si>
    <t>556. Jimillar ajiya: ${hoh_savings_total}: kuna ganin ​​wannan yayi daidai?</t>
  </si>
  <si>
    <t>${hoh_failed_country_index} = 1</t>
  </si>
  <si>
    <t>hoh_emergency</t>
  </si>
  <si>
    <t>530. During ${period}, was your household negatively affected by any of the following types of events?</t>
  </si>
  <si>
    <t>530. Au cours de ${period_french}, votre ménage a-t-il été affecté négativement par l'un des types d'événements suivants ?</t>
  </si>
  <si>
    <t>530. A lokacin ${period_hausa}, ko gidanku ya fuskanci wani daga cikin matsaloli nan masu zuwa? Zaɓi duk abin da ya dace</t>
  </si>
  <si>
    <t>selected(${hoh_failed_region}, '-777')</t>
  </si>
  <si>
    <t>557. During ${period}, was your household negatively affected by any of the following types of events?</t>
  </si>
  <si>
    <t>557. Au cours de ${period_french}, votre ménage a-t-il été affecté négativement par l'un des types d'événements suivants ?</t>
  </si>
  <si>
    <t>557. A lokacin ${period_hausa}, ko gidanku ya fuskanci wani daga cikin matsaloli nan masu zuwa? Zaɓi duk abin da ya dace</t>
  </si>
  <si>
    <t>hoh_emergency_o</t>
  </si>
  <si>
    <t>531. Please briefly describe the event(s) that negatveily affected your household</t>
  </si>
  <si>
    <t>531. Veuillez décrire brièvement le/les événement(s) qui ont eu des effets négatifs sur votre ménage au cours des 3 derniers mois</t>
  </si>
  <si>
    <t>531. Da fatan za ku yi taƙaitaccen bayani a kan abin da ya shafi gidan ku</t>
  </si>
  <si>
    <t>558. Please briefly describe the event(s) that negatveily affected your household</t>
  </si>
  <si>
    <t>558. Veuillez décrire brièvement le/les événement(s) qui ont eu des effets négatifs sur votre ménage au cours des 3 derniers mois</t>
  </si>
  <si>
    <t>558. Da fatan za ku yi taƙaitaccen bayani a kan abin da ya shafi gidan ku</t>
  </si>
  <si>
    <t>speedcheck_hoh_emerg_start</t>
  </si>
  <si>
    <t>${hoh_failed_country_index} != -999</t>
  </si>
  <si>
    <t>hoh_emerg_resp</t>
  </si>
  <si>
    <t>hoh_emergency_name</t>
  </si>
  <si>
    <t>hoh_emerg_yes</t>
  </si>
  <si>
    <t>hoh_emerg_note</t>
  </si>
  <si>
    <t>532. In response to ${hoh_emergency_name}, did you or your household take the following actions?</t>
  </si>
  <si>
    <t>532. En réponse à ${hoh_emergency_name}, avez-vous vous ou votre ménage pris les mesures suivantes ??</t>
  </si>
  <si>
    <t>532. Dangance da ${hoh_emergency_name}, ku ko ƴan gindanku kun ɗauki waɗannan matakai?</t>
  </si>
  <si>
    <t>559. In response to ${hoh_emergency_name}, did you or your household take the following actions?</t>
  </si>
  <si>
    <t>559. En réponse à ${hoh_emergency_name}, avez-vous vous ou votre ménage pris les mesures suivantes ??</t>
  </si>
  <si>
    <t>559. Dangance da ${hoh_emergency_name}, ku ko ƴan gindanku kun ɗauki waɗannan matakai?</t>
  </si>
  <si>
    <t>hoh_emerg_sell</t>
  </si>
  <si>
    <t>533. Sell assets?</t>
  </si>
  <si>
    <t>533. Vendre des actifs</t>
  </si>
  <si>
    <t>533. Saida kadarori</t>
  </si>
  <si>
    <t>560. Sell assets?</t>
  </si>
  <si>
    <t>560. Vendre des actifs</t>
  </si>
  <si>
    <t>560. Saida kadarori</t>
  </si>
  <si>
    <t>hoh_emerg_borrow</t>
  </si>
  <si>
    <t>534. Borrow money?</t>
  </si>
  <si>
    <t>534. Emprunter de l'argent</t>
  </si>
  <si>
    <t>534. Bashin kuɗi</t>
  </si>
  <si>
    <t>selected(${hoh_failed_prep_reason}, '-777')</t>
  </si>
  <si>
    <t>561. Borrow money?</t>
  </si>
  <si>
    <t>561. Emprunter de l'argent</t>
  </si>
  <si>
    <t>561. Bashin kuɗi</t>
  </si>
  <si>
    <t>hoh_emerg_spend</t>
  </si>
  <si>
    <t>535. Spend your savings?</t>
  </si>
  <si>
    <t>535. Utiliser votre épargne</t>
  </si>
  <si>
    <t>535. Kashe kuɗin ajiyar ku</t>
  </si>
  <si>
    <t>562. Spend your savings?</t>
  </si>
  <si>
    <t>562. Utiliser votre épargne</t>
  </si>
  <si>
    <t>562. Kashe kuɗin ajiyar ku</t>
  </si>
  <si>
    <t>hoh_emerg_consume</t>
  </si>
  <si>
    <t>536. Reduce spending on food or change your food consumption?</t>
  </si>
  <si>
    <t>536. Réduire les dépenses alimentaires ou changé des habitudes de consommation ?</t>
  </si>
  <si>
    <t>536. Rage kashe kuɗi akan abinci ko canza abincin?</t>
  </si>
  <si>
    <t>563. Reduce spending on food or change your food consumption?</t>
  </si>
  <si>
    <t>563. Réduire les dépenses alimentaires ou changé des habitudes de consommation ?</t>
  </si>
  <si>
    <t>563. Rage kashe kuɗi akan abinci ko canza abincin?</t>
  </si>
  <si>
    <t>hoh_emerg_amt</t>
  </si>
  <si>
    <t>hoh_emerg_note2</t>
  </si>
  <si>
    <t>537. For ${hoh_emergency_name}
 What was the value of the following in CFA?</t>
  </si>
  <si>
    <t>537. Par rapport à ${hoh_emergency_name}
 Quelle était la valeur des éléments suivantes en CFA?</t>
  </si>
  <si>
    <t>537. Game da ${hoh_emergency_name}
 Nawa ne kimar waɗannan abubuwan a kuɗin CFA?</t>
  </si>
  <si>
    <t>564. For ${hoh_emergency_name}
 What was the value of the following in CFA?</t>
  </si>
  <si>
    <t>564. Par rapport à ${hoh_emergency_name}
 Quelle était la valeur des éléments suivantes en CFA?</t>
  </si>
  <si>
    <t>564. Game da ${hoh_emergency_name}
 Nawa ne kimar waɗannan abubuwan a kuɗin CFA?</t>
  </si>
  <si>
    <t>hoh_emerg_sell_amt</t>
  </si>
  <si>
    <t>538. Assets you sold</t>
  </si>
  <si>
    <t>538. Les actifs que vous avez vendus</t>
  </si>
  <si>
    <t>538. Kadarorin da kuka saida</t>
  </si>
  <si>
    <t>565. Assets you sold</t>
  </si>
  <si>
    <t>565. Les actifs que vous avez vendus</t>
  </si>
  <si>
    <t>565. Kadarorin da kuka saida</t>
  </si>
  <si>
    <t>hoh_emerg_borrow_amt</t>
  </si>
  <si>
    <t>539. Loan(s) you took</t>
  </si>
  <si>
    <t>539. Les prêt(s) que vous avez contracté</t>
  </si>
  <si>
    <t>539. Bashin da kuka ɗauka</t>
  </si>
  <si>
    <t>566. Loan(s) you took</t>
  </si>
  <si>
    <t>566. Les prêt(s) que vous avez contracté</t>
  </si>
  <si>
    <t>566. Bashin da kuka ɗauka</t>
  </si>
  <si>
    <t>hoh_emerg_spend_amt</t>
  </si>
  <si>
    <t>540. Savings you spent?</t>
  </si>
  <si>
    <t>540. L'épargne que vous avez utilisé</t>
  </si>
  <si>
    <t>540. Ajiyar da kuka kashe</t>
  </si>
  <si>
    <t>567. Savings you spent?</t>
  </si>
  <si>
    <t>567. L'épargne que vous avez utilisé</t>
  </si>
  <si>
    <t>567. Ajiyar da kuka kashe</t>
  </si>
  <si>
    <t xml:space="preserve">${speedcheck_hoh_roster_end} - ${speedcheck_hoh_roster_start} </t>
  </si>
  <si>
    <t>speedcheck_hoh_emerg_end</t>
  </si>
  <si>
    <t>dur_hoh_emerg</t>
  </si>
  <si>
    <t>speedcheck_hoh_credit_start</t>
  </si>
  <si>
    <t>hoh_owe_note</t>
  </si>
  <si>
    <t>541. Now I would like to ask you about any money that you and your family owe to other people; money you have borrowed from people outside your household.</t>
  </si>
  <si>
    <t>541. Maintenant, je voudrais vous poser des questions sur l'argent que vous et votre ménage devez à d'autres personnes ; l'argent que vous avez emprunté à des personnes extérieures à votre ménage.</t>
  </si>
  <si>
    <t>541. Yanzu ina son in tambaye ku game da duk wani kuɗin da ku da ƴan gidanku kuka ɗauko daga wajen wasu mutane; kuɗin da kuka aro daga mutane wanda ba ƴan gidanku ba.</t>
  </si>
  <si>
    <t>568. Now I would like to ask you about any money that you and your family owe to other people; money you have borrowed from people outside your household.</t>
  </si>
  <si>
    <t>568. Maintenant, je voudrais vous poser des questions sur l'argent que vous et votre ménage devez à d'autres personnes ; l'argent que vous avez emprunté à des personnes extérieures à votre ménage.</t>
  </si>
  <si>
    <t>568. Yanzu ina son in tambaye ku game da duk wani kuɗin da ku da ƴan gidanku kuka ɗauko daga wajen wasu mutane; kuɗin da kuka aro daga mutane wanda ba ƴan gidanku ba.</t>
  </si>
  <si>
    <t>hoh_credit_refuse</t>
  </si>
  <si>
    <t>542. In the last six months did you or a member of your household try to secure a loan from any source but were refused?</t>
  </si>
  <si>
    <t>Au cours des six derniers mois, vous ou un membre de votre ménage avez-vous tenté d'obtenir un prêt, quelle qu'en soit la source, mais votre demande a été refusée ?</t>
  </si>
  <si>
    <t>A cikin watanni shida da suka gabata kai ko wani dan gidan ku kun yi ƙoƙarin samun bashi daga kowace hanya amma an ƙi a baku ?</t>
  </si>
  <si>
    <t>569. In the last six months did you or a member of your household try to secure a loan from any source but were refused?</t>
  </si>
  <si>
    <t>569. Au cours des six derniers mois, vous ou un membre de votre ménage avez-vous tenté d'obtenir un prêt, quelle qu'en soit la source, mais votre demande a été refusée ?</t>
  </si>
  <si>
    <t>569. A cikin watanni shida da suka gabata kai ko wani dan gidan ku kun yi ƙoƙarin samun bashi daga kowace hanya amma an ƙi a baku ?</t>
  </si>
  <si>
    <t>hoh_credit_refuse_amt</t>
  </si>
  <si>
    <t>543. What was the value of the loan in CFA?</t>
  </si>
  <si>
    <t>543. Quelle était la valeur du prêt en CFA?</t>
  </si>
  <si>
    <t>543. Nawa ne yawan kuɗin bashin a sefa?</t>
  </si>
  <si>
    <t>join-if(' ', ${hoh_roster_index}, ${hoh_roster_age} &gt;= 7)</t>
  </si>
  <si>
    <t>570. What was the value of the loan in CFA?</t>
  </si>
  <si>
    <t>570. Quelle était la valeur du prêt en CFA?</t>
  </si>
  <si>
    <t>570. Nawa ne yawan kuɗin bashin a sefa?</t>
  </si>
  <si>
    <t>hoh_borrow_total</t>
  </si>
  <si>
    <t>544. Think about all the people you or members of your household owe money, including recent loans, what is the total value your household owes (in CFA)?</t>
  </si>
  <si>
    <t>544. Pensez à toutes les personnes que vous ou les membres de votre ménage devez de l'argent, y compris les prêts récents, quelle est la valeur totale que votre ménage doit (en CFA) ?</t>
  </si>
  <si>
    <t>544. Ku tuna da duk mutanen da ke bin da ƴan gidanku kuɗi, dukan basussuka sabi da tsohi, nawa jimillar kuɗin a ke bin gidanku (a kuɗin sefa CFA)?</t>
  </si>
  <si>
    <t>571. Think about all the people you or members of your household owe money, including recent loans, what is the total value your household owes (in CFA)?</t>
  </si>
  <si>
    <t>571. Pensez à toutes les personnes que vous ou les membres de votre ménage devez de l'argent, y compris les prêts récents, quelle est la valeur totale que votre ménage doit (en CFA) ?</t>
  </si>
  <si>
    <t>571. Ku tuna da duk mutanen da ke bin da ƴan gidanku kuɗi, dukan basussuka sabi da tsohi, nawa jimillar kuɗin a ke bin gidanku (a kuɗin sefa CFA)?</t>
  </si>
  <si>
    <t>hoh_borrow_ppm</t>
  </si>
  <si>
    <t>674. Do you know if a loan was given to your household by a household that participated in the TSARI training program?</t>
  </si>
  <si>
    <t>Savez-vous si un prêt a été accordé à votre ménage par un ménage ayant participé au programme de formation TSARI ?</t>
  </si>
  <si>
    <t>Shin ko kun san ko gidan ku ya karɓi bashi daga wani gida da ke cikin shirin TSARI ?</t>
  </si>
  <si>
    <t>join-if(' ', ${hoh_roster_index}, ${hoh_living_in_hh} = 1)</t>
  </si>
  <si>
    <t>572. Do you know if a loan was given to your household by a household that participated in the TSARI training program?</t>
  </si>
  <si>
    <t>572. Savez-vous si un prêt a été accordé à votre ménage par un ménage ayant participé au programme de formation TSARI ?</t>
  </si>
  <si>
    <t>572. Shin ko kun san ko gidan ku ya karɓi bashi daga wani gida da ke cikin shirin TSARI ?</t>
  </si>
  <si>
    <t>hoh_transfer_village</t>
  </si>
  <si>
    <t>675. In the past six months, have you or anyone in your household received money or goods from someone who is not a member of your household and lives in your village in Niger?</t>
  </si>
  <si>
    <t>Au cours des six derniers mois, vous ou un membre de votre ménage avez-vous reçu de l'argent ou des biens d'une personne extérieure à votre ménage et vivant dans votre village au Niger ?</t>
  </si>
  <si>
    <t>A cikin watanni shida da suka gabata, kai ko wani a cikin gidan ku kun karbi kudi ko kaya daga wani wanda ba ɗan gidanku ba ne kuma yana zaune a kauyenku a Nijar?</t>
  </si>
  <si>
    <t>573. In the past six months, have you or anyone in your household received money or goods from someone who is not a member of your household and lives in your village in Niger?</t>
  </si>
  <si>
    <t>573. Au cours des six derniers mois, vous ou un membre de votre ménage avez-vous reçu de l'argent ou des biens d'une personne extérieure à votre ménage et vivant dans votre village au Niger ?</t>
  </si>
  <si>
    <t>573. A cikin watanni shida da suka gabata, kai ko wani a cikin gidan ku kun karbi kudi ko kaya daga wani wanda ba ɗan gidanku ba ne kuma yana zaune a kauyenku a Nijar?</t>
  </si>
  <si>
    <t>hoh_transfer_village_ppm</t>
  </si>
  <si>
    <t>676. Do you know if the person who gave your hosuehold money was from a household that participated in the TSARI training program?</t>
  </si>
  <si>
    <t>Savez-vous si la personne qui a donné de l'argent à votre ménage était issue d'un ménage ayant participé au programme de formation TSARI ?</t>
  </si>
  <si>
    <t>Shin kun san ko mutumin da ya bada kuɗin ga gidan ku ko ya fito daga gidajen da suka shiga cikin shirin horon TSARI ne?</t>
  </si>
  <si>
    <t>574. Do you know if the person who gave your hosuehold money was from a household that participated in the TSARI training program?</t>
  </si>
  <si>
    <t>574. Savez-vous si la personne qui a donné de l'argent à votre ménage était issue d'un ménage ayant participé au programme de formation TSARI ?</t>
  </si>
  <si>
    <t>574. Shin kun san ko mutumin da ya bada kuɗin ga gidan ku ko ya fito daga gidajen da suka shiga cikin shirin horon TSARI ne?</t>
  </si>
  <si>
    <t>join-if(' ', ${hoh_roster_index}, ${hoh_roster_in} = 1 or empty(${hoh_roster_name_cases}))</t>
  </si>
  <si>
    <t>speedcheck_hoh_credit_end</t>
  </si>
  <si>
    <t>dur_hoh_credit</t>
  </si>
  <si>
    <t>speedcheck_hoh_foodinsec_start</t>
  </si>
  <si>
    <t>hoh_meals_note</t>
  </si>
  <si>
    <t>548. I will now ask you about meals people in your household have consumed in the past 7 days.</t>
  </si>
  <si>
    <t>548. Je vais maintenant vous poser des questions sur les repas que les membres de votre ménage ont consommé au cours des 7 derniers jours.</t>
  </si>
  <si>
    <t>548. Yanzu zan tambaye ku bisa abincin da mutanen gidanku suka ci a cikin kwanaki 7 da suka wuce.</t>
  </si>
  <si>
    <t>575. I will now ask you about meals people in your household have consumed in the past 7 days.</t>
  </si>
  <si>
    <t>575. Je vais maintenant vous poser des questions sur les repas que les membres de votre ménage ont consommé au cours des 7 derniers jours.</t>
  </si>
  <si>
    <t>575. Yanzu zan tambaye ku bisa abincin da mutanen gidanku suka ci a cikin kwanaki 7 da suka wuce.</t>
  </si>
  <si>
    <t>if(sum(${hoh_dom_mig_ind}) &gt; 0, 1, 0)</t>
  </si>
  <si>
    <t>hoh_adults_skip_days</t>
  </si>
  <si>
    <t>549. In the last 7 days, have adults gone a whole day without meals?</t>
  </si>
  <si>
    <t>549. Au cours des 7 derniers jours, des adultes sont-ils restés une journée entière sans manger de repas ?</t>
  </si>
  <si>
    <t>549. A cikin kwanaki 7 da suka wuce, ko manya gidanku sun zauna tsawon wuni guda basu ci abinci ba?</t>
  </si>
  <si>
    <t>576. In the last 7 days, have adults gone a whole day without meals?</t>
  </si>
  <si>
    <t>576. Au cours des 7 derniers jours, des adultes sont-ils restés une journée entière sans manger de repas ?</t>
  </si>
  <si>
    <t>576. A cikin kwanaki 7 da suka wuce, ko manya gidanku sun zauna tsawon wuni guda basu ci abinci ba?</t>
  </si>
  <si>
    <t>hoh_adults_skip_days_num</t>
  </si>
  <si>
    <t>550. How many days?</t>
  </si>
  <si>
    <t>550. Pendant combien de jours?</t>
  </si>
  <si>
    <t>550. 151a Tsawon kwanaki nawa?</t>
  </si>
  <si>
    <t>if(sum(${hoh_border_cross_ind}) &gt; 0, 1, 0)</t>
  </si>
  <si>
    <t>577. How many days?</t>
  </si>
  <si>
    <t>577. Pendant combien de jours?</t>
  </si>
  <si>
    <t>577. 151a Tsawon kwanaki nawa?</t>
  </si>
  <si>
    <t>hoh_adults_skip_meals</t>
  </si>
  <si>
    <t>551. In the last 7 days, have adults cut the size of meals or skipped meals?</t>
  </si>
  <si>
    <t>551. Au cours des 7 derniers jours, les adultes ont-ils réduit la taille de leur repas ou les ont-ils sauté?</t>
  </si>
  <si>
    <t>551. A cikin kwanaki 7 na ƙarshe, ko manyan gidanku sun rage yawan abincin da suka saba ci ko sun tsallake shi?</t>
  </si>
  <si>
    <t>578. In the last 7 days, have adults cut the size of meals or skipped meals?</t>
  </si>
  <si>
    <t>578. Au cours des 7 derniers jours, les adultes ont-ils réduit la taille de leur repas ou les ont-ils sauté?</t>
  </si>
  <si>
    <t>578. A cikin kwanaki 7 na ƙarshe, ko manyan gidanku sun rage yawan abincin da suka saba ci ko sun tsallake shi?</t>
  </si>
  <si>
    <t>hoh_adults_skip_meal_num</t>
  </si>
  <si>
    <t>552. How many days?</t>
  </si>
  <si>
    <t>552. Pendant combien de jours?</t>
  </si>
  <si>
    <t>552. Tsawon kwanaki nawa?</t>
  </si>
  <si>
    <t>if(sum(${hoh_border_cross_ecowas_ind}) &gt; 0, 1, 0)</t>
  </si>
  <si>
    <t>579. How many days?</t>
  </si>
  <si>
    <t>579. Pendant combien de jours?</t>
  </si>
  <si>
    <t>579. Tsawon kwanaki nawa?</t>
  </si>
  <si>
    <t>hoh_adult_protein</t>
  </si>
  <si>
    <t>553. In the past week how many days have adults in your household consumed animal protein (including fish, meat, poultry)?</t>
  </si>
  <si>
    <t>553. Au cours des 7 derniers jours, combien de fois les adultes de votre ménage ont-ils consommé des protéines animales (y compris poisson, viande, volaille) ?</t>
  </si>
  <si>
    <t>553. A cikin kwanaki 7 da suka wuce sau nawa manyan gidanku suka ci abinci masu gina jiki kamar su kifi ko nama ko kaji?</t>
  </si>
  <si>
    <t>580. In the past week how many days have adults in your household consumed animal protein (including fish, meat, poultry)?</t>
  </si>
  <si>
    <t>580. Au cours des 7 derniers jours, combien de fois les adultes de votre ménage ont-ils consommé des protéines animales (y compris poisson, viande, volaille) ?</t>
  </si>
  <si>
    <t>580. A cikin kwanaki 7 da suka wuce sau nawa manyan gidanku suka ci abinci masu gina jiki kamar su kifi ko nama ko kaji?</t>
  </si>
  <si>
    <t>hoh_child_skip_days</t>
  </si>
  <si>
    <t>554. In the last 7 days, have children (&lt;14) gone a whole day without meals?</t>
  </si>
  <si>
    <t>554. Au cours des 7 derniers jours, des enfants (&lt;14) ont-ils passé une journée entière sans manger de repas ?</t>
  </si>
  <si>
    <t>554. A cikin kwanaki 7 na ƙarshe, ko yara ƴan ƙasa da shekara goma sha huɗu sun zauna tsawon wuni guda ba su ci da abinci ba?</t>
  </si>
  <si>
    <t>if(${hoh_dom_mig} = 1 or ${hoh_border_cross} = 1, 1, 0)</t>
  </si>
  <si>
    <t>581. In the last 7 days, have children (&lt;14) gone a whole day without meals?</t>
  </si>
  <si>
    <t>581. Au cours des 7 derniers jours, des enfants (&lt;14) ont-ils passé une journée entière sans manger de repas ?</t>
  </si>
  <si>
    <t>581. A cikin kwanaki 7 na ƙarshe, ko yara ƴan ƙasa da shekara goma sha huɗu sun zauna tsawon wuni guda ba su ci da abinci ba?</t>
  </si>
  <si>
    <t>hoh_child_skip_days_num</t>
  </si>
  <si>
    <t>555. How many days?</t>
  </si>
  <si>
    <t>555. Pendant combien de jours?</t>
  </si>
  <si>
    <t>555. 154a Tsawon kwanaki nawa?</t>
  </si>
  <si>
    <t>582. How many days?</t>
  </si>
  <si>
    <t>582. Pendant combien de jours?</t>
  </si>
  <si>
    <t>582. 154a Tsawon kwanaki nawa?</t>
  </si>
  <si>
    <t>hoh_child_skip_meals</t>
  </si>
  <si>
    <t>556. In the last 7 days, have children (&lt;14) cut the size of meals or skipped meals?</t>
  </si>
  <si>
    <t>556. Au cours des 7 derniers jours, des enfants (&lt;14) ont-ils réduit la taille de leurs repas ou les ont-ils sauté?</t>
  </si>
  <si>
    <t>556. A cikin kwanaki 7 na ƙarshe, suna da yara (&lt;14) sun rage yawan abinci ko sun rasa gaba ɗaya?</t>
  </si>
  <si>
    <t>583. In the last 7 days, have children (&lt;14) cut the size of meals or skipped meals?</t>
  </si>
  <si>
    <t>583. Au cours des 7 derniers jours, des enfants (&lt;14) ont-ils réduit la taille de leurs repas ou les ont-ils sauté?</t>
  </si>
  <si>
    <t>583. A cikin kwanaki 7 na ƙarshe, suna da yara (&lt;14) sun rage yawan abinci ko sun rasa gaba ɗaya?</t>
  </si>
  <si>
    <t>hoh_child_skip_meals_num</t>
  </si>
  <si>
    <t>557. How many days?</t>
  </si>
  <si>
    <t>557. Pendant combien de jours?</t>
  </si>
  <si>
    <t>557. 155a Tsawon kwanaki nawa?</t>
  </si>
  <si>
    <t>584. How many days?</t>
  </si>
  <si>
    <t>584. Pendant combien de jours?</t>
  </si>
  <si>
    <t>584. 155a Tsawon kwanaki nawa?</t>
  </si>
  <si>
    <t>hoh_child_protein</t>
  </si>
  <si>
    <t>558. In the past week how many days have children in your household consumed animal protein (inlcuding fish, meat, poultry)?</t>
  </si>
  <si>
    <t>558. Au cours des 7 derniers jours, combien de fois les enfants de votre ménage ont-ils consommé des protéines animales (y compris poisson, viande, volaille) ?</t>
  </si>
  <si>
    <t>558. A cikin kwanaki 7 da suka gabata sau nawa yara a cikin gidanku suka ci abinci masu gina jiki kamar su kifi, nama, kaji ?</t>
  </si>
  <si>
    <t>585. In the past week how many days have children in your household consumed animal protein (inlcuding fish, meat, poultry)?</t>
  </si>
  <si>
    <t>585. Au cours des 7 derniers jours, combien de fois les enfants de votre ménage ont-ils consommé des protéines animales (y compris poisson, viande, volaille) ?</t>
  </si>
  <si>
    <t>585. A cikin kwanaki 7 da suka gabata sau nawa yara a cikin gidanku suka ci abinci masu gina jiki kamar su kifi, nama, kaji ?</t>
  </si>
  <si>
    <t>speedcheck_hoh_foodinsec_end</t>
  </si>
  <si>
    <t>dur_hoh_foodinsec</t>
  </si>
  <si>
    <t>hoh_consumption</t>
  </si>
  <si>
    <t>speedcheck_hoh_cons_start</t>
  </si>
  <si>
    <t>hoh_monthly_consumption_any</t>
  </si>
  <si>
    <t>559. Has your household spent money on the following types of expenses in the past month?</t>
  </si>
  <si>
    <t>559. Votre ménage a-t-il dépensé de l'argent pour les types de dépenses suivants au cours du dernier mois ?</t>
  </si>
  <si>
    <t>559. Shin gidanku ya kashe kuɗi akan irin waɗannan abubuwan a cikin watan da ya gabata?</t>
  </si>
  <si>
    <t>586. Has your household spent money on the following types of expenses in the past month?</t>
  </si>
  <si>
    <t>586. Votre ménage a-t-il dépensé de l'argent pour les types de dépenses suivants au cours du dernier mois ?</t>
  </si>
  <si>
    <t>586. Shin gidanku ya kashe kuɗi akan irin waɗannan abubuwan a cikin watan da ya gabata?</t>
  </si>
  <si>
    <t>hoh_cons_month</t>
  </si>
  <si>
    <t>hoh_item</t>
  </si>
  <si>
    <t>hoh_monthly_consumption_amt</t>
  </si>
  <si>
    <t>560. How much did your household spend on ${hoh_item} in the past month (in CFA)?</t>
  </si>
  <si>
    <t>${hoh_own_home} = 1</t>
  </si>
  <si>
    <t>560. Combien votre ménage a-t-il dépensé pour ${hoh_item} au cours du dernier mois (en CFA) ?</t>
  </si>
  <si>
    <t>560. Nawa ne (a CFA) gidanku ya kashe akan ${hoh_item} cikin watan da ya gabata ?</t>
  </si>
  <si>
    <t>587. How much did your household spend on ${hoh_item} in the past month (in CFA)?</t>
  </si>
  <si>
    <t>587. Combien votre ménage a-t-il dépensé pour ${hoh_item} au cours du dernier mois (en CFA) ?</t>
  </si>
  <si>
    <t>587. Nawa ne (a CFA) gidanku ya kashe akan ${hoh_item} cikin watan da ya gabata ?</t>
  </si>
  <si>
    <t>hoh_weekly_consumption_any</t>
  </si>
  <si>
    <t>561. Has your household spent money on the following types of expenses in the past week?</t>
  </si>
  <si>
    <t>561. Votre ménage a-t-il dépensé de l'argent pour les types de dépenses suivants au cours de la semaine dernière ?</t>
  </si>
  <si>
    <t>561. Ko gidanku sun kashe kuɗi akan ire iren waɗannan abubuwan a cikin satin da ya gabata?</t>
  </si>
  <si>
    <t>not(selected(., '0') and count-selected(.) &gt; 1)</t>
  </si>
  <si>
    <t>588. Has your household spent money on the following types of expenses in the past week?</t>
  </si>
  <si>
    <t>588. Votre ménage a-t-il dépensé de l'argent pour les types de dépenses suivants au cours de la semaine dernière ?</t>
  </si>
  <si>
    <t>588. Ko gidanku sun kashe kuɗi akan ire iren waɗannan abubuwan a cikin satin da ya gabata?</t>
  </si>
  <si>
    <t>hoh_cons_week</t>
  </si>
  <si>
    <t>hoh_item_week</t>
  </si>
  <si>
    <t>hoh_weekly_consumption_amt</t>
  </si>
  <si>
    <t>562. How much did your household spend on ${hoh_item_week} in the past week (in CFA)?</t>
  </si>
  <si>
    <t>562. Combien votre ménage a-t-il dépensé en ${hoh_item_week} la semaine dernière (en CFA) ?</t>
  </si>
  <si>
    <t>562. Nawa ne gidan ku ya kashe (a CFA) a ${hoh_item_week} satin da ya gabata ?</t>
  </si>
  <si>
    <t>589. How much did your household spend on ${hoh_item_week} in the past week (in CFA)?</t>
  </si>
  <si>
    <t>589. Combien votre ménage a-t-il dépensé en ${hoh_item_week} la semaine dernière (en CFA) ?</t>
  </si>
  <si>
    <t>589. Nawa ne gidan ku ya kashe (a CFA) a ${hoh_item_week} satin da ya gabata ?</t>
  </si>
  <si>
    <t>hoh_tabaski</t>
  </si>
  <si>
    <t>hoh_purchase</t>
  </si>
  <si>
    <t>563. For Tabaski, did your household purchase any of the following?</t>
  </si>
  <si>
    <t>563. Pour le Tabaski, votre ménage a-t-il acheté l'un des produits suivants ?</t>
  </si>
  <si>
    <t>590. For Tabaski, did your household purchase any of the following?</t>
  </si>
  <si>
    <t>590. Pour le Tabaski, votre ménage a-t-il acheté l'un des produits suivants ?</t>
  </si>
  <si>
    <t>590. Shin ko kun san ko gidan ku ya karɓi bashi daga wani gida da ke cikin shirin TSARI ?</t>
  </si>
  <si>
    <t>hoh_purchase_clothing</t>
  </si>
  <si>
    <t>564. Clothing</t>
  </si>
  <si>
    <t>564. Vêtements</t>
  </si>
  <si>
    <t>564. Tufafi</t>
  </si>
  <si>
    <t>591. Clothing</t>
  </si>
  <si>
    <t>not(selected(${hoh_livestock_any}, '0'))</t>
  </si>
  <si>
    <t>591. Vêtements</t>
  </si>
  <si>
    <t>591. Tufafi</t>
  </si>
  <si>
    <t>hoh_purchase_sheep</t>
  </si>
  <si>
    <t>565. Sheep</t>
  </si>
  <si>
    <t>count-selected(${hoh_livestock_any})</t>
  </si>
  <si>
    <t>565. Mouton</t>
  </si>
  <si>
    <t>565. Rago</t>
  </si>
  <si>
    <t>592. Sheep</t>
  </si>
  <si>
    <t>592. Mouton</t>
  </si>
  <si>
    <t>592. Rago</t>
  </si>
  <si>
    <t>hoh_purchase_goat</t>
  </si>
  <si>
    <t>566. Goat</t>
  </si>
  <si>
    <t>566. Chèvre</t>
  </si>
  <si>
    <t>566. Akuya</t>
  </si>
  <si>
    <t>choice-label(${hoh_livestock_any}, selected-at(${hoh_livestock_any}, index()-1))</t>
  </si>
  <si>
    <t>593. Goat</t>
  </si>
  <si>
    <t>593. Chèvre</t>
  </si>
  <si>
    <t>593. Akuya</t>
  </si>
  <si>
    <t>hoh_purchase_poultry</t>
  </si>
  <si>
    <t>567. Poultry</t>
  </si>
  <si>
    <t>567. Volaille</t>
  </si>
  <si>
    <t>567. Kaji</t>
  </si>
  <si>
    <t>. &gt;= 1 and . &lt;= 1000</t>
  </si>
  <si>
    <t>594. Poultry</t>
  </si>
  <si>
    <t>594. Volaille</t>
  </si>
  <si>
    <t>594. Kaji</t>
  </si>
  <si>
    <t>speedcheck_hoh_cons_end</t>
  </si>
  <si>
    <t>dur_hoh_cons</t>
  </si>
  <si>
    <t>speedcheck_hoh_end</t>
  </si>
  <si>
    <t>dur_hoh</t>
  </si>
  <si>
    <t>followup</t>
  </si>
  <si>
    <t>Follow Up Questions</t>
  </si>
  <si>
    <t>Questions de suivi</t>
  </si>
  <si>
    <t>Tambayoyi na bibiya</t>
  </si>
  <si>
    <t>followup_note</t>
  </si>
  <si>
    <t>568. As I mentioned at the beginning of our interview, we would like to stay in touch with you.</t>
  </si>
  <si>
    <t>568. Comme je l'ai mentionné au début de notre entretien, nous aimerions rester en contact avec vous.</t>
  </si>
  <si>
    <t>568. Kamar yadda na faɗa a farkon hirarmu, muna son mu ci gaba da tuntuɓar ku.</t>
  </si>
  <si>
    <t>595. As I mentioned at the beginning of our interview, we would like to stay in touch with you.</t>
  </si>
  <si>
    <t>595. Comme je l'ai mentionné au début de notre entretien, nous aimerions rester en contact avec vous.</t>
  </si>
  <si>
    <t>595. Kamar yadda na faɗa a farkon hirarmu, muna son mu ci gaba da tuntuɓar ku.</t>
  </si>
  <si>
    <t>primary_phone</t>
  </si>
  <si>
    <t>569. What is the phone number where we can reach you?</t>
  </si>
  <si>
    <t>569. Quel est le numéro de téléphone auquel nous pouvons vous joindre?</t>
  </si>
  <si>
    <t>569. Wace lambar waya ce zamu iya samun ku da ita?</t>
  </si>
  <si>
    <t>596. What is the phone number where we can reach you?</t>
  </si>
  <si>
    <t>596. Quel est le numéro de téléphone auquel nous pouvons vous joindre?</t>
  </si>
  <si>
    <t>596. Wace lambar waya ce zamu iya samun ku da ita?</t>
  </si>
  <si>
    <t>primary_phone_confirm</t>
  </si>
  <si>
    <t>570. I am going to read back the phone number you just shared with me. Can you confirm this is your primary phone number? ${primary_phone}</t>
  </si>
  <si>
    <t>570. Je vais relire le numéro de téléphone que vous venez de me donner. Pouvez-vous confirmer qu'il s'agit de votre numéro de téléphone principal ? ${primary_phone}</t>
  </si>
  <si>
    <t>570. Zan sake karanta lambar wayar da kuka bani. Zaku iya tabbatar mini da wannan itace lambar wayarku ta farko? ${primary_phone}</t>
  </si>
  <si>
    <t>597. I am going to read back the phone number you just shared with me. Can you confirm this is your primary phone number? ${primary_phone}</t>
  </si>
  <si>
    <t>597. Je vais relire le numéro de téléphone que vous venez de me donner. Pouvez-vous confirmer qu'il s'agit de votre numéro de téléphone principal ? ${primary_phone}</t>
  </si>
  <si>
    <t>597. Zan sake karanta lambar wayar da kuka bani. Zaku iya tabbatar mini da wannan itace lambar wayarku ta farko? ${primary_phone}</t>
  </si>
  <si>
    <t>primary_phone_2</t>
  </si>
  <si>
    <t>571. Please go back and correct the number.</t>
  </si>
  <si>
    <t>571. Veuillez revenir en arrière pour corriger le numéro.</t>
  </si>
  <si>
    <t>571. ko za ka koma baya ka gyara lambar.</t>
  </si>
  <si>
    <t>598. Please go back and correct the number.</t>
  </si>
  <si>
    <t>598. Veuillez revenir en arrière pour corriger le numéro.</t>
  </si>
  <si>
    <t>598. ko za ka koma baya ka gyara lambar.</t>
  </si>
  <si>
    <t>select_one call</t>
  </si>
  <si>
    <t>primary_phone_test</t>
  </si>
  <si>
    <t>572. I am going to call this phone number to confirm it is correct.</t>
  </si>
  <si>
    <t>572. Je vais appeler ce numéro de téléphone pour confirmer qu'il est correct.</t>
  </si>
  <si>
    <t>572. Zan kirayi wannan lambar don tabbatar da cewa daidai ce.</t>
  </si>
  <si>
    <t>599. I am going to call this phone number to confirm it is correct.</t>
  </si>
  <si>
    <t>599. Je vais appeler ce numéro de téléphone pour confirmer qu'il est correct.</t>
  </si>
  <si>
    <t>599. Zan kirayi wannan lambar don tabbatar da cewa daidai ce.</t>
  </si>
  <si>
    <t>primary_phone_test_note</t>
  </si>
  <si>
    <t>573. Please go back and enter a new phone number.</t>
  </si>
  <si>
    <t>573. Veuillez revenir en arrière pour entrer un nouveau numéro de téléphone.</t>
  </si>
  <si>
    <t>573. Ko za ka koma baya ka shigar da sabuwar lambar waya.</t>
  </si>
  <si>
    <t>600. Please go back and enter a new phone number.</t>
  </si>
  <si>
    <t>600. Veuillez revenir en arrière pour entrer un nouveau numéro de téléphone.</t>
  </si>
  <si>
    <t>600. Ko za ka koma baya ka shigar da sabuwar lambar waya.</t>
  </si>
  <si>
    <t>use_whatsapp</t>
  </si>
  <si>
    <t>574. Do you have a Whatsapp account/ phone number you use for WhatsApp?</t>
  </si>
  <si>
    <t>574. Avez-vous un compte/numéro de téléphone Whatsapp que vous utilisez pour WhatsApp ?</t>
  </si>
  <si>
    <t>574. Kuna yin WhatsApp / lambar wayar da kuke amfani da ita ta WhatsApp ce?</t>
  </si>
  <si>
    <t xml:space="preserve">${speedcheck_hoh_livestock_end} - ${speedcheck_hoh_livestock_start} </t>
  </si>
  <si>
    <t>601. Do you have a Whatsapp account/ phone number you use for WhatsApp?</t>
  </si>
  <si>
    <t>601. Avez-vous un compte/numéro de téléphone Whatsapp que vous utilisez pour WhatsApp ?</t>
  </si>
  <si>
    <t>601. Kuna yin WhatsApp / lambar wayar da kuke amfani da ita ta WhatsApp ce?</t>
  </si>
  <si>
    <t>phone_whatsapp</t>
  </si>
  <si>
    <t>575. Is this the phone number you use for whatsapp?</t>
  </si>
  <si>
    <t>575. Est-ce le numéro de téléphone que vous utilisez pour WhatsApp ?</t>
  </si>
  <si>
    <t>575. Wannan ita ce lambar wayar da kuke amfani da ita don yin whatsapp?</t>
  </si>
  <si>
    <t>602. Is this the phone number you use for whatsapp?</t>
  </si>
  <si>
    <t>602. Est-ce le numéro de téléphone que vous utilisez pour WhatsApp ?</t>
  </si>
  <si>
    <t>602. Wannan ita ce lambar wayar da kuke amfani da ita don yin whatsapp?</t>
  </si>
  <si>
    <t>phone_whatsapp_number</t>
  </si>
  <si>
    <t>576. Please tell me the phone number you use for Whatsapp</t>
  </si>
  <si>
    <t>576. Veuillez me dire le numéro de téléphone que vous utilisez pour Whatsapp</t>
  </si>
  <si>
    <t>576. Don Allah ku gaya mini lambar wayar da kuke amfani da ita don yin Whatsapp</t>
  </si>
  <si>
    <t>603. Please tell me the phone number you use for Whatsapp</t>
  </si>
  <si>
    <t>603. Veuillez me dire le numéro de téléphone que vous utilisez pour Whatsapp</t>
  </si>
  <si>
    <t>603. Don Allah ku gaya mini lambar wayar da kuke amfani da ita don yin Whatsapp</t>
  </si>
  <si>
    <t>phone_whatsapp_confirm</t>
  </si>
  <si>
    <t>577. I am going read back the phone number you just shared with me as your Whatsapp number. Is this the phone number you use for whatsapp? ${phone_whatsapp_number}</t>
  </si>
  <si>
    <t>577. Je vais relire le numéro de téléphone que vous nous avez donné comme votre numéro Whatsapp. Est-ce le numéro de téléphone que vous utilisez pour WhatsApp ? ${phone_whatsapp_number}</t>
  </si>
  <si>
    <t>577. Zan sake karanta lambar wayar da kuka bani a zaman lambar Whatsapp dinku. Wannan shine lambar wayar da kuke amfani da ita don yin whatsapp? ${phone_whatsapp_number}</t>
  </si>
  <si>
    <t>604. I am going read back the phone number you just shared with me as your Whatsapp number. Is this the phone number you use for whatsapp? ${phone_whatsapp_number}</t>
  </si>
  <si>
    <t>604. Je vais relire le numéro de téléphone que vous nous avez donné comme votre numéro Whatsapp. Est-ce le numéro de téléphone que vous utilisez pour WhatsApp ? ${phone_whatsapp_number}</t>
  </si>
  <si>
    <t>604. Zan sake karanta lambar wayar da kuka bani a zaman lambar Whatsapp dinku. Wannan shine lambar wayar da kuke amfani da ita don yin whatsapp? ${phone_whatsapp_number}</t>
  </si>
  <si>
    <t>whatsapp_mismatch</t>
  </si>
  <si>
    <t>578. Please go back and correct the number.</t>
  </si>
  <si>
    <t>578. Veuillez revenir en arrière pour corriger le numéro.</t>
  </si>
  <si>
    <t>578. Da fatan za ka koma baya ka gyara lambar.</t>
  </si>
  <si>
    <t>605. Please go back and correct the number.</t>
  </si>
  <si>
    <t>605. Veuillez revenir en arrière pour corriger le numéro.</t>
  </si>
  <si>
    <t>605. Da fatan za ka koma baya ka gyara lambar.</t>
  </si>
  <si>
    <t>primary_other_phone</t>
  </si>
  <si>
    <t>579. Do you have other phone numbers that you use regularly (i.e. other phone carriers)?</t>
  </si>
  <si>
    <t>579. Avez-vous d'autres numéros de téléphone que vous utilisez régulièrement (c'est-à-dire d'autres opérateurs téléphoniques) ?</t>
  </si>
  <si>
    <t>579. Ko kuna da wasu lambobin waya waɗanda kuke amfani da su kai-akai (layin wasu gidan wayar salula)?</t>
  </si>
  <si>
    <t>606. Do you have other phone numbers that you use regularly (i.e. other phone carriers)?</t>
  </si>
  <si>
    <t>606. Avez-vous d'autres numéros de téléphone que vous utilisez régulièrement (c'est-à-dire d'autres opérateurs téléphoniques) ?</t>
  </si>
  <si>
    <t>606. Ko kuna da wasu lambobin waya waɗanda kuke amfani da su kai-akai (layin wasu gidan wayar salula)?</t>
  </si>
  <si>
    <t>primary_other_phones</t>
  </si>
  <si>
    <t>580. How many other additional phone numbers?</t>
  </si>
  <si>
    <t>580. Y-a t-il d'autres numéros de téléphone supplémentaires ?</t>
  </si>
  <si>
    <t>580. 220 a. Ko akwai ƙarin wasu lambobin waya?</t>
  </si>
  <si>
    <t>607. How many other additional phone numbers?</t>
  </si>
  <si>
    <t>607. Y-a t-il d'autres numéros de téléphone supplémentaires ?</t>
  </si>
  <si>
    <t>607. 220 a. Ko akwai ƙarin wasu lambobin waya?</t>
  </si>
  <si>
    <t>other_phones</t>
  </si>
  <si>
    <t>Other Phones</t>
  </si>
  <si>
    <t>primary_other_phone_num</t>
  </si>
  <si>
    <t>581. What are these additional phone numbers?</t>
  </si>
  <si>
    <t>581. Quels sont les numéros de téléphone supplémentaires ?</t>
  </si>
  <si>
    <t>581. Waɗannene ƙarin lambobin wayan?</t>
  </si>
  <si>
    <t>608. What are these additional phone numbers?</t>
  </si>
  <si>
    <t>608. Quels sont les numéros de téléphone supplémentaires ?</t>
  </si>
  <si>
    <t>608. Waɗannene ƙarin lambobin wayan?</t>
  </si>
  <si>
    <t>secondary_contact1</t>
  </si>
  <si>
    <t>582.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</si>
  <si>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582.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</si>
  <si>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582. Idan ba za mu iya samun ku ba, ko za ku iya ba mu suna da lambar wayar wani wanda ba na gidanku ba da za mu iya kira don neman lambar ku?
 Za mu kirayi mutumen ne kawai idan bamu sameku ba bayan kira biyu zuwa uku, hakan zai taimaka mana ci gaba da tuntuɓar ku.</t>
  </si>
  <si>
    <t>609.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</si>
  <si>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609.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</si>
  <si>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609.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</si>
  <si>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</si>
  <si>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</si>
  <si>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</si>
  <si>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583. What is the last name of this person</t>
  </si>
  <si>
    <t>583. Quel est le nom de cette personne</t>
  </si>
  <si>
    <t>583. Menene sunan uban wannan mutumen?</t>
  </si>
  <si>
    <t>610. What is the last name of this person</t>
  </si>
  <si>
    <t>610. Quel est le nom de cette personne</t>
  </si>
  <si>
    <t>610. Menene sunan uban wannan mutumen?</t>
  </si>
  <si>
    <t>secondary_name1_first</t>
  </si>
  <si>
    <t>584. What is the first name of this person</t>
  </si>
  <si>
    <t>584. Quel est le prénom de cette personne</t>
  </si>
  <si>
    <t>584. Menene sunan wannan mutumen?</t>
  </si>
  <si>
    <t>611. What is the first name of this person</t>
  </si>
  <si>
    <t>611. Quel est le prénom de cette personne</t>
  </si>
  <si>
    <t>611. Menene sunan wannan mutumen?</t>
  </si>
  <si>
    <t>secondary_name1</t>
  </si>
  <si>
    <t>. &lt;= ${hoh_land_access_amt}</t>
  </si>
  <si>
    <t>secondary_phone1</t>
  </si>
  <si>
    <t>585. What is their phone number?</t>
  </si>
  <si>
    <t>585. Quel est leur numéro de téléphone?</t>
  </si>
  <si>
    <t>585. Menene lambar wayarsu?</t>
  </si>
  <si>
    <t>612. What is their phone number?</t>
  </si>
  <si>
    <t>612. Quel est leur numéro de téléphone?</t>
  </si>
  <si>
    <t>612. Menene lambar wayarsu?</t>
  </si>
  <si>
    <t>secondary_relation1</t>
  </si>
  <si>
    <t>586. What is ${secondary_name1}'s relationship to you?</t>
  </si>
  <si>
    <t>586. Quelle est la relation entre ${secondary_name1} et vous ?</t>
  </si>
  <si>
    <t>586. Menene alaƙar ku da ${secondary_name1} ?</t>
  </si>
  <si>
    <t>613. What is ${secondary_name1}'s relationship to you?</t>
  </si>
  <si>
    <t>613. Quelle est la relation entre ${secondary_name1} et vous ?</t>
  </si>
  <si>
    <t>613. Menene alaƙar ku da ${secondary_name1} ?</t>
  </si>
  <si>
    <t>secondary_phone1_confirm</t>
  </si>
  <si>
    <t>587. Just to confirm, is this the number? 
 ${secondary_name1}
 ${secondary_phone1}</t>
  </si>
  <si>
    <t>587. Juste pour confirmer, est-ce bien le numéro ?
 ${secondary_name1}
 ${secondary_phone1}</t>
  </si>
  <si>
    <t>587. Don tabbatarwa kawai, da wannan itace lambar?
 ${secondary_name1}
 ${secondary_phone1}</t>
  </si>
  <si>
    <t>614. Just to confirm, is this the number? 
 ${secondary_name1}
 ${secondary_phone1}</t>
  </si>
  <si>
    <t>614. Juste pour confirmer, est-ce bien le numéro ?
 ${secondary_name1}
 ${secondary_phone1}</t>
  </si>
  <si>
    <t>614. Don tabbatarwa kawai, da wannan itace lambar?
 ${secondary_name1}
 ${secondary_phone1}</t>
  </si>
  <si>
    <t>secondary_phone1_note</t>
  </si>
  <si>
    <t>588. Please go back and correct the name and phone number.</t>
  </si>
  <si>
    <t>588. Veuillez revenir en arrière et corriger le nom et le numéro de téléphone.</t>
  </si>
  <si>
    <t>588. Da fatan za ka koma baya don ka gyara suna da lambar waya.</t>
  </si>
  <si>
    <t>615. Please go back and correct the name and phone number.</t>
  </si>
  <si>
    <t>615. Veuillez revenir en arrière et corriger le nom et le numéro de téléphone.</t>
  </si>
  <si>
    <t>615. Da fatan za ka koma baya don ka gyara suna da lambar waya.</t>
  </si>
  <si>
    <t>secondary_phone1_test</t>
  </si>
  <si>
    <t>589. I am going to call this phone number to confirm it is correct. [Enumerator: Did the phone ring?]</t>
  </si>
  <si>
    <t>589. Je vais appeler ce numéro de téléphone pour confirmer qu'il est correct. [Enquêteur : Le téléphone a-t-il sonné ?]</t>
  </si>
  <si>
    <t>589. Zan kirayi wannan lambar wayar don tabbatar da daidai ce. [Ɗan bincike: Wayar ta yi ƙara?]</t>
  </si>
  <si>
    <t>616. I am going to call this phone number to confirm it is correct. [Enumerator: Did the phone ring?]</t>
  </si>
  <si>
    <t>616. Je vais appeler ce numéro de téléphone pour confirmer qu'il est correct. [Enquêteur : Le téléphone a-t-il sonné ?]</t>
  </si>
  <si>
    <t>616. Zan kirayi wannan lambar wayar don tabbatar da daidai ce. [Ɗan bincike: Wayar ta yi ƙara?]</t>
  </si>
  <si>
    <t>secondary_phone1_test_note</t>
  </si>
  <si>
    <t>590. Please go back and enter a new phone number.</t>
  </si>
  <si>
    <t>590. Veuillez ressaisir le numéro</t>
  </si>
  <si>
    <t>590. Da fatan zaku rubuta lambar</t>
  </si>
  <si>
    <t>617. Please go back and enter a new phone number.</t>
  </si>
  <si>
    <t>617. Veuillez ressaisir le numéro</t>
  </si>
  <si>
    <t>617. Da fatan zaku rubuta lambar</t>
  </si>
  <si>
    <t>secondary_contact2</t>
  </si>
  <si>
    <t>591.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</si>
  <si>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591.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</si>
  <si>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591.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</si>
  <si>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618.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</si>
  <si>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618.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</si>
  <si>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618.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</si>
  <si>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</si>
  <si>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</si>
  <si>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</si>
  <si>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592. What is the last name of this person</t>
  </si>
  <si>
    <t>592. Quel est le nom de cette personne?</t>
  </si>
  <si>
    <t>592. Menene sunan uban wannan mutumen?</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</si>
  <si>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</si>
  <si>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</si>
  <si>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</si>
  <si>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619. What is the last name of this person</t>
  </si>
  <si>
    <t>619. Quel est le nom de cette personne?</t>
  </si>
  <si>
    <t>${hoh_rent_land} &gt; 0</t>
  </si>
  <si>
    <t>619. Menene sunan uban wannan mutumen?</t>
  </si>
  <si>
    <t>secondary_name2_first</t>
  </si>
  <si>
    <t>593. What is the first name of this person</t>
  </si>
  <si>
    <t>593. Quel est le prénom de cette personne?</t>
  </si>
  <si>
    <t>593. Menene sunan wannan mutumen?</t>
  </si>
  <si>
    <t>620. What is the first name of this person</t>
  </si>
  <si>
    <t>620. Quel est le prénom de cette personne?</t>
  </si>
  <si>
    <t>620. Menene sunan wannan mutumen?</t>
  </si>
  <si>
    <t>secondary_name2</t>
  </si>
  <si>
    <t>secondary_phone2</t>
  </si>
  <si>
    <t>594. What is their phone number?</t>
  </si>
  <si>
    <t>594. Quel est leur numéro de téléphone?</t>
  </si>
  <si>
    <t>594. Menene lambar wayarsu?</t>
  </si>
  <si>
    <t>621. What is their phone number?</t>
  </si>
  <si>
    <t>621. Quel est leur numéro de téléphone?</t>
  </si>
  <si>
    <t>621. Menene lambar wayarsu?</t>
  </si>
  <si>
    <t>secondary_relation2</t>
  </si>
  <si>
    <t>595. What is ${secondary_name2}'s relationship to you?</t>
  </si>
  <si>
    <t>595. Quelle est la relation entre ${secondary_name2} et vous ?</t>
  </si>
  <si>
    <t>595. Menene alaƙar ku da ${secondary_name2} ?</t>
  </si>
  <si>
    <t>622. What is ${secondary_name2}'s relationship to you?</t>
  </si>
  <si>
    <t>622. Quelle est la relation entre ${secondary_name2} et vous ?</t>
  </si>
  <si>
    <t>622. Menene alaƙar ku da ${secondary_name2} ?</t>
  </si>
  <si>
    <t>secondary_phone2_confirm</t>
  </si>
  <si>
    <t>596. Just to confirm, is this the number? 
 ${secondary_name2}
 ${secondary_phone2}</t>
  </si>
  <si>
    <t>596. Juste pour confirmer, est-ce bien le numéro ?
 ${secondary_name2}
 ${secondary_phone2}</t>
  </si>
  <si>
    <t xml:space="preserve">${speedcheck_hoh_land_end} - ${speedcheck_hoh_land_start} </t>
  </si>
  <si>
    <t>596. Don tabbatar kawai, da wannan itace lambar?
 ${secondary_name2}
 ${secondary_phone2}</t>
  </si>
  <si>
    <t>623. Just to confirm, is this the number? 
 ${secondary_name2}
 ${secondary_phone2}</t>
  </si>
  <si>
    <t>623. Juste pour confirmer, est-ce bien le numéro ?
 ${secondary_name2}
 ${secondary_phone2}</t>
  </si>
  <si>
    <t>623. Don tabbatar kawai, da wannan itace lambar?
 ${secondary_name2}
 ${secondary_phone2}</t>
  </si>
  <si>
    <t>secondary_phone2_note</t>
  </si>
  <si>
    <t>597. Please go back and correct the name and phone number.</t>
  </si>
  <si>
    <t>597. Veuillez revenir en arrière et corriger le nom et le numéro de téléphone.</t>
  </si>
  <si>
    <t>597. Da fatan za ka koma baya ka gyara suna da lambar waya.</t>
  </si>
  <si>
    <t>624. Please go back and correct the name and phone number.</t>
  </si>
  <si>
    <t>624. Veuillez revenir en arrière et corriger le nom et le numéro de téléphone.</t>
  </si>
  <si>
    <t>624. Da fatan za ka koma baya ka gyara suna da lambar waya.</t>
  </si>
  <si>
    <t>secondary_phone2_test</t>
  </si>
  <si>
    <t>598. I am going to call this phone number to confirm it is correct. [Enumerator: Did the phone ring?]</t>
  </si>
  <si>
    <t>598. Je vais appeler ce numéro de téléphone pour confirmer qu'il est correct. [Enquêteur : Le téléphone a-t-il sonné ?]</t>
  </si>
  <si>
    <t>598. Zan kirayi wannan lambar wayar don tabbatar da daidai ce. [Ɗan bincike: Wayar ta yi ƙara?]</t>
  </si>
  <si>
    <t>625. I am going to call this phone number to confirm it is correct. [Enumerator: Did the phone ring?]</t>
  </si>
  <si>
    <t>625. Je vais appeler ce numéro de téléphone pour confirmer qu'il est correct. [Enquêteur : Le téléphone a-t-il sonné ?]</t>
  </si>
  <si>
    <t>625. Zan kirayi wannan lambar wayar don tabbatar da daidai ce. [Ɗan bincike: Wayar ta yi ƙara?]</t>
  </si>
  <si>
    <t>secondary_phone2_test_note</t>
  </si>
  <si>
    <t>599. Please go back and enter a new phone number.</t>
  </si>
  <si>
    <t>599. Veuillez ressaisir le numéro</t>
  </si>
  <si>
    <t>599. Da fatan zaku rubuta lambar</t>
  </si>
  <si>
    <t>626. Please go back and enter a new phone number.</t>
  </si>
  <si>
    <t>626. Veuillez ressaisir le numéro</t>
  </si>
  <si>
    <t>626. Da fatan zaku rubuta lambar</t>
  </si>
  <si>
    <t>enum_end</t>
  </si>
  <si>
    <t>Final Enumerator questions</t>
  </si>
  <si>
    <t>Questions finales de l'enquêteur</t>
  </si>
  <si>
    <t>Tambayoyin ƙarshe na ɗan bincike</t>
  </si>
  <si>
    <t>select_one interest</t>
  </si>
  <si>
    <t>resp_interest</t>
  </si>
  <si>
    <t>600. How interested was the resppondent</t>
  </si>
  <si>
    <t>600. Dans quelle mesure le répondant était-il intéressé</t>
  </si>
  <si>
    <t>600. Yaya kake ganin maida hankalin mai bada amsa yake</t>
  </si>
  <si>
    <t>627. How interested was the resppondent</t>
  </si>
  <si>
    <t>627. Dans quelle mesure le répondant était-il intéressé</t>
  </si>
  <si>
    <t>627. Yaya kake ganin maida hankalin mai bada amsa yake</t>
  </si>
  <si>
    <t>select_one patient</t>
  </si>
  <si>
    <t>resp_patient</t>
  </si>
  <si>
    <t>601. How impatient was the respondent?</t>
  </si>
  <si>
    <t>601. À quel point le répondant était-il impatient ?</t>
  </si>
  <si>
    <t>601. Yaya kake ganin rashin haƙurin mai bada amsa?</t>
  </si>
  <si>
    <t>628. How impatient was the respondent?</t>
  </si>
  <si>
    <t>628. À quel point le répondant était-il impatient ?</t>
  </si>
  <si>
    <t>628. Yaya kake ganin rashin haƙurin mai bada amsa?</t>
  </si>
  <si>
    <t>select_one comprehension</t>
  </si>
  <si>
    <t>resp_understand</t>
  </si>
  <si>
    <t>602. How well did the respondent understand the questions?</t>
  </si>
  <si>
    <t>602. Dans quelle mesure le répondant a-t-il compris les questions ?</t>
  </si>
  <si>
    <t>602. Yaya kake ganin mai bada amsa ya fahimci tambayoyin?</t>
  </si>
  <si>
    <t>629. How well did the respondent understand the questions?</t>
  </si>
  <si>
    <t>629. Dans quelle mesure le répondant a-t-il compris les questions ?</t>
  </si>
  <si>
    <t>629. Yaya kake ganin mai bada amsa ya fahimci tambayoyin?</t>
  </si>
  <si>
    <t>select_one present</t>
  </si>
  <si>
    <t>other_people</t>
  </si>
  <si>
    <t>603. Was the interview conducted in the presence of other people?</t>
  </si>
  <si>
    <t>603. L'entretien a-t-il été réalisé en présence d'autres personnes ?</t>
  </si>
  <si>
    <t>603. Ko an yi hirar ne a gaban wasu mutane?</t>
  </si>
  <si>
    <t>selected(${hoh_crops}, '-777')</t>
  </si>
  <si>
    <t>630. Was the interview conducted in the presence of other people?</t>
  </si>
  <si>
    <t>630. L'entretien a-t-il été réalisé en présence d'autres personnes ?</t>
  </si>
  <si>
    <t>630. Ko an yi hirar ne a gaban wasu mutane?</t>
  </si>
  <si>
    <t>comment</t>
  </si>
  <si>
    <t>604. Enumerator: Record any comments on the survey</t>
  </si>
  <si>
    <t>604. Enquêteur : Veuillez noter vos commentaires si vous en avez</t>
  </si>
  <si>
    <t>604. Ɗan bincike: Yi rikodin duk wani sharhi akan binciken</t>
  </si>
  <si>
    <t>631. Enumerator: Record any comments on the survey</t>
  </si>
  <si>
    <t>631. Enquêteur : Veuillez noter vos commentaires si vous en avez</t>
  </si>
  <si>
    <t>631. Ɗan bincike: Yi rikodin duk wani sharhi akan binciken</t>
  </si>
  <si>
    <t>gps</t>
  </si>
  <si>
    <t>Collect GPS</t>
  </si>
  <si>
    <t>Collecteur de GPS</t>
  </si>
  <si>
    <t>Mai daukan GPS</t>
  </si>
  <si>
    <t>Tambayoyin ɗan bincike na ƙarshe</t>
  </si>
  <si>
    <t>Consented</t>
  </si>
  <si>
    <t>thankyou</t>
  </si>
  <si>
    <t>605. That is the end of the survey. Thank you for your time.</t>
  </si>
  <si>
    <t>605. C'est la fin de l'enquête. Merci pour votre temps.</t>
  </si>
  <si>
    <t>605. Karshen tambayoyin kenan. Na gode da lokacin da kuka bani.</t>
  </si>
  <si>
    <t>632. That is the end of the survey. Thank you for your time.</t>
  </si>
  <si>
    <t>632. C'est la fin de l'enquête. Merci pour votre temps.</t>
  </si>
  <si>
    <t>632. Karshen tambayoyin kenan. Na gode da lokacin da kuka bani.</t>
  </si>
  <si>
    <t>${hoh_crops} != 0</t>
  </si>
  <si>
    <t>count-selected(${hoh_crops})</t>
  </si>
  <si>
    <t>if(selected-at(${hoh_crops}, index()-1) = '-777', ${hoh_crops_o}, choice-label(${hoh_crops}, selected-at(${hoh_crops}, index()-1)))</t>
  </si>
  <si>
    <t>${hoh_crop_unit} = -777</t>
  </si>
  <si>
    <t>if(${hoh_crop_unit} = -777, ${hoh_crop_unit_o}, choice-label(${hoh_crop_unit}, ${hoh_crop_unit}))</t>
  </si>
  <si>
    <t>. &lt;= ${hoh_crop_quantity}</t>
  </si>
  <si>
    <t>${hoh_qty_sold} &gt; 0</t>
  </si>
  <si>
    <t>${hoh_qty_consume} &gt; 0</t>
  </si>
  <si>
    <t>${hoh_crop_quantity} - ${hoh_qty_sold} - ${hoh_qty_consume}</t>
  </si>
  <si>
    <t>${hoh_qty_left} &lt; 0</t>
  </si>
  <si>
    <t>${hoh_qty_left} &gt;= 0</t>
  </si>
  <si>
    <t>${hoh_qty_left} &gt; 0</t>
  </si>
  <si>
    <t>${hoh_qty_sold} * ${hoh_price_sold}</t>
  </si>
  <si>
    <t>${speedcheck_hoh_cropsinfo_end} - ${speedcheck_hoh_cropsinfo_start}</t>
  </si>
  <si>
    <t>. &gt;= 0 and . &lt;= 26</t>
  </si>
  <si>
    <t>. &gt;= 0 and . &lt;= 7</t>
  </si>
  <si>
    <t>${hoh_days_labor} * ${hoh_weeks_labor}</t>
  </si>
  <si>
    <t>count-selected(${hoh_members_above_7})</t>
  </si>
  <si>
    <t>selected-at(${hoh_members_above_7}, index()-1)</t>
  </si>
  <si>
    <t>indexed-repeat(${hoh_roster_name}, ${hoh_roster}, ${hoh_labor_index})</t>
  </si>
  <si>
    <t>. &gt;= 0 and . &lt;= ${hoh_days_labor_tot}</t>
  </si>
  <si>
    <t>${hoh_days_labor} &gt; 0</t>
  </si>
  <si>
    <t>${hoh_hire_ag} = 1</t>
  </si>
  <si>
    <t>. &gt;= 0 and . &lt;= 180</t>
  </si>
  <si>
    <t>${hoh_income3} + ${hoh_income4} + ${hoh_income5} + ${hoh_income6} + ${hoh_income7} + ${hoh_income8}</t>
  </si>
  <si>
    <t>. = 1</t>
  </si>
  <si>
    <t>Veuillez revenir et corriger vos réponses aux questions 88 à 93.</t>
  </si>
  <si>
    <t xml:space="preserve">${speedcheck_hoh_labor_end} - ${speedcheck_hoh_labor_start} </t>
  </si>
  <si>
    <t>${hoh_members_paid_ag} = 1</t>
  </si>
  <si>
    <t>indexed-repeat(${hoh_roster_name}, ${hoh_roster}, index())</t>
  </si>
  <si>
    <t>indexed-repeat(${hoh_roster_age}, ${hoh_roster}, index())</t>
  </si>
  <si>
    <t>${hoh_paid_age} &gt; 7</t>
  </si>
  <si>
    <t>${hoh_paid_ag} &gt; 0</t>
  </si>
  <si>
    <t>${hoh_paid_ag} * ${hoh_paid_ag_wage}</t>
  </si>
  <si>
    <t xml:space="preserve">${speedcheck_hoh_paid_end} - ${speedcheck_hoh_paid_start} </t>
  </si>
  <si>
    <t>${hoh_ag_exp_other}=1</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</si>
  <si>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</si>
  <si>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</si>
  <si>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</si>
  <si>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</si>
  <si>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</si>
  <si>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if(empty(${hoh_spend_rent}), 0, ${hoh_spend_rent})</t>
  </si>
  <si>
    <t>if(empty(${hoh_spend_water}), 0, ${hoh_spend_water})</t>
  </si>
  <si>
    <t>if(empty(${hoh_ag_exp_other_amt}), 0, ${hoh_ag_exp_other_amt})</t>
  </si>
  <si>
    <t>${hoh_income1} + ${hoh_income2}  - ${hoh_income3} - ${hoh_income4} - ${hoh_income5} - ${hoh_income6} - ${hoh_income7} - ${hoh_income8}</t>
  </si>
  <si>
    <t>Veuillez revenir et corriger vos réponses aux questions 82 à 87 et 95 à 97</t>
  </si>
  <si>
    <t>462. Nous allons maintenant vous poser des questions sur les activités génératrices de revenus provenant de l'élevage au cours des six derniers mois.</t>
  </si>
  <si>
    <t>462. Yanzu za mu yi tambaya game da ayyukan samar da kuɗin shiga daga kiwon dabbobi a cikin watanni shida da suka gabata</t>
  </si>
  <si>
    <t>choice-label(${hoh_livestock_any}, index())</t>
  </si>
  <si>
    <t>463. Combien de ${hoh_livestock_act_name} avez-vous acheté ?</t>
  </si>
  <si>
    <t>You mentioned that you bought ${hoh_livestock_bought} individual ${hoh_livestock_act_name}. Please report the total price you received in CFA.</t>
  </si>
  <si>
    <t>${hoh_livestock_bought} &gt; 0</t>
  </si>
  <si>
    <t>465. Combien de ${hoh_livestock_act_name} avez-vous vendu ?</t>
  </si>
  <si>
    <t>You mentioned that you sold ${hoh_livestock_sold} individual ${hoh_livestock_act_name}. Please report the total amount you received in CFA.</t>
  </si>
  <si>
    <t>${hoh_livestock_sold} &gt; 0</t>
  </si>
  <si>
    <t>467. Combien de ${hoh_livestock_act_name} avez-vous consommé ?</t>
  </si>
  <si>
    <t>You mentioned that you consumed ${hoh_livestock_consumed} individual ${hoh_livestock_act_name}. Please report the total amount you would receive in CFA.</t>
  </si>
  <si>
    <t>${hoh_livestock_consumed} &gt; 0</t>
  </si>
  <si>
    <t>. &lt;= 7</t>
  </si>
  <si>
    <t>. &lt;= 12</t>
  </si>
  <si>
    <t>${hoh_hire_livestock} = 1</t>
  </si>
  <si>
    <t>${hoh_hire_livestock_days} * ${hoh_hire_livestock_wage} * 12</t>
  </si>
  <si>
    <t>${hoh_paid_livestock} = 1</t>
  </si>
  <si>
    <t>${hoh_own_other} = 1</t>
  </si>
  <si>
    <t xml:space="preserve">${speedcheck_hoh_livestockact_end} - ${speedcheck_hoh_livestockact_start} </t>
  </si>
  <si>
    <t>${hoh_own_biz} = 1</t>
  </si>
  <si>
    <t>${hoh_biz_type} = -777</t>
  </si>
  <si>
    <t>if(${hoh_biz_type} = -777, ${hoh_biz_type_o}, choice-label(${hoh_biz_type}, ${hoh_biz_type}))</t>
  </si>
  <si>
    <t>${hoh_own_biz} = 1 and ${hoh_biz_employ} = 1</t>
  </si>
  <si>
    <t>count-selected(${hoh_members_in_hh})</t>
  </si>
  <si>
    <t>selected-at(${hoh_members_in_hh}, index()-1)</t>
  </si>
  <si>
    <t>indexed-repeat(${hoh_roster_name}, ${hoh_roster}, ${hoh_biz_index})</t>
  </si>
  <si>
    <t>indexed-repeat(${hoh_roster_age}, ${hoh_roster}, ${hoh_biz_index})</t>
  </si>
  <si>
    <t>${hoh_own_biz} = 1 and ${hoh_biz_age} &gt;= 7</t>
  </si>
  <si>
    <t xml:space="preserve">${speedcheck_hoh_biz_end} - ${speedcheck_hoh_biz_start} </t>
  </si>
  <si>
    <t>${hoh_biz_revenue} - ${hoh_biz_expense}</t>
  </si>
  <si>
    <t>indexed-repeat(${hoh_roster_name}, ${hoh_roster}, ${hoh_member_act_index})</t>
  </si>
  <si>
    <t>${hoh_member_other_activity} = 1</t>
  </si>
  <si>
    <t>${hoh_member_other_activity} = 1 and ${hoh_member_other_act} = '-777'</t>
  </si>
  <si>
    <t>if(${hoh_member_other_act} = '-777', ${hoh_member_other_activity_o}, choice-label(${hoh_member_other_act}, ${hoh_member_other_act}))</t>
  </si>
  <si>
    <t xml:space="preserve"> ${speedcheck_hoh_memact_end} - ${speedcheck_hoh_memact_start}</t>
  </si>
  <si>
    <t>If they physically brought the money with them when they returned from their trip, please select "Hand cash directly to recipient".</t>
  </si>
  <si>
    <t>S'ils ont apporté l'argent physiquement à leur retour de voyage, veuillez sélectionner « Remettre l'argent directement au bénéficiaire ».</t>
  </si>
  <si>
    <t>Idan sun zo da kuɗin tare da su a hannu lokacin da suka dawo daga tafiyarsu, sai a zaɓi "Bada kuɗi Hannu da hannu".</t>
  </si>
  <si>
    <t xml:space="preserve">
not(selected(., '0') and count-selected(.) &gt; 1)</t>
  </si>
  <si>
    <t>not(selected(${hoh_remit_pm_method}, '0'))</t>
  </si>
  <si>
    <t>Recall that we consider the following members to be a part of your household: ${hoh_roster_list}. If they physically brought the money with them when they returned from their trip, please select "Hand cash directly to recipient".</t>
  </si>
  <si>
    <t>Nous considérons que les membres suivants font partie de votre menage : ${hoh_roster_list}. S'ils ont apporté l'argent avec eux à leur retour de voyage, veuillez sélectionner « Remettre l'argent directement au bénéficiaire ».</t>
  </si>
  <si>
    <t>Ku tuna cewa muna ɗaukar waɗannan mutanen a matsayin ƴan gidan ku: ${hoh_roster_list}. Idan sun zo da kuɗin tare da su a jiki lokacin da suka dawo daga tafiyarsu, sai a zaɓi "Karɓar kuɗin hannu da hannu".</t>
  </si>
  <si>
    <t>not(selected(${hoh_remit_hh_method}, '0'))</t>
  </si>
  <si>
    <t>${hoh_remit_rec_niger} = 1</t>
  </si>
  <si>
    <t>selected(${hoh_remit_rec_niger_how}, '-777')</t>
  </si>
  <si>
    <t>${hoh_goods_rec_niger} = 1</t>
  </si>
  <si>
    <t>selected(${hoh_goods_rec_niger_how}, '-777')</t>
  </si>
  <si>
    <t>${hoh_remit_rec_out} = 1</t>
  </si>
  <si>
    <t>${hoh_remit_rec_out_how} = '-777'</t>
  </si>
  <si>
    <t>${hoh_goods_rec_out} = 1</t>
  </si>
  <si>
    <t>${hoh_goods_rec_out_how} = '-777'</t>
  </si>
  <si>
    <t>${hoh_remit_send_niger} = 1</t>
  </si>
  <si>
    <t>selected(${hoh_remit_send_niger_how}, '-777')</t>
  </si>
  <si>
    <t>${hoh_goods_send_niger} = 1</t>
  </si>
  <si>
    <t>selected(${hoh_goods_send_niger_how}, '-777')</t>
  </si>
  <si>
    <t>${hoh_remit_send_out} = 1</t>
  </si>
  <si>
    <t>selected(${hoh_remit_send_out_how}, '-777')</t>
  </si>
  <si>
    <t>${hoh_goods_send_out} = 1</t>
  </si>
  <si>
    <t>selected(${hoh_goods_send_out_how}, '-777')</t>
  </si>
  <si>
    <t>Support could include cash, other material goods, or training.</t>
  </si>
  <si>
    <t>Le soutien peut comprendre de l'argent, d'autres biens matériels ou une formation.</t>
  </si>
  <si>
    <t>Taimako na iya haɗawa da kuɗi, wasu kayan masarufi ko horo.</t>
  </si>
  <si>
    <t>not(selected(${hoh_receive_support}, '0'))</t>
  </si>
  <si>
    <t>Enumerator: Do not include any transfer that you have already collected elsewhere in the survey</t>
  </si>
  <si>
    <t>Agent enquêteur : N'ajoutez aucun transfert que vous avez déjà collecté ailleurs dans l'enquête.</t>
  </si>
  <si>
    <t>Mai ƙididdigewa: Kada a ƙara duk wani aiken kudin da ka rigaya ka rubuta a wani wuri a cikin binciken</t>
  </si>
  <si>
    <t xml:space="preserve">${speedcheck_hoh_remit_end} - ${speedcheck_hoh_remit_start} </t>
  </si>
  <si>
    <t>${hoh_improve_o} = 1</t>
  </si>
  <si>
    <t>${hoh_improve_add_rooms} + ${hoh_improve_floors} + ${hoh_improve_walls} + ${hoh_improve_roof} + ${hoh_improve_o} &gt; 0</t>
  </si>
  <si>
    <t>${hoh_improve_business} = 1</t>
  </si>
  <si>
    <t>${hoh_improve_land} = 1</t>
  </si>
  <si>
    <t xml:space="preserve">${speedcheck_hoh_homeimprove_end} - ${speedcheck_hoh_homeimprove_start} </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</si>
  <si>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</si>
  <si>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</si>
  <si>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</si>
  <si>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</si>
  <si>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</si>
  <si>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${hoh_savings_code} != 1</t>
  </si>
  <si>
    <t xml:space="preserve">${speedcheck_hoh_savings_end} - ${speedcheck_hoh_savings_start} </t>
  </si>
  <si>
    <t>sum(${hoh_savings_type_amt})</t>
  </si>
  <si>
    <t>Veuillez revenir et corriger vos réponses aux questions 141 et 142</t>
  </si>
  <si>
    <t>Select all that apply</t>
  </si>
  <si>
    <t>Sélectionnez tout ce qui s'y rapporte</t>
  </si>
  <si>
    <t>Zaɓi duk abin da ya dace</t>
  </si>
  <si>
    <t>selected(${hoh_emergency}, '-777')</t>
  </si>
  <si>
    <t>not(selected(${hoh_emergency}, '0'))</t>
  </si>
  <si>
    <t>count-selected(${hoh_emergency})</t>
  </si>
  <si>
    <t>if(selected-at(${hoh_emergency}, index()-1) = '-777', ${hoh_emergency_o}, choice-label(${hoh_emergency}, selected-at(${hoh_emergency}, index()-1)))</t>
  </si>
  <si>
    <t>${hoh_emerg_sell} = 1 or ${hoh_emerg_borrow} = 1 or ${hoh_emerg_spend} = 1</t>
  </si>
  <si>
    <t>Assets include animals, food stock</t>
  </si>
  <si>
    <t>Par exemple, des animaux, vos stocks alimentaires</t>
  </si>
  <si>
    <t>Kadarorin sun haɗa da dabbobi, ajiyar abinci</t>
  </si>
  <si>
    <t>${hoh_emerg_sell} = 1</t>
  </si>
  <si>
    <t>${hoh_emerg_borrow} = 1</t>
  </si>
  <si>
    <t>${hoh_emerg_spend} = 1</t>
  </si>
  <si>
    <t xml:space="preserve">${speedcheck_hoh_emerg_end} - ${speedcheck_hoh_emerg_start} </t>
  </si>
  <si>
    <t>${hoh_credit_refuse} = 1</t>
  </si>
  <si>
    <t>${hoh_borrow_total} &gt; 0</t>
  </si>
  <si>
    <t>${hoh_transfer_village} = 1</t>
  </si>
  <si>
    <t xml:space="preserve">${speedcheck_hoh_credit_end} - ${speedcheck_hoh_credit_start} </t>
  </si>
  <si>
    <t>${hoh_adults_skip_days} = 1</t>
  </si>
  <si>
    <t>${hoh_adults_skip_meals} = 1</t>
  </si>
  <si>
    <t>${hoh_child_skip_days} = 1</t>
  </si>
  <si>
    <t>${hoh_child_skip_meals} = 1</t>
  </si>
  <si>
    <t xml:space="preserve">${speedcheck_hoh_foodinsec_end} - ${speedcheck_hoh_foodinsec_start} </t>
  </si>
  <si>
    <t>not(selected(., '0') and count-selected(.)&gt; 1)</t>
  </si>
  <si>
    <t>not(selected(${hoh_monthly_consumption_any}, '0'))</t>
  </si>
  <si>
    <t>count-selected(${hoh_monthly_consumption_any})</t>
  </si>
  <si>
    <t>choice-label(${hoh_monthly_consumption_any}, selected-at(${hoh_monthly_consumption_any}, index()-1))</t>
  </si>
  <si>
    <t>not(selected(${hoh_weekly_consumption_any}, '0'))</t>
  </si>
  <si>
    <t>count-selected(${hoh_weekly_consumption_any})</t>
  </si>
  <si>
    <t>choice-label(${hoh_weekly_consumption_any}, selected-at(${hoh_weekly_consumption_any}, index()-1))</t>
  </si>
  <si>
    <t>590. For Tabaski (2025), did your household purchase any of the following?</t>
  </si>
  <si>
    <t>590. Pour le Tabaski (2025), votre ménage a-t-il acheté l'un des produits suivants ?</t>
  </si>
  <si>
    <t>590. Don sallar laiya (2025), gidanku ya sayi ɗaya daga cikin waɗannan?</t>
  </si>
  <si>
    <t xml:space="preserve">${speedcheck_hoh_cons_end} - ${speedcheck_hoh_cons_start} </t>
  </si>
  <si>
    <t xml:space="preserve">${speedcheck_hoh_end} - ${speedcheck_hoh_start} </t>
  </si>
  <si>
    <t>no_availability</t>
  </si>
  <si>
    <t>Not available</t>
  </si>
  <si>
    <t>organized</t>
  </si>
  <si>
    <t>${availability} = '0' and ${call_num}&lt;=5</t>
  </si>
  <si>
    <t>addthreshold</t>
  </si>
  <si>
    <t>533. Would you still be interested in rescheduling this survey to another day and time?</t>
  </si>
  <si>
    <t>533. Souhaitez-vous toujours reporter cette enquête à un autre jour et à une autre heure ?</t>
  </si>
  <si>
    <t>533. Shin ko har yanzu kana sha'awar jinkirta wannan hirar zuwa wata rana da lokaci daban?</t>
  </si>
  <si>
    <t>${call_num}=5</t>
  </si>
  <si>
    <t>reschedule_call</t>
  </si>
  <si>
    <t>Rescheduling</t>
  </si>
  <si>
    <t>(${call_num} &lt; 5 or selected(${addthreshold}, '1')) and not(selected(${phone_response}, '2') and selected(${resp_relationship}, '4'))</t>
  </si>
  <si>
    <t>534. &lt;p style="color: #ff0000;font-weight:bold;"&gt;ENUMERATOR, read this out loud:&lt;/p&gt;
&lt;br&gt;
&lt;p&gt;When would you like to reschedule the survey?&lt;/p&gt;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</si>
  <si>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 xml:space="preserve">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jour.&lt;/span&gt;&lt;br&gt;
</t>
  </si>
  <si>
    <t>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t>
  </si>
  <si>
    <t>decimal-date-time(.) &gt; decimal-date-time(now())</t>
  </si>
  <si>
    <t>Please select a date and time that is after right now.</t>
  </si>
  <si>
    <t>reschedule_full</t>
  </si>
  <si>
    <t>Formats the "reschedule" value for publishing.</t>
  </si>
  <si>
    <t>format-date-time(${reschedule}, '%Y-%m-%d %H:%M')</t>
  </si>
  <si>
    <t>callback_disp1</t>
  </si>
  <si>
    <t>535.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</si>
  <si>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535.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</si>
  <si>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535.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</si>
  <si>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confirm_phone</t>
  </si>
  <si>
    <t>536. Is this the best phone number to call you in the future?</t>
  </si>
  <si>
    <t>536. Est-ce le meilleur numéro de téléphone pour vous appeler à l’avenir ?</t>
  </si>
  <si>
    <t>536. Ko wannan itace lambar waya za'a iya samunku da ita idan za'a kiraye ku a nan gaba?</t>
  </si>
  <si>
    <t>The phone number being called is ${phonenumber_called}</t>
  </si>
  <si>
    <t>(${call_num} &lt; 5  or selected(${addthreshold}, '1')) and empty(${best_phoneno}) and selected(${phone_response}, '2') and not(selected(${resp_relationship}, '4'))</t>
  </si>
  <si>
    <t>best_contact</t>
  </si>
  <si>
    <t>Registering the best contact to reach out ${attempted_name}</t>
  </si>
  <si>
    <t>(empty(${best_phoneno}) or ${best_phone_reconfirm}=0 or selected(${confirm_phone}, '0')) and (selected(${phone_response}, '2') and not(selected(${resp_relationship}, '4')) and selected(${resp_available}, '0'))</t>
  </si>
  <si>
    <t>best_phone_confirm</t>
  </si>
  <si>
    <t>537. Could you share the best phone number to contact ${attempted_name}?</t>
  </si>
  <si>
    <t>537. Pourriez-vous partager le meilleur numéro de téléphone pour contacter ${attempted_name} ?</t>
  </si>
  <si>
    <t>537. Za ku iya bamu lambar wayar za'a iya tuntuɓar ${attempted_name}?</t>
  </si>
  <si>
    <t>You are connected to ${phonenumber_called} now, which is choice number ${pn_index_called}.</t>
  </si>
  <si>
    <t>Vous êtes maintenant connecté au ${phonenumber_called}, qui correspond au choix numéro ${pn_index_called}.</t>
  </si>
  <si>
    <t>Yanzu ku na haɗe da ${phonenumber_called}, wanda shine lambar zaɓi ${pn_index_called}.</t>
  </si>
  <si>
    <t>That is the phone number currently being called. Please go back to the previous field and select "Yes".</t>
  </si>
  <si>
    <t>(filter &lt;= ${num_viable} and not(selected(${new_exclude}, filter))) or (filter &gt;= 111)</t>
  </si>
  <si>
    <t>best_phone_num</t>
  </si>
  <si>
    <t>not(selected(${best_phone_confirm}, '-777'))</t>
  </si>
  <si>
    <t>if(${best_phone_confirm} = 1, ${phone_1}, if(${best_phone_confirm} = 2, ${phone_2}, if(${best_phone_confirm} = 3, ${phone_3}, if(${best_phone_confirm} = 4, ${phone_4}, if(${best_phone_confirm} = 5, ${phone_5}, '')))))</t>
  </si>
  <si>
    <t>best_phone_name</t>
  </si>
  <si>
    <t>if(${best_phone_confirm} = 1, ${phone_1_name}, if(${best_phone_confirm} = 2, ${phone_2_name}, if(${best_phone_confirm} = 3, ${phone_3_name}, if(${best_phone_confirm} = 4, ${phone_4_name}, if(${best_phone_confirm} = 5, ${phone_5_name}, '')))))</t>
  </si>
  <si>
    <t>best_phone_rel</t>
  </si>
  <si>
    <t>if(${best_phone_confirm} = 1, ${phone_1_rel}, if(${best_phone_confirm} = 2, ${phone_2_rel}, if(${best_phone_confirm} = 3, ${phone_3_rel}, if(${best_phone_confirm} = 4, ${phone_4_rel}, if(${best_phone_confirm} = 5, ${phone_5_rel}, '')))))</t>
  </si>
  <si>
    <t>phone_info</t>
  </si>
  <si>
    <t>Phone information</t>
  </si>
  <si>
    <t>selected(${best_phone_confirm}, '-777')</t>
  </si>
  <si>
    <t>select_one countrycode</t>
  </si>
  <si>
    <t>other_phone_code</t>
  </si>
  <si>
    <t>538. Please select the country code from the list below.</t>
  </si>
  <si>
    <t>other_phoneno</t>
  </si>
  <si>
    <t>539. Enter the other phone number shared with you:</t>
  </si>
  <si>
    <t>539. Saisissez l'autre numéro de téléphone partagé avec vous :</t>
  </si>
  <si>
    <t>numbers_phone</t>
  </si>
  <si>
    <t>other_phone</t>
  </si>
  <si>
    <t>if(selected(${other_phone_code},  '-777'), ${other_phoneno}, concat(${other_phone_code}, ${other_phoneno}))</t>
  </si>
  <si>
    <t>phone_relationship</t>
  </si>
  <si>
    <t>540. What is the relationship between the respondent (${attempted_name}) and the owner of the phone number just shared?</t>
  </si>
  <si>
    <t>540. Quelle est la relation entre le répondant (${attempted_name}) et le propriétaire du numéro de téléphone qui vient d'être partagé ?</t>
  </si>
  <si>
    <t>540. Menene alaƙa tsakanin mai bada amsa (${attempted_name}) da mai lambar wayar da aka bamu?</t>
  </si>
  <si>
    <t>filter!=4</t>
  </si>
  <si>
    <t>phone_relationship_label</t>
  </si>
  <si>
    <t>Calculates the label of the previous field.</t>
  </si>
  <si>
    <t>choice-label(${phone_relationship}, ${phone_relationship})</t>
  </si>
  <si>
    <t>name_phone</t>
  </si>
  <si>
    <t>541. What's their name?</t>
  </si>
  <si>
    <t>541. Quel est leur nom ?</t>
  </si>
  <si>
    <t>541. Menene sunayen su?</t>
  </si>
  <si>
    <t>No need to enter name if the phone number is for the respondent.</t>
  </si>
  <si>
    <t>${phone_relationship}!=0</t>
  </si>
  <si>
    <t>phone_name_label</t>
  </si>
  <si>
    <t>if(${phone_relationship}!=0, ${name_phone}, ${attempted_name})</t>
  </si>
  <si>
    <t>best_phone_index_new</t>
  </si>
  <si>
    <t>Index of the best phone number to call.</t>
  </si>
  <si>
    <t>if(selected(${best_phone_confirm}, '-777'), ${contacts} + ${subtract} + 1, ${best_phone_confirm})</t>
  </si>
  <si>
    <t>best_phone_id</t>
  </si>
  <si>
    <t>Unique ID of the best phone number to call.</t>
  </si>
  <si>
    <t>concat(${caseid}, '-', ${best_phone_index_new})</t>
  </si>
  <si>
    <t>best_phone_confirm_label</t>
  </si>
  <si>
    <t>Calculates the phone number selected in "best_phone_confirm"</t>
  </si>
  <si>
    <t>coalesce(${other_phone}, indexed-repeat(${pd_phone_num}, ${phone_data_rep}, ${best_phone_confirm}))</t>
  </si>
  <si>
    <t>reschedule_call2</t>
  </si>
  <si>
    <t>${call_num} &lt; ${stop_at} and (selected(${best_phone_confirm}, ${pn_index_called}) and not(selected(${phone_response}, '1')))</t>
  </si>
  <si>
    <t>reschedule_not_resp</t>
  </si>
  <si>
    <t>542. &lt;p style="color: #ff0000;font-weight:bold;"&gt;ENUMERATOR, read this out loud:&lt;/p&gt;
&lt;br&gt;
&lt;p&gt;Could you let us know at which date and time ${attempted_name} will be available?&lt;/p&gt;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</si>
  <si>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542. &lt;p style="color: #ff0000;font-weight:bold;"&gt;ÉNUMÉRATEUR, lisez ceci à haute voix :&lt;/p&gt;
&lt;br&gt;
&lt;p&gt; Pourriez-vous nous indiquer à quelle date et heure ${attempted_name} sera disponible&lt;/p&gt;
&lt;br&gt;
&lt;p style="color: #ff0000;font-weight:bold;"&gt;INSTRUCTIONS POUR L'ENUPERATEUR : &lt;/p&gt;
&lt;br&gt;
&lt;p style="color: #ff0000;"&gt;Lorsque vous planifiez le rappel, vérifiez le calendrier pour vous assurer que vous êtes disponible à cette heure. Cela peut prendre jusqu'à cinq minutes avant que l'événement soit publié dans le calendrier.&lt;/p&gt;</t>
  </si>
  <si>
    <t>542. &lt;p style="color: #ff0000;font-weight:bold;"&gt;Ɗan bincike, karanta wannan da babbar murya:&lt;/p&gt;
&lt;br&gt;
&lt;p&gt; Ko Za ku iya sanar da mu a wace rana da kuma wane lokaci suna zai samu damar bada amsa ? &lt;/p&gt;
&lt;br&gt;
&lt;p style="color: #ff0000;font-weight:bold;"&gt;UMARNIN GA ƊAN BINCIKE :&lt;/p&gt;
&lt;br&gt;
&lt;p style="color: #ff0000;"&gt;Lokacin da ake tsara sake kiran, duba kalanda don tabbatar da cewa kana da dama a wannan lokacin. Yana iya ɗaukar kusan mintuna biyar kafin a buga tsarin a cikin kalandar.&lt;/p&gt;</t>
  </si>
  <si>
    <t>reschedule_notresp</t>
  </si>
  <si>
    <t>format-date-time(${reschedule_not_resp}, '%Y-%m-%d %H:%M')</t>
  </si>
  <si>
    <t>callback_disp2</t>
  </si>
  <si>
    <t>543.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</si>
  <si>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543.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</si>
  <si>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543.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</si>
  <si>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bye_note</t>
  </si>
  <si>
    <t>544. &lt;p style="color: #ff0000;font-weight:bold;"&gt;ENUMERATOR, read this out loud:&lt;/p&gt;
&lt;br&gt;
&lt;p&gt;Okay, thank you for your time, and have a great day!&lt;/p&gt;</t>
  </si>
  <si>
    <t>544. &lt;p style="color: #ff0000;font-weight:bold;"&gt;ÉNUMÉRATEUR, lisez ceci à haute voix :&lt;/p&gt;
&lt;br&gt;
&lt;p&gt;D'accord, merci pour votre temps et passez une bonne journée !&lt;/p&gt;</t>
  </si>
  <si>
    <t>544. &lt;p style="color: #ff0000;font-weight:bold;"&gt;ƊAN BINCIKE, karanta wannan da babbar murya:&lt;/p&gt;
&lt;br&gt;
&lt;p&gt;Yayi kyau, na gode da lokacin da kuka bani, A wuni lahiya !&lt;/p&gt;</t>
  </si>
  <si>
    <t>selected(${addthreshold}, '0') or selected(${resp_available}, '0')</t>
  </si>
  <si>
    <t>callback_note</t>
  </si>
  <si>
    <t>545. &lt;p style="color: #ff0000;font-weight:bold;"&gt;ENUMERATOR: Read the following out loud, and then politely end the call.&lt;/p&gt;
&lt;br&gt;
&lt;p&gt;Excellent, we will call you at that time. Have a great day!&lt;/p&gt;</t>
  </si>
  <si>
    <t>545. &lt;p style="color: #ff0000;font-weight:bold;"&gt;ENQUETEUR : Lisez ce qui suit à haute voix, puis mettez fin poliment à l'appel.&lt;/p&gt;
&lt;br&gt;
&lt;p&gt;Excellent, nous vous appellerons à ce moment-là. Passe une bonne journée!&lt;/p&gt;</t>
  </si>
  <si>
    <t>545. &lt;p style="color: #ff0000;font-weight:bold;"&gt;ENUMERATOR: Karanta wannan da babban murya, sannan ka ƙare kiran cikin ladabi. &lt;/p&gt;
&lt;br&gt;
&lt;p&gt;Madalla, za mu kiraye ka a lokacin. A wuni lahiya !&lt;/p&gt;</t>
  </si>
  <si>
    <t>selected(${availability}, '0') and (${call_num}&lt;5 or selected(${addthreshold}, '1')) and not(empty(${reschedule}) or empty(${reschedule_not_resp}))</t>
  </si>
  <si>
    <t>ans_wr_num_gr</t>
  </si>
  <si>
    <t>selected(${phone_response}, '2') and selected(${resp_relationship}, '4')</t>
  </si>
  <si>
    <t>answer_wrong_num</t>
  </si>
  <si>
    <t>546. &lt;p style="color: #ff0000;font-weight:bold;"&gt;ENUMERATOR, read this aloud, then politely end the call:&lt;/p&gt;
&lt;br&gt;
&lt;p&gt;Oh, I'm so sorry for the trouble! You have a great day.&lt;/p&gt;</t>
  </si>
  <si>
    <t>546. &lt;p style="color: #ff0000;font-weight:bold;"&gt;ÉNUMÉRATEUR : Lisez ce qui suit à haute voix, puis mettez fin poliment à l'appel. &lt;/p&gt;
&lt;br&gt;
&lt;p&gt;Oh, je suis vraiment désolé pour le désagrément! Passez une bonne journée!&lt;/p&gt;</t>
  </si>
  <si>
    <t>546. &lt;p style="color: #ff0000;font-weight:bold;"&gt;ƊAN BINCIKE, karanta wannan a bayyane, sannan a ƙare kiran a cikin ladabi: &lt;/p&gt;
&lt;br&gt;
&lt;p&gt;Don Allah a yi haƙuri da wannan kiran! A wuni lahiya.&lt;/p&gt;</t>
  </si>
  <si>
    <t>ans_wr_num_note2</t>
  </si>
  <si>
    <t>547. &lt;p style="color: #ff0000;font-weight:bold;"&gt;ENUMERATOR INSTRUCTIONS:&lt;/p&gt;
&lt;br&gt;
&lt;p style="color: #ff0000;"&gt;Check to make sure you called ${phonenumber_called}. If you dialed the wrong phone number by accident, go back to the last field, and call the correct phone number. If you correctly dialed the number you were given, go to the next field.&lt;/p&gt;</t>
  </si>
  <si>
    <t>547. &lt;p style="color: #ff0000;font-weight:bold;"&gt;INSTRUCTIONS POUR L'ENQUETEUR:&lt;/p&gt;
&lt;br&gt;
&lt;p style="color: #ff0000;"&gt;Vérifiez que vous avez appelé ${phonenumber_called}. Si vous avez composé un mauvais numéro par erreur, revenez au dernier champ, puis appelez ce numéro de téléphone. Si vous avez correctement composé le numéro qui vous a été donné, passez au champ suivant, &lt;/p&gt;</t>
  </si>
  <si>
    <t>547. &lt;p style="color: #ff0000;font-weight:bold;"&gt;UMARNI GA ƊAN BINCIKE:&lt;/p&gt;
&lt;br&gt;
&lt;p style="color: #ff0000;"&gt;Ka tabbatar da ka kirayi ${phonenumber_called}. Idan ka buga lambar wayar da ba ta dace ba ta hanyar kuskure, koma filin ƙarshe, kuma ka kirayi lambar waya da ta dace. Idan kun buga lambar da aka baku daidai, wuce zuwa filin na gaba.&lt;/p&gt;</t>
  </si>
  <si>
    <t>no_answer_reschedule_gr</t>
  </si>
  <si>
    <t>Rescheduling when not answered by the respondent</t>
  </si>
  <si>
    <t>${call_num} &lt; ${stop_at} and (selected(${phone_response}, '3') or ${last_continue}=0 or (selected(${phone_response}, '2') and not(relevant(${reschedule_not_resp})) and not(selected(${resp_confirm}, '1')))) and ${reschedule} = null and ${reschedule_not_resp} = null</t>
  </si>
  <si>
    <t>select_one reschedule</t>
  </si>
  <si>
    <t>reschedule_type</t>
  </si>
  <si>
    <t>548. &lt;p style="color: #ff0000;"&gt;How would you like to reschedule the call?&lt;/p&gt;</t>
  </si>
  <si>
    <t>548. &lt;p&gt;&lt;span style="color: #ff0000;"&gt;Comment souhaitez-vous reprogrammer l'appel ?&lt;/span&gt;&lt;/p&gt;</t>
  </si>
  <si>
    <t>548. &lt;p&gt;&lt;span style="color: #ff0000;"&gt;Ta yaya kuke son sake tsara kiran?&lt;/span&gt;&lt;/p&gt;</t>
  </si>
  <si>
    <t>Only pick the hours option if you're rescheduling for later today</t>
  </si>
  <si>
    <t>Ne choisissez l'option d'heures que si vous reprogrammez pour plus tard dans la journée,</t>
  </si>
  <si>
    <t>Danna zaɓin sa'o'i kawai idan kana nufin sake tsara wani kiran a yau</t>
  </si>
  <si>
    <t>reschedule_no_ans</t>
  </si>
  <si>
    <t>549. &lt;p style="color: #ff0000;"&gt;Check the calendar to see at which time you're available.&lt;/p&gt;
&lt;br&gt;
&lt;p&gt;When would you like to reschedule the survey?&lt;/p&gt;</t>
  </si>
  <si>
    <t>549. &lt;p style="color: #ff0000;"&gt;Consultez le calendrier pour voir à quelle heure vous êtes disponible.&lt;/p&gt;
&lt;br&gt;
&lt;p&gt;Quand souhaitez-vous reprogrammer l’enquête ?&lt;/p&gt;</t>
  </si>
  <si>
    <t>549. &lt;p style="color: #ff0000;"&gt;Bincika kalanda don ganin lokacin da kuke da dama.&lt;/p&gt;
&lt;br&gt;
&lt;p&gt;Yaushe kuke son sake tsara binciken?&lt;/p&gt;</t>
  </si>
  <si>
    <t>selected(${reschedule_type}, '1')</t>
  </si>
  <si>
    <t>extra_hours</t>
  </si>
  <si>
    <t>550. How many hours from now do you want to call back this respondent?</t>
  </si>
  <si>
    <t>550. Dans combien d’heures souhaitez-vous rappeler ce répondant ?</t>
  </si>
  <si>
    <t>550. A cikin sa'o'i nawa daga yanzu kuke son sake kiran wannan mai bada amsar ?</t>
  </si>
  <si>
    <t>selected(${reschedule_type}, '2')</t>
  </si>
  <si>
    <t>hours_warning</t>
  </si>
  <si>
    <t>551. You've inserted more than 24 hours. If you want to reschedule for more than 24h, please reschedule manually. Otherwise, go back and correct the number of hours.</t>
  </si>
  <si>
    <t>551. Vous avez inséré plus de 24 heures. Si vous souhaitez reprogrammer pour plus de 24 heures, veuillez reprogrammer manuellement. Sinon, revenez en arrière et corrigez le nombre d'heures.</t>
  </si>
  <si>
    <t>551. Kun rubuta fiye da awanni 24. Idan kuna son sake tsarawa fiye da awa 24, za ku sake tsarawa da hannu. Idan ba haka ba ne, ku koma baya ku gyara yawan sa'o'i.</t>
  </si>
  <si>
    <t>${extra_hours}&gt;24</t>
  </si>
  <si>
    <t>new_hour</t>
  </si>
  <si>
    <t>Adds "extra_hours" to the current hour.</t>
  </si>
  <si>
    <t>format-date-time(now(), '%H')+${extra_hours}</t>
  </si>
  <si>
    <t>hour</t>
  </si>
  <si>
    <t>Calculates the actual hour to callback, taking into account 24hrs/day.</t>
  </si>
  <si>
    <t>if(int(${new_hour})&gt;=24, int(${new_hour})-24, int(${new_hour}))</t>
  </si>
  <si>
    <t>hours</t>
  </si>
  <si>
    <t>Adds a leading zero for 1-digit hours.</t>
  </si>
  <si>
    <t>if(string-length(${hour})=1, concat('0', ${hour}), ${hour})</t>
  </si>
  <si>
    <t>minutes</t>
  </si>
  <si>
    <t>Calculates the current minutes.</t>
  </si>
  <si>
    <t>format-date-time(now(), '%M')</t>
  </si>
  <si>
    <t>reschedule_no_ans_hours</t>
  </si>
  <si>
    <t>Calculates the callback-time using "hours" and "minutes" above.</t>
  </si>
  <si>
    <t>concat(format-date-time(today(), '%Y-%m-%d'), ' ', ${hours}, ':', ${minutes})</t>
  </si>
  <si>
    <t>reschedule_no_ans_date</t>
  </si>
  <si>
    <t>Formats the date and time entered in "reschedule_no_ans".</t>
  </si>
  <si>
    <t>format-date-time(${reschedule_no_ans}, '%Y-%m-%d %H:%M')</t>
  </si>
  <si>
    <t>select_one status</t>
  </si>
  <si>
    <t>call_status</t>
  </si>
  <si>
    <t>552. &lt;p style="color: #ff0000;font-weight:bold;"&gt;ENUMERATOR: DO NOT READ THIS ALOUD&lt;/p&gt;
&lt;br&gt;
&lt;p style="color: #ff0000;"&gt;Report the status of this call.&lt;/p&gt;</t>
  </si>
  <si>
    <t>552. &lt;p style="color: #ff0000;font-weight:bold;"&gt;ENQETEUR : NE LISEZ PAS CECI À HAUTE VOIX&lt;/p&gt;
&lt;br&gt;
&lt;p style="color: #ff0000;"&gt; Signaler le statut de cet appel. &lt;/p&gt;</t>
  </si>
  <si>
    <t>552. &lt;p style="color: #ff0000;font-weight:bold;"&gt;Ɗan bincike: KAR KA KARANTA WANNAN DA KARFI &lt;/p&gt;
&lt;br&gt;
&lt;p style="color: #ff0000;"&gt;Bayar da matsayin wannan kiran. &lt;/p&gt;</t>
  </si>
  <si>
    <t>call_status_label_shm</t>
  </si>
  <si>
    <t>Calculates the label of the choice selected in call_status for the SHM.</t>
  </si>
  <si>
    <t>choice-label(${call_status}, ${call_status})</t>
  </si>
  <si>
    <t>call_status_label</t>
  </si>
  <si>
    <t>${call_status_label_shm}</t>
  </si>
  <si>
    <t>attempt_1_time_shm</t>
  </si>
  <si>
    <t>Publishes the call time of the first attempt for the SHM.</t>
  </si>
  <si>
    <t>${call_num}=1</t>
  </si>
  <si>
    <t>attempt_2_time_shm</t>
  </si>
  <si>
    <t>Publishes the call time of the second attempt for the SHM.</t>
  </si>
  <si>
    <t>${call_num}=2</t>
  </si>
  <si>
    <t>attempt_3_time_shm</t>
  </si>
  <si>
    <t>Publishes the call time of the third attempt for the SHM.</t>
  </si>
  <si>
    <t>${call_num}=3</t>
  </si>
  <si>
    <t>attempt_4_time_shm</t>
  </si>
  <si>
    <t>Publishes the call time of the fourth attempt for the SHM.</t>
  </si>
  <si>
    <t>${call_num}=4</t>
  </si>
  <si>
    <t>attempt_5_time_shm</t>
  </si>
  <si>
    <t>Publishes the call time of the fifth attempt for the SHM.</t>
  </si>
  <si>
    <t>attempt_6_time_shm</t>
  </si>
  <si>
    <t>Publishes the call time of the sixth attempt for the SHM.</t>
  </si>
  <si>
    <t>${call_num}=6</t>
  </si>
  <si>
    <t>attempt_1_status_shm</t>
  </si>
  <si>
    <t>Publishes the status the first attempt for the SHM.</t>
  </si>
  <si>
    <t>attempt_2_status_shm</t>
  </si>
  <si>
    <t>Publishes the status of the second attempt for the SHM.</t>
  </si>
  <si>
    <t>attempt_3_status_shm</t>
  </si>
  <si>
    <t>Publishes the status of the third attempt for the SHM.</t>
  </si>
  <si>
    <t>attempt_4_status_shm</t>
  </si>
  <si>
    <t>Publishes the status of the fourth attempt for the SHM.</t>
  </si>
  <si>
    <t>attempt_5_status_shm</t>
  </si>
  <si>
    <t>Publishes the status of the fifth attempt for the SHM.</t>
  </si>
  <si>
    <t>attempt_6_status_shm</t>
  </si>
  <si>
    <t>Publishes the status of the sixth attempt for the SHM.</t>
  </si>
  <si>
    <t>call_status_grp</t>
  </si>
  <si>
    <t>warning_not_refused</t>
  </si>
  <si>
    <t>553. &lt;p style="color: #ff0000;font-weight:bold;"&gt;Enumerator:&lt;/p&gt;
&lt;br&gt;
&lt;p style="color: #ff0000;"&gt;It looks like the respondent refused consent. Please go back and change your response accordingly.&lt;/p&gt;</t>
  </si>
  <si>
    <t>553. &lt;p style="color: #ff0000;font-weight:bold;"&gt;Enquêteur:&lt;/p&gt;
&lt;br&gt;
&lt;p style="color: #ff0000;"&gt;Il me semble que le répondant a réfusé de donner son consentement. Veuillez revenir en arrière pour changer votre réponse&lt;/p&gt;</t>
  </si>
  <si>
    <t>553. &lt;p style="color: #ff0000;font-weight:bold;"&gt;Mai bincike : &lt;/p&gt;
&lt;br&gt;
&lt;p style="color: #ff0000;"&gt;Ga alama mai bada amsa ya ki yarda. Da fatan za ku koma ku canza amsar ku daidai.&lt;/p&gt;</t>
  </si>
  <si>
    <t>selected(${consent}, '0') and not(selected(${call_status}, '5'))</t>
  </si>
  <si>
    <t>warning_status_not_complete</t>
  </si>
  <si>
    <t>554. &lt;p style="color: #ff0000;font-weight:bold;"&gt;Enumerator:&lt;/p&gt;
&lt;br&gt;
&lt;p style="color: #ff0000;"&gt;It looks like the form was completed. Please go back and change your response accordingly.&lt;/p&gt;</t>
  </si>
  <si>
    <t>554. &lt;p style="color: #ff0000;font-weight:bold;"&gt;Enquêteur:&lt;/p&gt;
&lt;br&gt;
&lt;p style="color: #ff0000;"&gt;Il me semble que le formulaire est complétement rempli. Veuillez revenir en arrière pour changer votre réponse&lt;/p&gt;</t>
  </si>
  <si>
    <t>554. &lt;p style="color: #ff0000;font-weight:bold;"&gt;Mai bincike : &lt;/p&gt;
&lt;br&gt;
&lt;p style="color: #ff0000;"&gt;Ga alama an kammala wannan form ɗin. Da fatan za ku koma baya ku canza amsar ku daidai.&lt;/p&gt;</t>
  </si>
  <si>
    <t xml:space="preserve">not(selected(${call_status}, '1')) and selected(${availability}, '1') and not(selected(${consent}, '0')) </t>
  </si>
  <si>
    <t>warning_status_refusal</t>
  </si>
  <si>
    <t>555. &lt;p style="color: #ff0000;font-weight:bold;"&gt;Enumerator:&lt;/p&gt;
&lt;br&gt;
&lt;p style="color: #ff0000;"&gt;There is no indication that the respondent didn't consent the survey. Please go back and change your response accordingly.&lt;/p&gt;</t>
  </si>
  <si>
    <t xml:space="preserve">555. &lt;p style="color: #ff0000;font-weight:bold;"&gt;Enquêteur:&lt;/p&gt;
&lt;br&gt;
&lt;p style="color: #ff0000;"&gt;Rien n'indique que le répondant n'a pas consenti à l'enquête. veuillez revenir en arrière pour changer votre réponse&lt;/p&gt;
</t>
  </si>
  <si>
    <t>555. &lt;p style="color: #ff0000;font-weight:bold;"&gt;Mai bincike :&lt;/p&gt;
&lt;br&gt;
&lt;p style="color: #ff0000;"&gt;Ga alama mai bada amsa ya ki yarda da binciken. Da fatan za ku koma baya ku canza amsar ku daidai.&lt;/p&gt;</t>
  </si>
  <si>
    <t>selected(${call_status}, '5') and not(selected(${consent}, '0'))</t>
  </si>
  <si>
    <t>warning_status_completed</t>
  </si>
  <si>
    <t>556. &lt;p style="color: #ff0000;font-weight:bold;"&gt;Enumerator:&lt;/p&gt;
&lt;br&gt;
&lt;p style="color: #ff0000;"&gt;It seems that either you have not talked with the respondent, or they weren't available. Please go back and change your response accordingly.&lt;/p&gt;</t>
  </si>
  <si>
    <t>556. &lt;p style="color: #ff0000;font-weight:bold;"&gt;Enquêteur: &lt;/p&gt;
&lt;br&gt;
&lt;p style="color: #ff0000;"&gt;Il semble que soit vous n'avez pas parlé avec le répondant, soit qu'il n'était pas disponible. Veuillez revenir en arrière pour changer votre réponse&lt;/p&gt;</t>
  </si>
  <si>
    <t>556. &lt;p style="color: #ff0000;font-weight:bold;"&gt;Mai bincike :&lt;/p&gt;
&lt;br&gt;
&lt;p style="color: #ff0000;"&gt;Ga alama ko dai ba ku yi magana da mai bada amsa ba, ko kuma ba ya da dama. Da fatan za ku koma ku canza amsar ku daidai.&lt;/p&gt;</t>
  </si>
  <si>
    <t>selected(${call_status}, '1') and not(selected(${availability}, '1'))</t>
  </si>
  <si>
    <t>warning_status_answer1</t>
  </si>
  <si>
    <t>557. &lt;p style="color: #ff0000;font-weight:bold;"&gt;Enumerator:&lt;/p&gt;
&lt;br&gt;
&lt;p style="color: #ff0000;"&gt;It seems that the respondent hasn't answered any of the phone calls. Please go back and change your response accordingly.&lt;/p&gt;</t>
  </si>
  <si>
    <t>557. &lt;p style="color: #ff0000;font-weight:bold;"&gt;Enquêteur: &lt;/p&gt;
&lt;br&gt;
&lt;p style="color: #ff0000;"&gt;Il me semble que le répondant n'a répondu à aucun de vos appels. Veuillez revenir en arrière pour changer votre réponse.&lt;/p&gt;</t>
  </si>
  <si>
    <t>557. &lt;p style="color: #ff0000;font-weight:bold;"&gt;Mai bincike :&lt;/p&gt;
&lt;br&gt;
&lt;p style="color: #ff0000;"&gt;Ga alama mai bada a amsa bai amshi ko ɗaya daga cikin kiran wayar ba. Da fatan za ku koma baya ku canza amsar ku daidai.&lt;/p&gt;</t>
  </si>
  <si>
    <t>selected(${call_status}, '2') and (not(selected(${phone_response}, '1') or selected(${resp_confirm}, '1')))</t>
  </si>
  <si>
    <t>warning_status_answer2</t>
  </si>
  <si>
    <t>558. &lt;p style="color: #ff0000;font-weight:bold;"&gt;Enumerator:&lt;/p&gt;
&lt;br&gt;
&lt;p style="color: #ff0000;"&gt;It seems that either the respondent answered the phone or no one answered. Please go back and change your response accordingly.&lt;/p&gt;</t>
  </si>
  <si>
    <t>558. &lt;p style="color: #ff0000;font-weight:bold;"&gt;Enquêteur:&lt;/p&gt;
&lt;br&gt;
&lt;p style="color: #ff0000;"&gt;Il semble que soit le répondant a répondu à l'appel soit personne n'a répondu. Veuillez revenir en arrière pour modifier votre réponse.&lt;/p&gt;</t>
  </si>
  <si>
    <t>558. &lt;p style="color: #ff0000;font-weight:bold;"&gt;Mai bincike : &lt;/p&gt;
&lt;br&gt;
&lt;p style="color: #ff0000;"&gt;Ga alama ko dai mai bada amsa ya amshi kiran ko kuma babu wanda ya amsa. Da fatan za ku koma baya ku canza amsar ku daidai.&lt;/p&gt;</t>
  </si>
  <si>
    <t>selected(${call_status}, '3') and (not(selected(${phone_response}, '2')) or selected(${resp_confirm}, '1'))</t>
  </si>
  <si>
    <t>warning_status_noanswer</t>
  </si>
  <si>
    <t>559. &lt;p style="color: #ff0000;font-weight:bold;"&gt;Enumerator:&lt;/p&gt;
&lt;br&gt;
&lt;p style="color: #ff0000;"&gt;It seems that someone answered to the phone call. Please go back and change your response accordingly.&lt;/p&gt;</t>
  </si>
  <si>
    <t>559. &lt;p style="color: #ff0000;font-weight:bold;"&gt;Enquêteur:&lt;/p&gt;
&lt;br&gt;
&lt;p style="color: #ff0000;"&gt;Il semble que quelqu'un ait répondu à l'appel. Veuillez revenir en arrière pour changer votre réponse.&lt;/p&gt;</t>
  </si>
  <si>
    <t>559. &lt;p style="color: #ff0000;font-weight:bold;"&gt;Mai bincike : &lt;/p&gt;
&lt;br&gt;
&lt;p style="color: #ff0000;"&gt;Ga alama wani ya amshi kiran wayar. Da fatan za ku koma baya ku canza amsar ku daidai.&lt;/p&gt;</t>
  </si>
  <si>
    <t>selected(${call_status}, '4') and (selected(${phone_response}, '1') or selected(${phone_response}, '2'))</t>
  </si>
  <si>
    <t>warning_status_comp_inperson</t>
  </si>
  <si>
    <t>559. &lt;p style="color: #ff0000;font-weight:bold;"&gt;Enumerator:&lt;/p&gt;
&lt;br&gt;
&lt;p style="color: #ff0000;"&gt;It seems that the survey was not completed in-person. Please go back and change your response accordingly.&lt;/p&gt;</t>
  </si>
  <si>
    <t>559. &lt;p style="color: #ff0000;font-weight:bold;"&gt;Enquêteur:&lt;/p&gt;
&lt;br&gt;
&lt;p style="color: #ff0000;"&gt;Il semble que l'enquête n’ait pas été complété en personne.. Veuillez revenir en arrière pour changer votre réponse.&lt;/p&gt;</t>
  </si>
  <si>
    <t>559. &lt;p style="color: #ff0000;font-weight:bold;"&gt;Mai bincike : &lt;/p&gt;
&lt;br&gt;
&lt;p style="color: #ff0000;"&gt;Da alama ba a kammala binciken da hannu ba. Da fatan za ku koma baya ku canza amsar ku daidai.&lt;/p&gt;</t>
  </si>
  <si>
    <t>selected(${call_status}, '6')</t>
  </si>
  <si>
    <t>final_grp</t>
  </si>
  <si>
    <t>Summary</t>
  </si>
  <si>
    <t>final_note</t>
  </si>
  <si>
    <t>560. &lt;strong&gt;Summary of this attempt:&lt;/strong&gt; &lt;br&gt;
&lt;br&gt;
&lt;ul&gt;
&lt;li&gt;&lt;strong&gt;Attempt number:&lt;/strong&gt; ${call_num}&lt;/li&gt;
&lt;li&gt;&lt;strong&gt;Attempt status:&lt;/strong&gt; ${call_status_label}&lt;/li&gt;
&lt;li&gt;&lt;strong&gt;New best contact:&lt;/strong&gt; ${new_best_phone}&lt;/li&gt;
&lt;li&gt;&lt;strong&gt;Total number of viable contacts:&lt;/strong&gt; ${active_pn_count}&lt;/li&gt;
&lt;li&gt;&lt;strong&gt;Call back time:&lt;/strong&gt; ${callback_time}&lt;/li&gt;
&lt;/ul&gt;</t>
  </si>
  <si>
    <t>560. &lt;strong&gt;Résumé de cette tentative:&lt;/strong&gt; &lt;br&gt;
&lt;br&gt;
&lt;ul&gt;
&lt;li&gt;&lt;strong&gt;Numéro tenté:&lt;/strong&gt; ${call_num}&lt;/li&gt;
&lt;li&gt;&lt;strong&gt;Statut du numero tenté:&lt;/strong&gt; ${call_status_label}&lt;/li&gt;
&lt;li&gt;&lt;strong&gt;Nouveau meilleur contact:&lt;/strong&gt; ${new_best_phone}&lt;/li&gt;
&lt;li&gt;&lt;strong&gt;Nombre total de contacts qui marchent:&lt;/strong&gt; ${active_pn_count}&lt;/li&gt;
&lt;li&gt;&lt;strong&gt;Heure d'appel:&lt;/strong&gt; ${callback_time}&lt;/li&gt;
&lt;/ul&gt;</t>
  </si>
  <si>
    <t>560. &lt;strong&gt;Takaitaccen wannan yunƙurin: &lt;/strong&gt; &lt;br&gt;
&lt;br&gt;
&lt;ul&gt;
&lt;li&gt;&lt;strong&gt;Lambar kira: &lt;/strong&gt; ${call_num}&lt;/li&gt;
&lt;li&gt;&lt;strong&gt;Matsayin kiran: &lt;/strong&gt; ${call_status_label}&lt;/li&gt;
&lt;li&gt;&lt;strong&gt;Sabuwar mafi kyawun lamba: &lt;/strong&gt; ${new_best_phone}&lt;/li&gt;
&lt;li&gt;&lt;strong&gt;Jimilar lambobi masu aiki: &lt;/strong&gt; ${active_pn_count}&lt;/li&gt;
&lt;li&gt;&lt;strong&gt;Lokacin kira:&lt;/strong&gt; ${callback_time}&lt;/li&gt;
&lt;/ul&gt;</t>
  </si>
  <si>
    <t>561. Do you have any comments you would like to record?</t>
  </si>
  <si>
    <t>561. Avez-vous des commentaires que vous voulez partager?</t>
  </si>
  <si>
    <t>561. Kuna da wani ƙarin bayani da kuke son yi?</t>
  </si>
  <si>
    <t>completed_note</t>
  </si>
  <si>
    <t>562. &lt;p style="color: #ff0000;font-weight:bold;"&gt;ENUMERATOR:&lt;/p&gt;
&lt;br&gt;
&lt;p style="color: #ff0000;"&gt; You have completed the form. No matter if you spoke to the respondent or not, finalize and submit this form on the next page.&lt;/p&gt;</t>
  </si>
  <si>
    <t>562. &lt;p style="color: #ff0000;font-weight:bold;"&gt;Enquêteur::&lt;/p&gt;
&lt;br&gt;
&lt;p style="color: #ff0000;"&gt; Vous avez rempli le formulaire. Peu importe si vous avez parlé au répondant ou non, finalisez et soumettez ce formulaire sur la page suivante.&lt;/p&gt;</t>
  </si>
  <si>
    <t>562. &lt;p style="color: #ff0000;font-weight:bold;"&gt;DAN BINCIKE :&lt;/p&gt;
&lt;br&gt;
&lt;p style="color: #ff0000;"&gt; Kun cika fom. Ko kun yi magana da mai bada amsa ko a'a, kammala sai ka aika wannan fom a shafi na gaba.&lt;/p&gt;</t>
  </si>
  <si>
    <t>not(empty(${caseid}))</t>
  </si>
  <si>
    <t>designer_notes</t>
  </si>
  <si>
    <t>563. &lt;p&gt;&lt;strong&gt;JUST FOR TESTING:&lt;/strong&gt; Remove this field before deploying your form.&lt;/p&gt;
&lt;br&gt;
num_calls: ${num_calls}&lt;br&gt;
call_num: ${call_num}&lt;br&gt;
now_complete: ${now_complete_shm}&lt;br&gt;
now_closed: ${now_closed}&lt;br&gt;
pub_to_users: ${pub_to_users}&lt;br&gt;
callback_time: ${callback_time}&lt;br&gt;
rescheduled_for: ${reschedule_datetime}&lt;br&gt;
needs_review: ${needs_review}&lt;br&gt;
contacts_new: ${contacts_new}&lt;br&gt;
new_best_phone: ${new_best_phone}&lt;br&gt;</t>
  </si>
  <si>
    <t>563. &lt;p&gt;&lt;strong&gt;JUSTE POUR TEST: &lt;/strong&gt;Supprimez ce champ avant de déployer votre formulaire. &lt;/p&gt;
&lt;br&gt;
num_appels: ${num_calls}&lt;br&gt;
numéro_appel: ${call_num}&lt;br&gt;
now_complete: ${now_complete_shm}&lt;br&gt;
now_closed: ${now_closed}&lt;br&gt;
pub_to_users: ${pub_to_users}&lt;br&gt;
heure de rappel: ${callback_time}&lt;br&gt;
reprogrammé_pour: ${reschedule_datetime}&lt;br&gt;
need_review: ${needs_review}&lt;br&gt;
contacts_nouveau: ${contacts_new}&lt;br&gt;
new_best_phone: ${new_best_phone}&lt;br&gt;</t>
  </si>
  <si>
    <t>563. &lt;p&gt;&lt;strong&gt;DON GWAJI KAWAI: &lt;/strong&gt; Cire wannan filin kafin tura fom ɗin ku.&lt;/p&gt;
&lt;br&gt;
lamba_kira: ${num_calls}&lt;br&gt;
lambar kira: ${call_num}&lt;br&gt;
now_complete: ${now_complete_shm}&lt;br&gt;
now_closed: ${now_closed}&lt;br&gt;
mashaya_zuwa_masu: ${pub_to_users}&lt;br&gt;
 kiran dawowa_lokac: ${callback_time}&lt;br&gt;
sake tsarawa: ${reschedule_datetime}&lt;br&gt;
bukatu_bita:: ${needs_review}&lt;br&gt;
bukatu_bita:: ${contacts_new}&lt;br&gt;
 sabuwar_mafi kyawun waya: ${new_best_phone}&lt;br&gt;</t>
  </si>
  <si>
    <t>564. &lt;p&gt;Thank you for completing this form! Please submit this form as soon as you get a chance, then move on to the next case.&lt;/p&gt;
&lt;br&gt;
&lt;p&gt;Cases will not get updated until you submit and download updated case data from the server.&lt;/p&gt;</t>
  </si>
  <si>
    <t>564. &lt;p&gt;Merci d'avoir rempli ce formulaire! Veuillez soumettre ce formulaire dès que vous en avez l'occasion, puis passer au cas suivant. &lt;/p&gt;
&lt;br&gt;
&lt;p&gt;Les requêtes ne seront pas mises à jour tant que vous n'aurez pas soumis et téléchargé les données de requête mises à jour à partir du serveur.&lt;/p&gt;</t>
  </si>
  <si>
    <t>564. &lt;p&gt;Na gode don kammala wannan fom ɗin! Da fatan za ku aika wannan fom da zaran kun sami dama, sannan ku ci gaba zuwa lamari na gaba. &lt;/p&gt;
&lt;br&gt;
&lt;p&gt;Ba za a sabunta lamura ba har sai kun aika kuma kun sabunta bayanan fom ɗin daga uwar bayanan.&lt;/p&gt;</t>
  </si>
  <si>
    <t>not(empty(${caseid})) and ${deviceid} != '(web)'</t>
  </si>
  <si>
    <t>phone_updates</t>
  </si>
  <si>
    <t>Uses long format publishing to update phone numbers, and maybe add a new phone number.</t>
  </si>
  <si>
    <t>if(relevant(${other_phone}), ${contacts} + 1, ${contacts})</t>
  </si>
  <si>
    <t>update_index</t>
  </si>
  <si>
    <t>Index of the phone number being updated.</t>
  </si>
  <si>
    <t>index() + ${subtract}</t>
  </si>
  <si>
    <t>update_id</t>
  </si>
  <si>
    <t>Unique ID of the phone number being updated.</t>
  </si>
  <si>
    <t>concat(${caseid}, '-', ${update_index})</t>
  </si>
  <si>
    <t>update_exclude</t>
  </si>
  <si>
    <t>Whether this phone number should be excluded in future form instances.</t>
  </si>
  <si>
    <t>selected(${new_exclude}, ${update_index})</t>
  </si>
  <si>
    <t>update_rel</t>
  </si>
  <si>
    <t>The updated relationship of the phone number owner to the respondent.</t>
  </si>
  <si>
    <t>((${update_index} = ${pn_index_called}) and relevant(${resp_relationship_label})) or
(${update_index} &gt; ${contacts})</t>
  </si>
  <si>
    <t>if(${update_index} = ${pn_index_called},
${resp_relationship_label},
${phone_relationship_label})</t>
  </si>
  <si>
    <t>add_pn</t>
  </si>
  <si>
    <t>New phone number to add.</t>
  </si>
  <si>
    <t>${update_index} &gt; ${contacts} + ${subtract}</t>
  </si>
  <si>
    <t>${other_phone}</t>
  </si>
  <si>
    <t>add_contact_name</t>
  </si>
  <si>
    <t>Name of owner of the new phone number being added.</t>
  </si>
  <si>
    <t>coalesce(${name_phone}, ${attempted_name})</t>
  </si>
  <si>
    <t>pub_to_users</t>
  </si>
  <si>
    <t>Publishes "Closed" to the 'users' column of the cases dataset when the case is done so it will no longer be visible to enumerators when it is complete.</t>
  </si>
  <si>
    <t>if(${now_closed} = 'Yes' or ${now_complete_case} = 'Yes', 'Closed', ${users})</t>
  </si>
  <si>
    <t>shm_reschedule</t>
  </si>
  <si>
    <t>Reschedule time in numeric format for PM survey</t>
  </si>
  <si>
    <t>if(${shm_callback_time} = '', '',
concat(substr(${shm_callback_time}, 2, 4), substr(${shm_callback_time}, 5, 7), substr(${shm_callback_time}, 8, 10), substr(${shm_callback_time}, 11, 13), substr(${shm_callback_time}, 14, 16)))</t>
  </si>
  <si>
    <t>reschedule_datetime</t>
  </si>
  <si>
    <t>${shm_reschedule}</t>
  </si>
  <si>
    <t>shm_call_num</t>
  </si>
  <si>
    <t>Used for updating 'num_calls' in cases dataset.</t>
  </si>
  <si>
    <t>${call_num}</t>
  </si>
  <si>
    <t>last_call_status</t>
  </si>
  <si>
    <t>Stores the status of the last call, to display in the cases list.</t>
  </si>
  <si>
    <t>coalesce(pulldata('cases_el', 'shm_last_call_status', 'id', ${caseid}), 'None')</t>
  </si>
  <si>
    <t>shm_comments</t>
  </si>
  <si>
    <t>${comments}</t>
  </si>
  <si>
    <t>shm_needs_review</t>
  </si>
  <si>
    <t>Needs review if there are no new phone numbers to call, or the respondent will send an SMS with the best phone number (for PM).</t>
  </si>
  <si>
    <t>if(${active_pn_count}&lt;1, 'Check the phone number(s), they were all filtered out from the dataset', if(selected(${best_phone_confirm}, '555'), 'Respondent will share a phone number by SMS', ''))</t>
  </si>
  <si>
    <t>needs_review</t>
  </si>
  <si>
    <t>${shm_needs_review}</t>
  </si>
  <si>
    <t>shm_callback_time</t>
  </si>
  <si>
    <t>Time that respondent should be called back, either the when the respondent selects, or when the enumerator selects (for PM).</t>
  </si>
  <si>
    <t>coalesce(${reschedule_full}, ${reschedule_notresp}, ${reschedule_no_ans_date}, ${reschedule_no_ans_hours}, '')</t>
  </si>
  <si>
    <t>callback_time</t>
  </si>
  <si>
    <t>${shm_callback_time}</t>
  </si>
  <si>
    <t>new_best_phone</t>
  </si>
  <si>
    <t>Select and publish the index of the best phone number to contact the respondent. Uses index, not ID or actual phone number.</t>
  </si>
  <si>
    <t>empty(${best_phoneno}) or selected(${best_phone_reconfirm}, '0')</t>
  </si>
  <si>
    <t>if((selected(${phone_response}, '1') or selected(${resp_available}, '1')) and not(selected(${confirm_phone}, '0')), ${phonenumber_called}, if(${best_phone_confirm} &lt; 111 and ${best_phone_confirm} != -777, ${best_phone_num},
if(selected(${best_phone_confirm}, '-777'), ${other_phone},
if(${best_phone_confirm}='555', 'Awaiting', ''))))</t>
  </si>
  <si>
    <t>new_best_phone_shm</t>
  </si>
  <si>
    <t>${new_best_phone}</t>
  </si>
  <si>
    <t>new_best_phone_rel</t>
  </si>
  <si>
    <t>if((selected(${phone_response}, '1') or selected(${resp_available}, '1')) and not(selected(${confirm_phone}, '0')), ${phone_rel}, if(${best_phone_confirm} &lt; 111 and ${best_phone_confirm} != -777, ${best_phone_rel},
if(selected(${best_phone_confirm}, '-777'), ${phone_relationship_label},
if(${best_phone_confirm}='555', 'Awaiting', ''))))</t>
  </si>
  <si>
    <t>new_best_phone_rel_shm</t>
  </si>
  <si>
    <t>${new_best_phone_rel}</t>
  </si>
  <si>
    <t>new_best_phone_name</t>
  </si>
  <si>
    <t>if((selected(${phone_response}, '1') or selected(${resp_available}, '1')) and not(selected(${confirm_phone}, '0')), ${phone_name}, if(${best_phone_confirm} &lt; 111 and ${best_phone_confirm} != -777, ${best_phone_name},
if(selected(${best_phone_confirm}, '-777'), ${phone_name_label},
if(${best_phone_confirm}='555', 'Awaiting', ''))))</t>
  </si>
  <si>
    <t>new_best_phone_name_shm</t>
  </si>
  <si>
    <t>${new_best_phone_name}</t>
  </si>
  <si>
    <t>contacts_new</t>
  </si>
  <si>
    <t>New number of contacts.</t>
  </si>
  <si>
    <t>now_complete_shm</t>
  </si>
  <si>
    <t>Evaluates 1 if the form was completed (filled-out) by the respondent.</t>
  </si>
  <si>
    <t>if(selected(${call_status}, '1'), 'Yes', 'No')</t>
  </si>
  <si>
    <t>now_complete_case</t>
  </si>
  <si>
    <t>selected(${call_status}, '1')</t>
  </si>
  <si>
    <t>${now_complete_shm}</t>
  </si>
  <si>
    <t>surveys_new</t>
  </si>
  <si>
    <t>${surveys}-1</t>
  </si>
  <si>
    <t>now_closed</t>
  </si>
  <si>
    <t>If this is the fifth time calling, the respondent is willing to talk, the respondent answers but refuses to talk, or the supervisor says to close the case, the case should be closed.</t>
  </si>
  <si>
    <t>if(${now_complete_case} = "Yes" or selected(${call_status}, '5') or (${call_num}=5  and ${addthreshold}!=1) or ${call_num}=6, 'Yes', 'No')</t>
  </si>
</sst>
</file>

<file path=xl/styles.xml><?xml version="1.0" encoding="utf-8"?>
<styleSheet xmlns="http://schemas.openxmlformats.org/spreadsheetml/2006/main" xmlns:x14ac="http://schemas.microsoft.com/office/spreadsheetml/2009/9/ac" xmlns:mc="http://schemas.openxmlformats.org/markup-compatibility/2006">
  <fonts count="40">
    <font>
      <sz val="12.0"/>
      <color rgb="FF000000"/>
      <name val="Calibri"/>
      <scheme val="minor"/>
    </font>
    <font>
      <b/>
      <sz val="10.0"/>
      <color theme="1"/>
      <name val="Fira Code"/>
    </font>
    <font>
      <b/>
      <u/>
      <sz val="12.0"/>
      <color rgb="FF000000"/>
      <name val="Calibri"/>
    </font>
    <font/>
    <font>
      <sz val="12.0"/>
      <color rgb="FF000000"/>
      <name val="Calibri"/>
    </font>
    <font>
      <b/>
      <sz val="12.0"/>
      <color theme="1"/>
      <name val="Calibri"/>
    </font>
    <font>
      <b/>
      <sz val="10.0"/>
      <color rgb="FF000000"/>
      <name val="Fira Code"/>
    </font>
    <font>
      <sz val="10.0"/>
      <color theme="1"/>
      <name val="Fira Code"/>
    </font>
    <font>
      <color theme="1"/>
      <name val="Arial"/>
    </font>
    <font>
      <sz val="12.0"/>
      <color theme="1"/>
      <name val="Calibri"/>
    </font>
    <font>
      <i/>
      <u/>
      <sz val="12.0"/>
      <color rgb="FF0000D4"/>
      <name val="Calibri"/>
    </font>
    <font>
      <sz val="10.0"/>
      <color theme="1"/>
      <name val="Calibri"/>
    </font>
    <font>
      <b/>
      <sz val="12.0"/>
      <color rgb="FF000000"/>
      <name val="Calibri"/>
    </font>
    <font>
      <color theme="1"/>
      <name val="Calibri"/>
      <scheme val="minor"/>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b/>
      <u/>
      <sz val="12.0"/>
      <color rgb="FF000000"/>
      <name val="Calibri"/>
    </font>
    <font>
      <b/>
      <u/>
      <sz val="12.0"/>
      <color rgb="FF000000"/>
      <name val="Calibri"/>
    </font>
    <font>
      <sz val="10.0"/>
      <color rgb="FF000000"/>
      <name val="Fira Code"/>
    </font>
    <font>
      <i/>
      <u/>
      <sz val="12.0"/>
      <color rgb="FF0000D4"/>
      <name val="Calibri"/>
    </font>
    <font>
      <i/>
      <u/>
      <sz val="12.0"/>
      <color rgb="FF0000D4"/>
      <name val="Calibri"/>
    </font>
    <font>
      <i/>
      <u/>
      <sz val="12.0"/>
      <color rgb="FF0000D4"/>
      <name val="Calibri"/>
    </font>
    <font>
      <b/>
      <u/>
      <sz val="12.0"/>
      <color rgb="FF000000"/>
      <name val="Calibri"/>
    </font>
    <font>
      <u/>
      <sz val="12.0"/>
      <color rgb="FF0000D4"/>
      <name val="Calibri"/>
    </font>
    <font>
      <sz val="10.0"/>
      <color theme="1"/>
      <name val="&quot;Fira Code&quot;"/>
    </font>
    <font>
      <sz val="10.0"/>
      <color rgb="FF000000"/>
      <name val="&quot;docs-Fira Code&quot;"/>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000000"/>
      <name val="&quot;Fira Code&quot;"/>
    </font>
    <font>
      <sz val="11.0"/>
      <color theme="1"/>
      <name val="Fira Code"/>
    </font>
    <font>
      <color rgb="FF000000"/>
      <name val="&quot;Fira Code&quot;"/>
    </font>
    <font>
      <sz val="10.0"/>
      <color theme="1"/>
      <name val="Calibri"/>
      <scheme val="minor"/>
    </font>
    <font>
      <sz val="11.0"/>
      <color theme="1"/>
      <name val="Calibri"/>
    </font>
    <font>
      <sz val="10.0"/>
      <color rgb="FF1F1F1F"/>
      <name val="&quot;Fira Code&quot;"/>
    </font>
  </fonts>
  <fills count="29">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FF0000"/>
        <bgColor rgb="FFFF0000"/>
      </patternFill>
    </fill>
    <fill>
      <patternFill patternType="solid">
        <fgColor rgb="FFFF6969"/>
        <bgColor rgb="FFFF6969"/>
      </patternFill>
    </fill>
    <fill>
      <patternFill patternType="solid">
        <fgColor rgb="FFFDE9D9"/>
        <bgColor rgb="FFFDE9D9"/>
      </patternFill>
    </fill>
    <fill>
      <patternFill patternType="solid">
        <fgColor rgb="FFFFFFFF"/>
        <bgColor rgb="FFFFFFFF"/>
      </patternFill>
    </fill>
    <fill>
      <patternFill patternType="solid">
        <fgColor rgb="FFD6E3BC"/>
        <bgColor rgb="FFD6E3BC"/>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EAF1DD"/>
        <bgColor rgb="FFEAF1DD"/>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99BCE7"/>
        <bgColor rgb="FF99BCE7"/>
      </patternFill>
    </fill>
    <fill>
      <patternFill patternType="solid">
        <fgColor rgb="FF4685D2"/>
        <bgColor rgb="FF4685D2"/>
      </patternFill>
    </fill>
    <fill>
      <patternFill patternType="solid">
        <fgColor rgb="FFC4BD97"/>
        <bgColor rgb="FFC4BD97"/>
      </patternFill>
    </fill>
    <fill>
      <patternFill patternType="solid">
        <fgColor rgb="FFE3E0CF"/>
        <bgColor rgb="FFE3E0CF"/>
      </patternFill>
    </fill>
    <fill>
      <patternFill patternType="solid">
        <fgColor rgb="FFB2A1C7"/>
        <bgColor rgb="FFB2A1C7"/>
      </patternFill>
    </fill>
    <fill>
      <patternFill patternType="solid">
        <fgColor rgb="FFCCC0D9"/>
        <bgColor rgb="FFCCC0D9"/>
      </patternFill>
    </fill>
  </fills>
  <borders count="51">
    <border/>
    <border>
      <left style="thin">
        <color rgb="FFBFBFBF"/>
      </left>
      <right style="thin">
        <color rgb="FFBFBFBF"/>
      </right>
      <top style="thin">
        <color rgb="FFBFBFBF"/>
      </top>
      <bottom style="thin">
        <color rgb="FF000000"/>
      </bottom>
    </border>
    <border>
      <left style="thin">
        <color rgb="FF000000"/>
      </left>
      <top style="thin">
        <color rgb="FF000000"/>
      </top>
      <bottom/>
    </border>
    <border>
      <right style="thin">
        <color rgb="FFBFBFBF"/>
      </right>
      <top style="thin">
        <color rgb="FFBFBFBF"/>
      </top>
      <bottom style="thin">
        <color rgb="FF000000"/>
      </bottom>
    </border>
    <border>
      <right style="thin">
        <color rgb="FF000000"/>
      </right>
      <top style="thin">
        <color rgb="FF000000"/>
      </top>
      <bottom/>
    </border>
    <border>
      <left style="thin">
        <color rgb="FFBFBFBF"/>
      </left>
      <right style="thin">
        <color rgb="FFBFBFBF"/>
      </right>
      <top style="thin">
        <color rgb="FFBFBFBF"/>
      </top>
      <bottom style="thin">
        <color rgb="FFBFBFBF"/>
      </bottom>
    </border>
    <border>
      <left style="thin">
        <color rgb="FFBFBFBF"/>
      </left>
      <bottom style="thin">
        <color rgb="FF000000"/>
      </bottom>
    </border>
    <border>
      <right style="thin">
        <color rgb="FFBFBFBF"/>
      </right>
      <top style="thin">
        <color rgb="FFBFBFBF"/>
      </top>
      <bottom style="thin">
        <color rgb="FFBFBFBF"/>
      </bottom>
    </border>
    <border>
      <bottom style="thin">
        <color rgb="FF000000"/>
      </bottom>
    </border>
    <border>
      <left style="thin">
        <color rgb="FF000000"/>
      </left>
      <top/>
      <bottom/>
    </border>
    <border>
      <right style="thin">
        <color rgb="FF000000"/>
      </right>
      <top/>
      <bottom/>
    </border>
    <border>
      <left style="thin">
        <color rgb="FFBFBFBF"/>
      </left>
      <right style="thin">
        <color rgb="FFBFBFBF"/>
      </right>
      <bottom style="thin">
        <color rgb="FFBFBFBF"/>
      </bottom>
    </border>
    <border>
      <right style="thin">
        <color rgb="FFBFBFBF"/>
      </right>
      <bottom style="thin">
        <color rgb="FFBFBFBF"/>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right style="thin">
        <color rgb="FF000000"/>
      </right>
      <bottom style="thin">
        <color rgb="FFBFBFBF"/>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right style="thin">
        <color rgb="FFBFBFBF"/>
      </right>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left style="thin">
        <color rgb="FF000000"/>
      </left>
      <right/>
      <top/>
      <bottom/>
    </border>
    <border>
      <left/>
      <right style="thin">
        <color rgb="FF000000"/>
      </right>
      <top/>
      <bottom/>
    </border>
    <border>
      <right style="thin">
        <color rgb="FF000000"/>
      </right>
      <top style="thin">
        <color rgb="FF000000"/>
      </top>
      <bottom style="thin">
        <color rgb="FFBFBFBF"/>
      </bottom>
    </border>
    <border>
      <left style="thin">
        <color rgb="FF7F7F7F"/>
      </left>
      <top style="thin">
        <color rgb="FF7F7F7F"/>
      </top>
      <bottom/>
    </border>
    <border>
      <left style="thin">
        <color rgb="FF808080"/>
      </left>
      <right style="thin">
        <color rgb="FF808080"/>
      </right>
      <top style="thin">
        <color rgb="FF808080"/>
      </top>
      <bottom style="thin">
        <color rgb="FF808080"/>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right style="thin">
        <color rgb="FFBFBFBF"/>
      </right>
      <top style="thin">
        <color rgb="FF000000"/>
      </top>
    </border>
    <border>
      <left style="thin">
        <color rgb="FFBFBFBF"/>
      </left>
      <right style="thin">
        <color rgb="FFBFBFBF"/>
      </right>
    </border>
    <border>
      <right style="thin">
        <color rgb="FF000000"/>
      </right>
      <top style="thin">
        <color rgb="FF000000"/>
      </top>
    </border>
  </borders>
  <cellStyleXfs count="1">
    <xf borderId="0" fillId="0" fontId="0" numFmtId="0" applyAlignment="1" applyFont="1"/>
  </cellStyleXfs>
  <cellXfs count="45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3" fontId="2" numFmtId="0" xfId="0" applyAlignment="1" applyBorder="1" applyFill="1" applyFont="1">
      <alignment horizontal="left" shrinkToFit="0" vertical="center" wrapText="1"/>
    </xf>
    <xf borderId="3" fillId="2" fontId="1" numFmtId="0" xfId="0" applyAlignment="1" applyBorder="1" applyFont="1">
      <alignment vertical="bottom"/>
    </xf>
    <xf borderId="4" fillId="0" fontId="3" numFmtId="0" xfId="0" applyBorder="1" applyFont="1"/>
    <xf borderId="0" fillId="0" fontId="4" numFmtId="0" xfId="0" applyAlignment="1" applyFont="1">
      <alignment shrinkToFit="0" wrapText="1"/>
    </xf>
    <xf borderId="3" fillId="2" fontId="1" numFmtId="49" xfId="0" applyAlignment="1" applyBorder="1" applyFont="1" applyNumberFormat="1">
      <alignment shrinkToFit="0" vertical="bottom" wrapText="1"/>
    </xf>
    <xf borderId="0" fillId="0" fontId="4" numFmtId="0" xfId="0" applyFont="1"/>
    <xf borderId="3" fillId="2" fontId="1" numFmtId="0" xfId="0" applyAlignment="1" applyBorder="1" applyFont="1">
      <alignment vertical="bottom"/>
    </xf>
    <xf borderId="5" fillId="2" fontId="5" numFmtId="0" xfId="0" applyAlignment="1" applyBorder="1" applyFont="1">
      <alignment vertical="bottom"/>
    </xf>
    <xf borderId="6" fillId="2" fontId="1" numFmtId="0" xfId="0" applyAlignment="1" applyBorder="1" applyFont="1">
      <alignment vertical="bottom"/>
    </xf>
    <xf borderId="0" fillId="2" fontId="6" numFmtId="0" xfId="0" applyAlignment="1" applyFont="1">
      <alignment readingOrder="0" shrinkToFit="0" wrapText="1"/>
    </xf>
    <xf borderId="7" fillId="2" fontId="5" numFmtId="0" xfId="0" applyAlignment="1" applyBorder="1" applyFont="1">
      <alignment vertical="bottom"/>
    </xf>
    <xf borderId="8" fillId="2" fontId="1" numFmtId="0" xfId="0" applyAlignment="1" applyBorder="1" applyFont="1">
      <alignment vertical="bottom"/>
    </xf>
    <xf borderId="0" fillId="2" fontId="6" numFmtId="0" xfId="0" applyAlignment="1" applyFont="1">
      <alignment shrinkToFit="0" wrapText="1"/>
    </xf>
    <xf borderId="8" fillId="2" fontId="7" numFmtId="0" xfId="0" applyAlignment="1" applyBorder="1" applyFont="1">
      <alignment vertical="bottom"/>
    </xf>
    <xf borderId="7" fillId="2" fontId="5" numFmtId="49" xfId="0" applyAlignment="1" applyBorder="1" applyFont="1" applyNumberFormat="1">
      <alignment shrinkToFit="0" vertical="bottom" wrapText="1"/>
    </xf>
    <xf borderId="9" fillId="3" fontId="4" numFmtId="0" xfId="0" applyAlignment="1" applyBorder="1" applyFont="1">
      <alignment horizontal="center" shrinkToFit="0" vertical="center" wrapText="1"/>
    </xf>
    <xf borderId="7" fillId="2" fontId="5" numFmtId="0" xfId="0" applyAlignment="1" applyBorder="1" applyFont="1">
      <alignment shrinkToFit="0" vertical="bottom" wrapText="1"/>
    </xf>
    <xf borderId="10" fillId="0" fontId="3" numFmtId="0" xfId="0" applyBorder="1" applyFont="1"/>
    <xf borderId="0" fillId="2" fontId="8" numFmtId="0" xfId="0" applyAlignment="1" applyFont="1">
      <alignment vertical="bottom"/>
    </xf>
    <xf borderId="11" fillId="0" fontId="7" numFmtId="0" xfId="0" applyAlignment="1" applyBorder="1" applyFont="1">
      <alignment vertical="bottom"/>
    </xf>
    <xf borderId="0" fillId="2" fontId="1" numFmtId="0" xfId="0" applyAlignment="1" applyFont="1">
      <alignment shrinkToFit="0" wrapText="1"/>
    </xf>
    <xf borderId="12" fillId="0" fontId="7" numFmtId="0" xfId="0" applyAlignment="1" applyBorder="1" applyFont="1">
      <alignment horizontal="right" vertical="bottom"/>
    </xf>
    <xf borderId="11" fillId="0" fontId="9" numFmtId="0" xfId="0" applyAlignment="1" applyBorder="1" applyFont="1">
      <alignment readingOrder="0" vertical="bottom"/>
    </xf>
    <xf borderId="12" fillId="0" fontId="7" numFmtId="0" xfId="0" applyAlignment="1" applyBorder="1" applyFont="1">
      <alignment vertical="bottom"/>
    </xf>
    <xf borderId="12" fillId="0" fontId="9" numFmtId="0" xfId="0" applyAlignment="1" applyBorder="1" applyFont="1">
      <alignment readingOrder="0" vertical="bottom"/>
    </xf>
    <xf borderId="12" fillId="0" fontId="7" numFmtId="0" xfId="0" applyAlignment="1" applyBorder="1" applyFont="1">
      <alignment vertical="bottom"/>
    </xf>
    <xf borderId="0" fillId="0" fontId="7" numFmtId="0" xfId="0" applyAlignment="1" applyFont="1">
      <alignment vertical="bottom"/>
    </xf>
    <xf borderId="9" fillId="3" fontId="4" numFmtId="0" xfId="0" applyAlignment="1" applyBorder="1" applyFont="1">
      <alignment horizontal="left" shrinkToFit="0" vertical="center" wrapText="1"/>
    </xf>
    <xf borderId="13" fillId="0" fontId="7" numFmtId="0" xfId="0" applyAlignment="1" applyBorder="1" applyFont="1">
      <alignment vertical="bottom"/>
    </xf>
    <xf borderId="14" fillId="0" fontId="7" numFmtId="0" xfId="0" applyAlignment="1" applyBorder="1" applyFont="1">
      <alignment horizontal="right" vertical="bottom"/>
    </xf>
    <xf borderId="14" fillId="0" fontId="7" numFmtId="0" xfId="0" applyAlignment="1" applyBorder="1" applyFont="1">
      <alignment vertical="bottom"/>
    </xf>
    <xf borderId="14" fillId="0" fontId="7" numFmtId="0" xfId="0" applyAlignment="1" applyBorder="1" applyFont="1">
      <alignment vertical="bottom"/>
    </xf>
    <xf borderId="8" fillId="0" fontId="7" numFmtId="0" xfId="0" applyAlignment="1" applyBorder="1" applyFont="1">
      <alignment vertical="bottom"/>
    </xf>
    <xf borderId="15" fillId="3" fontId="10" numFmtId="0" xfId="0" applyAlignment="1" applyBorder="1" applyFont="1">
      <alignment horizontal="left" shrinkToFit="0" vertical="top" wrapText="1"/>
    </xf>
    <xf borderId="16" fillId="0" fontId="3" numFmtId="0" xfId="0" applyBorder="1" applyFont="1"/>
    <xf borderId="12" fillId="0" fontId="9" numFmtId="0" xfId="0" applyAlignment="1" applyBorder="1" applyFont="1">
      <alignment vertical="bottom"/>
    </xf>
    <xf borderId="0" fillId="4" fontId="7" numFmtId="0" xfId="0" applyAlignment="1" applyFill="1" applyFont="1">
      <alignment shrinkToFit="0" vertical="bottom" wrapText="1"/>
    </xf>
    <xf borderId="12" fillId="0" fontId="8" numFmtId="0" xfId="0" applyAlignment="1" applyBorder="1" applyFont="1">
      <alignment vertical="bottom"/>
    </xf>
    <xf borderId="0" fillId="4" fontId="11" numFmtId="49" xfId="0" applyAlignment="1" applyFont="1" applyNumberFormat="1">
      <alignment vertical="bottom"/>
    </xf>
    <xf borderId="0" fillId="0" fontId="8" numFmtId="0" xfId="0" applyAlignment="1" applyFont="1">
      <alignment vertical="bottom"/>
    </xf>
    <xf borderId="0" fillId="4" fontId="11" numFmtId="0" xfId="0" applyAlignment="1" applyFont="1">
      <alignment vertical="bottom"/>
    </xf>
    <xf borderId="17" fillId="2" fontId="12" numFmtId="0" xfId="0" applyBorder="1" applyFont="1"/>
    <xf borderId="0" fillId="0" fontId="11" numFmtId="0" xfId="0" applyAlignment="1" applyFont="1">
      <alignment vertical="bottom"/>
    </xf>
    <xf borderId="17" fillId="2" fontId="12" numFmtId="0" xfId="0" applyAlignment="1" applyBorder="1" applyFont="1">
      <alignment shrinkToFit="0" wrapText="1"/>
    </xf>
    <xf borderId="18" fillId="0" fontId="7" numFmtId="0" xfId="0" applyAlignment="1" applyBorder="1" applyFont="1">
      <alignment vertical="bottom"/>
    </xf>
    <xf borderId="19" fillId="0" fontId="7" numFmtId="0" xfId="0" applyAlignment="1" applyBorder="1" applyFont="1">
      <alignment horizontal="right" readingOrder="0" vertical="bottom"/>
    </xf>
    <xf borderId="17" fillId="2" fontId="5" numFmtId="0" xfId="0" applyAlignment="1" applyBorder="1" applyFont="1">
      <alignment shrinkToFit="0" wrapText="1"/>
    </xf>
    <xf borderId="19" fillId="0" fontId="7" numFmtId="0" xfId="0" applyAlignment="1" applyBorder="1" applyFont="1">
      <alignment readingOrder="0" vertical="bottom"/>
    </xf>
    <xf borderId="20" fillId="0" fontId="7" numFmtId="0" xfId="0" applyAlignment="1" applyBorder="1" applyFont="1">
      <alignment readingOrder="0" vertical="bottom"/>
    </xf>
    <xf borderId="21" fillId="0" fontId="7" numFmtId="0" xfId="0" applyAlignment="1" applyBorder="1" applyFont="1">
      <alignment vertical="bottom"/>
    </xf>
    <xf borderId="21" fillId="0" fontId="7" numFmtId="0" xfId="0" applyAlignment="1" applyBorder="1" applyFont="1">
      <alignment readingOrder="0" vertical="bottom"/>
    </xf>
    <xf borderId="12" fillId="0" fontId="7" numFmtId="0" xfId="0" applyAlignment="1" applyBorder="1" applyFont="1">
      <alignment horizontal="right" readingOrder="0" vertical="bottom"/>
    </xf>
    <xf borderId="22" fillId="0" fontId="7" numFmtId="0" xfId="0" applyAlignment="1" applyBorder="1" applyFont="1">
      <alignment readingOrder="0" vertical="bottom"/>
    </xf>
    <xf borderId="23" fillId="0" fontId="7" numFmtId="0" xfId="0" applyAlignment="1" applyBorder="1" applyFont="1">
      <alignment readingOrder="0" vertical="bottom"/>
    </xf>
    <xf borderId="0" fillId="0" fontId="13" numFmtId="0" xfId="0" applyFont="1"/>
    <xf borderId="24" fillId="2" fontId="12" numFmtId="0" xfId="0" applyBorder="1" applyFont="1"/>
    <xf borderId="0" fillId="0" fontId="7" numFmtId="0" xfId="0" applyAlignment="1" applyFont="1">
      <alignment readingOrder="0" vertical="bottom"/>
    </xf>
    <xf borderId="25" fillId="3" fontId="4" numFmtId="0" xfId="0" applyAlignment="1" applyBorder="1" applyFont="1">
      <alignment horizontal="left" shrinkToFit="0" vertical="top" wrapText="1"/>
    </xf>
    <xf borderId="26" fillId="0" fontId="7" numFmtId="0" xfId="0" applyAlignment="1" applyBorder="1" applyFont="1">
      <alignment readingOrder="0" vertical="bottom"/>
    </xf>
    <xf borderId="24" fillId="3" fontId="4" numFmtId="0" xfId="0" applyAlignment="1" applyBorder="1" applyFont="1">
      <alignment shrinkToFit="0" vertical="top" wrapText="1"/>
    </xf>
    <xf borderId="22" fillId="0" fontId="7" numFmtId="0" xfId="0" applyAlignment="1" applyBorder="1" applyFont="1">
      <alignment vertical="bottom"/>
    </xf>
    <xf borderId="23" fillId="0" fontId="7" numFmtId="0" xfId="0" applyAlignment="1" applyBorder="1" applyFont="1">
      <alignment vertical="bottom"/>
    </xf>
    <xf borderId="0" fillId="4" fontId="7" numFmtId="0" xfId="0" applyAlignment="1" applyFont="1">
      <alignment vertical="bottom"/>
    </xf>
    <xf borderId="24" fillId="3" fontId="4" numFmtId="0" xfId="0" applyAlignment="1" applyBorder="1" applyFont="1">
      <alignment horizontal="left" shrinkToFit="0" vertical="top" wrapText="1"/>
    </xf>
    <xf borderId="0" fillId="5" fontId="7" numFmtId="0" xfId="0" applyAlignment="1" applyFill="1" applyFont="1">
      <alignment shrinkToFit="0" vertical="bottom" wrapText="1"/>
    </xf>
    <xf borderId="0" fillId="6" fontId="7" numFmtId="0" xfId="0" applyAlignment="1" applyFill="1" applyFont="1">
      <alignment shrinkToFit="0" vertical="bottom" wrapText="1"/>
    </xf>
    <xf borderId="0" fillId="5" fontId="11" numFmtId="49" xfId="0" applyAlignment="1" applyFont="1" applyNumberFormat="1">
      <alignment vertical="bottom"/>
    </xf>
    <xf borderId="25" fillId="3" fontId="4" numFmtId="0" xfId="0" applyAlignment="1" applyBorder="1" applyFont="1">
      <alignment vertical="top"/>
    </xf>
    <xf borderId="25" fillId="3" fontId="4" numFmtId="0" xfId="0" applyAlignment="1" applyBorder="1" applyFont="1">
      <alignment shrinkToFit="0" vertical="top" wrapText="1"/>
    </xf>
    <xf borderId="0" fillId="5" fontId="11" numFmtId="0" xfId="0" applyAlignment="1" applyFont="1">
      <alignment vertical="bottom"/>
    </xf>
    <xf borderId="25" fillId="3" fontId="14" numFmtId="0" xfId="0" applyAlignment="1" applyBorder="1" applyFont="1">
      <alignment vertical="top"/>
    </xf>
    <xf borderId="13" fillId="0" fontId="7" numFmtId="0" xfId="0" applyAlignment="1" applyBorder="1" applyFont="1">
      <alignment vertical="bottom"/>
    </xf>
    <xf borderId="0" fillId="7" fontId="7" numFmtId="0" xfId="0" applyAlignment="1" applyFill="1" applyFont="1">
      <alignment vertical="bottom"/>
    </xf>
    <xf borderId="0" fillId="8" fontId="7" numFmtId="0" xfId="0" applyAlignment="1" applyFill="1" applyFont="1">
      <alignment vertical="bottom"/>
    </xf>
    <xf borderId="25" fillId="3" fontId="15" numFmtId="0" xfId="0" applyAlignment="1" applyBorder="1" applyFont="1">
      <alignment shrinkToFit="0" vertical="top" wrapText="1"/>
    </xf>
    <xf borderId="0" fillId="7" fontId="11" numFmtId="49" xfId="0" applyAlignment="1" applyFont="1" applyNumberFormat="1">
      <alignment vertical="bottom"/>
    </xf>
    <xf borderId="0" fillId="8" fontId="7" numFmtId="49" xfId="0" applyAlignment="1" applyFont="1" applyNumberFormat="1">
      <alignment vertical="bottom"/>
    </xf>
    <xf borderId="0" fillId="7" fontId="11" numFmtId="0" xfId="0" applyAlignment="1" applyFont="1">
      <alignment vertical="bottom"/>
    </xf>
    <xf borderId="14" fillId="0" fontId="7" numFmtId="0" xfId="0" applyAlignment="1" applyBorder="1" applyFont="1">
      <alignment readingOrder="0" vertical="bottom"/>
    </xf>
    <xf borderId="8" fillId="0" fontId="7" numFmtId="0" xfId="0" applyAlignment="1" applyBorder="1" applyFont="1">
      <alignment vertical="bottom"/>
    </xf>
    <xf borderId="0" fillId="5" fontId="7" numFmtId="0" xfId="0" applyAlignment="1" applyFont="1">
      <alignment vertical="bottom"/>
    </xf>
    <xf borderId="0" fillId="6" fontId="7" numFmtId="0" xfId="0" applyAlignment="1" applyFont="1">
      <alignment vertical="bottom"/>
    </xf>
    <xf borderId="0" fillId="5" fontId="7" numFmtId="49" xfId="0" applyAlignment="1" applyFont="1" applyNumberFormat="1">
      <alignment shrinkToFit="0" vertical="bottom" wrapText="1"/>
    </xf>
    <xf borderId="25" fillId="3" fontId="16" numFmtId="49" xfId="0" applyAlignment="1" applyBorder="1" applyFont="1" applyNumberFormat="1">
      <alignment shrinkToFit="0" vertical="top" wrapText="1"/>
    </xf>
    <xf borderId="8" fillId="0" fontId="7" numFmtId="0" xfId="0" applyAlignment="1" applyBorder="1" applyFont="1">
      <alignment shrinkToFit="0" vertical="bottom" wrapText="0"/>
    </xf>
    <xf borderId="27" fillId="9" fontId="17" numFmtId="0" xfId="0" applyAlignment="1" applyBorder="1" applyFill="1" applyFont="1">
      <alignment horizontal="left"/>
    </xf>
    <xf borderId="28" fillId="0" fontId="3" numFmtId="0" xfId="0" applyBorder="1" applyFont="1"/>
    <xf borderId="29" fillId="9" fontId="4" numFmtId="0" xfId="0" applyAlignment="1" applyBorder="1" applyFont="1">
      <alignment shrinkToFit="0" wrapText="1"/>
    </xf>
    <xf borderId="29" fillId="9" fontId="4" numFmtId="0" xfId="0" applyBorder="1" applyFont="1"/>
    <xf borderId="24" fillId="9" fontId="4" numFmtId="0" xfId="0" applyBorder="1" applyFont="1"/>
    <xf borderId="11" fillId="0" fontId="7" numFmtId="0" xfId="0" applyAlignment="1" applyBorder="1" applyFont="1">
      <alignment vertical="bottom"/>
    </xf>
    <xf borderId="12" fillId="0" fontId="7" numFmtId="0" xfId="0" applyAlignment="1" applyBorder="1" applyFont="1">
      <alignment horizontal="right" vertical="bottom"/>
    </xf>
    <xf borderId="30" fillId="0" fontId="7" numFmtId="0" xfId="0" applyAlignment="1" applyBorder="1" applyFont="1">
      <alignment shrinkToFit="0" vertical="bottom" wrapText="0"/>
    </xf>
    <xf borderId="0" fillId="0" fontId="7" numFmtId="0" xfId="0" applyAlignment="1" applyFont="1">
      <alignment horizontal="right" vertical="bottom"/>
    </xf>
    <xf borderId="29" fillId="9" fontId="18" numFmtId="0" xfId="0" applyAlignment="1" applyBorder="1" applyFont="1">
      <alignment horizontal="left" vertical="top"/>
    </xf>
    <xf borderId="29" fillId="9" fontId="4" numFmtId="0" xfId="0" applyAlignment="1" applyBorder="1" applyFont="1">
      <alignment horizontal="left" vertical="top"/>
    </xf>
    <xf borderId="29" fillId="9" fontId="4" numFmtId="0" xfId="0" applyAlignment="1" applyBorder="1" applyFont="1">
      <alignment horizontal="left" shrinkToFit="0" vertical="top" wrapText="1"/>
    </xf>
    <xf borderId="26" fillId="0" fontId="7" numFmtId="0" xfId="0" applyAlignment="1" applyBorder="1" applyFont="1">
      <alignment horizontal="right" readingOrder="0" vertical="bottom"/>
    </xf>
    <xf borderId="12" fillId="0" fontId="7" numFmtId="0" xfId="0" applyAlignment="1" applyBorder="1" applyFont="1">
      <alignment readingOrder="0" vertical="bottom"/>
    </xf>
    <xf borderId="26" fillId="0" fontId="7" numFmtId="0" xfId="0" applyAlignment="1" applyBorder="1" applyFont="1">
      <alignment vertical="bottom"/>
    </xf>
    <xf borderId="0" fillId="0" fontId="7" numFmtId="0" xfId="0" applyAlignment="1" applyFont="1">
      <alignment horizontal="right" readingOrder="0" vertical="bottom"/>
    </xf>
    <xf borderId="14" fillId="0" fontId="7" numFmtId="0" xfId="0" applyAlignment="1" applyBorder="1" applyFont="1">
      <alignment horizontal="right" vertical="bottom"/>
    </xf>
    <xf borderId="8" fillId="0" fontId="7" numFmtId="0" xfId="0" applyAlignment="1" applyBorder="1" applyFont="1">
      <alignment horizontal="right" vertical="bottom"/>
    </xf>
    <xf borderId="31" fillId="3" fontId="19" numFmtId="0" xfId="0" applyAlignment="1" applyBorder="1" applyFont="1">
      <alignment horizontal="left" shrinkToFit="0" vertical="center" wrapText="1"/>
    </xf>
    <xf borderId="32" fillId="3" fontId="20" numFmtId="0" xfId="0" applyAlignment="1" applyBorder="1" applyFont="1">
      <alignment horizontal="left" shrinkToFit="0" vertical="center" wrapText="1"/>
    </xf>
    <xf borderId="0" fillId="0" fontId="7" numFmtId="0" xfId="0" applyAlignment="1" applyFont="1">
      <alignment vertical="bottom"/>
    </xf>
    <xf borderId="0" fillId="0" fontId="7" numFmtId="0" xfId="0" applyAlignment="1" applyFont="1">
      <alignment horizontal="right" vertical="bottom"/>
    </xf>
    <xf borderId="0" fillId="10" fontId="21" numFmtId="0" xfId="0" applyAlignment="1" applyFill="1" applyFont="1">
      <alignment horizontal="left" readingOrder="0"/>
    </xf>
    <xf borderId="21" fillId="10" fontId="7" numFmtId="0" xfId="0" applyAlignment="1" applyBorder="1" applyFont="1">
      <alignment readingOrder="0" vertical="bottom"/>
    </xf>
    <xf borderId="9" fillId="3" fontId="22" numFmtId="0" xfId="0" applyAlignment="1" applyBorder="1" applyFont="1">
      <alignment horizontal="left" shrinkToFit="0" vertical="top" wrapText="1"/>
    </xf>
    <xf borderId="8" fillId="10" fontId="7" numFmtId="0" xfId="0" applyAlignment="1" applyBorder="1" applyFont="1">
      <alignment readingOrder="0" vertical="bottom"/>
    </xf>
    <xf borderId="5" fillId="2" fontId="12" numFmtId="0" xfId="0" applyBorder="1" applyFont="1"/>
    <xf borderId="18" fillId="0" fontId="7" numFmtId="0" xfId="0" applyAlignment="1" applyBorder="1" applyFont="1">
      <alignment vertical="bottom"/>
    </xf>
    <xf borderId="5" fillId="2" fontId="12" numFmtId="0" xfId="0" applyAlignment="1" applyBorder="1" applyFont="1">
      <alignment shrinkToFit="0" wrapText="1"/>
    </xf>
    <xf borderId="19" fillId="0" fontId="7" numFmtId="0" xfId="0" applyAlignment="1" applyBorder="1" applyFont="1">
      <alignment horizontal="right" vertical="bottom"/>
    </xf>
    <xf borderId="33" fillId="0" fontId="7" numFmtId="0" xfId="0" applyAlignment="1" applyBorder="1" applyFont="1">
      <alignment vertical="bottom"/>
    </xf>
    <xf borderId="20" fillId="0" fontId="7" numFmtId="0" xfId="0" applyAlignment="1" applyBorder="1" applyFont="1">
      <alignment vertical="bottom"/>
    </xf>
    <xf borderId="19" fillId="0" fontId="7" numFmtId="0" xfId="0" applyAlignment="1" applyBorder="1" applyFont="1">
      <alignment vertical="bottom"/>
    </xf>
    <xf borderId="17" fillId="3" fontId="4" numFmtId="0" xfId="0" applyAlignment="1" applyBorder="1" applyFont="1">
      <alignment horizontal="left" shrinkToFit="0" vertical="top" wrapText="1"/>
    </xf>
    <xf borderId="23" fillId="0" fontId="7" numFmtId="0" xfId="0" applyAlignment="1" applyBorder="1" applyFont="1">
      <alignment vertical="bottom"/>
    </xf>
    <xf borderId="17" fillId="3" fontId="4" numFmtId="0" xfId="0" applyAlignment="1" applyBorder="1" applyFont="1">
      <alignment vertical="top"/>
    </xf>
    <xf borderId="19" fillId="0" fontId="7" numFmtId="0" xfId="0" applyAlignment="1" applyBorder="1" applyFont="1">
      <alignment vertical="bottom"/>
    </xf>
    <xf borderId="25" fillId="3" fontId="4" numFmtId="0" xfId="0" applyAlignment="1" applyBorder="1" applyFont="1">
      <alignment horizontal="left" vertical="top"/>
    </xf>
    <xf borderId="25" fillId="3" fontId="23" numFmtId="0" xfId="0" applyAlignment="1" applyBorder="1" applyFont="1">
      <alignment horizontal="left" vertical="top"/>
    </xf>
    <xf borderId="25" fillId="3" fontId="24" numFmtId="0" xfId="0" applyAlignment="1" applyBorder="1" applyFont="1">
      <alignment horizontal="left" shrinkToFit="0" vertical="top" wrapText="1"/>
    </xf>
    <xf borderId="0" fillId="11" fontId="11" numFmtId="0" xfId="0" applyAlignment="1" applyFill="1" applyFont="1">
      <alignment vertical="bottom"/>
    </xf>
    <xf borderId="0" fillId="12" fontId="7" numFmtId="0" xfId="0" applyAlignment="1" applyFill="1" applyFont="1">
      <alignment shrinkToFit="0" vertical="bottom" wrapText="1"/>
    </xf>
    <xf borderId="0" fillId="13" fontId="7" numFmtId="0" xfId="0" applyAlignment="1" applyFill="1" applyFont="1">
      <alignment shrinkToFit="0" vertical="bottom" wrapText="1"/>
    </xf>
    <xf borderId="0" fillId="13" fontId="7" numFmtId="49" xfId="0" applyAlignment="1" applyFont="1" applyNumberFormat="1">
      <alignment readingOrder="0" shrinkToFit="0" vertical="bottom" wrapText="1"/>
    </xf>
    <xf borderId="0" fillId="13" fontId="11" numFmtId="49" xfId="0" applyAlignment="1" applyFont="1" applyNumberFormat="1">
      <alignment vertical="bottom"/>
    </xf>
    <xf borderId="0" fillId="13" fontId="7" numFmtId="49" xfId="0" applyAlignment="1" applyFont="1" applyNumberFormat="1">
      <alignment shrinkToFit="0" vertical="bottom" wrapText="1"/>
    </xf>
    <xf borderId="0" fillId="12" fontId="11" numFmtId="0" xfId="0" applyAlignment="1" applyFont="1">
      <alignment vertical="bottom"/>
    </xf>
    <xf borderId="0" fillId="14" fontId="7" numFmtId="0" xfId="0" applyAlignment="1" applyFill="1" applyFont="1">
      <alignment vertical="bottom"/>
    </xf>
    <xf borderId="0" fillId="15" fontId="7" numFmtId="0" xfId="0" applyAlignment="1" applyFill="1" applyFont="1">
      <alignment vertical="bottom"/>
    </xf>
    <xf borderId="0" fillId="15" fontId="11" numFmtId="49" xfId="0" applyAlignment="1" applyFont="1" applyNumberFormat="1">
      <alignment vertical="bottom"/>
    </xf>
    <xf borderId="0" fillId="14" fontId="11" numFmtId="0" xfId="0" applyAlignment="1" applyFont="1">
      <alignment vertical="bottom"/>
    </xf>
    <xf borderId="0" fillId="16" fontId="11" numFmtId="0" xfId="0" applyAlignment="1" applyFill="1" applyFont="1">
      <alignment vertical="bottom"/>
    </xf>
    <xf borderId="0" fillId="16" fontId="11" numFmtId="49" xfId="0" applyAlignment="1" applyFont="1" applyNumberFormat="1">
      <alignment vertical="bottom"/>
    </xf>
    <xf borderId="0" fillId="11" fontId="11" numFmtId="49" xfId="0" applyAlignment="1" applyFont="1" applyNumberFormat="1">
      <alignment vertical="bottom"/>
    </xf>
    <xf borderId="0" fillId="14" fontId="7" numFmtId="0" xfId="0" applyAlignment="1" applyFont="1">
      <alignment shrinkToFit="0" vertical="bottom" wrapText="1"/>
    </xf>
    <xf borderId="0" fillId="15" fontId="7" numFmtId="0" xfId="0" applyAlignment="1" applyFont="1">
      <alignment shrinkToFit="0" vertical="bottom" wrapText="1"/>
    </xf>
    <xf borderId="0" fillId="15" fontId="7" numFmtId="49" xfId="0" applyAlignment="1" applyFont="1" applyNumberFormat="1">
      <alignment shrinkToFit="0" vertical="bottom" wrapText="1"/>
    </xf>
    <xf borderId="0" fillId="15" fontId="11" numFmtId="0" xfId="0" applyAlignment="1" applyFont="1">
      <alignment vertical="bottom"/>
    </xf>
    <xf borderId="0" fillId="11" fontId="7" numFmtId="0" xfId="0" applyAlignment="1" applyFont="1">
      <alignment shrinkToFit="0" vertical="bottom" wrapText="1"/>
    </xf>
    <xf borderId="0" fillId="16" fontId="7" numFmtId="0" xfId="0" applyAlignment="1" applyFont="1">
      <alignment shrinkToFit="0" vertical="bottom" wrapText="1"/>
    </xf>
    <xf borderId="0" fillId="16" fontId="7" numFmtId="49" xfId="0" applyAlignment="1" applyFont="1" applyNumberFormat="1">
      <alignment shrinkToFit="0" vertical="bottom" wrapText="1"/>
    </xf>
    <xf borderId="0" fillId="16" fontId="7" numFmtId="49" xfId="0" applyAlignment="1" applyFont="1" applyNumberFormat="1">
      <alignment readingOrder="0" shrinkToFit="0" vertical="bottom" wrapText="1"/>
    </xf>
    <xf borderId="0" fillId="11" fontId="7" numFmtId="0" xfId="0" applyAlignment="1" applyFont="1">
      <alignment readingOrder="0" shrinkToFit="0" vertical="bottom" wrapText="1"/>
    </xf>
    <xf borderId="0" fillId="12" fontId="7" numFmtId="0" xfId="0" applyAlignment="1" applyFont="1">
      <alignment vertical="bottom"/>
    </xf>
    <xf borderId="0" fillId="13" fontId="7" numFmtId="0" xfId="0" applyAlignment="1" applyFont="1">
      <alignment vertical="bottom"/>
    </xf>
    <xf borderId="0" fillId="14" fontId="7" numFmtId="49" xfId="0" applyAlignment="1" applyFont="1" applyNumberFormat="1">
      <alignment shrinkToFit="0" vertical="bottom" wrapText="1"/>
    </xf>
    <xf borderId="0" fillId="14" fontId="11" numFmtId="49" xfId="0" applyAlignment="1" applyFont="1" applyNumberFormat="1">
      <alignment vertical="bottom"/>
    </xf>
    <xf borderId="0" fillId="0" fontId="11" numFmtId="49" xfId="0" applyAlignment="1" applyFont="1" applyNumberFormat="1">
      <alignment vertical="bottom"/>
    </xf>
    <xf borderId="0" fillId="6" fontId="7" numFmtId="0" xfId="0" applyAlignment="1" applyFont="1">
      <alignment readingOrder="0" vertical="bottom"/>
    </xf>
    <xf borderId="0" fillId="6" fontId="7" numFmtId="0" xfId="0" applyAlignment="1" applyFont="1">
      <alignment horizontal="right" readingOrder="0" vertical="bottom"/>
    </xf>
    <xf borderId="22" fillId="0" fontId="7" numFmtId="0" xfId="0" applyAlignment="1" applyBorder="1" applyFont="1">
      <alignment vertical="bottom"/>
    </xf>
    <xf borderId="26" fillId="0" fontId="7" numFmtId="0" xfId="0" applyAlignment="1" applyBorder="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8" fontId="11" numFmtId="49" xfId="0" applyAlignment="1" applyFont="1" applyNumberFormat="1">
      <alignment vertical="bottom"/>
    </xf>
    <xf borderId="0" fillId="17" fontId="11" numFmtId="49" xfId="0" applyAlignment="1" applyFont="1" applyNumberFormat="1">
      <alignment vertical="bottom"/>
    </xf>
    <xf borderId="0" fillId="17" fontId="7" numFmtId="0" xfId="0" applyAlignment="1" applyFont="1">
      <alignment vertical="bottom"/>
    </xf>
    <xf borderId="0" fillId="18" fontId="7" numFmtId="0" xfId="0" applyAlignment="1" applyFont="1">
      <alignment vertical="bottom"/>
    </xf>
    <xf borderId="0" fillId="18" fontId="7" numFmtId="49" xfId="0" applyAlignment="1" applyFont="1" applyNumberFormat="1">
      <alignment shrinkToFit="0" vertical="bottom" wrapText="1"/>
    </xf>
    <xf borderId="34" fillId="3" fontId="25" numFmtId="0" xfId="0" applyAlignment="1" applyBorder="1" applyFont="1">
      <alignment horizontal="left" shrinkToFit="0" vertical="center" wrapText="1"/>
    </xf>
    <xf borderId="35" fillId="9" fontId="4" numFmtId="0" xfId="0" applyAlignment="1" applyBorder="1" applyFont="1">
      <alignment horizontal="left" shrinkToFit="0" vertical="top" wrapText="1"/>
    </xf>
    <xf borderId="36" fillId="0" fontId="3" numFmtId="0" xfId="0" applyBorder="1" applyFont="1"/>
    <xf borderId="0" fillId="0" fontId="4" numFmtId="0" xfId="0" applyAlignment="1" applyFont="1">
      <alignment horizontal="left" shrinkToFit="0" vertical="center" wrapText="1"/>
    </xf>
    <xf borderId="37" fillId="3" fontId="4" numFmtId="0" xfId="0" applyAlignment="1" applyBorder="1" applyFont="1">
      <alignment horizontal="center" shrinkToFit="0" vertical="center" wrapText="1"/>
    </xf>
    <xf borderId="38" fillId="0" fontId="3" numFmtId="0" xfId="0" applyBorder="1" applyFont="1"/>
    <xf borderId="39" fillId="3" fontId="4" numFmtId="0" xfId="0" applyAlignment="1" applyBorder="1" applyFont="1">
      <alignment horizontal="left" shrinkToFit="0" vertical="center" wrapText="1"/>
    </xf>
    <xf borderId="40" fillId="0" fontId="3" numFmtId="0" xfId="0" applyBorder="1" applyFont="1"/>
    <xf borderId="25" fillId="2" fontId="12" numFmtId="0" xfId="0" applyAlignment="1" applyBorder="1" applyFont="1">
      <alignment horizontal="left" shrinkToFit="0" vertical="center" wrapText="1"/>
    </xf>
    <xf borderId="25" fillId="2" fontId="5" numFmtId="0" xfId="0" applyAlignment="1" applyBorder="1" applyFont="1">
      <alignment horizontal="left" shrinkToFit="0" vertical="center" wrapText="1"/>
    </xf>
    <xf borderId="25" fillId="2" fontId="12" numFmtId="0" xfId="0" applyBorder="1" applyFont="1"/>
    <xf borderId="25" fillId="2" fontId="12" numFmtId="0" xfId="0" applyAlignment="1" applyBorder="1" applyFont="1">
      <alignment shrinkToFit="0" wrapText="1"/>
    </xf>
    <xf borderId="0" fillId="17" fontId="7" numFmtId="49" xfId="0" applyAlignment="1" applyFont="1" applyNumberFormat="1">
      <alignment shrinkToFit="0" vertical="bottom" wrapText="1"/>
    </xf>
    <xf borderId="25" fillId="3" fontId="4" numFmtId="49" xfId="0" applyAlignment="1" applyBorder="1" applyFont="1" applyNumberFormat="1">
      <alignment shrinkToFit="0" vertical="top" wrapText="1"/>
    </xf>
    <xf borderId="0" fillId="0" fontId="4" numFmtId="49" xfId="0" applyAlignment="1" applyFont="1" applyNumberFormat="1">
      <alignment horizontal="left" shrinkToFit="0" vertical="center" wrapText="1"/>
    </xf>
    <xf borderId="5" fillId="0" fontId="7" numFmtId="0" xfId="0" applyAlignment="1" applyBorder="1" applyFont="1">
      <alignment vertical="bottom"/>
    </xf>
    <xf borderId="7" fillId="0" fontId="7" numFmtId="0" xfId="0" applyAlignment="1" applyBorder="1" applyFont="1">
      <alignment horizontal="right" vertical="bottom"/>
    </xf>
    <xf borderId="7" fillId="0" fontId="7" numFmtId="0" xfId="0" applyAlignment="1" applyBorder="1" applyFont="1">
      <alignment vertical="bottom"/>
    </xf>
    <xf borderId="7" fillId="0" fontId="7" numFmtId="0" xfId="0" applyAlignment="1" applyBorder="1" applyFont="1">
      <alignment vertical="bottom"/>
    </xf>
    <xf borderId="30" fillId="0" fontId="7" numFmtId="0" xfId="0" applyAlignment="1" applyBorder="1" applyFont="1">
      <alignment vertical="bottom"/>
    </xf>
    <xf borderId="24" fillId="9" fontId="26" numFmtId="0" xfId="0" applyBorder="1" applyFont="1"/>
    <xf borderId="0" fillId="5" fontId="7" numFmtId="0" xfId="0" applyAlignment="1" applyFont="1">
      <alignment readingOrder="0" shrinkToFit="0" vertical="bottom" wrapText="1"/>
    </xf>
    <xf borderId="0" fillId="0" fontId="9" numFmtId="0" xfId="0" applyAlignment="1" applyFont="1">
      <alignment vertical="bottom"/>
    </xf>
    <xf borderId="0" fillId="0" fontId="21" numFmtId="0" xfId="0" applyAlignment="1" applyFont="1">
      <alignment shrinkToFit="0" wrapText="1"/>
    </xf>
    <xf borderId="0" fillId="0" fontId="21" numFmtId="49" xfId="0" applyAlignment="1" applyFont="1" applyNumberFormat="1">
      <alignment shrinkToFit="0" vertical="bottom" wrapText="1"/>
    </xf>
    <xf borderId="0" fillId="0" fontId="9" numFmtId="0" xfId="0" applyAlignment="1" applyFont="1">
      <alignment horizontal="right" vertical="bottom"/>
    </xf>
    <xf borderId="0" fillId="0" fontId="9" numFmtId="0" xfId="0" applyAlignment="1" applyFont="1">
      <alignment shrinkToFit="0" vertical="bottom" wrapText="0"/>
    </xf>
    <xf borderId="0" fillId="0" fontId="7" numFmtId="0" xfId="0" applyAlignment="1" applyFont="1">
      <alignment shrinkToFit="0" vertical="bottom" wrapText="0"/>
    </xf>
    <xf borderId="0" fillId="0" fontId="21" numFmtId="0" xfId="0" applyAlignment="1" applyFont="1">
      <alignment readingOrder="0" shrinkToFit="0" wrapText="1"/>
    </xf>
    <xf borderId="0" fillId="0" fontId="9" numFmtId="0" xfId="0" applyAlignment="1" applyFont="1">
      <alignment horizontal="right" readingOrder="0" vertical="bottom"/>
    </xf>
    <xf borderId="41" fillId="0" fontId="7" numFmtId="0" xfId="0" applyAlignment="1" applyBorder="1" applyFont="1">
      <alignment shrinkToFit="0" vertical="bottom" wrapText="0"/>
    </xf>
    <xf borderId="0" fillId="5" fontId="27" numFmtId="0" xfId="0" applyAlignment="1" applyFont="1">
      <alignment shrinkToFit="0" vertical="bottom" wrapText="1"/>
    </xf>
    <xf borderId="0" fillId="6" fontId="27" numFmtId="49" xfId="0" applyAlignment="1" applyFont="1" applyNumberFormat="1">
      <alignment shrinkToFit="0" vertical="bottom" wrapText="1"/>
    </xf>
    <xf borderId="0" fillId="11" fontId="7" numFmtId="0" xfId="0" applyAlignment="1" applyFont="1">
      <alignment shrinkToFit="0" vertical="bottom" wrapText="1"/>
    </xf>
    <xf borderId="0" fillId="16" fontId="7" numFmtId="0" xfId="0" applyAlignment="1" applyFont="1">
      <alignment shrinkToFit="0" vertical="bottom" wrapText="1"/>
    </xf>
    <xf borderId="0" fillId="5" fontId="7" numFmtId="0" xfId="0" applyAlignment="1" applyFont="1">
      <alignment shrinkToFit="0" vertical="bottom" wrapText="1"/>
    </xf>
    <xf borderId="0" fillId="6" fontId="7" numFmtId="49" xfId="0" applyAlignment="1" applyFont="1" applyNumberFormat="1">
      <alignment shrinkToFit="0" vertical="bottom" wrapText="1"/>
    </xf>
    <xf borderId="0" fillId="6" fontId="7" numFmtId="0" xfId="0" applyAlignment="1" applyFont="1">
      <alignment shrinkToFit="0" vertical="bottom" wrapText="1"/>
    </xf>
    <xf borderId="42" fillId="0" fontId="7" numFmtId="0" xfId="0" applyAlignment="1" applyBorder="1" applyFont="1">
      <alignment vertical="bottom"/>
    </xf>
    <xf borderId="43" fillId="0" fontId="7" numFmtId="0" xfId="0" applyAlignment="1" applyBorder="1" applyFont="1">
      <alignment vertical="bottom"/>
    </xf>
    <xf borderId="43" fillId="0" fontId="7" numFmtId="0" xfId="0" applyAlignment="1" applyBorder="1" applyFont="1">
      <alignment vertical="bottom"/>
    </xf>
    <xf borderId="44" fillId="0" fontId="7" numFmtId="0" xfId="0" applyAlignment="1" applyBorder="1" applyFont="1">
      <alignment vertical="bottom"/>
    </xf>
    <xf borderId="0" fillId="11" fontId="7" numFmtId="0" xfId="0" applyAlignment="1" applyFont="1">
      <alignment vertical="bottom"/>
    </xf>
    <xf borderId="0" fillId="16" fontId="7" numFmtId="0" xfId="0" applyAlignment="1" applyFont="1">
      <alignment vertical="bottom"/>
    </xf>
    <xf borderId="0" fillId="14" fontId="7" numFmtId="0" xfId="0" applyAlignment="1" applyFont="1">
      <alignment readingOrder="0" shrinkToFit="0" vertical="bottom" wrapText="1"/>
    </xf>
    <xf borderId="0" fillId="15" fontId="7" numFmtId="0" xfId="0" applyAlignment="1" applyFont="1">
      <alignment readingOrder="0" shrinkToFit="0" vertical="bottom" wrapText="1"/>
    </xf>
    <xf borderId="41" fillId="0" fontId="7" numFmtId="0" xfId="0" applyAlignment="1" applyBorder="1" applyFont="1">
      <alignment horizontal="right" vertical="bottom"/>
    </xf>
    <xf borderId="0" fillId="16" fontId="28" numFmtId="0" xfId="0" applyAlignment="1" applyFont="1">
      <alignment horizontal="left" readingOrder="0"/>
    </xf>
    <xf borderId="29" fillId="9" fontId="29" numFmtId="0" xfId="0" applyAlignment="1" applyBorder="1" applyFont="1">
      <alignment horizontal="left" readingOrder="0" vertical="top"/>
    </xf>
    <xf borderId="0" fillId="19" fontId="7" numFmtId="0" xfId="0" applyAlignment="1" applyFill="1" applyFont="1">
      <alignment vertical="bottom"/>
    </xf>
    <xf borderId="0" fillId="20" fontId="7" numFmtId="0" xfId="0" applyAlignment="1" applyFill="1" applyFont="1">
      <alignment vertical="bottom"/>
    </xf>
    <xf borderId="0" fillId="20" fontId="7" numFmtId="49" xfId="0" applyAlignment="1" applyFont="1" applyNumberFormat="1">
      <alignment readingOrder="0" shrinkToFit="0" vertical="bottom" wrapText="1"/>
    </xf>
    <xf borderId="0" fillId="20" fontId="11" numFmtId="49" xfId="0" applyAlignment="1" applyFont="1" applyNumberFormat="1">
      <alignment vertical="bottom"/>
    </xf>
    <xf borderId="0" fillId="19" fontId="7" numFmtId="0" xfId="0" applyAlignment="1" applyFont="1">
      <alignment shrinkToFit="0" vertical="bottom" wrapText="1"/>
    </xf>
    <xf borderId="0" fillId="19" fontId="11" numFmtId="0" xfId="0" applyAlignment="1" applyFont="1">
      <alignment vertical="bottom"/>
    </xf>
    <xf borderId="0" fillId="5" fontId="27" numFmtId="0" xfId="0" applyAlignment="1" applyFont="1">
      <alignment shrinkToFit="0" vertical="bottom" wrapText="1"/>
    </xf>
    <xf borderId="0" fillId="17" fontId="27" numFmtId="0" xfId="0" applyAlignment="1" applyFont="1">
      <alignment shrinkToFit="0" vertical="bottom" wrapText="1"/>
    </xf>
    <xf borderId="0" fillId="18" fontId="27" numFmtId="49" xfId="0" applyAlignment="1" applyFont="1" applyNumberFormat="1">
      <alignment shrinkToFit="0" vertical="bottom" wrapText="1"/>
    </xf>
    <xf borderId="0" fillId="17" fontId="27" numFmtId="49" xfId="0" applyAlignment="1" applyFont="1" applyNumberFormat="1">
      <alignment shrinkToFit="0" vertical="bottom" wrapText="1"/>
    </xf>
    <xf borderId="0" fillId="6" fontId="27" numFmtId="49" xfId="0" applyAlignment="1" applyFont="1" applyNumberFormat="1">
      <alignment readingOrder="0" shrinkToFit="0" vertical="bottom" wrapText="1"/>
    </xf>
    <xf borderId="0" fillId="15" fontId="7" numFmtId="49" xfId="0" applyAlignment="1" applyFont="1" applyNumberFormat="1">
      <alignment vertical="bottom"/>
    </xf>
    <xf borderId="41" fillId="0" fontId="7" numFmtId="0" xfId="0" applyAlignment="1" applyBorder="1" applyFont="1">
      <alignment vertical="bottom"/>
    </xf>
    <xf borderId="29" fillId="9" fontId="4" numFmtId="0" xfId="0" applyAlignment="1" applyBorder="1" applyFont="1">
      <alignment horizontal="center" vertical="top"/>
    </xf>
    <xf borderId="45" fillId="16" fontId="30" numFmtId="0" xfId="0" applyAlignment="1" applyBorder="1" applyFont="1">
      <alignment horizontal="left"/>
    </xf>
    <xf borderId="20" fillId="0" fontId="3" numFmtId="0" xfId="0" applyBorder="1" applyFont="1"/>
    <xf borderId="25" fillId="16" fontId="4" numFmtId="0" xfId="0" applyAlignment="1" applyBorder="1" applyFont="1">
      <alignment shrinkToFit="0" wrapText="1"/>
    </xf>
    <xf borderId="25" fillId="16" fontId="4" numFmtId="0" xfId="0" applyBorder="1" applyFont="1"/>
    <xf borderId="45" fillId="16" fontId="31" numFmtId="0" xfId="0" applyAlignment="1" applyBorder="1" applyFont="1">
      <alignment horizontal="left" vertical="top"/>
    </xf>
    <xf borderId="44" fillId="0" fontId="3" numFmtId="0" xfId="0" applyBorder="1" applyFont="1"/>
    <xf borderId="29" fillId="16" fontId="32" numFmtId="0" xfId="0" applyAlignment="1" applyBorder="1" applyFont="1">
      <alignment horizontal="center"/>
    </xf>
    <xf borderId="29" fillId="16" fontId="33" numFmtId="0" xfId="0" applyAlignment="1" applyBorder="1" applyFont="1">
      <alignment horizontal="center"/>
    </xf>
    <xf borderId="29" fillId="16" fontId="33" numFmtId="16" xfId="0" applyAlignment="1" applyBorder="1" applyFont="1" applyNumberFormat="1">
      <alignment horizontal="center"/>
    </xf>
    <xf borderId="0" fillId="12" fontId="7" numFmtId="0" xfId="0" applyAlignment="1" applyFont="1">
      <alignment shrinkToFit="0" vertical="bottom" wrapText="1"/>
    </xf>
    <xf borderId="0" fillId="13" fontId="7" numFmtId="0" xfId="0" applyAlignment="1" applyFont="1">
      <alignment readingOrder="0" shrinkToFit="0" vertical="bottom" wrapText="1"/>
    </xf>
    <xf borderId="0" fillId="20" fontId="7" numFmtId="49" xfId="0" applyAlignment="1" applyFont="1" applyNumberFormat="1">
      <alignment shrinkToFit="0" vertical="bottom" wrapText="1"/>
    </xf>
    <xf borderId="0" fillId="13" fontId="7" numFmtId="0" xfId="0" applyAlignment="1" applyFont="1">
      <alignment shrinkToFit="0" vertical="bottom" wrapText="1"/>
    </xf>
    <xf borderId="0" fillId="16" fontId="7" numFmtId="0" xfId="0" applyAlignment="1" applyFont="1">
      <alignment readingOrder="0" shrinkToFit="0" vertical="bottom" wrapText="1"/>
    </xf>
    <xf borderId="29" fillId="16" fontId="4" numFmtId="0" xfId="0" applyBorder="1" applyFont="1"/>
    <xf borderId="29" fillId="16" fontId="4" numFmtId="0" xfId="0" applyAlignment="1" applyBorder="1" applyFont="1">
      <alignment shrinkToFit="0" wrapText="1"/>
    </xf>
    <xf borderId="29" fillId="16" fontId="33" numFmtId="0" xfId="0" applyAlignment="1" applyBorder="1" applyFont="1">
      <alignment horizontal="center" shrinkToFit="0" wrapText="1"/>
    </xf>
    <xf borderId="29" fillId="16" fontId="33" numFmtId="0" xfId="0" applyAlignment="1" applyBorder="1" applyFont="1">
      <alignment horizontal="center" shrinkToFit="0" vertical="center" wrapText="1"/>
    </xf>
    <xf borderId="29" fillId="16" fontId="4" numFmtId="0" xfId="0" applyAlignment="1" applyBorder="1" applyFont="1">
      <alignment horizontal="center" shrinkToFit="0" vertical="center" wrapText="1"/>
    </xf>
    <xf borderId="29" fillId="16" fontId="4" numFmtId="0" xfId="0" applyAlignment="1" applyBorder="1" applyFont="1">
      <alignment horizontal="center" shrinkToFit="0" wrapText="1"/>
    </xf>
    <xf borderId="0" fillId="6" fontId="7" numFmtId="0" xfId="0" applyAlignment="1" applyFont="1">
      <alignment horizontal="right" vertical="bottom"/>
    </xf>
    <xf borderId="0" fillId="6" fontId="27" numFmtId="0" xfId="0" applyAlignment="1" applyFont="1">
      <alignment shrinkToFit="0" vertical="bottom" wrapText="1"/>
    </xf>
    <xf borderId="0" fillId="6" fontId="7" numFmtId="49" xfId="0" applyAlignment="1" applyFont="1" applyNumberFormat="1">
      <alignment vertical="bottom"/>
    </xf>
    <xf borderId="46" fillId="16" fontId="4" numFmtId="0" xfId="0" applyBorder="1" applyFont="1"/>
    <xf borderId="46" fillId="16" fontId="4" numFmtId="0" xfId="0" applyAlignment="1" applyBorder="1" applyFont="1">
      <alignment horizontal="center" shrinkToFit="0" wrapText="1"/>
    </xf>
    <xf borderId="0" fillId="0" fontId="4" numFmtId="0" xfId="0" applyAlignment="1" applyFont="1">
      <alignment horizontal="center" shrinkToFit="0" wrapText="1"/>
    </xf>
    <xf borderId="0" fillId="14" fontId="7" numFmtId="0" xfId="0" applyAlignment="1" applyFont="1">
      <alignment shrinkToFit="0" vertical="bottom" wrapText="1"/>
    </xf>
    <xf borderId="0" fillId="15" fontId="7" numFmtId="0" xfId="0" applyAlignment="1" applyFont="1">
      <alignment shrinkToFit="0" vertical="bottom" wrapText="1"/>
    </xf>
    <xf borderId="0" fillId="19" fontId="7" numFmtId="0" xfId="0" applyAlignment="1" applyFont="1">
      <alignment shrinkToFit="0" vertical="bottom" wrapText="1"/>
    </xf>
    <xf borderId="0" fillId="21" fontId="7" numFmtId="0" xfId="0" applyAlignment="1" applyFill="1" applyFont="1">
      <alignment shrinkToFit="0" vertical="bottom" wrapText="1"/>
    </xf>
    <xf borderId="0" fillId="22" fontId="7" numFmtId="49" xfId="0" applyAlignment="1" applyFill="1" applyFont="1" applyNumberFormat="1">
      <alignment shrinkToFit="0" vertical="bottom" wrapText="1"/>
    </xf>
    <xf borderId="12" fillId="0" fontId="21" numFmtId="0" xfId="0" applyAlignment="1" applyBorder="1" applyFont="1">
      <alignment readingOrder="0" vertical="bottom"/>
    </xf>
    <xf borderId="0" fillId="14" fontId="7" numFmtId="49" xfId="0" applyAlignment="1" applyFont="1" applyNumberFormat="1">
      <alignment readingOrder="0" shrinkToFit="0" vertical="bottom" wrapText="1"/>
    </xf>
    <xf borderId="0" fillId="0" fontId="7" numFmtId="0" xfId="0" applyAlignment="1" applyFont="1">
      <alignment shrinkToFit="0" vertical="bottom" wrapText="1"/>
    </xf>
    <xf borderId="0" fillId="0" fontId="7" numFmtId="49" xfId="0" applyAlignment="1" applyFont="1" applyNumberFormat="1">
      <alignment shrinkToFit="0" vertical="bottom" wrapText="1"/>
    </xf>
    <xf borderId="21" fillId="0" fontId="7" numFmtId="0" xfId="0" applyAlignment="1" applyBorder="1" applyFont="1">
      <alignment horizontal="right" vertical="bottom"/>
    </xf>
    <xf borderId="21" fillId="0" fontId="7" numFmtId="0" xfId="0" applyAlignment="1" applyBorder="1" applyFont="1">
      <alignment vertical="bottom"/>
    </xf>
    <xf borderId="0" fillId="0" fontId="34" numFmtId="0" xfId="0" applyAlignment="1" applyFont="1">
      <alignment readingOrder="0" vertical="bottom"/>
    </xf>
    <xf borderId="21" fillId="0" fontId="11" numFmtId="0" xfId="0" applyAlignment="1" applyBorder="1" applyFont="1">
      <alignment vertical="bottom"/>
    </xf>
    <xf borderId="21" fillId="0" fontId="7" numFmtId="0" xfId="0" applyAlignment="1" applyBorder="1" applyFont="1">
      <alignment horizontal="right" vertical="bottom"/>
    </xf>
    <xf borderId="0" fillId="5" fontId="11" numFmtId="0" xfId="0" applyAlignment="1" applyFont="1">
      <alignment vertical="bottom"/>
    </xf>
    <xf borderId="0" fillId="14" fontId="11" numFmtId="0" xfId="0" applyAlignment="1" applyFont="1">
      <alignment vertical="bottom"/>
    </xf>
    <xf borderId="0" fillId="17" fontId="7" numFmtId="0" xfId="0" applyAlignment="1" applyFont="1">
      <alignment shrinkToFit="0" vertical="bottom" wrapText="1"/>
    </xf>
    <xf borderId="0" fillId="18" fontId="7" numFmtId="0" xfId="0" applyAlignment="1" applyFont="1">
      <alignment shrinkToFit="0" vertical="bottom" wrapText="1"/>
    </xf>
    <xf borderId="0" fillId="17" fontId="11" numFmtId="0" xfId="0" applyAlignment="1" applyFont="1">
      <alignment vertical="bottom"/>
    </xf>
    <xf borderId="0" fillId="18" fontId="7" numFmtId="0" xfId="0" applyAlignment="1" applyFont="1">
      <alignment shrinkToFit="0" vertical="bottom" wrapText="1"/>
    </xf>
    <xf borderId="47" fillId="0" fontId="7" numFmtId="0" xfId="0" applyAlignment="1" applyBorder="1" applyFont="1">
      <alignment vertical="bottom"/>
    </xf>
    <xf borderId="30" fillId="0" fontId="7" numFmtId="0" xfId="0" applyAlignment="1" applyBorder="1" applyFont="1">
      <alignment vertical="bottom"/>
    </xf>
    <xf borderId="0" fillId="15" fontId="7" numFmtId="49" xfId="0" applyAlignment="1" applyFont="1" applyNumberFormat="1">
      <alignment readingOrder="0" shrinkToFit="0" vertical="bottom" wrapText="1"/>
    </xf>
    <xf borderId="0" fillId="11" fontId="11" numFmtId="0" xfId="0" applyAlignment="1" applyFont="1">
      <alignment vertical="bottom"/>
    </xf>
    <xf borderId="0" fillId="19" fontId="7" numFmtId="0" xfId="0" applyAlignment="1" applyFont="1">
      <alignment shrinkToFit="0" vertical="bottom" wrapText="1"/>
    </xf>
    <xf borderId="0" fillId="12" fontId="7" numFmtId="49" xfId="0" applyAlignment="1" applyFont="1" applyNumberFormat="1">
      <alignment readingOrder="0" shrinkToFit="0" vertical="bottom" wrapText="1"/>
    </xf>
    <xf borderId="0" fillId="12" fontId="7" numFmtId="49" xfId="0" applyAlignment="1" applyFont="1" applyNumberFormat="1">
      <alignment shrinkToFit="0" vertical="bottom" wrapText="1"/>
    </xf>
    <xf borderId="0" fillId="0" fontId="21" numFmtId="49" xfId="0" applyAlignment="1" applyFont="1" applyNumberFormat="1">
      <alignment readingOrder="0" shrinkToFit="0" vertical="bottom" wrapText="1"/>
    </xf>
    <xf borderId="0" fillId="11" fontId="7" numFmtId="49" xfId="0" applyAlignment="1" applyFont="1" applyNumberFormat="1">
      <alignment readingOrder="0" shrinkToFit="0" vertical="bottom" wrapText="1"/>
    </xf>
    <xf borderId="0" fillId="6" fontId="28" numFmtId="49" xfId="0" applyAlignment="1" applyFont="1" applyNumberFormat="1">
      <alignment horizontal="left" readingOrder="0" shrinkToFit="0" wrapText="1"/>
    </xf>
    <xf borderId="0" fillId="21" fontId="7" numFmtId="0" xfId="0" applyAlignment="1" applyFont="1">
      <alignment shrinkToFit="0" vertical="bottom" wrapText="1"/>
    </xf>
    <xf borderId="0" fillId="11" fontId="35" numFmtId="0" xfId="0" applyAlignment="1" applyFont="1">
      <alignment shrinkToFit="0" vertical="bottom" wrapText="1"/>
    </xf>
    <xf borderId="0" fillId="16" fontId="35" numFmtId="49" xfId="0" applyAlignment="1" applyFont="1" applyNumberFormat="1">
      <alignment readingOrder="0" shrinkToFit="0" vertical="bottom" wrapText="1"/>
    </xf>
    <xf borderId="0" fillId="0" fontId="36" numFmtId="49" xfId="0" applyAlignment="1" applyFont="1" applyNumberFormat="1">
      <alignment readingOrder="0" vertical="bottom"/>
    </xf>
    <xf borderId="0" fillId="6" fontId="21" numFmtId="49" xfId="0" applyAlignment="1" applyFont="1" applyNumberFormat="1">
      <alignment horizontal="left" readingOrder="0" shrinkToFit="0" wrapText="1"/>
    </xf>
    <xf borderId="0" fillId="11" fontId="7" numFmtId="49" xfId="0" applyAlignment="1" applyFont="1" applyNumberFormat="1">
      <alignment shrinkToFit="0" vertical="bottom" wrapText="1"/>
    </xf>
    <xf borderId="0" fillId="11" fontId="27" numFmtId="0" xfId="0" applyAlignment="1" applyFont="1">
      <alignment shrinkToFit="0" vertical="bottom" wrapText="1"/>
    </xf>
    <xf borderId="0" fillId="0" fontId="7" numFmtId="0" xfId="0" applyAlignment="1" applyFont="1">
      <alignment shrinkToFit="0" vertical="bottom" wrapText="1"/>
    </xf>
    <xf borderId="0" fillId="0" fontId="21" numFmtId="49" xfId="0" applyAlignment="1" applyFont="1" applyNumberFormat="1">
      <alignment shrinkToFit="0" wrapText="1"/>
    </xf>
    <xf borderId="0" fillId="6" fontId="28" numFmtId="0" xfId="0" applyAlignment="1" applyFont="1">
      <alignment horizontal="left" readingOrder="0" shrinkToFit="0" wrapText="1"/>
    </xf>
    <xf borderId="0" fillId="20" fontId="7" numFmtId="0" xfId="0" applyAlignment="1" applyFont="1">
      <alignment shrinkToFit="0" vertical="bottom" wrapText="1"/>
    </xf>
    <xf borderId="0" fillId="6" fontId="27" numFmtId="0" xfId="0" applyAlignment="1" applyFont="1">
      <alignment readingOrder="0" shrinkToFit="0" vertical="bottom" wrapText="1"/>
    </xf>
    <xf borderId="0" fillId="12" fontId="27" numFmtId="0" xfId="0" applyAlignment="1" applyFont="1">
      <alignment shrinkToFit="0" vertical="bottom" wrapText="1"/>
    </xf>
    <xf borderId="0" fillId="13" fontId="27" numFmtId="49" xfId="0" applyAlignment="1" applyFont="1" applyNumberFormat="1">
      <alignment shrinkToFit="0" vertical="bottom" wrapText="1"/>
    </xf>
    <xf borderId="0" fillId="11" fontId="27" numFmtId="0" xfId="0" applyAlignment="1" applyFont="1">
      <alignment shrinkToFit="0" vertical="bottom" wrapText="1"/>
    </xf>
    <xf borderId="0" fillId="16" fontId="27" numFmtId="49" xfId="0" applyAlignment="1" applyFont="1" applyNumberFormat="1">
      <alignment shrinkToFit="0" vertical="bottom" wrapText="1"/>
    </xf>
    <xf borderId="0" fillId="19" fontId="27" numFmtId="0" xfId="0" applyAlignment="1" applyFont="1">
      <alignment shrinkToFit="0" vertical="bottom" wrapText="1"/>
    </xf>
    <xf borderId="0" fillId="20" fontId="27" numFmtId="49" xfId="0" applyAlignment="1" applyFont="1" applyNumberFormat="1">
      <alignment shrinkToFit="0" vertical="bottom" wrapText="1"/>
    </xf>
    <xf borderId="0" fillId="21" fontId="7" numFmtId="0" xfId="0" applyAlignment="1" applyFont="1">
      <alignment shrinkToFit="0" vertical="bottom" wrapText="1"/>
    </xf>
    <xf borderId="0" fillId="22" fontId="7" numFmtId="0" xfId="0" applyAlignment="1" applyFont="1">
      <alignment shrinkToFit="0" vertical="bottom" wrapText="1"/>
    </xf>
    <xf borderId="0" fillId="17" fontId="27" numFmtId="0" xfId="0" applyAlignment="1" applyFont="1">
      <alignment shrinkToFit="0" vertical="bottom" wrapText="1"/>
    </xf>
    <xf borderId="0" fillId="21" fontId="27" numFmtId="0" xfId="0" applyAlignment="1" applyFont="1">
      <alignment shrinkToFit="0" vertical="bottom" wrapText="1"/>
    </xf>
    <xf borderId="0" fillId="22" fontId="27" numFmtId="49" xfId="0" applyAlignment="1" applyFont="1" applyNumberFormat="1">
      <alignment shrinkToFit="0" vertical="bottom" wrapText="1"/>
    </xf>
    <xf borderId="0" fillId="5" fontId="11" numFmtId="0" xfId="0" applyAlignment="1" applyFont="1">
      <alignment shrinkToFit="0" vertical="bottom" wrapText="1"/>
    </xf>
    <xf borderId="0" fillId="6" fontId="11" numFmtId="49" xfId="0" applyAlignment="1" applyFont="1" applyNumberFormat="1">
      <alignment shrinkToFit="0" vertical="bottom" wrapText="1"/>
    </xf>
    <xf borderId="0" fillId="14" fontId="27" numFmtId="0" xfId="0" applyAlignment="1" applyFont="1">
      <alignment shrinkToFit="0" vertical="bottom" wrapText="1"/>
    </xf>
    <xf borderId="0" fillId="15" fontId="27" numFmtId="49" xfId="0" applyAlignment="1" applyFont="1" applyNumberFormat="1">
      <alignment shrinkToFit="0" vertical="bottom" wrapText="1"/>
    </xf>
    <xf borderId="26" fillId="0" fontId="7" numFmtId="0" xfId="0" applyAlignment="1" applyBorder="1" applyFont="1">
      <alignment horizontal="right" vertical="bottom"/>
    </xf>
    <xf borderId="0" fillId="14" fontId="11" numFmtId="0" xfId="0" applyAlignment="1" applyFont="1">
      <alignment shrinkToFit="0" vertical="bottom" wrapText="1"/>
    </xf>
    <xf borderId="0" fillId="15" fontId="11" numFmtId="49" xfId="0" applyAlignment="1" applyFont="1" applyNumberFormat="1">
      <alignment shrinkToFit="0" vertical="bottom" wrapText="1"/>
    </xf>
    <xf borderId="0" fillId="14" fontId="27" numFmtId="49" xfId="0" applyAlignment="1" applyFont="1" applyNumberFormat="1">
      <alignment shrinkToFit="0" vertical="bottom" wrapText="1"/>
    </xf>
    <xf borderId="0" fillId="13" fontId="27" numFmtId="49" xfId="0" applyAlignment="1" applyFont="1" applyNumberFormat="1">
      <alignment readingOrder="0" shrinkToFit="0" vertical="bottom" wrapText="1"/>
    </xf>
    <xf borderId="0" fillId="10" fontId="11" numFmtId="0" xfId="0" applyAlignment="1" applyFont="1">
      <alignment shrinkToFit="0" vertical="bottom" wrapText="1"/>
    </xf>
    <xf borderId="0" fillId="10" fontId="11" numFmtId="49" xfId="0" applyAlignment="1" applyFont="1" applyNumberFormat="1">
      <alignment shrinkToFit="0" vertical="bottom" wrapText="1"/>
    </xf>
    <xf borderId="0" fillId="0" fontId="37" numFmtId="0" xfId="0" applyFont="1"/>
    <xf borderId="0" fillId="0" fontId="11" numFmtId="0" xfId="0" applyAlignment="1" applyFont="1">
      <alignment shrinkToFit="0" vertical="bottom" wrapText="1"/>
    </xf>
    <xf borderId="0" fillId="0" fontId="11" numFmtId="49" xfId="0" applyAlignment="1" applyFont="1" applyNumberFormat="1">
      <alignment shrinkToFit="0" vertical="bottom" wrapText="1"/>
    </xf>
    <xf borderId="0" fillId="20" fontId="7" numFmtId="0" xfId="0" applyAlignment="1" applyFont="1">
      <alignment shrinkToFit="0" vertical="bottom" wrapText="1"/>
    </xf>
    <xf borderId="0" fillId="0" fontId="7" numFmtId="0" xfId="0" applyAlignment="1" applyFont="1">
      <alignment shrinkToFit="0" vertical="bottom" wrapText="1"/>
    </xf>
    <xf borderId="0" fillId="19" fontId="7" numFmtId="0" xfId="0" applyAlignment="1" applyFont="1">
      <alignment readingOrder="0" shrinkToFit="0" vertical="bottom" wrapText="1"/>
    </xf>
    <xf borderId="0" fillId="12" fontId="27" numFmtId="0" xfId="0" applyAlignment="1" applyFont="1">
      <alignment readingOrder="0" shrinkToFit="0" vertical="bottom" wrapText="1"/>
    </xf>
    <xf borderId="0" fillId="12" fontId="7" numFmtId="0" xfId="0" applyAlignment="1" applyFont="1">
      <alignment readingOrder="0" shrinkToFit="0" vertical="bottom" wrapText="1"/>
    </xf>
    <xf quotePrefix="1" borderId="0" fillId="0" fontId="7" numFmtId="0" xfId="0" applyAlignment="1" applyFont="1">
      <alignment vertical="bottom"/>
    </xf>
    <xf borderId="0" fillId="22" fontId="7" numFmtId="0" xfId="0" applyAlignment="1" applyFont="1">
      <alignment shrinkToFit="0" vertical="bottom" wrapText="1"/>
    </xf>
    <xf borderId="0" fillId="16" fontId="38" numFmtId="49" xfId="0" applyAlignment="1" applyFont="1" applyNumberFormat="1">
      <alignment vertical="bottom"/>
    </xf>
    <xf borderId="0" fillId="11" fontId="38" numFmtId="0" xfId="0" applyAlignment="1" applyFont="1">
      <alignment vertical="bottom"/>
    </xf>
    <xf borderId="0" fillId="16" fontId="38" numFmtId="0" xfId="0" applyAlignment="1" applyFont="1">
      <alignment vertical="bottom"/>
    </xf>
    <xf borderId="0" fillId="0" fontId="38" numFmtId="0" xfId="0" applyAlignment="1" applyFont="1">
      <alignment vertical="bottom"/>
    </xf>
    <xf borderId="0" fillId="0" fontId="36" numFmtId="49" xfId="0" applyAlignment="1" applyFont="1" applyNumberFormat="1">
      <alignment readingOrder="0" vertical="bottom"/>
    </xf>
    <xf borderId="0" fillId="23" fontId="7" numFmtId="49" xfId="0" applyAlignment="1" applyFill="1" applyFont="1" applyNumberFormat="1">
      <alignment shrinkToFit="0" vertical="bottom" wrapText="1"/>
    </xf>
    <xf borderId="0" fillId="6" fontId="27" numFmtId="0" xfId="0" applyAlignment="1" applyFont="1">
      <alignment shrinkToFit="0" vertical="bottom" wrapText="1"/>
    </xf>
    <xf borderId="0" fillId="12" fontId="27" numFmtId="0" xfId="0" applyAlignment="1" applyFont="1">
      <alignment shrinkToFit="0" vertical="bottom" wrapText="1"/>
    </xf>
    <xf borderId="0" fillId="15" fontId="27" numFmtId="0" xfId="0" applyAlignment="1" applyFont="1">
      <alignment shrinkToFit="0" vertical="bottom" wrapText="1"/>
    </xf>
    <xf borderId="48" fillId="0" fontId="7" numFmtId="0" xfId="0" applyAlignment="1" applyBorder="1" applyFont="1">
      <alignment vertical="bottom"/>
    </xf>
    <xf borderId="49" fillId="0" fontId="7" numFmtId="0" xfId="0" applyAlignment="1" applyBorder="1" applyFont="1">
      <alignment vertical="bottom"/>
    </xf>
    <xf borderId="0" fillId="16" fontId="27" numFmtId="0" xfId="0" applyAlignment="1" applyFont="1">
      <alignment shrinkToFit="0" vertical="bottom" wrapText="1"/>
    </xf>
    <xf borderId="0" fillId="0" fontId="13" numFmtId="0" xfId="0" applyFont="1"/>
    <xf borderId="0" fillId="19" fontId="27" numFmtId="0" xfId="0" applyAlignment="1" applyFont="1">
      <alignment readingOrder="0" shrinkToFit="0" vertical="bottom" wrapText="1"/>
    </xf>
    <xf borderId="0" fillId="20" fontId="27" numFmtId="49" xfId="0" applyAlignment="1" applyFont="1" applyNumberFormat="1">
      <alignment readingOrder="0" shrinkToFit="0" vertical="bottom" wrapText="1"/>
    </xf>
    <xf borderId="8" fillId="0" fontId="7" numFmtId="0" xfId="0" applyAlignment="1" applyBorder="1" applyFont="1">
      <alignment horizontal="right" vertical="bottom"/>
    </xf>
    <xf borderId="21" fillId="0" fontId="7" numFmtId="0" xfId="0" applyAlignment="1" applyBorder="1" applyFont="1">
      <alignment shrinkToFit="0" vertical="bottom" wrapText="0"/>
    </xf>
    <xf borderId="41" fillId="0" fontId="7" numFmtId="0" xfId="0" applyAlignment="1" applyBorder="1" applyFont="1">
      <alignment vertical="bottom"/>
    </xf>
    <xf borderId="0" fillId="16" fontId="27" numFmtId="0" xfId="0" applyAlignment="1" applyFont="1">
      <alignment shrinkToFit="0" vertical="bottom" wrapText="1"/>
    </xf>
    <xf borderId="0" fillId="5" fontId="11" numFmtId="0" xfId="0" applyAlignment="1" applyFont="1">
      <alignment shrinkToFit="0" vertical="bottom" wrapText="1"/>
    </xf>
    <xf borderId="0" fillId="0" fontId="11" numFmtId="0" xfId="0" applyAlignment="1" applyFont="1">
      <alignment shrinkToFit="0" vertical="bottom" wrapText="1"/>
    </xf>
    <xf borderId="44" fillId="0" fontId="7" numFmtId="0" xfId="0" applyAlignment="1" applyBorder="1" applyFont="1">
      <alignment vertical="bottom"/>
    </xf>
    <xf borderId="0" fillId="12" fontId="11" numFmtId="0" xfId="0" applyAlignment="1" applyFont="1">
      <alignment shrinkToFit="0" vertical="bottom" wrapText="1"/>
    </xf>
    <xf borderId="0" fillId="0" fontId="21" numFmtId="0" xfId="0" applyAlignment="1" applyFont="1">
      <alignment readingOrder="0" vertical="bottom"/>
    </xf>
    <xf borderId="0" fillId="0" fontId="21" numFmtId="49" xfId="0" applyAlignment="1" applyFont="1" applyNumberFormat="1">
      <alignment readingOrder="0" vertical="bottom"/>
    </xf>
    <xf borderId="0" fillId="14" fontId="11" numFmtId="0" xfId="0" applyAlignment="1" applyFont="1">
      <alignment shrinkToFit="0" vertical="bottom" wrapText="1"/>
    </xf>
    <xf borderId="0" fillId="16" fontId="11" numFmtId="0" xfId="0" applyAlignment="1" applyFont="1">
      <alignment shrinkToFit="0" vertical="bottom" wrapText="1"/>
    </xf>
    <xf borderId="0" fillId="11" fontId="11" numFmtId="0" xfId="0" applyAlignment="1" applyFont="1">
      <alignment shrinkToFit="0" vertical="bottom" wrapText="1"/>
    </xf>
    <xf borderId="0" fillId="24" fontId="27" numFmtId="0" xfId="0" applyAlignment="1" applyFill="1" applyFont="1">
      <alignment shrinkToFit="0" vertical="bottom" wrapText="1"/>
    </xf>
    <xf borderId="0" fillId="23" fontId="27" numFmtId="49" xfId="0" applyAlignment="1" applyFont="1" applyNumberFormat="1">
      <alignment shrinkToFit="0" vertical="bottom" wrapText="1"/>
    </xf>
    <xf borderId="0" fillId="21" fontId="11" numFmtId="0" xfId="0" applyAlignment="1" applyFont="1">
      <alignment shrinkToFit="0" vertical="bottom" wrapText="1"/>
    </xf>
    <xf borderId="0" fillId="22" fontId="27" numFmtId="0" xfId="0" applyAlignment="1" applyFont="1">
      <alignment shrinkToFit="0" vertical="bottom" wrapText="1"/>
    </xf>
    <xf borderId="0" fillId="21" fontId="27" numFmtId="0" xfId="0" applyAlignment="1" applyFont="1">
      <alignment shrinkToFit="0" vertical="bottom" wrapText="1"/>
    </xf>
    <xf borderId="0" fillId="17" fontId="11" numFmtId="0" xfId="0" applyAlignment="1" applyFont="1">
      <alignment shrinkToFit="0" vertical="bottom" wrapText="1"/>
    </xf>
    <xf borderId="0" fillId="18" fontId="11" numFmtId="0" xfId="0" applyAlignment="1" applyFont="1">
      <alignment shrinkToFit="0" vertical="bottom" wrapText="1"/>
    </xf>
    <xf borderId="0" fillId="18" fontId="27" numFmtId="0" xfId="0" applyAlignment="1" applyFont="1">
      <alignment shrinkToFit="0" vertical="bottom" wrapText="1"/>
    </xf>
    <xf borderId="0" fillId="15" fontId="11" numFmtId="0" xfId="0" applyAlignment="1" applyFont="1">
      <alignment shrinkToFit="0" vertical="bottom" wrapText="1"/>
    </xf>
    <xf borderId="0" fillId="19" fontId="11" numFmtId="0" xfId="0" applyAlignment="1" applyFont="1">
      <alignment shrinkToFit="0" vertical="bottom" wrapText="1"/>
    </xf>
    <xf borderId="0" fillId="20" fontId="11" numFmtId="0" xfId="0" applyAlignment="1" applyFont="1">
      <alignment shrinkToFit="0" vertical="bottom" wrapText="1"/>
    </xf>
    <xf borderId="0" fillId="19" fontId="27" numFmtId="0" xfId="0" applyAlignment="1" applyFont="1">
      <alignment shrinkToFit="0" vertical="bottom" wrapText="1"/>
    </xf>
    <xf borderId="0" fillId="22" fontId="11" numFmtId="0" xfId="0" applyAlignment="1" applyFont="1">
      <alignment shrinkToFit="0" vertical="bottom" wrapText="1"/>
    </xf>
    <xf borderId="48" fillId="0" fontId="11" numFmtId="0" xfId="0" applyAlignment="1" applyBorder="1" applyFont="1">
      <alignment vertical="bottom"/>
    </xf>
    <xf borderId="19" fillId="0" fontId="7" numFmtId="0" xfId="0" applyAlignment="1" applyBorder="1" applyFont="1">
      <alignment horizontal="right" vertical="bottom"/>
    </xf>
    <xf borderId="26" fillId="0" fontId="11" numFmtId="0" xfId="0" applyAlignment="1" applyBorder="1" applyFont="1">
      <alignment vertical="bottom"/>
    </xf>
    <xf borderId="0" fillId="17" fontId="27" numFmtId="0" xfId="0" applyAlignment="1" applyFont="1">
      <alignment shrinkToFit="0" vertical="bottom" wrapText="1"/>
    </xf>
    <xf borderId="14" fillId="0" fontId="11" numFmtId="0" xfId="0" applyAlignment="1" applyBorder="1" applyFont="1">
      <alignment vertical="bottom"/>
    </xf>
    <xf borderId="8" fillId="0" fontId="11" numFmtId="0" xfId="0" applyAlignment="1" applyBorder="1" applyFont="1">
      <alignment vertical="bottom"/>
    </xf>
    <xf borderId="21" fillId="0" fontId="11" numFmtId="0" xfId="0" applyAlignment="1" applyBorder="1" applyFont="1">
      <alignment vertical="bottom"/>
    </xf>
    <xf borderId="0" fillId="12" fontId="11" numFmtId="49" xfId="0" applyAlignment="1" applyFont="1" applyNumberFormat="1">
      <alignment shrinkToFit="0" vertical="bottom" wrapText="1"/>
    </xf>
    <xf borderId="50" fillId="0" fontId="7" numFmtId="0" xfId="0" applyAlignment="1" applyBorder="1" applyFont="1">
      <alignment vertical="bottom"/>
    </xf>
    <xf borderId="44" fillId="0" fontId="11" numFmtId="0" xfId="0" applyAlignment="1" applyBorder="1" applyFont="1">
      <alignment vertical="bottom"/>
    </xf>
    <xf borderId="0" fillId="22" fontId="27" numFmtId="49" xfId="0" applyAlignment="1" applyFont="1" applyNumberFormat="1">
      <alignment readingOrder="0" shrinkToFit="0" vertical="bottom" wrapText="1"/>
    </xf>
    <xf borderId="0" fillId="5" fontId="11" numFmtId="49" xfId="0" applyAlignment="1" applyFont="1" applyNumberFormat="1">
      <alignment shrinkToFit="0" vertical="bottom" wrapText="1"/>
    </xf>
    <xf borderId="0" fillId="5" fontId="27" numFmtId="49" xfId="0" applyAlignment="1" applyFont="1" applyNumberFormat="1">
      <alignment shrinkToFit="0" vertical="bottom" wrapText="1"/>
    </xf>
    <xf borderId="19" fillId="0" fontId="7" numFmtId="49" xfId="0" applyAlignment="1" applyBorder="1" applyFont="1" applyNumberFormat="1">
      <alignment vertical="bottom"/>
    </xf>
    <xf borderId="12" fillId="0" fontId="7" numFmtId="49" xfId="0" applyAlignment="1" applyBorder="1" applyFont="1" applyNumberFormat="1">
      <alignment vertical="bottom"/>
    </xf>
    <xf borderId="0" fillId="11" fontId="27" numFmtId="49" xfId="0" applyAlignment="1" applyFont="1" applyNumberFormat="1">
      <alignment shrinkToFit="0" vertical="bottom" wrapText="1"/>
    </xf>
    <xf borderId="14" fillId="0" fontId="7" numFmtId="49" xfId="0" applyAlignment="1" applyBorder="1" applyFont="1" applyNumberFormat="1">
      <alignment vertical="bottom"/>
    </xf>
    <xf borderId="0" fillId="19" fontId="27" numFmtId="49" xfId="0" applyAlignment="1" applyFont="1" applyNumberFormat="1">
      <alignment shrinkToFit="0" vertical="bottom" wrapText="1"/>
    </xf>
    <xf borderId="21" fillId="0" fontId="7" numFmtId="0" xfId="0" applyAlignment="1" applyBorder="1" applyFont="1">
      <alignment vertical="top"/>
    </xf>
    <xf borderId="19" fillId="0" fontId="11" numFmtId="0" xfId="0" applyAlignment="1" applyBorder="1" applyFont="1">
      <alignment vertical="bottom"/>
    </xf>
    <xf borderId="8" fillId="0" fontId="7" numFmtId="0" xfId="0" applyAlignment="1" applyBorder="1" applyFont="1">
      <alignment vertical="top"/>
    </xf>
    <xf borderId="0" fillId="21" fontId="11" numFmtId="0" xfId="0" applyAlignment="1" applyFont="1">
      <alignment shrinkToFit="0" vertical="bottom" wrapText="1"/>
    </xf>
    <xf borderId="0" fillId="11" fontId="11" numFmtId="0" xfId="0" applyAlignment="1" applyFont="1">
      <alignment shrinkToFit="0" vertical="bottom" wrapText="1"/>
    </xf>
    <xf borderId="0" fillId="16" fontId="11" numFmtId="49" xfId="0" applyAlignment="1" applyFont="1" applyNumberFormat="1">
      <alignment shrinkToFit="0" vertical="bottom" wrapText="1"/>
    </xf>
    <xf borderId="0" fillId="15" fontId="27" numFmtId="49" xfId="0" applyAlignment="1" applyFont="1" applyNumberFormat="1">
      <alignment readingOrder="0" shrinkToFit="0" vertical="bottom" wrapText="1"/>
    </xf>
    <xf borderId="0" fillId="14" fontId="27" numFmtId="0" xfId="0" applyAlignment="1" applyFont="1">
      <alignment shrinkToFit="0" vertical="bottom" wrapText="1"/>
    </xf>
    <xf borderId="0" fillId="17" fontId="7" numFmtId="0" xfId="0" applyAlignment="1" applyFont="1">
      <alignment shrinkToFit="0" vertical="bottom" wrapText="1"/>
    </xf>
    <xf borderId="0" fillId="24" fontId="11" numFmtId="0" xfId="0" applyAlignment="1" applyFont="1">
      <alignment shrinkToFit="0" vertical="bottom" wrapText="1"/>
    </xf>
    <xf borderId="0" fillId="23" fontId="11" numFmtId="0" xfId="0" applyAlignment="1" applyFont="1">
      <alignment shrinkToFit="0" vertical="bottom" wrapText="1"/>
    </xf>
    <xf borderId="0" fillId="24" fontId="27" numFmtId="0" xfId="0" applyAlignment="1" applyFont="1">
      <alignment shrinkToFit="0" vertical="bottom" wrapText="1"/>
    </xf>
    <xf borderId="0" fillId="23" fontId="27" numFmtId="0" xfId="0" applyAlignment="1" applyFont="1">
      <alignment shrinkToFit="0" vertical="bottom" wrapText="1"/>
    </xf>
    <xf borderId="0" fillId="24" fontId="11" numFmtId="0" xfId="0" applyAlignment="1" applyFont="1">
      <alignment shrinkToFit="0" vertical="bottom" wrapText="1"/>
    </xf>
    <xf borderId="0" fillId="12" fontId="11" numFmtId="0" xfId="0" applyAlignment="1" applyFont="1">
      <alignment shrinkToFit="0" vertical="bottom" wrapText="1"/>
    </xf>
    <xf borderId="0" fillId="25" fontId="7" numFmtId="0" xfId="0" applyAlignment="1" applyFill="1" applyFont="1">
      <alignment shrinkToFit="0" vertical="bottom" wrapText="1"/>
    </xf>
    <xf borderId="0" fillId="26" fontId="7" numFmtId="0" xfId="0" applyAlignment="1" applyFill="1" applyFont="1">
      <alignment shrinkToFit="0" vertical="bottom" wrapText="1"/>
    </xf>
    <xf borderId="0" fillId="0" fontId="7" numFmtId="0" xfId="0" applyAlignment="1" applyFont="1">
      <alignment shrinkToFit="0" wrapText="1"/>
    </xf>
    <xf borderId="0" fillId="14" fontId="11" numFmtId="49" xfId="0" applyAlignment="1" applyFont="1" applyNumberFormat="1">
      <alignment shrinkToFit="0" vertical="bottom" wrapText="1"/>
    </xf>
    <xf borderId="0" fillId="22" fontId="11" numFmtId="49" xfId="0" applyAlignment="1" applyFont="1" applyNumberFormat="1">
      <alignment vertical="bottom"/>
    </xf>
    <xf borderId="0" fillId="21" fontId="11" numFmtId="0" xfId="0" applyAlignment="1" applyFont="1">
      <alignment vertical="bottom"/>
    </xf>
    <xf borderId="0" fillId="22" fontId="11" numFmtId="0" xfId="0" applyAlignment="1" applyFont="1">
      <alignment vertical="bottom"/>
    </xf>
    <xf borderId="0" fillId="21" fontId="7" numFmtId="0" xfId="0" applyAlignment="1" applyFont="1">
      <alignment readingOrder="0" shrinkToFit="0" vertical="bottom" wrapText="1"/>
    </xf>
    <xf borderId="0" fillId="11" fontId="27" numFmtId="0" xfId="0" applyAlignment="1" applyFont="1">
      <alignment readingOrder="0" shrinkToFit="0" vertical="bottom" wrapText="1"/>
    </xf>
    <xf borderId="0" fillId="17" fontId="11" numFmtId="0" xfId="0" applyAlignment="1" applyFont="1">
      <alignment shrinkToFit="0" vertical="bottom" wrapText="1"/>
    </xf>
    <xf borderId="0" fillId="0" fontId="11" numFmtId="0" xfId="0" applyAlignment="1" applyFont="1">
      <alignment shrinkToFit="0" vertical="bottom" wrapText="1"/>
    </xf>
    <xf borderId="0" fillId="22" fontId="27" numFmtId="0" xfId="0" applyAlignment="1" applyFont="1">
      <alignment readingOrder="0" shrinkToFit="0" vertical="bottom" wrapText="1"/>
    </xf>
    <xf borderId="0" fillId="0" fontId="21" numFmtId="49" xfId="0" applyAlignment="1" applyFont="1" applyNumberFormat="1">
      <alignment readingOrder="0" shrinkToFit="0" wrapText="1"/>
    </xf>
    <xf borderId="0" fillId="18" fontId="11" numFmtId="49" xfId="0" applyAlignment="1" applyFont="1" applyNumberFormat="1">
      <alignment shrinkToFit="0" vertical="bottom" wrapText="1"/>
    </xf>
    <xf borderId="0" fillId="18" fontId="27" numFmtId="0" xfId="0" applyAlignment="1" applyFont="1">
      <alignment shrinkToFit="0" vertical="bottom" wrapText="1"/>
    </xf>
    <xf borderId="0" fillId="17" fontId="11" numFmtId="49" xfId="0" applyAlignment="1" applyFont="1" applyNumberFormat="1">
      <alignment shrinkToFit="0" vertical="bottom" wrapText="1"/>
    </xf>
    <xf borderId="0" fillId="17" fontId="11" numFmtId="0" xfId="0" applyAlignment="1" applyFont="1">
      <alignment shrinkToFit="0" vertical="bottom" wrapText="1"/>
    </xf>
    <xf borderId="0" fillId="5" fontId="11" numFmtId="0" xfId="0" applyAlignment="1" applyFont="1">
      <alignment shrinkToFit="0" vertical="bottom" wrapText="1"/>
    </xf>
    <xf borderId="0" fillId="6" fontId="27" numFmtId="0" xfId="0" applyAlignment="1" applyFont="1">
      <alignment shrinkToFit="0" vertical="bottom" wrapText="1"/>
    </xf>
    <xf borderId="0" fillId="19" fontId="11" numFmtId="0" xfId="0" applyAlignment="1" applyFont="1">
      <alignment shrinkToFit="0" vertical="bottom" wrapText="1"/>
    </xf>
    <xf borderId="0" fillId="6" fontId="39" numFmtId="0" xfId="0" applyAlignment="1" applyFont="1">
      <alignment shrinkToFit="0" vertical="bottom" wrapText="1"/>
    </xf>
    <xf borderId="0" fillId="17" fontId="7" numFmtId="0" xfId="0" applyAlignment="1" applyFont="1">
      <alignment readingOrder="0" shrinkToFit="0" vertical="bottom" wrapText="1"/>
    </xf>
    <xf borderId="0" fillId="6" fontId="7" numFmtId="0" xfId="0" applyAlignment="1" applyFont="1">
      <alignment readingOrder="0" shrinkToFit="0" vertical="bottom" wrapText="1"/>
    </xf>
    <xf borderId="0" fillId="22" fontId="7" numFmtId="0" xfId="0" applyAlignment="1" applyFont="1">
      <alignment shrinkToFit="0" vertical="bottom" wrapText="1"/>
    </xf>
    <xf borderId="0" fillId="22" fontId="11" numFmtId="0" xfId="0" applyAlignment="1" applyFont="1">
      <alignment shrinkToFit="0" vertical="bottom" wrapText="1"/>
    </xf>
    <xf borderId="0" fillId="21" fontId="11" numFmtId="0" xfId="0" applyAlignment="1" applyFont="1">
      <alignment shrinkToFit="0" vertical="bottom" wrapText="1"/>
    </xf>
    <xf borderId="0" fillId="11" fontId="11" numFmtId="0" xfId="0" applyAlignment="1" applyFont="1">
      <alignment shrinkToFit="0" vertical="bottom" wrapText="1"/>
    </xf>
    <xf borderId="0" fillId="12" fontId="11" numFmtId="0" xfId="0" applyAlignment="1" applyFont="1">
      <alignment shrinkToFit="0" vertical="bottom" wrapText="1"/>
    </xf>
    <xf borderId="0" fillId="6" fontId="11" numFmtId="49" xfId="0" applyAlignment="1" applyFont="1" applyNumberFormat="1">
      <alignment vertical="bottom"/>
    </xf>
    <xf borderId="0" fillId="21" fontId="11" numFmtId="0" xfId="0" applyAlignment="1" applyFont="1">
      <alignment vertical="bottom"/>
    </xf>
    <xf borderId="0" fillId="22" fontId="27" numFmtId="0" xfId="0" applyAlignment="1" applyFont="1">
      <alignment shrinkToFit="0" vertical="bottom" wrapText="1"/>
    </xf>
    <xf borderId="0" fillId="27" fontId="7" numFmtId="0" xfId="0" applyAlignment="1" applyFill="1" applyFont="1">
      <alignment vertical="bottom"/>
    </xf>
    <xf borderId="0" fillId="28" fontId="7" numFmtId="0" xfId="0" applyAlignment="1" applyFill="1" applyFont="1">
      <alignment vertical="bottom"/>
    </xf>
    <xf borderId="0" fillId="28" fontId="7" numFmtId="49" xfId="0" applyAlignment="1" applyFont="1" applyNumberFormat="1">
      <alignment shrinkToFit="0" vertical="bottom" wrapText="1"/>
    </xf>
    <xf borderId="0" fillId="28" fontId="11" numFmtId="49" xfId="0" applyAlignment="1" applyFont="1" applyNumberFormat="1">
      <alignment vertical="bottom"/>
    </xf>
    <xf borderId="0" fillId="28" fontId="7" numFmtId="49" xfId="0" applyAlignment="1" applyFont="1" applyNumberFormat="1">
      <alignment vertical="bottom"/>
    </xf>
    <xf borderId="0" fillId="27" fontId="11" numFmtId="0" xfId="0" applyAlignment="1" applyFont="1">
      <alignment vertical="bottom"/>
    </xf>
    <xf borderId="0" fillId="16" fontId="7" numFmtId="49" xfId="0" applyAlignment="1" applyFont="1" applyNumberFormat="1">
      <alignment vertical="bottom"/>
    </xf>
    <xf borderId="0" fillId="20" fontId="7" numFmtId="49" xfId="0" applyAlignment="1" applyFont="1" applyNumberFormat="1">
      <alignment vertical="bottom"/>
    </xf>
    <xf borderId="0" fillId="27" fontId="7" numFmtId="0" xfId="0" applyAlignment="1" applyFont="1">
      <alignment shrinkToFit="0" vertical="bottom" wrapText="1"/>
    </xf>
    <xf borderId="0" fillId="21" fontId="7" numFmtId="0" xfId="0" applyAlignment="1" applyFont="1">
      <alignment vertical="bottom"/>
    </xf>
    <xf borderId="0" fillId="22" fontId="7" numFmtId="0" xfId="0" applyAlignment="1" applyFont="1">
      <alignment vertical="bottom"/>
    </xf>
    <xf borderId="0" fillId="5" fontId="7" numFmtId="0" xfId="0" applyAlignment="1" applyFont="1">
      <alignment vertical="bottom"/>
    </xf>
    <xf borderId="0" fillId="5" fontId="7" numFmtId="0" xfId="0" applyAlignment="1" applyFont="1">
      <alignment vertical="bottom"/>
    </xf>
    <xf borderId="0" fillId="6" fontId="7" numFmtId="0" xfId="0" applyAlignment="1" applyFont="1">
      <alignment vertical="bottom"/>
    </xf>
    <xf borderId="0" fillId="5" fontId="11" numFmtId="0" xfId="0" applyAlignment="1" applyFont="1">
      <alignment vertical="bottom"/>
    </xf>
    <xf borderId="0" fillId="0" fontId="11" numFmtId="0" xfId="0" applyAlignment="1" applyFont="1">
      <alignment vertical="bottom"/>
    </xf>
    <xf borderId="0" fillId="14" fontId="7" numFmtId="0" xfId="0" applyAlignment="1" applyFont="1">
      <alignment vertical="bottom"/>
    </xf>
    <xf borderId="0" fillId="14" fontId="11" numFmtId="0" xfId="0" applyAlignment="1" applyFont="1">
      <alignment vertical="bottom"/>
    </xf>
    <xf borderId="0" fillId="11" fontId="7" numFmtId="0" xfId="0" applyAlignment="1" applyFont="1">
      <alignment vertical="bottom"/>
    </xf>
    <xf borderId="0" fillId="16" fontId="7" numFmtId="0" xfId="0" applyAlignment="1" applyFont="1">
      <alignment vertical="bottom"/>
    </xf>
    <xf borderId="0" fillId="11" fontId="11" numFmtId="0" xfId="0" applyAlignment="1" applyFont="1">
      <alignment vertical="bottom"/>
    </xf>
    <xf borderId="0" fillId="5" fontId="7" numFmtId="49" xfId="0" applyAlignment="1" applyFont="1" applyNumberFormat="1">
      <alignment readingOrder="0" shrinkToFit="0" vertical="bottom" wrapText="1"/>
    </xf>
    <xf borderId="0" fillId="13" fontId="7" numFmtId="49" xfId="0" applyAlignment="1" applyFont="1" applyNumberFormat="1">
      <alignment vertical="bottom"/>
    </xf>
  </cellXfs>
  <cellStyles count="1">
    <cellStyle xfId="0" name="Normal" builtinId="0"/>
  </cellStyles>
  <dxfs count="37">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50" width="36.89"/>
  </cols>
  <sheetData>
    <row r="1" ht="18.0" customHeight="1">
      <c r="A1" s="11" t="s">
        <v>3</v>
      </c>
      <c r="B1" s="14" t="s">
        <v>14</v>
      </c>
      <c r="C1" s="14" t="s">
        <v>5</v>
      </c>
      <c r="D1" s="14" t="s">
        <v>6</v>
      </c>
      <c r="E1" s="14" t="s">
        <v>7</v>
      </c>
      <c r="F1" s="14" t="s">
        <v>16</v>
      </c>
      <c r="G1" s="14" t="s">
        <v>17</v>
      </c>
      <c r="H1" s="14" t="s">
        <v>18</v>
      </c>
      <c r="I1" s="14" t="s">
        <v>19</v>
      </c>
      <c r="J1" s="22" t="s">
        <v>20</v>
      </c>
      <c r="K1" s="14" t="s">
        <v>26</v>
      </c>
      <c r="L1" s="14" t="s">
        <v>28</v>
      </c>
      <c r="M1" s="11" t="s">
        <v>30</v>
      </c>
      <c r="N1" s="11" t="s">
        <v>32</v>
      </c>
      <c r="O1" s="14" t="s">
        <v>34</v>
      </c>
      <c r="P1" s="14" t="s">
        <v>35</v>
      </c>
      <c r="Q1" s="14" t="s">
        <v>36</v>
      </c>
      <c r="R1" s="14" t="s">
        <v>37</v>
      </c>
      <c r="S1" s="14" t="s">
        <v>39</v>
      </c>
      <c r="T1" s="14" t="s">
        <v>40</v>
      </c>
      <c r="U1" s="14" t="s">
        <v>41</v>
      </c>
      <c r="V1" s="14" t="s">
        <v>42</v>
      </c>
      <c r="W1" s="14" t="s">
        <v>43</v>
      </c>
      <c r="X1" s="14" t="s">
        <v>44</v>
      </c>
      <c r="Y1" s="14" t="s">
        <v>45</v>
      </c>
      <c r="Z1" s="14" t="s">
        <v>46</v>
      </c>
      <c r="AA1" s="14" t="s">
        <v>47</v>
      </c>
      <c r="AB1" s="14" t="s">
        <v>48</v>
      </c>
      <c r="AC1" s="14" t="s">
        <v>49</v>
      </c>
      <c r="AD1" s="14"/>
      <c r="AE1" s="14"/>
      <c r="AF1" s="14"/>
      <c r="AG1" s="14"/>
      <c r="AH1" s="14"/>
      <c r="AI1" s="14"/>
      <c r="AJ1" s="14"/>
      <c r="AK1" s="14"/>
      <c r="AL1" s="14"/>
      <c r="AM1" s="14"/>
      <c r="AN1" s="14"/>
      <c r="AO1" s="14"/>
      <c r="AP1" s="14"/>
      <c r="AQ1" s="14"/>
      <c r="AR1" s="14"/>
      <c r="AS1" s="14"/>
      <c r="AT1" s="14"/>
      <c r="AU1" s="14"/>
      <c r="AV1" s="14"/>
      <c r="AW1" s="14"/>
      <c r="AX1" s="14"/>
    </row>
    <row r="2" ht="15.75" customHeight="1">
      <c r="A2" s="38" t="s">
        <v>54</v>
      </c>
      <c r="B2" s="38" t="s">
        <v>56</v>
      </c>
      <c r="C2" s="40"/>
      <c r="D2" s="40"/>
      <c r="E2" s="40"/>
      <c r="F2" s="40"/>
      <c r="G2" s="40"/>
      <c r="H2" s="40"/>
      <c r="I2" s="40"/>
      <c r="J2" s="40"/>
      <c r="K2" s="40"/>
      <c r="L2" s="40"/>
      <c r="M2" s="40"/>
      <c r="N2" s="40"/>
      <c r="O2" s="42"/>
      <c r="P2" s="42"/>
      <c r="Q2" s="42"/>
      <c r="R2" s="42"/>
      <c r="S2" s="42"/>
      <c r="T2" s="42"/>
      <c r="U2" s="42"/>
      <c r="V2" s="42"/>
      <c r="W2" s="42"/>
      <c r="X2" s="42"/>
      <c r="Y2" s="42"/>
      <c r="Z2" s="42"/>
      <c r="AA2" s="42"/>
      <c r="AB2" s="42"/>
      <c r="AC2" s="42"/>
      <c r="AD2" s="44"/>
      <c r="AE2" s="44"/>
      <c r="AF2" s="44"/>
      <c r="AG2" s="44"/>
      <c r="AH2" s="44"/>
      <c r="AI2" s="44"/>
      <c r="AJ2" s="44"/>
      <c r="AK2" s="44"/>
      <c r="AL2" s="44"/>
      <c r="AM2" s="44"/>
      <c r="AN2" s="44"/>
      <c r="AO2" s="44"/>
      <c r="AP2" s="44"/>
      <c r="AQ2" s="44"/>
      <c r="AR2" s="44"/>
      <c r="AS2" s="44"/>
      <c r="AT2" s="44"/>
      <c r="AU2" s="44"/>
      <c r="AV2" s="44"/>
      <c r="AW2" s="44"/>
      <c r="AX2" s="44"/>
    </row>
    <row r="3" ht="15.75" customHeight="1">
      <c r="A3" s="38" t="s">
        <v>60</v>
      </c>
      <c r="B3" s="38" t="s">
        <v>62</v>
      </c>
      <c r="C3" s="40"/>
      <c r="D3" s="40"/>
      <c r="E3" s="40"/>
      <c r="F3" s="40"/>
      <c r="G3" s="40"/>
      <c r="H3" s="40"/>
      <c r="I3" s="40"/>
      <c r="J3" s="40"/>
      <c r="K3" s="40"/>
      <c r="L3" s="40"/>
      <c r="M3" s="40"/>
      <c r="N3" s="40"/>
      <c r="O3" s="42"/>
      <c r="P3" s="42"/>
      <c r="Q3" s="42"/>
      <c r="R3" s="42"/>
      <c r="S3" s="42"/>
      <c r="T3" s="42"/>
      <c r="U3" s="42"/>
      <c r="V3" s="42"/>
      <c r="W3" s="42"/>
      <c r="X3" s="42"/>
      <c r="Y3" s="42"/>
      <c r="Z3" s="42"/>
      <c r="AA3" s="42"/>
      <c r="AB3" s="42"/>
      <c r="AC3" s="42"/>
      <c r="AD3" s="44"/>
      <c r="AE3" s="44"/>
      <c r="AF3" s="44"/>
      <c r="AG3" s="44"/>
      <c r="AH3" s="44"/>
      <c r="AI3" s="44"/>
      <c r="AJ3" s="44"/>
      <c r="AK3" s="44"/>
      <c r="AL3" s="44"/>
      <c r="AM3" s="44"/>
      <c r="AN3" s="44"/>
      <c r="AO3" s="44"/>
      <c r="AP3" s="44"/>
      <c r="AQ3" s="44"/>
      <c r="AR3" s="44"/>
      <c r="AS3" s="44"/>
      <c r="AT3" s="44"/>
      <c r="AU3" s="44"/>
      <c r="AV3" s="44"/>
      <c r="AW3" s="44"/>
      <c r="AX3" s="44"/>
    </row>
    <row r="4" ht="15.75" customHeight="1">
      <c r="A4" s="38" t="s">
        <v>68</v>
      </c>
      <c r="B4" s="38" t="s">
        <v>68</v>
      </c>
      <c r="C4" s="40"/>
      <c r="D4" s="40"/>
      <c r="E4" s="40"/>
      <c r="F4" s="40"/>
      <c r="G4" s="40"/>
      <c r="H4" s="40"/>
      <c r="I4" s="40"/>
      <c r="J4" s="40"/>
      <c r="K4" s="40"/>
      <c r="L4" s="40"/>
      <c r="M4" s="40"/>
      <c r="N4" s="40"/>
      <c r="O4" s="42"/>
      <c r="P4" s="42"/>
      <c r="Q4" s="42"/>
      <c r="R4" s="42"/>
      <c r="S4" s="42"/>
      <c r="T4" s="42"/>
      <c r="U4" s="42"/>
      <c r="V4" s="42"/>
      <c r="W4" s="42"/>
      <c r="X4" s="42"/>
      <c r="Y4" s="42"/>
      <c r="Z4" s="42"/>
      <c r="AA4" s="42"/>
      <c r="AB4" s="42"/>
      <c r="AC4" s="42"/>
      <c r="AD4" s="44"/>
      <c r="AE4" s="44"/>
      <c r="AF4" s="44"/>
      <c r="AG4" s="44"/>
      <c r="AH4" s="44"/>
      <c r="AI4" s="44"/>
      <c r="AJ4" s="44"/>
      <c r="AK4" s="44"/>
      <c r="AL4" s="44"/>
      <c r="AM4" s="44"/>
      <c r="AN4" s="44"/>
      <c r="AO4" s="44"/>
      <c r="AP4" s="44"/>
      <c r="AQ4" s="44"/>
      <c r="AR4" s="44"/>
      <c r="AS4" s="44"/>
      <c r="AT4" s="44"/>
      <c r="AU4" s="44"/>
      <c r="AV4" s="44"/>
      <c r="AW4" s="44"/>
      <c r="AX4" s="44"/>
    </row>
    <row r="5" ht="15.75" customHeight="1">
      <c r="A5" s="38" t="s">
        <v>75</v>
      </c>
      <c r="B5" s="38" t="s">
        <v>77</v>
      </c>
      <c r="C5" s="40"/>
      <c r="D5" s="40"/>
      <c r="E5" s="40"/>
      <c r="F5" s="40"/>
      <c r="G5" s="40"/>
      <c r="H5" s="40"/>
      <c r="I5" s="40"/>
      <c r="J5" s="40"/>
      <c r="K5" s="40"/>
      <c r="L5" s="40"/>
      <c r="M5" s="40"/>
      <c r="N5" s="40"/>
      <c r="O5" s="42"/>
      <c r="P5" s="42"/>
      <c r="Q5" s="42"/>
      <c r="R5" s="42"/>
      <c r="S5" s="42"/>
      <c r="T5" s="42"/>
      <c r="U5" s="42"/>
      <c r="V5" s="42"/>
      <c r="W5" s="42"/>
      <c r="X5" s="42"/>
      <c r="Y5" s="42"/>
      <c r="Z5" s="42"/>
      <c r="AA5" s="42"/>
      <c r="AB5" s="42"/>
      <c r="AC5" s="42"/>
      <c r="AD5" s="44"/>
      <c r="AE5" s="44"/>
      <c r="AF5" s="44"/>
      <c r="AG5" s="44"/>
      <c r="AH5" s="44"/>
      <c r="AI5" s="44"/>
      <c r="AJ5" s="44"/>
      <c r="AK5" s="44"/>
      <c r="AL5" s="44"/>
      <c r="AM5" s="44"/>
      <c r="AN5" s="44"/>
      <c r="AO5" s="44"/>
      <c r="AP5" s="44"/>
      <c r="AQ5" s="44"/>
      <c r="AR5" s="44"/>
      <c r="AS5" s="44"/>
      <c r="AT5" s="44"/>
      <c r="AU5" s="44"/>
      <c r="AV5" s="44"/>
      <c r="AW5" s="44"/>
      <c r="AX5" s="44"/>
    </row>
    <row r="6" ht="15.75" customHeight="1">
      <c r="A6" s="38" t="s">
        <v>88</v>
      </c>
      <c r="B6" s="38" t="s">
        <v>88</v>
      </c>
      <c r="C6" s="40"/>
      <c r="D6" s="40"/>
      <c r="E6" s="40"/>
      <c r="F6" s="40"/>
      <c r="G6" s="40"/>
      <c r="H6" s="40"/>
      <c r="I6" s="40"/>
      <c r="J6" s="40"/>
      <c r="K6" s="40"/>
      <c r="L6" s="40"/>
      <c r="M6" s="40"/>
      <c r="N6" s="40"/>
      <c r="O6" s="42"/>
      <c r="P6" s="42"/>
      <c r="Q6" s="42"/>
      <c r="R6" s="42"/>
      <c r="S6" s="42"/>
      <c r="T6" s="42"/>
      <c r="U6" s="42"/>
      <c r="V6" s="42"/>
      <c r="W6" s="42"/>
      <c r="X6" s="42"/>
      <c r="Y6" s="42"/>
      <c r="Z6" s="42"/>
      <c r="AA6" s="42"/>
      <c r="AB6" s="42"/>
      <c r="AC6" s="42"/>
      <c r="AD6" s="44"/>
      <c r="AE6" s="44"/>
      <c r="AF6" s="44"/>
      <c r="AG6" s="44"/>
      <c r="AH6" s="44"/>
      <c r="AI6" s="44"/>
      <c r="AJ6" s="44"/>
      <c r="AK6" s="44"/>
      <c r="AL6" s="44"/>
      <c r="AM6" s="44"/>
      <c r="AN6" s="44"/>
      <c r="AO6" s="44"/>
      <c r="AP6" s="44"/>
      <c r="AQ6" s="44"/>
      <c r="AR6" s="44"/>
      <c r="AS6" s="44"/>
      <c r="AT6" s="44"/>
      <c r="AU6" s="44"/>
      <c r="AV6" s="44"/>
      <c r="AW6" s="44"/>
      <c r="AX6" s="44"/>
    </row>
    <row r="7" ht="15.75" customHeight="1">
      <c r="A7" s="64" t="s">
        <v>101</v>
      </c>
      <c r="B7" s="64" t="s">
        <v>101</v>
      </c>
      <c r="C7" s="40"/>
      <c r="D7" s="40"/>
      <c r="E7" s="40"/>
      <c r="F7" s="40"/>
      <c r="G7" s="40"/>
      <c r="H7" s="40"/>
      <c r="I7" s="40"/>
      <c r="J7" s="40"/>
      <c r="K7" s="40"/>
      <c r="L7" s="40"/>
      <c r="M7" s="40"/>
      <c r="N7" s="40"/>
      <c r="O7" s="42"/>
      <c r="P7" s="42"/>
      <c r="Q7" s="42"/>
      <c r="R7" s="42"/>
      <c r="S7" s="42"/>
      <c r="T7" s="42"/>
      <c r="U7" s="42"/>
      <c r="V7" s="42"/>
      <c r="W7" s="42"/>
      <c r="X7" s="42"/>
      <c r="Y7" s="42"/>
      <c r="Z7" s="42"/>
      <c r="AA7" s="42"/>
      <c r="AB7" s="42"/>
      <c r="AC7" s="42"/>
      <c r="AD7" s="44"/>
      <c r="AE7" s="44"/>
      <c r="AF7" s="44"/>
      <c r="AG7" s="44"/>
      <c r="AH7" s="44"/>
      <c r="AI7" s="44"/>
      <c r="AJ7" s="44"/>
      <c r="AK7" s="44"/>
      <c r="AL7" s="44"/>
      <c r="AM7" s="44"/>
      <c r="AN7" s="44"/>
      <c r="AO7" s="44"/>
      <c r="AP7" s="44"/>
      <c r="AQ7" s="44"/>
      <c r="AR7" s="44"/>
      <c r="AS7" s="44"/>
      <c r="AT7" s="44"/>
      <c r="AU7" s="44"/>
      <c r="AV7" s="44"/>
      <c r="AW7" s="44"/>
      <c r="AX7" s="44"/>
    </row>
    <row r="8" ht="15.75" customHeight="1">
      <c r="A8" s="66" t="s">
        <v>112</v>
      </c>
      <c r="B8" s="67" t="s">
        <v>114</v>
      </c>
      <c r="C8" s="68"/>
      <c r="D8" s="68"/>
      <c r="E8" s="68"/>
      <c r="F8" s="68"/>
      <c r="G8" s="68"/>
      <c r="H8" s="68"/>
      <c r="I8" s="68"/>
      <c r="J8" s="68"/>
      <c r="K8" s="68"/>
      <c r="L8" s="68"/>
      <c r="M8" s="68"/>
      <c r="N8" s="68"/>
      <c r="O8" s="71"/>
      <c r="P8" s="71"/>
      <c r="Q8" s="71"/>
      <c r="R8" s="71"/>
      <c r="S8" s="71"/>
      <c r="T8" s="67" t="s">
        <v>119</v>
      </c>
      <c r="U8" s="71"/>
      <c r="V8" s="71"/>
      <c r="W8" s="71"/>
      <c r="X8" s="71"/>
      <c r="Y8" s="71"/>
      <c r="Z8" s="71"/>
      <c r="AA8" s="71"/>
      <c r="AB8" s="71"/>
      <c r="AC8" s="71"/>
      <c r="AD8" s="44"/>
      <c r="AE8" s="44"/>
      <c r="AF8" s="44"/>
      <c r="AG8" s="44"/>
      <c r="AH8" s="44"/>
      <c r="AI8" s="44"/>
      <c r="AJ8" s="44"/>
      <c r="AK8" s="44"/>
      <c r="AL8" s="44"/>
      <c r="AM8" s="44"/>
      <c r="AN8" s="44"/>
      <c r="AO8" s="44"/>
      <c r="AP8" s="44"/>
      <c r="AQ8" s="44"/>
      <c r="AR8" s="44"/>
      <c r="AS8" s="44"/>
      <c r="AT8" s="44"/>
      <c r="AU8" s="44"/>
      <c r="AV8" s="44"/>
      <c r="AW8" s="44"/>
      <c r="AX8" s="44"/>
    </row>
    <row r="9" ht="15.75" customHeight="1">
      <c r="A9" s="66" t="s">
        <v>112</v>
      </c>
      <c r="B9" s="67" t="s">
        <v>121</v>
      </c>
      <c r="C9" s="68"/>
      <c r="D9" s="68"/>
      <c r="E9" s="68"/>
      <c r="F9" s="68"/>
      <c r="G9" s="68"/>
      <c r="H9" s="68"/>
      <c r="I9" s="68"/>
      <c r="J9" s="68"/>
      <c r="K9" s="68"/>
      <c r="L9" s="68"/>
      <c r="M9" s="68"/>
      <c r="N9" s="68"/>
      <c r="O9" s="71"/>
      <c r="P9" s="71"/>
      <c r="Q9" s="71"/>
      <c r="R9" s="71"/>
      <c r="S9" s="71"/>
      <c r="T9" s="67" t="s">
        <v>122</v>
      </c>
      <c r="U9" s="71"/>
      <c r="V9" s="71"/>
      <c r="W9" s="71"/>
      <c r="X9" s="71"/>
      <c r="Y9" s="71"/>
      <c r="Z9" s="71"/>
      <c r="AA9" s="71"/>
      <c r="AB9" s="71"/>
      <c r="AC9" s="71"/>
      <c r="AD9" s="44"/>
      <c r="AE9" s="44"/>
      <c r="AF9" s="44"/>
      <c r="AG9" s="44"/>
      <c r="AH9" s="44"/>
      <c r="AI9" s="44"/>
      <c r="AJ9" s="44"/>
      <c r="AK9" s="44"/>
      <c r="AL9" s="44"/>
      <c r="AM9" s="44"/>
      <c r="AN9" s="44"/>
      <c r="AO9" s="44"/>
      <c r="AP9" s="44"/>
      <c r="AQ9" s="44"/>
      <c r="AR9" s="44"/>
      <c r="AS9" s="44"/>
      <c r="AT9" s="44"/>
      <c r="AU9" s="44"/>
      <c r="AV9" s="44"/>
      <c r="AW9" s="44"/>
      <c r="AX9" s="44"/>
    </row>
    <row r="10" ht="15.75" customHeight="1">
      <c r="A10" s="74" t="s">
        <v>127</v>
      </c>
      <c r="B10" s="75" t="s">
        <v>128</v>
      </c>
      <c r="C10" s="77"/>
      <c r="D10" s="77"/>
      <c r="E10" s="77"/>
      <c r="F10" s="77"/>
      <c r="G10" s="77"/>
      <c r="H10" s="77"/>
      <c r="I10" s="77"/>
      <c r="J10" s="78" t="s">
        <v>130</v>
      </c>
      <c r="K10" s="77"/>
      <c r="L10" s="77"/>
      <c r="M10" s="77"/>
      <c r="N10" s="77"/>
      <c r="O10" s="79"/>
      <c r="P10" s="79"/>
      <c r="Q10" s="79"/>
      <c r="R10" s="79"/>
      <c r="S10" s="79"/>
      <c r="T10" s="79"/>
      <c r="U10" s="79"/>
      <c r="V10" s="79"/>
      <c r="W10" s="79"/>
      <c r="X10" s="79"/>
      <c r="Y10" s="79"/>
      <c r="Z10" s="79"/>
      <c r="AA10" s="79"/>
      <c r="AB10" s="79"/>
      <c r="AC10" s="79"/>
      <c r="AD10" s="44"/>
      <c r="AE10" s="44"/>
      <c r="AF10" s="44"/>
      <c r="AG10" s="44"/>
      <c r="AH10" s="44"/>
      <c r="AI10" s="44"/>
      <c r="AJ10" s="44"/>
      <c r="AK10" s="44"/>
      <c r="AL10" s="44"/>
      <c r="AM10" s="44"/>
      <c r="AN10" s="44"/>
      <c r="AO10" s="44"/>
      <c r="AP10" s="44"/>
      <c r="AQ10" s="44"/>
      <c r="AR10" s="44"/>
      <c r="AS10" s="44"/>
      <c r="AT10" s="44"/>
      <c r="AU10" s="44"/>
      <c r="AV10" s="44"/>
      <c r="AW10" s="44"/>
      <c r="AX10" s="44"/>
    </row>
    <row r="11" ht="15.75" customHeight="1">
      <c r="A11" s="74" t="s">
        <v>136</v>
      </c>
      <c r="B11" s="75" t="s">
        <v>137</v>
      </c>
      <c r="C11" s="77"/>
      <c r="D11" s="77"/>
      <c r="E11" s="77"/>
      <c r="F11" s="77"/>
      <c r="G11" s="77"/>
      <c r="H11" s="77"/>
      <c r="I11" s="77"/>
      <c r="J11" s="78" t="s">
        <v>138</v>
      </c>
      <c r="K11" s="77"/>
      <c r="L11" s="77"/>
      <c r="M11" s="77"/>
      <c r="N11" s="77"/>
      <c r="O11" s="79"/>
      <c r="P11" s="79"/>
      <c r="Q11" s="79"/>
      <c r="R11" s="79"/>
      <c r="S11" s="79"/>
      <c r="T11" s="79"/>
      <c r="U11" s="79"/>
      <c r="V11" s="79"/>
      <c r="W11" s="79"/>
      <c r="X11" s="79"/>
      <c r="Y11" s="79"/>
      <c r="Z11" s="79"/>
      <c r="AA11" s="79"/>
      <c r="AB11" s="79"/>
      <c r="AC11" s="79"/>
      <c r="AD11" s="44"/>
      <c r="AE11" s="44"/>
      <c r="AF11" s="44"/>
      <c r="AG11" s="44"/>
      <c r="AH11" s="44"/>
      <c r="AI11" s="44"/>
      <c r="AJ11" s="44"/>
      <c r="AK11" s="44"/>
      <c r="AL11" s="44"/>
      <c r="AM11" s="44"/>
      <c r="AN11" s="44"/>
      <c r="AO11" s="44"/>
      <c r="AP11" s="44"/>
      <c r="AQ11" s="44"/>
      <c r="AR11" s="44"/>
      <c r="AS11" s="44"/>
      <c r="AT11" s="44"/>
      <c r="AU11" s="44"/>
      <c r="AV11" s="44"/>
      <c r="AW11" s="44"/>
      <c r="AX11" s="44"/>
    </row>
    <row r="12" ht="15.75" customHeight="1">
      <c r="A12" s="82" t="s">
        <v>112</v>
      </c>
      <c r="B12" s="83" t="s">
        <v>142</v>
      </c>
      <c r="C12" s="84" t="s">
        <v>143</v>
      </c>
      <c r="D12" s="68"/>
      <c r="E12" s="68"/>
      <c r="F12" s="68"/>
      <c r="G12" s="68"/>
      <c r="H12" s="68"/>
      <c r="I12" s="68"/>
      <c r="J12" s="68"/>
      <c r="K12" s="68"/>
      <c r="L12" s="68"/>
      <c r="M12" s="68"/>
      <c r="N12" s="68"/>
      <c r="O12" s="71"/>
      <c r="P12" s="71"/>
      <c r="Q12" s="71"/>
      <c r="R12" s="71"/>
      <c r="S12" s="71"/>
      <c r="T12" s="83" t="s">
        <v>147</v>
      </c>
      <c r="U12" s="71"/>
      <c r="V12" s="71"/>
      <c r="W12" s="71"/>
      <c r="X12" s="71"/>
      <c r="Y12" s="71"/>
      <c r="Z12" s="71"/>
      <c r="AA12" s="71"/>
      <c r="AB12" s="71"/>
      <c r="AC12" s="71"/>
      <c r="AD12" s="44"/>
      <c r="AE12" s="44"/>
      <c r="AF12" s="44"/>
      <c r="AG12" s="44"/>
      <c r="AH12" s="44"/>
      <c r="AI12" s="44"/>
      <c r="AJ12" s="44"/>
      <c r="AK12" s="44"/>
      <c r="AL12" s="44"/>
      <c r="AM12" s="44"/>
      <c r="AN12" s="44"/>
      <c r="AO12" s="44"/>
      <c r="AP12" s="44"/>
      <c r="AQ12" s="44"/>
      <c r="AR12" s="44"/>
      <c r="AS12" s="44"/>
      <c r="AT12" s="44"/>
      <c r="AU12" s="44"/>
      <c r="AV12" s="44"/>
      <c r="AW12" s="44"/>
      <c r="AX12" s="44"/>
    </row>
    <row r="13" ht="15.75" customHeight="1">
      <c r="A13" s="82" t="s">
        <v>112</v>
      </c>
      <c r="B13" s="83" t="s">
        <v>151</v>
      </c>
      <c r="C13" s="84" t="s">
        <v>152</v>
      </c>
      <c r="D13" s="68"/>
      <c r="E13" s="68"/>
      <c r="F13" s="68"/>
      <c r="G13" s="68"/>
      <c r="H13" s="68"/>
      <c r="I13" s="68"/>
      <c r="J13" s="68"/>
      <c r="K13" s="68"/>
      <c r="L13" s="68"/>
      <c r="M13" s="68"/>
      <c r="N13" s="68"/>
      <c r="O13" s="71"/>
      <c r="P13" s="71"/>
      <c r="Q13" s="71"/>
      <c r="R13" s="71"/>
      <c r="S13" s="71"/>
      <c r="T13" s="83" t="s">
        <v>154</v>
      </c>
      <c r="U13" s="71"/>
      <c r="V13" s="71"/>
      <c r="W13" s="71"/>
      <c r="X13" s="71"/>
      <c r="Y13" s="71"/>
      <c r="Z13" s="71"/>
      <c r="AA13" s="71"/>
      <c r="AB13" s="71"/>
      <c r="AC13" s="71"/>
      <c r="AD13" s="44"/>
      <c r="AE13" s="44"/>
      <c r="AF13" s="44"/>
      <c r="AG13" s="44"/>
      <c r="AH13" s="44"/>
      <c r="AI13" s="44"/>
      <c r="AJ13" s="44"/>
      <c r="AK13" s="44"/>
      <c r="AL13" s="44"/>
      <c r="AM13" s="44"/>
      <c r="AN13" s="44"/>
      <c r="AO13" s="44"/>
      <c r="AP13" s="44"/>
      <c r="AQ13" s="44"/>
      <c r="AR13" s="44"/>
      <c r="AS13" s="44"/>
      <c r="AT13" s="44"/>
      <c r="AU13" s="44"/>
      <c r="AV13" s="44"/>
      <c r="AW13" s="44"/>
      <c r="AX13" s="44"/>
    </row>
    <row r="14" ht="15.75" customHeight="1">
      <c r="A14" s="82" t="s">
        <v>112</v>
      </c>
      <c r="B14" s="83" t="s">
        <v>158</v>
      </c>
      <c r="C14" s="84" t="s">
        <v>159</v>
      </c>
      <c r="D14" s="68"/>
      <c r="E14" s="68"/>
      <c r="F14" s="68"/>
      <c r="G14" s="68"/>
      <c r="H14" s="68"/>
      <c r="I14" s="68"/>
      <c r="J14" s="68"/>
      <c r="K14" s="68"/>
      <c r="L14" s="68"/>
      <c r="M14" s="68"/>
      <c r="N14" s="68"/>
      <c r="O14" s="71"/>
      <c r="P14" s="71"/>
      <c r="Q14" s="71"/>
      <c r="R14" s="71"/>
      <c r="S14" s="71"/>
      <c r="T14" s="83" t="s">
        <v>161</v>
      </c>
      <c r="U14" s="71"/>
      <c r="V14" s="71"/>
      <c r="W14" s="71"/>
      <c r="X14" s="71"/>
      <c r="Y14" s="71"/>
      <c r="Z14" s="71"/>
      <c r="AA14" s="71"/>
      <c r="AB14" s="71"/>
      <c r="AC14" s="71"/>
      <c r="AD14" s="44"/>
      <c r="AE14" s="44"/>
      <c r="AF14" s="44"/>
      <c r="AG14" s="44"/>
      <c r="AH14" s="44"/>
      <c r="AI14" s="44"/>
      <c r="AJ14" s="44"/>
      <c r="AK14" s="44"/>
      <c r="AL14" s="44"/>
      <c r="AM14" s="44"/>
      <c r="AN14" s="44"/>
      <c r="AO14" s="44"/>
      <c r="AP14" s="44"/>
      <c r="AQ14" s="44"/>
      <c r="AR14" s="44"/>
      <c r="AS14" s="44"/>
      <c r="AT14" s="44"/>
      <c r="AU14" s="44"/>
      <c r="AV14" s="44"/>
      <c r="AW14" s="44"/>
      <c r="AX14" s="44"/>
    </row>
    <row r="15" ht="15.75" customHeight="1">
      <c r="A15" s="82" t="s">
        <v>112</v>
      </c>
      <c r="B15" s="83" t="s">
        <v>165</v>
      </c>
      <c r="C15" s="84" t="s">
        <v>166</v>
      </c>
      <c r="D15" s="68"/>
      <c r="E15" s="68"/>
      <c r="F15" s="68"/>
      <c r="G15" s="68"/>
      <c r="H15" s="68"/>
      <c r="I15" s="68"/>
      <c r="J15" s="68"/>
      <c r="K15" s="68"/>
      <c r="L15" s="68"/>
      <c r="M15" s="68"/>
      <c r="N15" s="68"/>
      <c r="O15" s="71"/>
      <c r="P15" s="71"/>
      <c r="Q15" s="71"/>
      <c r="R15" s="71"/>
      <c r="S15" s="71"/>
      <c r="T15" s="83" t="s">
        <v>167</v>
      </c>
      <c r="U15" s="71"/>
      <c r="V15" s="71"/>
      <c r="W15" s="71"/>
      <c r="X15" s="71"/>
      <c r="Y15" s="71"/>
      <c r="Z15" s="71"/>
      <c r="AA15" s="71"/>
      <c r="AB15" s="71"/>
      <c r="AC15" s="71"/>
      <c r="AD15" s="44"/>
      <c r="AE15" s="44"/>
      <c r="AF15" s="44"/>
      <c r="AG15" s="44"/>
      <c r="AH15" s="44"/>
      <c r="AI15" s="44"/>
      <c r="AJ15" s="44"/>
      <c r="AK15" s="44"/>
      <c r="AL15" s="44"/>
      <c r="AM15" s="44"/>
      <c r="AN15" s="44"/>
      <c r="AO15" s="44"/>
      <c r="AP15" s="44"/>
      <c r="AQ15" s="44"/>
      <c r="AR15" s="44"/>
      <c r="AS15" s="44"/>
      <c r="AT15" s="44"/>
      <c r="AU15" s="44"/>
      <c r="AV15" s="44"/>
      <c r="AW15" s="44"/>
      <c r="AX15" s="44"/>
    </row>
    <row r="16" ht="15.75" customHeight="1">
      <c r="A16" s="66" t="s">
        <v>112</v>
      </c>
      <c r="B16" s="67" t="s">
        <v>168</v>
      </c>
      <c r="C16" s="68"/>
      <c r="D16" s="68"/>
      <c r="E16" s="68"/>
      <c r="F16" s="68"/>
      <c r="G16" s="68"/>
      <c r="H16" s="68"/>
      <c r="I16" s="68"/>
      <c r="J16" s="68"/>
      <c r="K16" s="68"/>
      <c r="L16" s="68"/>
      <c r="M16" s="68"/>
      <c r="N16" s="68"/>
      <c r="O16" s="71"/>
      <c r="P16" s="71"/>
      <c r="Q16" s="71"/>
      <c r="R16" s="71"/>
      <c r="S16" s="71"/>
      <c r="T16" s="67" t="s">
        <v>170</v>
      </c>
      <c r="U16" s="71"/>
      <c r="V16" s="71"/>
      <c r="W16" s="71"/>
      <c r="X16" s="71"/>
      <c r="Y16" s="71"/>
      <c r="Z16" s="71"/>
      <c r="AA16" s="71"/>
      <c r="AB16" s="71"/>
      <c r="AC16" s="71"/>
      <c r="AD16" s="44"/>
      <c r="AE16" s="44"/>
      <c r="AF16" s="44"/>
      <c r="AG16" s="44"/>
      <c r="AH16" s="44"/>
      <c r="AI16" s="44"/>
      <c r="AJ16" s="44"/>
      <c r="AK16" s="44"/>
      <c r="AL16" s="44"/>
      <c r="AM16" s="44"/>
      <c r="AN16" s="44"/>
      <c r="AO16" s="44"/>
      <c r="AP16" s="44"/>
      <c r="AQ16" s="44"/>
      <c r="AR16" s="44"/>
      <c r="AS16" s="44"/>
      <c r="AT16" s="44"/>
      <c r="AU16" s="44"/>
      <c r="AV16" s="44"/>
      <c r="AW16" s="44"/>
      <c r="AX16" s="44"/>
    </row>
    <row r="17" ht="15.75" customHeight="1">
      <c r="A17" s="66" t="s">
        <v>112</v>
      </c>
      <c r="B17" s="67" t="s">
        <v>157</v>
      </c>
      <c r="C17" s="84" t="s">
        <v>174</v>
      </c>
      <c r="D17" s="84" t="s">
        <v>174</v>
      </c>
      <c r="E17" s="68"/>
      <c r="F17" s="68"/>
      <c r="G17" s="68"/>
      <c r="H17" s="68"/>
      <c r="I17" s="68"/>
      <c r="J17" s="68"/>
      <c r="K17" s="68"/>
      <c r="L17" s="68"/>
      <c r="M17" s="68"/>
      <c r="N17" s="68"/>
      <c r="O17" s="71"/>
      <c r="P17" s="71"/>
      <c r="Q17" s="71"/>
      <c r="R17" s="71"/>
      <c r="S17" s="71"/>
      <c r="T17" s="83" t="s">
        <v>179</v>
      </c>
      <c r="U17" s="71"/>
      <c r="V17" s="71"/>
      <c r="W17" s="71"/>
      <c r="X17" s="71"/>
      <c r="Y17" s="71"/>
      <c r="Z17" s="71"/>
      <c r="AA17" s="71"/>
      <c r="AB17" s="71"/>
      <c r="AC17" s="71"/>
      <c r="AD17" s="44"/>
      <c r="AE17" s="44"/>
      <c r="AF17" s="44"/>
      <c r="AG17" s="44"/>
      <c r="AH17" s="44"/>
      <c r="AI17" s="44"/>
      <c r="AJ17" s="44"/>
      <c r="AK17" s="44"/>
      <c r="AL17" s="44"/>
      <c r="AM17" s="44"/>
      <c r="AN17" s="44"/>
      <c r="AO17" s="44"/>
      <c r="AP17" s="44"/>
      <c r="AQ17" s="44"/>
      <c r="AR17" s="44"/>
      <c r="AS17" s="44"/>
      <c r="AT17" s="44"/>
      <c r="AU17" s="44"/>
      <c r="AV17" s="44"/>
      <c r="AW17" s="44"/>
      <c r="AX17" s="44"/>
    </row>
    <row r="18" ht="15.75" customHeight="1">
      <c r="A18" s="66" t="s">
        <v>112</v>
      </c>
      <c r="B18" s="67" t="s">
        <v>164</v>
      </c>
      <c r="C18" s="84" t="s">
        <v>174</v>
      </c>
      <c r="D18" s="84" t="s">
        <v>174</v>
      </c>
      <c r="E18" s="68"/>
      <c r="F18" s="68"/>
      <c r="G18" s="68"/>
      <c r="H18" s="68"/>
      <c r="I18" s="68"/>
      <c r="J18" s="68"/>
      <c r="K18" s="68"/>
      <c r="L18" s="68"/>
      <c r="M18" s="68"/>
      <c r="N18" s="68"/>
      <c r="O18" s="71"/>
      <c r="P18" s="71"/>
      <c r="Q18" s="71"/>
      <c r="R18" s="71"/>
      <c r="S18" s="71"/>
      <c r="T18" s="83" t="s">
        <v>183</v>
      </c>
      <c r="U18" s="71"/>
      <c r="V18" s="71"/>
      <c r="W18" s="71"/>
      <c r="X18" s="71"/>
      <c r="Y18" s="71"/>
      <c r="Z18" s="71"/>
      <c r="AA18" s="71"/>
      <c r="AB18" s="71"/>
      <c r="AC18" s="71"/>
      <c r="AD18" s="44"/>
      <c r="AE18" s="44"/>
      <c r="AF18" s="44"/>
      <c r="AG18" s="44"/>
      <c r="AH18" s="44"/>
      <c r="AI18" s="44"/>
      <c r="AJ18" s="44"/>
      <c r="AK18" s="44"/>
      <c r="AL18" s="44"/>
      <c r="AM18" s="44"/>
      <c r="AN18" s="44"/>
      <c r="AO18" s="44"/>
      <c r="AP18" s="44"/>
      <c r="AQ18" s="44"/>
      <c r="AR18" s="44"/>
      <c r="AS18" s="44"/>
      <c r="AT18" s="44"/>
      <c r="AU18" s="44"/>
      <c r="AV18" s="44"/>
      <c r="AW18" s="44"/>
      <c r="AX18" s="44"/>
    </row>
    <row r="19" ht="15.75" customHeight="1">
      <c r="A19" s="82" t="s">
        <v>112</v>
      </c>
      <c r="B19" s="83" t="s">
        <v>185</v>
      </c>
      <c r="C19" s="84" t="s">
        <v>187</v>
      </c>
      <c r="D19" s="84" t="s">
        <v>174</v>
      </c>
      <c r="E19" s="68"/>
      <c r="F19" s="68"/>
      <c r="G19" s="68"/>
      <c r="H19" s="68"/>
      <c r="I19" s="68"/>
      <c r="J19" s="68"/>
      <c r="K19" s="68"/>
      <c r="L19" s="68"/>
      <c r="M19" s="68"/>
      <c r="N19" s="68"/>
      <c r="O19" s="71"/>
      <c r="P19" s="71"/>
      <c r="Q19" s="71"/>
      <c r="R19" s="71"/>
      <c r="S19" s="71"/>
      <c r="T19" s="83" t="s">
        <v>191</v>
      </c>
      <c r="U19" s="71"/>
      <c r="V19" s="71"/>
      <c r="W19" s="71"/>
      <c r="X19" s="71"/>
      <c r="Y19" s="71"/>
      <c r="Z19" s="71"/>
      <c r="AA19" s="71"/>
      <c r="AB19" s="71"/>
      <c r="AC19" s="71"/>
      <c r="AD19" s="44"/>
      <c r="AE19" s="44"/>
      <c r="AF19" s="44"/>
      <c r="AG19" s="44"/>
      <c r="AH19" s="44"/>
      <c r="AI19" s="44"/>
      <c r="AJ19" s="44"/>
      <c r="AK19" s="44"/>
      <c r="AL19" s="44"/>
      <c r="AM19" s="44"/>
      <c r="AN19" s="44"/>
      <c r="AO19" s="44"/>
      <c r="AP19" s="44"/>
      <c r="AQ19" s="44"/>
      <c r="AR19" s="44"/>
      <c r="AS19" s="44"/>
      <c r="AT19" s="44"/>
      <c r="AU19" s="44"/>
      <c r="AV19" s="44"/>
      <c r="AW19" s="44"/>
      <c r="AX19" s="44"/>
    </row>
    <row r="20" ht="15.75" customHeight="1">
      <c r="A20" s="82" t="s">
        <v>112</v>
      </c>
      <c r="B20" s="83" t="s">
        <v>192</v>
      </c>
      <c r="C20" s="84" t="s">
        <v>193</v>
      </c>
      <c r="D20" s="84" t="s">
        <v>174</v>
      </c>
      <c r="E20" s="68"/>
      <c r="F20" s="68"/>
      <c r="G20" s="68"/>
      <c r="H20" s="68"/>
      <c r="I20" s="68"/>
      <c r="J20" s="68"/>
      <c r="K20" s="68"/>
      <c r="L20" s="68"/>
      <c r="M20" s="68"/>
      <c r="N20" s="68"/>
      <c r="O20" s="71"/>
      <c r="P20" s="71"/>
      <c r="Q20" s="71"/>
      <c r="R20" s="71"/>
      <c r="S20" s="71"/>
      <c r="T20" s="83" t="s">
        <v>194</v>
      </c>
      <c r="U20" s="71"/>
      <c r="V20" s="71"/>
      <c r="W20" s="71"/>
      <c r="X20" s="71"/>
      <c r="Y20" s="71"/>
      <c r="Z20" s="71"/>
      <c r="AA20" s="71"/>
      <c r="AB20" s="71"/>
      <c r="AC20" s="71"/>
      <c r="AD20" s="44"/>
      <c r="AE20" s="44"/>
      <c r="AF20" s="44"/>
      <c r="AG20" s="44"/>
      <c r="AH20" s="44"/>
      <c r="AI20" s="44"/>
      <c r="AJ20" s="44"/>
      <c r="AK20" s="44"/>
      <c r="AL20" s="44"/>
      <c r="AM20" s="44"/>
      <c r="AN20" s="44"/>
      <c r="AO20" s="44"/>
      <c r="AP20" s="44"/>
      <c r="AQ20" s="44"/>
      <c r="AR20" s="44"/>
      <c r="AS20" s="44"/>
      <c r="AT20" s="44"/>
      <c r="AU20" s="44"/>
      <c r="AV20" s="44"/>
      <c r="AW20" s="44"/>
      <c r="AX20" s="44"/>
    </row>
    <row r="21" ht="15.75" customHeight="1">
      <c r="A21" s="82" t="s">
        <v>112</v>
      </c>
      <c r="B21" s="83" t="s">
        <v>202</v>
      </c>
      <c r="C21" s="84" t="s">
        <v>203</v>
      </c>
      <c r="D21" s="84" t="s">
        <v>174</v>
      </c>
      <c r="E21" s="68"/>
      <c r="F21" s="68"/>
      <c r="G21" s="68"/>
      <c r="H21" s="68"/>
      <c r="I21" s="68"/>
      <c r="J21" s="68"/>
      <c r="K21" s="68"/>
      <c r="L21" s="68"/>
      <c r="M21" s="68"/>
      <c r="N21" s="68"/>
      <c r="O21" s="71"/>
      <c r="P21" s="71"/>
      <c r="Q21" s="71"/>
      <c r="R21" s="71"/>
      <c r="S21" s="71"/>
      <c r="T21" s="83" t="s">
        <v>207</v>
      </c>
      <c r="U21" s="71"/>
      <c r="V21" s="71"/>
      <c r="W21" s="71"/>
      <c r="X21" s="71"/>
      <c r="Y21" s="71"/>
      <c r="Z21" s="71"/>
      <c r="AA21" s="71"/>
      <c r="AB21" s="71"/>
      <c r="AC21" s="71"/>
      <c r="AD21" s="44"/>
      <c r="AE21" s="44"/>
      <c r="AF21" s="44"/>
      <c r="AG21" s="44"/>
      <c r="AH21" s="44"/>
      <c r="AI21" s="44"/>
      <c r="AJ21" s="44"/>
      <c r="AK21" s="44"/>
      <c r="AL21" s="44"/>
      <c r="AM21" s="44"/>
      <c r="AN21" s="44"/>
      <c r="AO21" s="44"/>
      <c r="AP21" s="44"/>
      <c r="AQ21" s="44"/>
      <c r="AR21" s="44"/>
      <c r="AS21" s="44"/>
      <c r="AT21" s="44"/>
      <c r="AU21" s="44"/>
      <c r="AV21" s="44"/>
      <c r="AW21" s="44"/>
      <c r="AX21" s="44"/>
    </row>
    <row r="22" ht="15.75" customHeight="1">
      <c r="A22" s="82" t="s">
        <v>112</v>
      </c>
      <c r="B22" s="83" t="s">
        <v>210</v>
      </c>
      <c r="C22" s="84" t="s">
        <v>211</v>
      </c>
      <c r="D22" s="84" t="s">
        <v>174</v>
      </c>
      <c r="E22" s="68"/>
      <c r="F22" s="68"/>
      <c r="G22" s="68"/>
      <c r="H22" s="68"/>
      <c r="I22" s="68"/>
      <c r="J22" s="68"/>
      <c r="K22" s="68"/>
      <c r="L22" s="68"/>
      <c r="M22" s="68"/>
      <c r="N22" s="68"/>
      <c r="O22" s="71"/>
      <c r="P22" s="71"/>
      <c r="Q22" s="71"/>
      <c r="R22" s="71"/>
      <c r="S22" s="71"/>
      <c r="T22" s="83" t="s">
        <v>213</v>
      </c>
      <c r="U22" s="71"/>
      <c r="V22" s="71"/>
      <c r="W22" s="71"/>
      <c r="X22" s="71"/>
      <c r="Y22" s="71"/>
      <c r="Z22" s="71"/>
      <c r="AA22" s="71"/>
      <c r="AB22" s="71"/>
      <c r="AC22" s="71"/>
      <c r="AD22" s="44"/>
      <c r="AE22" s="44"/>
      <c r="AF22" s="44"/>
      <c r="AG22" s="44"/>
      <c r="AH22" s="44"/>
      <c r="AI22" s="44"/>
      <c r="AJ22" s="44"/>
      <c r="AK22" s="44"/>
      <c r="AL22" s="44"/>
      <c r="AM22" s="44"/>
      <c r="AN22" s="44"/>
      <c r="AO22" s="44"/>
      <c r="AP22" s="44"/>
      <c r="AQ22" s="44"/>
      <c r="AR22" s="44"/>
      <c r="AS22" s="44"/>
      <c r="AT22" s="44"/>
      <c r="AU22" s="44"/>
      <c r="AV22" s="44"/>
      <c r="AW22" s="44"/>
      <c r="AX22" s="44"/>
    </row>
    <row r="23" ht="15.75" customHeight="1">
      <c r="A23" s="82" t="s">
        <v>112</v>
      </c>
      <c r="B23" s="83" t="s">
        <v>217</v>
      </c>
      <c r="C23" s="84" t="s">
        <v>218</v>
      </c>
      <c r="D23" s="84" t="s">
        <v>174</v>
      </c>
      <c r="E23" s="68"/>
      <c r="F23" s="68"/>
      <c r="G23" s="68"/>
      <c r="H23" s="68"/>
      <c r="I23" s="68"/>
      <c r="J23" s="68"/>
      <c r="K23" s="68"/>
      <c r="L23" s="68"/>
      <c r="M23" s="68"/>
      <c r="N23" s="68"/>
      <c r="O23" s="71"/>
      <c r="P23" s="71"/>
      <c r="Q23" s="71"/>
      <c r="R23" s="71"/>
      <c r="S23" s="71"/>
      <c r="T23" s="83" t="s">
        <v>219</v>
      </c>
      <c r="U23" s="71"/>
      <c r="V23" s="71"/>
      <c r="W23" s="71"/>
      <c r="X23" s="71"/>
      <c r="Y23" s="71"/>
      <c r="Z23" s="71"/>
      <c r="AA23" s="71"/>
      <c r="AB23" s="71"/>
      <c r="AC23" s="71"/>
      <c r="AD23" s="44"/>
      <c r="AE23" s="44"/>
      <c r="AF23" s="44"/>
      <c r="AG23" s="44"/>
      <c r="AH23" s="44"/>
      <c r="AI23" s="44"/>
      <c r="AJ23" s="44"/>
      <c r="AK23" s="44"/>
      <c r="AL23" s="44"/>
      <c r="AM23" s="44"/>
      <c r="AN23" s="44"/>
      <c r="AO23" s="44"/>
      <c r="AP23" s="44"/>
      <c r="AQ23" s="44"/>
      <c r="AR23" s="44"/>
      <c r="AS23" s="44"/>
      <c r="AT23" s="44"/>
      <c r="AU23" s="44"/>
      <c r="AV23" s="44"/>
      <c r="AW23" s="44"/>
      <c r="AX23" s="44"/>
    </row>
    <row r="24" ht="15.75" customHeight="1">
      <c r="A24" s="82" t="s">
        <v>112</v>
      </c>
      <c r="B24" s="83" t="s">
        <v>223</v>
      </c>
      <c r="C24" s="84" t="s">
        <v>218</v>
      </c>
      <c r="D24" s="84" t="s">
        <v>174</v>
      </c>
      <c r="E24" s="68"/>
      <c r="F24" s="68"/>
      <c r="G24" s="68"/>
      <c r="H24" s="68"/>
      <c r="I24" s="68"/>
      <c r="J24" s="68"/>
      <c r="K24" s="68"/>
      <c r="L24" s="68"/>
      <c r="M24" s="68"/>
      <c r="N24" s="68"/>
      <c r="O24" s="71"/>
      <c r="P24" s="71"/>
      <c r="Q24" s="71"/>
      <c r="R24" s="71"/>
      <c r="S24" s="71"/>
      <c r="T24" s="83" t="s">
        <v>228</v>
      </c>
      <c r="U24" s="71"/>
      <c r="V24" s="71"/>
      <c r="W24" s="71"/>
      <c r="X24" s="71"/>
      <c r="Y24" s="71"/>
      <c r="Z24" s="71"/>
      <c r="AA24" s="71"/>
      <c r="AB24" s="71"/>
      <c r="AC24" s="71"/>
      <c r="AD24" s="44"/>
      <c r="AE24" s="44"/>
      <c r="AF24" s="44"/>
      <c r="AG24" s="44"/>
      <c r="AH24" s="44"/>
      <c r="AI24" s="44"/>
      <c r="AJ24" s="44"/>
      <c r="AK24" s="44"/>
      <c r="AL24" s="44"/>
      <c r="AM24" s="44"/>
      <c r="AN24" s="44"/>
      <c r="AO24" s="44"/>
      <c r="AP24" s="44"/>
      <c r="AQ24" s="44"/>
      <c r="AR24" s="44"/>
      <c r="AS24" s="44"/>
      <c r="AT24" s="44"/>
      <c r="AU24" s="44"/>
      <c r="AV24" s="44"/>
      <c r="AW24" s="44"/>
      <c r="AX24" s="44"/>
    </row>
    <row r="25" ht="15.75" customHeight="1">
      <c r="A25" s="82" t="s">
        <v>112</v>
      </c>
      <c r="B25" s="83" t="s">
        <v>229</v>
      </c>
      <c r="C25" s="84" t="s">
        <v>230</v>
      </c>
      <c r="D25" s="84" t="s">
        <v>174</v>
      </c>
      <c r="E25" s="68"/>
      <c r="F25" s="68"/>
      <c r="G25" s="68"/>
      <c r="H25" s="68"/>
      <c r="I25" s="68"/>
      <c r="J25" s="68"/>
      <c r="K25" s="68"/>
      <c r="L25" s="68"/>
      <c r="M25" s="68"/>
      <c r="N25" s="68"/>
      <c r="O25" s="71"/>
      <c r="P25" s="71"/>
      <c r="Q25" s="71"/>
      <c r="R25" s="71"/>
      <c r="S25" s="71"/>
      <c r="T25" s="83" t="s">
        <v>237</v>
      </c>
      <c r="U25" s="71"/>
      <c r="V25" s="71"/>
      <c r="W25" s="71"/>
      <c r="X25" s="71"/>
      <c r="Y25" s="71"/>
      <c r="Z25" s="71"/>
      <c r="AA25" s="71"/>
      <c r="AB25" s="71"/>
      <c r="AC25" s="71"/>
      <c r="AD25" s="44"/>
      <c r="AE25" s="44"/>
      <c r="AF25" s="44"/>
      <c r="AG25" s="44"/>
      <c r="AH25" s="44"/>
      <c r="AI25" s="44"/>
      <c r="AJ25" s="44"/>
      <c r="AK25" s="44"/>
      <c r="AL25" s="44"/>
      <c r="AM25" s="44"/>
      <c r="AN25" s="44"/>
      <c r="AO25" s="44"/>
      <c r="AP25" s="44"/>
      <c r="AQ25" s="44"/>
      <c r="AR25" s="44"/>
      <c r="AS25" s="44"/>
      <c r="AT25" s="44"/>
      <c r="AU25" s="44"/>
      <c r="AV25" s="44"/>
      <c r="AW25" s="44"/>
      <c r="AX25" s="44"/>
    </row>
    <row r="26" ht="15.75" customHeight="1">
      <c r="A26" s="82" t="s">
        <v>112</v>
      </c>
      <c r="B26" s="83" t="s">
        <v>244</v>
      </c>
      <c r="C26" s="84" t="s">
        <v>245</v>
      </c>
      <c r="D26" s="84" t="s">
        <v>174</v>
      </c>
      <c r="E26" s="68"/>
      <c r="F26" s="68"/>
      <c r="G26" s="68"/>
      <c r="H26" s="68"/>
      <c r="I26" s="68"/>
      <c r="J26" s="68"/>
      <c r="K26" s="68"/>
      <c r="L26" s="68"/>
      <c r="M26" s="68"/>
      <c r="N26" s="68"/>
      <c r="O26" s="71"/>
      <c r="P26" s="71"/>
      <c r="Q26" s="71"/>
      <c r="R26" s="71"/>
      <c r="S26" s="71"/>
      <c r="T26" s="83" t="s">
        <v>246</v>
      </c>
      <c r="U26" s="71"/>
      <c r="V26" s="71"/>
      <c r="W26" s="71"/>
      <c r="X26" s="71"/>
      <c r="Y26" s="71"/>
      <c r="Z26" s="71"/>
      <c r="AA26" s="71"/>
      <c r="AB26" s="71"/>
      <c r="AC26" s="71"/>
      <c r="AD26" s="44"/>
      <c r="AE26" s="44"/>
      <c r="AF26" s="44"/>
      <c r="AG26" s="44"/>
      <c r="AH26" s="44"/>
      <c r="AI26" s="44"/>
      <c r="AJ26" s="44"/>
      <c r="AK26" s="44"/>
      <c r="AL26" s="44"/>
      <c r="AM26" s="44"/>
      <c r="AN26" s="44"/>
      <c r="AO26" s="44"/>
      <c r="AP26" s="44"/>
      <c r="AQ26" s="44"/>
      <c r="AR26" s="44"/>
      <c r="AS26" s="44"/>
      <c r="AT26" s="44"/>
      <c r="AU26" s="44"/>
      <c r="AV26" s="44"/>
      <c r="AW26" s="44"/>
      <c r="AX26" s="44"/>
    </row>
    <row r="27" ht="15.75" customHeight="1">
      <c r="A27" s="82" t="s">
        <v>112</v>
      </c>
      <c r="B27" s="83" t="s">
        <v>250</v>
      </c>
      <c r="C27" s="84" t="s">
        <v>218</v>
      </c>
      <c r="D27" s="84" t="s">
        <v>174</v>
      </c>
      <c r="E27" s="68"/>
      <c r="F27" s="68"/>
      <c r="G27" s="68"/>
      <c r="H27" s="68"/>
      <c r="I27" s="68"/>
      <c r="J27" s="68"/>
      <c r="K27" s="68"/>
      <c r="L27" s="68"/>
      <c r="M27" s="68"/>
      <c r="N27" s="68"/>
      <c r="O27" s="71"/>
      <c r="P27" s="71"/>
      <c r="Q27" s="71"/>
      <c r="R27" s="71"/>
      <c r="S27" s="71"/>
      <c r="T27" s="83" t="s">
        <v>254</v>
      </c>
      <c r="U27" s="71"/>
      <c r="V27" s="71"/>
      <c r="W27" s="71"/>
      <c r="X27" s="71"/>
      <c r="Y27" s="71"/>
      <c r="Z27" s="71"/>
      <c r="AA27" s="71"/>
      <c r="AB27" s="71"/>
      <c r="AC27" s="71"/>
      <c r="AD27" s="44"/>
      <c r="AE27" s="44"/>
      <c r="AF27" s="44"/>
      <c r="AG27" s="44"/>
      <c r="AH27" s="44"/>
      <c r="AI27" s="44"/>
      <c r="AJ27" s="44"/>
      <c r="AK27" s="44"/>
      <c r="AL27" s="44"/>
      <c r="AM27" s="44"/>
      <c r="AN27" s="44"/>
      <c r="AO27" s="44"/>
      <c r="AP27" s="44"/>
      <c r="AQ27" s="44"/>
      <c r="AR27" s="44"/>
      <c r="AS27" s="44"/>
      <c r="AT27" s="44"/>
      <c r="AU27" s="44"/>
      <c r="AV27" s="44"/>
      <c r="AW27" s="44"/>
      <c r="AX27" s="44"/>
    </row>
    <row r="28" ht="15.75" customHeight="1">
      <c r="A28" s="66" t="s">
        <v>256</v>
      </c>
      <c r="B28" s="67" t="s">
        <v>258</v>
      </c>
      <c r="C28" s="68"/>
      <c r="D28" s="68"/>
      <c r="E28" s="68"/>
      <c r="F28" s="68"/>
      <c r="G28" s="68"/>
      <c r="H28" s="68"/>
      <c r="I28" s="68"/>
      <c r="J28" s="68"/>
      <c r="K28" s="68"/>
      <c r="L28" s="68"/>
      <c r="M28" s="68"/>
      <c r="N28" s="68"/>
      <c r="O28" s="71"/>
      <c r="P28" s="71"/>
      <c r="Q28" s="71"/>
      <c r="R28" s="71"/>
      <c r="S28" s="71"/>
      <c r="T28" s="67" t="s">
        <v>260</v>
      </c>
      <c r="U28" s="71"/>
      <c r="V28" s="71"/>
      <c r="W28" s="71"/>
      <c r="X28" s="71"/>
      <c r="Y28" s="71"/>
      <c r="Z28" s="71"/>
      <c r="AA28" s="71"/>
      <c r="AB28" s="71"/>
      <c r="AC28" s="71"/>
      <c r="AD28" s="127"/>
      <c r="AE28" s="127"/>
      <c r="AF28" s="127"/>
      <c r="AG28" s="127"/>
      <c r="AH28" s="127"/>
      <c r="AI28" s="127"/>
      <c r="AJ28" s="127"/>
      <c r="AK28" s="127"/>
      <c r="AL28" s="127"/>
      <c r="AM28" s="127"/>
      <c r="AN28" s="127"/>
      <c r="AO28" s="127"/>
      <c r="AP28" s="127"/>
      <c r="AQ28" s="127"/>
      <c r="AR28" s="127"/>
      <c r="AS28" s="127"/>
      <c r="AT28" s="127"/>
      <c r="AU28" s="127"/>
      <c r="AV28" s="127"/>
      <c r="AW28" s="127"/>
      <c r="AX28" s="127"/>
    </row>
    <row r="29" ht="15.75" customHeight="1">
      <c r="A29" s="128" t="s">
        <v>46</v>
      </c>
      <c r="B29" s="129" t="s">
        <v>266</v>
      </c>
      <c r="C29" s="130" t="s">
        <v>267</v>
      </c>
      <c r="D29" s="130" t="s">
        <v>268</v>
      </c>
      <c r="E29" s="130" t="s">
        <v>269</v>
      </c>
      <c r="F29" s="131"/>
      <c r="G29" s="131"/>
      <c r="H29" s="131"/>
      <c r="I29" s="131"/>
      <c r="J29" s="132" t="s">
        <v>272</v>
      </c>
      <c r="K29" s="131"/>
      <c r="L29" s="131"/>
      <c r="M29" s="131"/>
      <c r="N29" s="131"/>
      <c r="O29" s="133"/>
      <c r="P29" s="133"/>
      <c r="Q29" s="133"/>
      <c r="R29" s="133"/>
      <c r="S29" s="133"/>
      <c r="T29" s="133"/>
      <c r="U29" s="133"/>
      <c r="V29" s="133"/>
      <c r="W29" s="133"/>
      <c r="X29" s="133"/>
      <c r="Y29" s="133"/>
      <c r="Z29" s="133"/>
      <c r="AA29" s="133"/>
      <c r="AB29" s="133"/>
      <c r="AC29" s="133"/>
      <c r="AD29" s="44"/>
      <c r="AE29" s="44"/>
      <c r="AF29" s="44"/>
      <c r="AG29" s="44"/>
      <c r="AH29" s="44"/>
      <c r="AI29" s="44"/>
      <c r="AJ29" s="44"/>
      <c r="AK29" s="44"/>
      <c r="AL29" s="44"/>
      <c r="AM29" s="44"/>
      <c r="AN29" s="44"/>
      <c r="AO29" s="44"/>
      <c r="AP29" s="44"/>
      <c r="AQ29" s="44"/>
      <c r="AR29" s="44"/>
      <c r="AS29" s="44"/>
      <c r="AT29" s="44"/>
      <c r="AU29" s="44"/>
      <c r="AV29" s="44"/>
      <c r="AW29" s="44"/>
      <c r="AX29" s="44"/>
    </row>
    <row r="30" ht="15.75" customHeight="1">
      <c r="A30" s="134" t="s">
        <v>278</v>
      </c>
      <c r="B30" s="135" t="s">
        <v>279</v>
      </c>
      <c r="C30" s="136"/>
      <c r="D30" s="136"/>
      <c r="E30" s="136"/>
      <c r="F30" s="136"/>
      <c r="G30" s="136"/>
      <c r="H30" s="136"/>
      <c r="I30" s="136"/>
      <c r="J30" s="136"/>
      <c r="K30" s="136"/>
      <c r="L30" s="136"/>
      <c r="M30" s="136"/>
      <c r="N30" s="136"/>
      <c r="O30" s="135"/>
      <c r="P30" s="137"/>
      <c r="Q30" s="137"/>
      <c r="R30" s="137"/>
      <c r="S30" s="137"/>
      <c r="T30" s="137"/>
      <c r="U30" s="137"/>
      <c r="V30" s="137"/>
      <c r="W30" s="137"/>
      <c r="X30" s="137"/>
      <c r="Y30" s="137"/>
      <c r="Z30" s="137"/>
      <c r="AA30" s="137"/>
      <c r="AB30" s="137"/>
      <c r="AC30" s="137"/>
      <c r="AD30" s="44"/>
      <c r="AE30" s="44"/>
      <c r="AF30" s="44"/>
      <c r="AG30" s="44"/>
      <c r="AH30" s="44"/>
      <c r="AI30" s="44"/>
      <c r="AJ30" s="44"/>
      <c r="AK30" s="44"/>
      <c r="AL30" s="44"/>
      <c r="AM30" s="44"/>
      <c r="AN30" s="44"/>
      <c r="AO30" s="44"/>
      <c r="AP30" s="44"/>
      <c r="AQ30" s="44"/>
      <c r="AR30" s="44"/>
      <c r="AS30" s="44"/>
      <c r="AT30" s="44"/>
      <c r="AU30" s="44"/>
      <c r="AV30" s="44"/>
      <c r="AW30" s="44"/>
      <c r="AX30" s="44"/>
    </row>
    <row r="31" ht="15.75" customHeight="1">
      <c r="A31" s="127"/>
      <c r="B31" s="138"/>
      <c r="C31" s="139"/>
      <c r="D31" s="139"/>
      <c r="E31" s="139"/>
      <c r="F31" s="140"/>
      <c r="G31" s="140"/>
      <c r="H31" s="140"/>
      <c r="I31" s="140"/>
      <c r="J31" s="139"/>
      <c r="K31" s="140"/>
      <c r="L31" s="140"/>
      <c r="M31" s="140"/>
      <c r="N31" s="140"/>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7"/>
      <c r="AU31" s="44"/>
      <c r="AV31" s="44"/>
      <c r="AW31" s="44"/>
      <c r="AX31" s="44"/>
    </row>
    <row r="32" ht="15.75" customHeight="1">
      <c r="A32" s="141" t="s">
        <v>278</v>
      </c>
      <c r="B32" s="142" t="s">
        <v>291</v>
      </c>
      <c r="C32" s="143" t="s">
        <v>292</v>
      </c>
      <c r="D32" s="136"/>
      <c r="E32" s="136"/>
      <c r="F32" s="136"/>
      <c r="G32" s="136"/>
      <c r="H32" s="136"/>
      <c r="I32" s="136"/>
      <c r="J32" s="136"/>
      <c r="K32" s="136"/>
      <c r="L32" s="136"/>
      <c r="M32" s="136"/>
      <c r="N32" s="136"/>
      <c r="O32" s="144"/>
      <c r="P32" s="137"/>
      <c r="Q32" s="137"/>
      <c r="R32" s="137"/>
      <c r="S32" s="137"/>
      <c r="T32" s="137"/>
      <c r="U32" s="137"/>
      <c r="V32" s="137"/>
      <c r="W32" s="137"/>
      <c r="X32" s="137"/>
      <c r="Y32" s="137"/>
      <c r="Z32" s="137"/>
      <c r="AA32" s="137"/>
      <c r="AB32" s="137"/>
      <c r="AC32" s="137"/>
      <c r="AD32" s="44"/>
      <c r="AE32" s="44"/>
      <c r="AF32" s="44"/>
      <c r="AG32" s="44"/>
      <c r="AH32" s="44"/>
      <c r="AI32" s="44"/>
      <c r="AJ32" s="44"/>
      <c r="AK32" s="44"/>
      <c r="AL32" s="44"/>
      <c r="AM32" s="44"/>
      <c r="AN32" s="44"/>
      <c r="AO32" s="44"/>
      <c r="AP32" s="44"/>
      <c r="AQ32" s="44"/>
      <c r="AR32" s="44"/>
      <c r="AS32" s="44"/>
      <c r="AT32" s="44"/>
      <c r="AU32" s="44"/>
      <c r="AV32" s="44"/>
      <c r="AW32" s="44"/>
      <c r="AX32" s="44"/>
    </row>
    <row r="33" ht="15.75" customHeight="1">
      <c r="A33" s="145" t="s">
        <v>300</v>
      </c>
      <c r="B33" s="146" t="s">
        <v>59</v>
      </c>
      <c r="C33" s="147" t="s">
        <v>302</v>
      </c>
      <c r="D33" s="147" t="s">
        <v>303</v>
      </c>
      <c r="E33" s="147" t="s">
        <v>304</v>
      </c>
      <c r="F33" s="139"/>
      <c r="G33" s="139"/>
      <c r="H33" s="139"/>
      <c r="I33" s="139"/>
      <c r="J33" s="139"/>
      <c r="K33" s="148" t="s">
        <v>305</v>
      </c>
      <c r="L33" s="148" t="s">
        <v>306</v>
      </c>
      <c r="M33" s="139"/>
      <c r="N33" s="139"/>
      <c r="O33" s="127"/>
      <c r="P33" s="127"/>
      <c r="Q33" s="145" t="s">
        <v>307</v>
      </c>
      <c r="R33" s="127"/>
      <c r="S33" s="127"/>
      <c r="T33" s="127"/>
      <c r="U33" s="127"/>
      <c r="V33" s="127"/>
      <c r="W33" s="127"/>
      <c r="X33" s="127"/>
      <c r="Y33" s="149" t="s">
        <v>309</v>
      </c>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44"/>
      <c r="AV33" s="44"/>
      <c r="AW33" s="44"/>
      <c r="AX33" s="44"/>
    </row>
    <row r="34" ht="15.75" customHeight="1">
      <c r="A34" s="150" t="s">
        <v>46</v>
      </c>
      <c r="B34" s="151" t="s">
        <v>313</v>
      </c>
      <c r="C34" s="132" t="s">
        <v>315</v>
      </c>
      <c r="D34" s="131"/>
      <c r="E34" s="131"/>
      <c r="F34" s="131"/>
      <c r="G34" s="131"/>
      <c r="H34" s="131"/>
      <c r="I34" s="131"/>
      <c r="J34" s="131"/>
      <c r="K34" s="131"/>
      <c r="L34" s="131"/>
      <c r="M34" s="131"/>
      <c r="N34" s="131"/>
      <c r="O34" s="128" t="s">
        <v>318</v>
      </c>
      <c r="P34" s="133"/>
      <c r="Q34" s="150" t="s">
        <v>307</v>
      </c>
      <c r="R34" s="133"/>
      <c r="S34" s="133"/>
      <c r="T34" s="133"/>
      <c r="U34" s="133"/>
      <c r="V34" s="133"/>
      <c r="W34" s="133"/>
      <c r="X34" s="133"/>
      <c r="Y34" s="133"/>
      <c r="Z34" s="133"/>
      <c r="AA34" s="133"/>
      <c r="AB34" s="133"/>
      <c r="AC34" s="133"/>
      <c r="AD34" s="44"/>
      <c r="AE34" s="44"/>
      <c r="AF34" s="44"/>
      <c r="AG34" s="44"/>
      <c r="AH34" s="44"/>
      <c r="AI34" s="44"/>
      <c r="AJ34" s="44"/>
      <c r="AK34" s="44"/>
      <c r="AL34" s="44"/>
      <c r="AM34" s="44"/>
      <c r="AN34" s="44"/>
      <c r="AO34" s="44"/>
      <c r="AP34" s="44"/>
      <c r="AQ34" s="44"/>
      <c r="AR34" s="44"/>
      <c r="AS34" s="44"/>
      <c r="AT34" s="44"/>
      <c r="AU34" s="44"/>
      <c r="AV34" s="44"/>
      <c r="AW34" s="44"/>
      <c r="AX34" s="44"/>
    </row>
    <row r="35" ht="15.75" customHeight="1">
      <c r="A35" s="150" t="s">
        <v>46</v>
      </c>
      <c r="B35" s="151" t="s">
        <v>323</v>
      </c>
      <c r="C35" s="132" t="s">
        <v>324</v>
      </c>
      <c r="D35" s="131"/>
      <c r="E35" s="131"/>
      <c r="F35" s="131"/>
      <c r="G35" s="131"/>
      <c r="H35" s="131"/>
      <c r="I35" s="131"/>
      <c r="J35" s="131"/>
      <c r="K35" s="131"/>
      <c r="L35" s="131"/>
      <c r="M35" s="131"/>
      <c r="N35" s="131"/>
      <c r="O35" s="128" t="s">
        <v>325</v>
      </c>
      <c r="P35" s="133"/>
      <c r="Q35" s="150" t="s">
        <v>307</v>
      </c>
      <c r="R35" s="133"/>
      <c r="S35" s="133"/>
      <c r="T35" s="133"/>
      <c r="U35" s="133"/>
      <c r="V35" s="133"/>
      <c r="W35" s="133"/>
      <c r="X35" s="133"/>
      <c r="Y35" s="133"/>
      <c r="Z35" s="133"/>
      <c r="AA35" s="133"/>
      <c r="AB35" s="133"/>
      <c r="AC35" s="133"/>
      <c r="AD35" s="44"/>
      <c r="AE35" s="44"/>
      <c r="AF35" s="44"/>
      <c r="AG35" s="44"/>
      <c r="AH35" s="44"/>
      <c r="AI35" s="44"/>
      <c r="AJ35" s="44"/>
      <c r="AK35" s="44"/>
      <c r="AL35" s="44"/>
      <c r="AM35" s="44"/>
      <c r="AN35" s="44"/>
      <c r="AO35" s="44"/>
      <c r="AP35" s="44"/>
      <c r="AQ35" s="44"/>
      <c r="AR35" s="44"/>
      <c r="AS35" s="44"/>
      <c r="AT35" s="44"/>
      <c r="AU35" s="44"/>
      <c r="AV35" s="44"/>
      <c r="AW35" s="44"/>
      <c r="AX35" s="44"/>
    </row>
    <row r="36" ht="15.75" customHeight="1">
      <c r="A36" s="141" t="s">
        <v>331</v>
      </c>
      <c r="B36" s="141" t="s">
        <v>291</v>
      </c>
      <c r="C36" s="152" t="s">
        <v>292</v>
      </c>
      <c r="D36" s="153"/>
      <c r="E36" s="153"/>
      <c r="F36" s="153"/>
      <c r="G36" s="153"/>
      <c r="H36" s="153"/>
      <c r="I36" s="153"/>
      <c r="J36" s="153"/>
      <c r="K36" s="153"/>
      <c r="L36" s="153"/>
      <c r="M36" s="153"/>
      <c r="N36" s="153"/>
      <c r="O36" s="137"/>
      <c r="P36" s="137"/>
      <c r="Q36" s="137"/>
      <c r="R36" s="137"/>
      <c r="S36" s="137"/>
      <c r="T36" s="137"/>
      <c r="U36" s="137"/>
      <c r="V36" s="137"/>
      <c r="W36" s="137"/>
      <c r="X36" s="137"/>
      <c r="Y36" s="137"/>
      <c r="Z36" s="137"/>
      <c r="AA36" s="137"/>
      <c r="AB36" s="137"/>
      <c r="AC36" s="137"/>
      <c r="AD36" s="44"/>
      <c r="AE36" s="44"/>
      <c r="AF36" s="44"/>
      <c r="AG36" s="44"/>
      <c r="AH36" s="44"/>
      <c r="AI36" s="44"/>
      <c r="AJ36" s="44"/>
      <c r="AK36" s="44"/>
      <c r="AL36" s="44"/>
      <c r="AM36" s="44"/>
      <c r="AN36" s="44"/>
      <c r="AO36" s="44"/>
      <c r="AP36" s="44"/>
      <c r="AQ36" s="44"/>
      <c r="AR36" s="44"/>
      <c r="AS36" s="44"/>
      <c r="AT36" s="44"/>
      <c r="AU36" s="44"/>
      <c r="AV36" s="44"/>
      <c r="AW36" s="44"/>
      <c r="AX36" s="44"/>
    </row>
    <row r="37" ht="15.75" customHeight="1">
      <c r="A37" s="44"/>
      <c r="B37" s="44"/>
      <c r="C37" s="154"/>
      <c r="D37" s="154"/>
      <c r="E37" s="154"/>
      <c r="F37" s="154"/>
      <c r="G37" s="154"/>
      <c r="H37" s="154"/>
      <c r="I37" s="154"/>
      <c r="J37" s="154"/>
      <c r="K37" s="154"/>
      <c r="L37" s="154"/>
      <c r="M37" s="154"/>
      <c r="N37" s="15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row>
    <row r="38" ht="15.75" customHeight="1">
      <c r="A38" s="82" t="s">
        <v>112</v>
      </c>
      <c r="B38" s="83" t="s">
        <v>340</v>
      </c>
      <c r="C38" s="68"/>
      <c r="D38" s="68"/>
      <c r="E38" s="68"/>
      <c r="F38" s="68"/>
      <c r="G38" s="68"/>
      <c r="H38" s="68"/>
      <c r="I38" s="68"/>
      <c r="J38" s="68"/>
      <c r="K38" s="68"/>
      <c r="L38" s="68"/>
      <c r="M38" s="68"/>
      <c r="N38" s="68"/>
      <c r="O38" s="71"/>
      <c r="P38" s="71"/>
      <c r="Q38" s="71"/>
      <c r="R38" s="71"/>
      <c r="S38" s="71"/>
      <c r="T38" s="155" t="s">
        <v>342</v>
      </c>
      <c r="U38" s="71"/>
      <c r="V38" s="71"/>
      <c r="W38" s="71"/>
      <c r="X38" s="71"/>
      <c r="Y38" s="71"/>
      <c r="Z38" s="71"/>
      <c r="AA38" s="71"/>
      <c r="AB38" s="71"/>
      <c r="AC38" s="71"/>
      <c r="AD38" s="44"/>
      <c r="AE38" s="44"/>
      <c r="AF38" s="44"/>
      <c r="AG38" s="44"/>
      <c r="AH38" s="44"/>
      <c r="AI38" s="44"/>
      <c r="AJ38" s="44"/>
      <c r="AK38" s="44"/>
      <c r="AL38" s="44"/>
      <c r="AM38" s="44"/>
      <c r="AN38" s="44"/>
      <c r="AO38" s="44"/>
      <c r="AP38" s="44"/>
      <c r="AQ38" s="44"/>
      <c r="AR38" s="44"/>
      <c r="AS38" s="44"/>
      <c r="AT38" s="44"/>
      <c r="AU38" s="44"/>
      <c r="AV38" s="44"/>
      <c r="AW38" s="44"/>
      <c r="AX38" s="44"/>
    </row>
    <row r="39" ht="15.75" customHeight="1">
      <c r="A39" s="82" t="s">
        <v>112</v>
      </c>
      <c r="B39" s="83" t="s">
        <v>348</v>
      </c>
      <c r="C39" s="68"/>
      <c r="D39" s="68"/>
      <c r="E39" s="68"/>
      <c r="F39" s="68"/>
      <c r="G39" s="68"/>
      <c r="H39" s="68"/>
      <c r="I39" s="68"/>
      <c r="J39" s="68"/>
      <c r="K39" s="68"/>
      <c r="L39" s="68"/>
      <c r="M39" s="68"/>
      <c r="N39" s="68"/>
      <c r="O39" s="71"/>
      <c r="P39" s="71"/>
      <c r="Q39" s="71"/>
      <c r="R39" s="71"/>
      <c r="S39" s="71"/>
      <c r="T39" s="156">
        <v>2.0</v>
      </c>
      <c r="U39" s="71"/>
      <c r="V39" s="71"/>
      <c r="W39" s="71"/>
      <c r="X39" s="71"/>
      <c r="Y39" s="71"/>
      <c r="Z39" s="71"/>
      <c r="AA39" s="71"/>
      <c r="AB39" s="71"/>
      <c r="AC39" s="71"/>
      <c r="AD39" s="44"/>
      <c r="AE39" s="44"/>
      <c r="AF39" s="44"/>
      <c r="AG39" s="44"/>
      <c r="AH39" s="44"/>
      <c r="AI39" s="44"/>
      <c r="AJ39" s="44"/>
      <c r="AK39" s="44"/>
      <c r="AL39" s="44"/>
      <c r="AM39" s="44"/>
      <c r="AN39" s="44"/>
      <c r="AO39" s="44"/>
      <c r="AP39" s="44"/>
      <c r="AQ39" s="44"/>
      <c r="AR39" s="44"/>
      <c r="AS39" s="44"/>
      <c r="AT39" s="44"/>
      <c r="AU39" s="44"/>
      <c r="AV39" s="44"/>
      <c r="AW39" s="44"/>
      <c r="AX39" s="44"/>
    </row>
    <row r="40" ht="15.75" customHeight="1">
      <c r="A40" s="82" t="s">
        <v>112</v>
      </c>
      <c r="B40" s="155" t="s">
        <v>350</v>
      </c>
      <c r="C40" s="68"/>
      <c r="D40" s="84" t="s">
        <v>174</v>
      </c>
      <c r="E40" s="68"/>
      <c r="F40" s="68"/>
      <c r="G40" s="68"/>
      <c r="H40" s="68"/>
      <c r="I40" s="68"/>
      <c r="J40" s="68"/>
      <c r="K40" s="68"/>
      <c r="L40" s="68"/>
      <c r="M40" s="68"/>
      <c r="N40" s="68"/>
      <c r="O40" s="71"/>
      <c r="P40" s="71"/>
      <c r="Q40" s="71"/>
      <c r="R40" s="71"/>
      <c r="S40" s="71"/>
      <c r="T40" s="155" t="s">
        <v>352</v>
      </c>
      <c r="U40" s="71"/>
      <c r="V40" s="71"/>
      <c r="W40" s="71"/>
      <c r="X40" s="71"/>
      <c r="Y40" s="71"/>
      <c r="Z40" s="71"/>
      <c r="AA40" s="71"/>
      <c r="AB40" s="71"/>
      <c r="AC40" s="71"/>
      <c r="AD40" s="44"/>
      <c r="AE40" s="44"/>
      <c r="AF40" s="44"/>
      <c r="AG40" s="44"/>
      <c r="AH40" s="44"/>
      <c r="AI40" s="44"/>
      <c r="AJ40" s="44"/>
      <c r="AK40" s="44"/>
      <c r="AL40" s="44"/>
      <c r="AM40" s="44"/>
      <c r="AN40" s="44"/>
      <c r="AO40" s="44"/>
      <c r="AP40" s="44"/>
      <c r="AQ40" s="44"/>
      <c r="AR40" s="44"/>
      <c r="AS40" s="44"/>
      <c r="AT40" s="44"/>
      <c r="AU40" s="44"/>
      <c r="AV40" s="44"/>
      <c r="AW40" s="44"/>
      <c r="AX40" s="44"/>
    </row>
    <row r="41" ht="15.75" customHeight="1">
      <c r="A41" s="82" t="s">
        <v>112</v>
      </c>
      <c r="B41" s="83" t="s">
        <v>357</v>
      </c>
      <c r="C41" s="84" t="s">
        <v>358</v>
      </c>
      <c r="D41" s="84" t="s">
        <v>174</v>
      </c>
      <c r="E41" s="68"/>
      <c r="F41" s="68"/>
      <c r="G41" s="68"/>
      <c r="H41" s="68"/>
      <c r="I41" s="68"/>
      <c r="J41" s="68"/>
      <c r="K41" s="68"/>
      <c r="L41" s="68"/>
      <c r="M41" s="68"/>
      <c r="N41" s="68"/>
      <c r="O41" s="71"/>
      <c r="P41" s="71"/>
      <c r="Q41" s="71"/>
      <c r="R41" s="71"/>
      <c r="S41" s="71"/>
      <c r="T41" s="155" t="s">
        <v>360</v>
      </c>
      <c r="U41" s="71"/>
      <c r="V41" s="71"/>
      <c r="W41" s="71"/>
      <c r="X41" s="71"/>
      <c r="Y41" s="71"/>
      <c r="Z41" s="71"/>
      <c r="AA41" s="71"/>
      <c r="AB41" s="71"/>
      <c r="AC41" s="71"/>
      <c r="AD41" s="44"/>
      <c r="AE41" s="44"/>
      <c r="AF41" s="44"/>
      <c r="AG41" s="44"/>
      <c r="AH41" s="44"/>
      <c r="AI41" s="44"/>
      <c r="AJ41" s="44"/>
      <c r="AK41" s="44"/>
      <c r="AL41" s="44"/>
      <c r="AM41" s="44"/>
      <c r="AN41" s="44"/>
      <c r="AO41" s="44"/>
      <c r="AP41" s="44"/>
      <c r="AQ41" s="44"/>
      <c r="AR41" s="44"/>
      <c r="AS41" s="44"/>
      <c r="AT41" s="44"/>
      <c r="AU41" s="44"/>
      <c r="AV41" s="44"/>
      <c r="AW41" s="44"/>
      <c r="AX41" s="44"/>
    </row>
    <row r="42" ht="15.75" customHeight="1">
      <c r="A42" s="82" t="s">
        <v>112</v>
      </c>
      <c r="B42" s="83" t="s">
        <v>365</v>
      </c>
      <c r="C42" s="68"/>
      <c r="D42" s="84" t="s">
        <v>174</v>
      </c>
      <c r="E42" s="68"/>
      <c r="F42" s="68"/>
      <c r="G42" s="68"/>
      <c r="H42" s="68"/>
      <c r="I42" s="68"/>
      <c r="J42" s="68"/>
      <c r="K42" s="68"/>
      <c r="L42" s="68"/>
      <c r="M42" s="68"/>
      <c r="N42" s="68"/>
      <c r="O42" s="71"/>
      <c r="P42" s="71"/>
      <c r="Q42" s="71"/>
      <c r="R42" s="71"/>
      <c r="S42" s="71"/>
      <c r="T42" s="83" t="s">
        <v>366</v>
      </c>
      <c r="U42" s="71"/>
      <c r="V42" s="71"/>
      <c r="W42" s="71"/>
      <c r="X42" s="71"/>
      <c r="Y42" s="71"/>
      <c r="Z42" s="71"/>
      <c r="AA42" s="71"/>
      <c r="AB42" s="71"/>
      <c r="AC42" s="71"/>
      <c r="AD42" s="44"/>
      <c r="AE42" s="44"/>
      <c r="AF42" s="44"/>
      <c r="AG42" s="44"/>
      <c r="AH42" s="44"/>
      <c r="AI42" s="44"/>
      <c r="AJ42" s="44"/>
      <c r="AK42" s="44"/>
      <c r="AL42" s="44"/>
      <c r="AM42" s="44"/>
      <c r="AN42" s="44"/>
      <c r="AO42" s="44"/>
      <c r="AP42" s="44"/>
      <c r="AQ42" s="44"/>
      <c r="AR42" s="44"/>
      <c r="AS42" s="44"/>
      <c r="AT42" s="44"/>
      <c r="AU42" s="44"/>
      <c r="AV42" s="44"/>
      <c r="AW42" s="44"/>
      <c r="AX42" s="44"/>
    </row>
    <row r="43" ht="15.75" customHeight="1">
      <c r="A43" s="82" t="s">
        <v>112</v>
      </c>
      <c r="B43" s="83" t="s">
        <v>370</v>
      </c>
      <c r="C43" s="84" t="s">
        <v>371</v>
      </c>
      <c r="D43" s="84" t="s">
        <v>174</v>
      </c>
      <c r="E43" s="68"/>
      <c r="F43" s="68"/>
      <c r="G43" s="68"/>
      <c r="H43" s="68"/>
      <c r="I43" s="68"/>
      <c r="J43" s="68"/>
      <c r="K43" s="68"/>
      <c r="L43" s="68"/>
      <c r="M43" s="68"/>
      <c r="N43" s="68"/>
      <c r="O43" s="71"/>
      <c r="P43" s="71"/>
      <c r="Q43" s="71"/>
      <c r="R43" s="71"/>
      <c r="S43" s="71"/>
      <c r="T43" s="155" t="s">
        <v>376</v>
      </c>
      <c r="U43" s="71"/>
      <c r="V43" s="71"/>
      <c r="W43" s="71"/>
      <c r="X43" s="71"/>
      <c r="Y43" s="71"/>
      <c r="Z43" s="71"/>
      <c r="AA43" s="71"/>
      <c r="AB43" s="71"/>
      <c r="AC43" s="71"/>
      <c r="AD43" s="44"/>
      <c r="AE43" s="44"/>
      <c r="AF43" s="44"/>
      <c r="AG43" s="44"/>
      <c r="AH43" s="44"/>
      <c r="AI43" s="44"/>
      <c r="AJ43" s="44"/>
      <c r="AK43" s="44"/>
      <c r="AL43" s="44"/>
      <c r="AM43" s="44"/>
      <c r="AN43" s="44"/>
      <c r="AO43" s="44"/>
      <c r="AP43" s="44"/>
      <c r="AQ43" s="44"/>
      <c r="AR43" s="44"/>
      <c r="AS43" s="44"/>
      <c r="AT43" s="44"/>
      <c r="AU43" s="44"/>
      <c r="AV43" s="44"/>
      <c r="AW43" s="44"/>
      <c r="AX43" s="44"/>
    </row>
    <row r="44" ht="15.75" customHeight="1">
      <c r="A44" s="159"/>
      <c r="B44" s="160"/>
      <c r="C44" s="161"/>
      <c r="D44" s="154"/>
      <c r="E44" s="161"/>
      <c r="F44" s="162"/>
      <c r="G44" s="162"/>
      <c r="H44" s="162"/>
      <c r="I44" s="162"/>
      <c r="J44" s="162"/>
      <c r="K44" s="162"/>
      <c r="L44" s="162"/>
      <c r="M44" s="162"/>
      <c r="N44" s="162"/>
      <c r="O44" s="160"/>
      <c r="P44" s="159"/>
      <c r="Q44" s="159"/>
      <c r="R44" s="159"/>
      <c r="S44" s="159"/>
      <c r="T44" s="159"/>
      <c r="U44" s="160"/>
      <c r="V44" s="159"/>
      <c r="W44" s="159"/>
      <c r="X44" s="159"/>
      <c r="Y44" s="159"/>
      <c r="Z44" s="159"/>
      <c r="AA44" s="159"/>
      <c r="AB44" s="159"/>
      <c r="AC44" s="159"/>
      <c r="AD44" s="44"/>
      <c r="AE44" s="44"/>
      <c r="AF44" s="44"/>
      <c r="AG44" s="44"/>
      <c r="AH44" s="44"/>
      <c r="AI44" s="44"/>
      <c r="AJ44" s="44"/>
      <c r="AK44" s="44"/>
      <c r="AL44" s="44"/>
      <c r="AM44" s="44"/>
      <c r="AN44" s="44"/>
      <c r="AO44" s="44"/>
      <c r="AP44" s="44"/>
      <c r="AQ44" s="44"/>
      <c r="AR44" s="44"/>
      <c r="AS44" s="44"/>
      <c r="AT44" s="44"/>
      <c r="AU44" s="44"/>
      <c r="AV44" s="44"/>
      <c r="AW44" s="44"/>
      <c r="AX44" s="44"/>
    </row>
    <row r="45" ht="15.75" customHeight="1">
      <c r="A45" s="163" t="s">
        <v>385</v>
      </c>
      <c r="B45" s="164" t="s">
        <v>386</v>
      </c>
      <c r="C45" s="165" t="s">
        <v>387</v>
      </c>
      <c r="D45" s="165" t="s">
        <v>174</v>
      </c>
      <c r="E45" s="161"/>
      <c r="F45" s="161"/>
      <c r="G45" s="161"/>
      <c r="H45" s="161"/>
      <c r="I45" s="161"/>
      <c r="J45" s="161"/>
      <c r="K45" s="161"/>
      <c r="L45" s="161"/>
      <c r="M45" s="161"/>
      <c r="N45" s="161"/>
      <c r="O45" s="160"/>
      <c r="P45" s="159"/>
      <c r="Q45" s="159"/>
      <c r="R45" s="159"/>
      <c r="S45" s="159"/>
      <c r="T45" s="159"/>
      <c r="U45" s="164" t="s">
        <v>388</v>
      </c>
      <c r="V45" s="159"/>
      <c r="W45" s="159"/>
      <c r="X45" s="159"/>
      <c r="Y45" s="159"/>
      <c r="Z45" s="159"/>
      <c r="AA45" s="159"/>
      <c r="AB45" s="159"/>
      <c r="AC45" s="159"/>
      <c r="AD45" s="44"/>
      <c r="AE45" s="44"/>
      <c r="AF45" s="44"/>
      <c r="AG45" s="44"/>
      <c r="AH45" s="44"/>
      <c r="AI45" s="44"/>
      <c r="AJ45" s="44"/>
      <c r="AK45" s="44"/>
      <c r="AL45" s="44"/>
      <c r="AM45" s="44"/>
      <c r="AN45" s="44"/>
      <c r="AO45" s="44"/>
      <c r="AP45" s="44"/>
      <c r="AQ45" s="44"/>
      <c r="AR45" s="44"/>
      <c r="AS45" s="44"/>
      <c r="AT45" s="44"/>
      <c r="AU45" s="44"/>
      <c r="AV45" s="44"/>
      <c r="AW45" s="44"/>
      <c r="AX45" s="44"/>
    </row>
    <row r="46" ht="15.75" customHeight="1">
      <c r="A46" s="82" t="s">
        <v>112</v>
      </c>
      <c r="B46" s="83" t="s">
        <v>393</v>
      </c>
      <c r="C46" s="84" t="s">
        <v>395</v>
      </c>
      <c r="D46" s="84" t="s">
        <v>174</v>
      </c>
      <c r="E46" s="68"/>
      <c r="F46" s="68"/>
      <c r="G46" s="68"/>
      <c r="H46" s="68"/>
      <c r="I46" s="68"/>
      <c r="J46" s="68"/>
      <c r="K46" s="68"/>
      <c r="L46" s="68"/>
      <c r="M46" s="68"/>
      <c r="N46" s="68"/>
      <c r="O46" s="71"/>
      <c r="P46" s="71"/>
      <c r="Q46" s="71"/>
      <c r="R46" s="71"/>
      <c r="S46" s="71"/>
      <c r="T46" s="83" t="s">
        <v>399</v>
      </c>
      <c r="U46" s="71"/>
      <c r="V46" s="71"/>
      <c r="W46" s="71"/>
      <c r="X46" s="71"/>
      <c r="Y46" s="71"/>
      <c r="Z46" s="71"/>
      <c r="AA46" s="71"/>
      <c r="AB46" s="71"/>
      <c r="AC46" s="71"/>
      <c r="AD46" s="44"/>
      <c r="AE46" s="44"/>
      <c r="AF46" s="44"/>
      <c r="AG46" s="44"/>
      <c r="AH46" s="44"/>
      <c r="AI46" s="44"/>
      <c r="AJ46" s="44"/>
      <c r="AK46" s="44"/>
      <c r="AL46" s="44"/>
      <c r="AM46" s="44"/>
      <c r="AN46" s="44"/>
      <c r="AO46" s="44"/>
      <c r="AP46" s="44"/>
      <c r="AQ46" s="44"/>
      <c r="AR46" s="44"/>
      <c r="AS46" s="44"/>
      <c r="AT46" s="44"/>
      <c r="AU46" s="44"/>
      <c r="AV46" s="44"/>
      <c r="AW46" s="44"/>
      <c r="AX46" s="44"/>
    </row>
    <row r="47" ht="15.75" customHeight="1">
      <c r="A47" s="82" t="s">
        <v>112</v>
      </c>
      <c r="B47" s="83" t="s">
        <v>400</v>
      </c>
      <c r="C47" s="84" t="s">
        <v>402</v>
      </c>
      <c r="D47" s="84" t="s">
        <v>174</v>
      </c>
      <c r="E47" s="68"/>
      <c r="F47" s="68"/>
      <c r="G47" s="68"/>
      <c r="H47" s="68"/>
      <c r="I47" s="68"/>
      <c r="J47" s="68"/>
      <c r="K47" s="68"/>
      <c r="L47" s="68"/>
      <c r="M47" s="68"/>
      <c r="N47" s="68"/>
      <c r="O47" s="71"/>
      <c r="P47" s="71"/>
      <c r="Q47" s="71"/>
      <c r="R47" s="71"/>
      <c r="S47" s="71"/>
      <c r="T47" s="83" t="s">
        <v>404</v>
      </c>
      <c r="U47" s="71"/>
      <c r="V47" s="71"/>
      <c r="W47" s="71"/>
      <c r="X47" s="71"/>
      <c r="Y47" s="71"/>
      <c r="Z47" s="71"/>
      <c r="AA47" s="71"/>
      <c r="AB47" s="71"/>
      <c r="AC47" s="71"/>
      <c r="AD47" s="44"/>
      <c r="AE47" s="44"/>
      <c r="AF47" s="44"/>
      <c r="AG47" s="44"/>
      <c r="AH47" s="44"/>
      <c r="AI47" s="44"/>
      <c r="AJ47" s="44"/>
      <c r="AK47" s="44"/>
      <c r="AL47" s="44"/>
      <c r="AM47" s="44"/>
      <c r="AN47" s="44"/>
      <c r="AO47" s="44"/>
      <c r="AP47" s="44"/>
      <c r="AQ47" s="44"/>
      <c r="AR47" s="44"/>
      <c r="AS47" s="44"/>
      <c r="AT47" s="44"/>
      <c r="AU47" s="44"/>
      <c r="AV47" s="44"/>
      <c r="AW47" s="44"/>
      <c r="AX47" s="44"/>
    </row>
    <row r="48" ht="15.75" customHeight="1">
      <c r="A48" s="82" t="s">
        <v>112</v>
      </c>
      <c r="B48" s="83" t="s">
        <v>406</v>
      </c>
      <c r="C48" s="84" t="s">
        <v>407</v>
      </c>
      <c r="D48" s="84" t="s">
        <v>174</v>
      </c>
      <c r="E48" s="68"/>
      <c r="F48" s="68"/>
      <c r="G48" s="68"/>
      <c r="H48" s="68"/>
      <c r="I48" s="68"/>
      <c r="J48" s="68"/>
      <c r="K48" s="68"/>
      <c r="L48" s="68"/>
      <c r="M48" s="68"/>
      <c r="N48" s="68"/>
      <c r="O48" s="71"/>
      <c r="P48" s="71"/>
      <c r="Q48" s="71"/>
      <c r="R48" s="71"/>
      <c r="S48" s="71"/>
      <c r="T48" s="83" t="s">
        <v>412</v>
      </c>
      <c r="U48" s="71"/>
      <c r="V48" s="71"/>
      <c r="W48" s="71"/>
      <c r="X48" s="71"/>
      <c r="Y48" s="71"/>
      <c r="Z48" s="71"/>
      <c r="AA48" s="71"/>
      <c r="AB48" s="71"/>
      <c r="AC48" s="71"/>
      <c r="AD48" s="44"/>
      <c r="AE48" s="44"/>
      <c r="AF48" s="44"/>
      <c r="AG48" s="44"/>
      <c r="AH48" s="44"/>
      <c r="AI48" s="44"/>
      <c r="AJ48" s="44"/>
      <c r="AK48" s="44"/>
      <c r="AL48" s="44"/>
      <c r="AM48" s="44"/>
      <c r="AN48" s="44"/>
      <c r="AO48" s="44"/>
      <c r="AP48" s="44"/>
      <c r="AQ48" s="44"/>
      <c r="AR48" s="44"/>
      <c r="AS48" s="44"/>
      <c r="AT48" s="44"/>
      <c r="AU48" s="44"/>
      <c r="AV48" s="44"/>
      <c r="AW48" s="44"/>
      <c r="AX48" s="44"/>
    </row>
    <row r="49" ht="15.75" customHeight="1">
      <c r="A49" s="82" t="s">
        <v>112</v>
      </c>
      <c r="B49" s="83" t="s">
        <v>414</v>
      </c>
      <c r="C49" s="84" t="s">
        <v>415</v>
      </c>
      <c r="D49" s="84" t="s">
        <v>174</v>
      </c>
      <c r="E49" s="68"/>
      <c r="F49" s="68"/>
      <c r="G49" s="68"/>
      <c r="H49" s="68"/>
      <c r="I49" s="68"/>
      <c r="J49" s="68"/>
      <c r="K49" s="68"/>
      <c r="L49" s="68"/>
      <c r="M49" s="68"/>
      <c r="N49" s="68"/>
      <c r="O49" s="71"/>
      <c r="P49" s="71"/>
      <c r="Q49" s="71"/>
      <c r="R49" s="71"/>
      <c r="S49" s="71"/>
      <c r="T49" s="83" t="s">
        <v>421</v>
      </c>
      <c r="U49" s="71"/>
      <c r="V49" s="71"/>
      <c r="W49" s="71"/>
      <c r="X49" s="71"/>
      <c r="Y49" s="71"/>
      <c r="Z49" s="71"/>
      <c r="AA49" s="71"/>
      <c r="AB49" s="71"/>
      <c r="AC49" s="71"/>
      <c r="AD49" s="44"/>
      <c r="AE49" s="44"/>
      <c r="AF49" s="44"/>
      <c r="AG49" s="44"/>
      <c r="AH49" s="44"/>
      <c r="AI49" s="44"/>
      <c r="AJ49" s="44"/>
      <c r="AK49" s="44"/>
      <c r="AL49" s="44"/>
      <c r="AM49" s="44"/>
      <c r="AN49" s="44"/>
      <c r="AO49" s="44"/>
      <c r="AP49" s="44"/>
      <c r="AQ49" s="44"/>
      <c r="AR49" s="44"/>
      <c r="AS49" s="44"/>
      <c r="AT49" s="44"/>
      <c r="AU49" s="44"/>
      <c r="AV49" s="44"/>
      <c r="AW49" s="44"/>
      <c r="AX49" s="44"/>
    </row>
    <row r="50" ht="15.75" customHeight="1">
      <c r="A50" s="82" t="s">
        <v>112</v>
      </c>
      <c r="B50" s="83" t="s">
        <v>424</v>
      </c>
      <c r="C50" s="84" t="s">
        <v>426</v>
      </c>
      <c r="D50" s="84" t="s">
        <v>174</v>
      </c>
      <c r="E50" s="68"/>
      <c r="F50" s="68"/>
      <c r="G50" s="68"/>
      <c r="H50" s="68"/>
      <c r="I50" s="68"/>
      <c r="J50" s="68"/>
      <c r="K50" s="68"/>
      <c r="L50" s="68"/>
      <c r="M50" s="68"/>
      <c r="N50" s="68"/>
      <c r="O50" s="71"/>
      <c r="P50" s="71"/>
      <c r="Q50" s="71"/>
      <c r="R50" s="71"/>
      <c r="S50" s="71"/>
      <c r="T50" s="83" t="s">
        <v>427</v>
      </c>
      <c r="U50" s="71"/>
      <c r="V50" s="71"/>
      <c r="W50" s="71"/>
      <c r="X50" s="71"/>
      <c r="Y50" s="71"/>
      <c r="Z50" s="71"/>
      <c r="AA50" s="71"/>
      <c r="AB50" s="71"/>
      <c r="AC50" s="71"/>
      <c r="AD50" s="44"/>
      <c r="AE50" s="44"/>
      <c r="AF50" s="44"/>
      <c r="AG50" s="44"/>
      <c r="AH50" s="44"/>
      <c r="AI50" s="44"/>
      <c r="AJ50" s="44"/>
      <c r="AK50" s="44"/>
      <c r="AL50" s="44"/>
      <c r="AM50" s="44"/>
      <c r="AN50" s="44"/>
      <c r="AO50" s="44"/>
      <c r="AP50" s="44"/>
      <c r="AQ50" s="44"/>
      <c r="AR50" s="44"/>
      <c r="AS50" s="44"/>
      <c r="AT50" s="44"/>
      <c r="AU50" s="44"/>
      <c r="AV50" s="44"/>
      <c r="AW50" s="44"/>
      <c r="AX50" s="44"/>
    </row>
    <row r="51" ht="15.75" customHeight="1">
      <c r="A51" s="82" t="s">
        <v>112</v>
      </c>
      <c r="B51" s="83" t="s">
        <v>430</v>
      </c>
      <c r="C51" s="84" t="s">
        <v>431</v>
      </c>
      <c r="D51" s="84" t="s">
        <v>174</v>
      </c>
      <c r="E51" s="68"/>
      <c r="F51" s="68"/>
      <c r="G51" s="68"/>
      <c r="H51" s="68"/>
      <c r="I51" s="68"/>
      <c r="J51" s="68"/>
      <c r="K51" s="68"/>
      <c r="L51" s="68"/>
      <c r="M51" s="68"/>
      <c r="N51" s="68"/>
      <c r="O51" s="71"/>
      <c r="P51" s="71"/>
      <c r="Q51" s="71"/>
      <c r="R51" s="71"/>
      <c r="S51" s="71"/>
      <c r="T51" s="83" t="s">
        <v>432</v>
      </c>
      <c r="U51" s="71"/>
      <c r="V51" s="71"/>
      <c r="W51" s="71"/>
      <c r="X51" s="71"/>
      <c r="Y51" s="71"/>
      <c r="Z51" s="71"/>
      <c r="AA51" s="71"/>
      <c r="AB51" s="71"/>
      <c r="AC51" s="71"/>
      <c r="AD51" s="44"/>
      <c r="AE51" s="44"/>
      <c r="AF51" s="44"/>
      <c r="AG51" s="44"/>
      <c r="AH51" s="44"/>
      <c r="AI51" s="44"/>
      <c r="AJ51" s="44"/>
      <c r="AK51" s="44"/>
      <c r="AL51" s="44"/>
      <c r="AM51" s="44"/>
      <c r="AN51" s="44"/>
      <c r="AO51" s="44"/>
      <c r="AP51" s="44"/>
      <c r="AQ51" s="44"/>
      <c r="AR51" s="44"/>
      <c r="AS51" s="44"/>
      <c r="AT51" s="44"/>
      <c r="AU51" s="44"/>
      <c r="AV51" s="44"/>
      <c r="AW51" s="44"/>
      <c r="AX51" s="44"/>
    </row>
    <row r="52" ht="15.75" customHeight="1">
      <c r="A52" s="82" t="s">
        <v>112</v>
      </c>
      <c r="B52" s="83" t="s">
        <v>438</v>
      </c>
      <c r="C52" s="84" t="s">
        <v>439</v>
      </c>
      <c r="D52" s="84" t="s">
        <v>174</v>
      </c>
      <c r="E52" s="68"/>
      <c r="F52" s="68"/>
      <c r="G52" s="68"/>
      <c r="H52" s="68"/>
      <c r="I52" s="68"/>
      <c r="J52" s="68"/>
      <c r="K52" s="68"/>
      <c r="L52" s="68"/>
      <c r="M52" s="68"/>
      <c r="N52" s="68"/>
      <c r="O52" s="71"/>
      <c r="P52" s="71"/>
      <c r="Q52" s="71"/>
      <c r="R52" s="71"/>
      <c r="S52" s="71"/>
      <c r="T52" s="83" t="s">
        <v>441</v>
      </c>
      <c r="U52" s="71"/>
      <c r="V52" s="71"/>
      <c r="W52" s="71"/>
      <c r="X52" s="71"/>
      <c r="Y52" s="71"/>
      <c r="Z52" s="71"/>
      <c r="AA52" s="71"/>
      <c r="AB52" s="71"/>
      <c r="AC52" s="71"/>
      <c r="AD52" s="44"/>
      <c r="AE52" s="44"/>
      <c r="AF52" s="44"/>
      <c r="AG52" s="44"/>
      <c r="AH52" s="44"/>
      <c r="AI52" s="44"/>
      <c r="AJ52" s="44"/>
      <c r="AK52" s="44"/>
      <c r="AL52" s="44"/>
      <c r="AM52" s="44"/>
      <c r="AN52" s="44"/>
      <c r="AO52" s="44"/>
      <c r="AP52" s="44"/>
      <c r="AQ52" s="44"/>
      <c r="AR52" s="44"/>
      <c r="AS52" s="44"/>
      <c r="AT52" s="44"/>
      <c r="AU52" s="44"/>
      <c r="AV52" s="44"/>
      <c r="AW52" s="44"/>
      <c r="AX52" s="44"/>
    </row>
    <row r="53" ht="15.75" customHeight="1">
      <c r="A53" s="163" t="s">
        <v>450</v>
      </c>
      <c r="B53" s="163" t="s">
        <v>386</v>
      </c>
      <c r="C53" s="178" t="s">
        <v>387</v>
      </c>
      <c r="D53" s="178" t="s">
        <v>174</v>
      </c>
      <c r="E53" s="162"/>
      <c r="F53" s="162"/>
      <c r="G53" s="162"/>
      <c r="H53" s="162"/>
      <c r="I53" s="162"/>
      <c r="J53" s="162"/>
      <c r="K53" s="162"/>
      <c r="L53" s="162"/>
      <c r="M53" s="162"/>
      <c r="N53" s="162"/>
      <c r="O53" s="159"/>
      <c r="P53" s="159"/>
      <c r="Q53" s="159"/>
      <c r="R53" s="159"/>
      <c r="S53" s="159"/>
      <c r="T53" s="159"/>
      <c r="U53" s="159"/>
      <c r="V53" s="159"/>
      <c r="W53" s="159"/>
      <c r="X53" s="159"/>
      <c r="Y53" s="159"/>
      <c r="Z53" s="159"/>
      <c r="AA53" s="159"/>
      <c r="AB53" s="159"/>
      <c r="AC53" s="159"/>
      <c r="AD53" s="44"/>
      <c r="AE53" s="44"/>
      <c r="AF53" s="44"/>
      <c r="AG53" s="44"/>
      <c r="AH53" s="44"/>
      <c r="AI53" s="44"/>
      <c r="AJ53" s="44"/>
      <c r="AK53" s="44"/>
      <c r="AL53" s="44"/>
      <c r="AM53" s="44"/>
      <c r="AN53" s="44"/>
      <c r="AO53" s="44"/>
      <c r="AP53" s="44"/>
      <c r="AQ53" s="44"/>
      <c r="AR53" s="44"/>
      <c r="AS53" s="44"/>
      <c r="AT53" s="44"/>
      <c r="AU53" s="44"/>
      <c r="AV53" s="44"/>
      <c r="AW53" s="44"/>
      <c r="AX53" s="44"/>
    </row>
    <row r="54" ht="15.75" customHeight="1">
      <c r="A54" s="82" t="s">
        <v>112</v>
      </c>
      <c r="B54" s="83" t="s">
        <v>456</v>
      </c>
      <c r="C54" s="84" t="s">
        <v>457</v>
      </c>
      <c r="D54" s="84" t="s">
        <v>174</v>
      </c>
      <c r="E54" s="68"/>
      <c r="F54" s="68"/>
      <c r="G54" s="68"/>
      <c r="H54" s="68"/>
      <c r="I54" s="68"/>
      <c r="J54" s="68"/>
      <c r="K54" s="68"/>
      <c r="L54" s="68"/>
      <c r="M54" s="68"/>
      <c r="N54" s="68"/>
      <c r="O54" s="71"/>
      <c r="P54" s="71"/>
      <c r="Q54" s="71"/>
      <c r="R54" s="71"/>
      <c r="S54" s="71"/>
      <c r="T54" s="83" t="s">
        <v>458</v>
      </c>
      <c r="U54" s="71"/>
      <c r="V54" s="71"/>
      <c r="W54" s="71"/>
      <c r="X54" s="71"/>
      <c r="Y54" s="71"/>
      <c r="Z54" s="71"/>
      <c r="AA54" s="71"/>
      <c r="AB54" s="71"/>
      <c r="AC54" s="71"/>
      <c r="AD54" s="44"/>
      <c r="AE54" s="44"/>
      <c r="AF54" s="44"/>
      <c r="AG54" s="44"/>
      <c r="AH54" s="44"/>
      <c r="AI54" s="44"/>
      <c r="AJ54" s="44"/>
      <c r="AK54" s="44"/>
      <c r="AL54" s="44"/>
      <c r="AM54" s="44"/>
      <c r="AN54" s="44"/>
      <c r="AO54" s="44"/>
      <c r="AP54" s="44"/>
      <c r="AQ54" s="44"/>
      <c r="AR54" s="44"/>
      <c r="AS54" s="44"/>
      <c r="AT54" s="44"/>
      <c r="AU54" s="44"/>
      <c r="AV54" s="44"/>
      <c r="AW54" s="44"/>
      <c r="AX54" s="44"/>
    </row>
    <row r="55" ht="15.75" customHeight="1">
      <c r="A55" s="82" t="s">
        <v>112</v>
      </c>
      <c r="B55" s="83" t="s">
        <v>465</v>
      </c>
      <c r="C55" s="84" t="s">
        <v>466</v>
      </c>
      <c r="D55" s="84" t="s">
        <v>174</v>
      </c>
      <c r="E55" s="68"/>
      <c r="F55" s="68"/>
      <c r="G55" s="68"/>
      <c r="H55" s="68"/>
      <c r="I55" s="68"/>
      <c r="J55" s="68"/>
      <c r="K55" s="68"/>
      <c r="L55" s="68"/>
      <c r="M55" s="68"/>
      <c r="N55" s="68"/>
      <c r="O55" s="71"/>
      <c r="P55" s="71"/>
      <c r="Q55" s="71"/>
      <c r="R55" s="71"/>
      <c r="S55" s="71"/>
      <c r="T55" s="83" t="s">
        <v>467</v>
      </c>
      <c r="U55" s="71"/>
      <c r="V55" s="71"/>
      <c r="W55" s="71"/>
      <c r="X55" s="71"/>
      <c r="Y55" s="71"/>
      <c r="Z55" s="71"/>
      <c r="AA55" s="71"/>
      <c r="AB55" s="71"/>
      <c r="AC55" s="71"/>
      <c r="AD55" s="44"/>
      <c r="AE55" s="44"/>
      <c r="AF55" s="44"/>
      <c r="AG55" s="44"/>
      <c r="AH55" s="44"/>
      <c r="AI55" s="44"/>
      <c r="AJ55" s="44"/>
      <c r="AK55" s="44"/>
      <c r="AL55" s="44"/>
      <c r="AM55" s="44"/>
      <c r="AN55" s="44"/>
      <c r="AO55" s="44"/>
      <c r="AP55" s="44"/>
      <c r="AQ55" s="44"/>
      <c r="AR55" s="44"/>
      <c r="AS55" s="44"/>
      <c r="AT55" s="44"/>
      <c r="AU55" s="44"/>
      <c r="AV55" s="44"/>
      <c r="AW55" s="44"/>
      <c r="AX55" s="44"/>
    </row>
    <row r="56" ht="15.75" customHeight="1">
      <c r="A56" s="82" t="s">
        <v>112</v>
      </c>
      <c r="B56" s="83" t="s">
        <v>471</v>
      </c>
      <c r="C56" s="68"/>
      <c r="D56" s="84" t="s">
        <v>174</v>
      </c>
      <c r="E56" s="68"/>
      <c r="F56" s="68"/>
      <c r="G56" s="68"/>
      <c r="H56" s="68"/>
      <c r="I56" s="68"/>
      <c r="J56" s="68"/>
      <c r="K56" s="68"/>
      <c r="L56" s="68"/>
      <c r="M56" s="68"/>
      <c r="N56" s="68"/>
      <c r="O56" s="71"/>
      <c r="P56" s="71"/>
      <c r="Q56" s="71"/>
      <c r="R56" s="71"/>
      <c r="S56" s="71"/>
      <c r="T56" s="83" t="s">
        <v>476</v>
      </c>
      <c r="U56" s="71"/>
      <c r="V56" s="71"/>
      <c r="W56" s="71"/>
      <c r="X56" s="71"/>
      <c r="Y56" s="71"/>
      <c r="Z56" s="71"/>
      <c r="AA56" s="71"/>
      <c r="AB56" s="71"/>
      <c r="AC56" s="71"/>
      <c r="AD56" s="44"/>
      <c r="AE56" s="44"/>
      <c r="AF56" s="44"/>
      <c r="AG56" s="44"/>
      <c r="AH56" s="44"/>
      <c r="AI56" s="44"/>
      <c r="AJ56" s="44"/>
      <c r="AK56" s="44"/>
      <c r="AL56" s="44"/>
      <c r="AM56" s="44"/>
      <c r="AN56" s="44"/>
      <c r="AO56" s="44"/>
      <c r="AP56" s="44"/>
      <c r="AQ56" s="44"/>
      <c r="AR56" s="44"/>
      <c r="AS56" s="44"/>
      <c r="AT56" s="44"/>
      <c r="AU56" s="44"/>
      <c r="AV56" s="44"/>
      <c r="AW56" s="44"/>
      <c r="AX56" s="44"/>
    </row>
    <row r="57" ht="15.75" customHeight="1">
      <c r="A57" s="82" t="s">
        <v>112</v>
      </c>
      <c r="B57" s="83" t="s">
        <v>477</v>
      </c>
      <c r="C57" s="84" t="s">
        <v>478</v>
      </c>
      <c r="D57" s="84" t="s">
        <v>174</v>
      </c>
      <c r="E57" s="68"/>
      <c r="F57" s="68"/>
      <c r="G57" s="68"/>
      <c r="H57" s="68"/>
      <c r="I57" s="68"/>
      <c r="J57" s="68"/>
      <c r="K57" s="68"/>
      <c r="L57" s="68"/>
      <c r="M57" s="68"/>
      <c r="N57" s="68"/>
      <c r="O57" s="71"/>
      <c r="P57" s="71"/>
      <c r="Q57" s="71"/>
      <c r="R57" s="71"/>
      <c r="S57" s="71"/>
      <c r="T57" s="83" t="s">
        <v>479</v>
      </c>
      <c r="U57" s="71"/>
      <c r="V57" s="71"/>
      <c r="W57" s="71"/>
      <c r="X57" s="71"/>
      <c r="Y57" s="71"/>
      <c r="Z57" s="71"/>
      <c r="AA57" s="71"/>
      <c r="AB57" s="71"/>
      <c r="AC57" s="71"/>
      <c r="AD57" s="44"/>
      <c r="AE57" s="44"/>
      <c r="AF57" s="44"/>
      <c r="AG57" s="44"/>
      <c r="AH57" s="44"/>
      <c r="AI57" s="44"/>
      <c r="AJ57" s="44"/>
      <c r="AK57" s="44"/>
      <c r="AL57" s="44"/>
      <c r="AM57" s="44"/>
      <c r="AN57" s="44"/>
      <c r="AO57" s="44"/>
      <c r="AP57" s="44"/>
      <c r="AQ57" s="44"/>
      <c r="AR57" s="44"/>
      <c r="AS57" s="44"/>
      <c r="AT57" s="44"/>
      <c r="AU57" s="44"/>
      <c r="AV57" s="44"/>
      <c r="AW57" s="44"/>
      <c r="AX57" s="44"/>
    </row>
    <row r="58" ht="15.75" customHeight="1">
      <c r="A58" s="82" t="s">
        <v>112</v>
      </c>
      <c r="B58" s="83" t="s">
        <v>485</v>
      </c>
      <c r="C58" s="84" t="s">
        <v>486</v>
      </c>
      <c r="D58" s="84" t="s">
        <v>174</v>
      </c>
      <c r="E58" s="68"/>
      <c r="F58" s="68"/>
      <c r="G58" s="68"/>
      <c r="H58" s="68"/>
      <c r="I58" s="68"/>
      <c r="J58" s="68"/>
      <c r="K58" s="68"/>
      <c r="L58" s="68"/>
      <c r="M58" s="68"/>
      <c r="N58" s="68"/>
      <c r="O58" s="71"/>
      <c r="P58" s="71"/>
      <c r="Q58" s="71"/>
      <c r="R58" s="71"/>
      <c r="S58" s="71"/>
      <c r="T58" s="83" t="s">
        <v>487</v>
      </c>
      <c r="U58" s="71"/>
      <c r="V58" s="71"/>
      <c r="W58" s="71"/>
      <c r="X58" s="71"/>
      <c r="Y58" s="71"/>
      <c r="Z58" s="71"/>
      <c r="AA58" s="71"/>
      <c r="AB58" s="71"/>
      <c r="AC58" s="71"/>
      <c r="AD58" s="44"/>
      <c r="AE58" s="44"/>
      <c r="AF58" s="44"/>
      <c r="AG58" s="44"/>
      <c r="AH58" s="44"/>
      <c r="AI58" s="44"/>
      <c r="AJ58" s="44"/>
      <c r="AK58" s="44"/>
      <c r="AL58" s="44"/>
      <c r="AM58" s="44"/>
      <c r="AN58" s="44"/>
      <c r="AO58" s="44"/>
      <c r="AP58" s="44"/>
      <c r="AQ58" s="44"/>
      <c r="AR58" s="44"/>
      <c r="AS58" s="44"/>
      <c r="AT58" s="44"/>
      <c r="AU58" s="44"/>
      <c r="AV58" s="44"/>
      <c r="AW58" s="44"/>
      <c r="AX58" s="44"/>
    </row>
    <row r="59" ht="15.75" customHeight="1">
      <c r="A59" s="82" t="s">
        <v>112</v>
      </c>
      <c r="B59" s="83" t="s">
        <v>491</v>
      </c>
      <c r="C59" s="84" t="s">
        <v>492</v>
      </c>
      <c r="D59" s="84" t="s">
        <v>174</v>
      </c>
      <c r="E59" s="68"/>
      <c r="F59" s="68"/>
      <c r="G59" s="68"/>
      <c r="H59" s="68"/>
      <c r="I59" s="68"/>
      <c r="J59" s="68"/>
      <c r="K59" s="68"/>
      <c r="L59" s="68"/>
      <c r="M59" s="68"/>
      <c r="N59" s="68"/>
      <c r="O59" s="71"/>
      <c r="P59" s="71"/>
      <c r="Q59" s="71"/>
      <c r="R59" s="71"/>
      <c r="S59" s="71"/>
      <c r="T59" s="83" t="s">
        <v>497</v>
      </c>
      <c r="U59" s="71"/>
      <c r="V59" s="71"/>
      <c r="W59" s="71"/>
      <c r="X59" s="71"/>
      <c r="Y59" s="71"/>
      <c r="Z59" s="71"/>
      <c r="AA59" s="71"/>
      <c r="AB59" s="71"/>
      <c r="AC59" s="71"/>
      <c r="AD59" s="44"/>
      <c r="AE59" s="44"/>
      <c r="AF59" s="44"/>
      <c r="AG59" s="44"/>
      <c r="AH59" s="44"/>
      <c r="AI59" s="44"/>
      <c r="AJ59" s="44"/>
      <c r="AK59" s="44"/>
      <c r="AL59" s="44"/>
      <c r="AM59" s="44"/>
      <c r="AN59" s="44"/>
      <c r="AO59" s="44"/>
      <c r="AP59" s="44"/>
      <c r="AQ59" s="44"/>
      <c r="AR59" s="44"/>
      <c r="AS59" s="44"/>
      <c r="AT59" s="44"/>
      <c r="AU59" s="44"/>
      <c r="AV59" s="44"/>
      <c r="AW59" s="44"/>
      <c r="AX59" s="44"/>
    </row>
    <row r="60" ht="15.75" customHeight="1">
      <c r="A60" s="82" t="s">
        <v>112</v>
      </c>
      <c r="B60" s="83" t="s">
        <v>501</v>
      </c>
      <c r="C60" s="84" t="s">
        <v>502</v>
      </c>
      <c r="D60" s="84" t="s">
        <v>174</v>
      </c>
      <c r="E60" s="68"/>
      <c r="F60" s="68"/>
      <c r="G60" s="68"/>
      <c r="H60" s="68"/>
      <c r="I60" s="68"/>
      <c r="J60" s="68"/>
      <c r="K60" s="68"/>
      <c r="L60" s="68"/>
      <c r="M60" s="68"/>
      <c r="N60" s="68"/>
      <c r="O60" s="71"/>
      <c r="P60" s="71"/>
      <c r="Q60" s="71"/>
      <c r="R60" s="71"/>
      <c r="S60" s="71"/>
      <c r="T60" s="83" t="s">
        <v>503</v>
      </c>
      <c r="U60" s="71"/>
      <c r="V60" s="71"/>
      <c r="W60" s="71"/>
      <c r="X60" s="71"/>
      <c r="Y60" s="71"/>
      <c r="Z60" s="71"/>
      <c r="AA60" s="71"/>
      <c r="AB60" s="71"/>
      <c r="AC60" s="71"/>
      <c r="AD60" s="44"/>
      <c r="AE60" s="44"/>
      <c r="AF60" s="44"/>
      <c r="AG60" s="44"/>
      <c r="AH60" s="44"/>
      <c r="AI60" s="44"/>
      <c r="AJ60" s="44"/>
      <c r="AK60" s="44"/>
      <c r="AL60" s="44"/>
      <c r="AM60" s="44"/>
      <c r="AN60" s="44"/>
      <c r="AO60" s="44"/>
      <c r="AP60" s="44"/>
      <c r="AQ60" s="44"/>
      <c r="AR60" s="44"/>
      <c r="AS60" s="44"/>
      <c r="AT60" s="44"/>
      <c r="AU60" s="44"/>
      <c r="AV60" s="44"/>
      <c r="AW60" s="44"/>
      <c r="AX60" s="44"/>
    </row>
    <row r="61" ht="15.75" customHeight="1">
      <c r="A61" s="82" t="s">
        <v>112</v>
      </c>
      <c r="B61" s="83" t="s">
        <v>505</v>
      </c>
      <c r="C61" s="84" t="s">
        <v>506</v>
      </c>
      <c r="D61" s="84" t="s">
        <v>174</v>
      </c>
      <c r="E61" s="68"/>
      <c r="F61" s="68"/>
      <c r="G61" s="68"/>
      <c r="H61" s="68"/>
      <c r="I61" s="68"/>
      <c r="J61" s="68"/>
      <c r="K61" s="68"/>
      <c r="L61" s="68"/>
      <c r="M61" s="68"/>
      <c r="N61" s="68"/>
      <c r="O61" s="71"/>
      <c r="P61" s="71"/>
      <c r="Q61" s="71"/>
      <c r="R61" s="71"/>
      <c r="S61" s="71"/>
      <c r="T61" s="83" t="s">
        <v>509</v>
      </c>
      <c r="U61" s="71"/>
      <c r="V61" s="71"/>
      <c r="W61" s="71"/>
      <c r="X61" s="71"/>
      <c r="Y61" s="71"/>
      <c r="Z61" s="71"/>
      <c r="AA61" s="71"/>
      <c r="AB61" s="71"/>
      <c r="AC61" s="71"/>
      <c r="AD61" s="44"/>
      <c r="AE61" s="44"/>
      <c r="AF61" s="44"/>
      <c r="AG61" s="44"/>
      <c r="AH61" s="44"/>
      <c r="AI61" s="44"/>
      <c r="AJ61" s="44"/>
      <c r="AK61" s="44"/>
      <c r="AL61" s="44"/>
      <c r="AM61" s="44"/>
      <c r="AN61" s="44"/>
      <c r="AO61" s="44"/>
      <c r="AP61" s="44"/>
      <c r="AQ61" s="44"/>
      <c r="AR61" s="44"/>
      <c r="AS61" s="44"/>
      <c r="AT61" s="44"/>
      <c r="AU61" s="44"/>
      <c r="AV61" s="44"/>
      <c r="AW61" s="44"/>
      <c r="AX61" s="44"/>
    </row>
    <row r="62" ht="15.75" customHeight="1">
      <c r="A62" s="82" t="s">
        <v>112</v>
      </c>
      <c r="B62" s="83" t="s">
        <v>513</v>
      </c>
      <c r="C62" s="68"/>
      <c r="D62" s="84" t="s">
        <v>174</v>
      </c>
      <c r="E62" s="68"/>
      <c r="F62" s="68"/>
      <c r="G62" s="68"/>
      <c r="H62" s="68"/>
      <c r="I62" s="68"/>
      <c r="J62" s="68"/>
      <c r="K62" s="68"/>
      <c r="L62" s="68"/>
      <c r="M62" s="68"/>
      <c r="N62" s="68"/>
      <c r="O62" s="71"/>
      <c r="P62" s="71"/>
      <c r="Q62" s="71"/>
      <c r="R62" s="71"/>
      <c r="S62" s="71"/>
      <c r="T62" s="83" t="s">
        <v>517</v>
      </c>
      <c r="U62" s="71"/>
      <c r="V62" s="71"/>
      <c r="W62" s="71"/>
      <c r="X62" s="71"/>
      <c r="Y62" s="71"/>
      <c r="Z62" s="71"/>
      <c r="AA62" s="71"/>
      <c r="AB62" s="71"/>
      <c r="AC62" s="71"/>
      <c r="AD62" s="44"/>
      <c r="AE62" s="44"/>
      <c r="AF62" s="44"/>
      <c r="AG62" s="44"/>
      <c r="AH62" s="44"/>
      <c r="AI62" s="44"/>
      <c r="AJ62" s="44"/>
      <c r="AK62" s="44"/>
      <c r="AL62" s="44"/>
      <c r="AM62" s="44"/>
      <c r="AN62" s="44"/>
      <c r="AO62" s="44"/>
      <c r="AP62" s="44"/>
      <c r="AQ62" s="44"/>
      <c r="AR62" s="44"/>
      <c r="AS62" s="44"/>
      <c r="AT62" s="44"/>
      <c r="AU62" s="44"/>
      <c r="AV62" s="44"/>
      <c r="AW62" s="44"/>
      <c r="AX62" s="44"/>
    </row>
    <row r="63" ht="15.75" customHeight="1">
      <c r="A63" s="82" t="s">
        <v>112</v>
      </c>
      <c r="B63" s="83" t="s">
        <v>521</v>
      </c>
      <c r="C63" s="68"/>
      <c r="D63" s="84" t="s">
        <v>174</v>
      </c>
      <c r="E63" s="68"/>
      <c r="F63" s="68"/>
      <c r="G63" s="68"/>
      <c r="H63" s="68"/>
      <c r="I63" s="68"/>
      <c r="J63" s="68"/>
      <c r="K63" s="68"/>
      <c r="L63" s="68"/>
      <c r="M63" s="68"/>
      <c r="N63" s="68"/>
      <c r="O63" s="71"/>
      <c r="P63" s="71"/>
      <c r="Q63" s="71"/>
      <c r="R63" s="71"/>
      <c r="S63" s="71"/>
      <c r="T63" s="83" t="s">
        <v>522</v>
      </c>
      <c r="U63" s="71"/>
      <c r="V63" s="71"/>
      <c r="W63" s="71"/>
      <c r="X63" s="71"/>
      <c r="Y63" s="71"/>
      <c r="Z63" s="71"/>
      <c r="AA63" s="71"/>
      <c r="AB63" s="71"/>
      <c r="AC63" s="71"/>
      <c r="AD63" s="44"/>
      <c r="AE63" s="44"/>
      <c r="AF63" s="44"/>
      <c r="AG63" s="44"/>
      <c r="AH63" s="44"/>
      <c r="AI63" s="44"/>
      <c r="AJ63" s="44"/>
      <c r="AK63" s="44"/>
      <c r="AL63" s="44"/>
      <c r="AM63" s="44"/>
      <c r="AN63" s="44"/>
      <c r="AO63" s="44"/>
      <c r="AP63" s="44"/>
      <c r="AQ63" s="44"/>
      <c r="AR63" s="44"/>
      <c r="AS63" s="44"/>
      <c r="AT63" s="44"/>
      <c r="AU63" s="44"/>
      <c r="AV63" s="44"/>
      <c r="AW63" s="44"/>
      <c r="AX63" s="44"/>
    </row>
    <row r="64" ht="15.75" customHeight="1">
      <c r="A64" s="82" t="s">
        <v>112</v>
      </c>
      <c r="B64" s="83" t="s">
        <v>527</v>
      </c>
      <c r="C64" s="68"/>
      <c r="D64" s="84" t="s">
        <v>174</v>
      </c>
      <c r="E64" s="68"/>
      <c r="F64" s="68"/>
      <c r="G64" s="68"/>
      <c r="H64" s="68"/>
      <c r="I64" s="68"/>
      <c r="J64" s="68"/>
      <c r="K64" s="68"/>
      <c r="L64" s="68"/>
      <c r="M64" s="68"/>
      <c r="N64" s="68"/>
      <c r="O64" s="71"/>
      <c r="P64" s="71"/>
      <c r="Q64" s="71"/>
      <c r="R64" s="71"/>
      <c r="S64" s="71"/>
      <c r="T64" s="83" t="s">
        <v>531</v>
      </c>
      <c r="U64" s="71"/>
      <c r="V64" s="71"/>
      <c r="W64" s="71"/>
      <c r="X64" s="71"/>
      <c r="Y64" s="71"/>
      <c r="Z64" s="71"/>
      <c r="AA64" s="71"/>
      <c r="AB64" s="71"/>
      <c r="AC64" s="71"/>
      <c r="AD64" s="44"/>
      <c r="AE64" s="44"/>
      <c r="AF64" s="44"/>
      <c r="AG64" s="44"/>
      <c r="AH64" s="44"/>
      <c r="AI64" s="44"/>
      <c r="AJ64" s="44"/>
      <c r="AK64" s="44"/>
      <c r="AL64" s="44"/>
      <c r="AM64" s="44"/>
      <c r="AN64" s="44"/>
      <c r="AO64" s="44"/>
      <c r="AP64" s="44"/>
      <c r="AQ64" s="44"/>
      <c r="AR64" s="44"/>
      <c r="AS64" s="44"/>
      <c r="AT64" s="44"/>
      <c r="AU64" s="44"/>
      <c r="AV64" s="44"/>
      <c r="AW64" s="44"/>
      <c r="AX64" s="44"/>
    </row>
    <row r="65" ht="15.75" customHeight="1">
      <c r="A65" s="82" t="s">
        <v>112</v>
      </c>
      <c r="B65" s="83" t="s">
        <v>534</v>
      </c>
      <c r="C65" s="68"/>
      <c r="D65" s="84" t="s">
        <v>174</v>
      </c>
      <c r="E65" s="68"/>
      <c r="F65" s="68"/>
      <c r="G65" s="68"/>
      <c r="H65" s="68"/>
      <c r="I65" s="68"/>
      <c r="J65" s="68"/>
      <c r="K65" s="68"/>
      <c r="L65" s="68"/>
      <c r="M65" s="68"/>
      <c r="N65" s="68"/>
      <c r="O65" s="71"/>
      <c r="P65" s="71"/>
      <c r="Q65" s="71"/>
      <c r="R65" s="71"/>
      <c r="S65" s="71"/>
      <c r="T65" s="83" t="s">
        <v>536</v>
      </c>
      <c r="U65" s="71"/>
      <c r="V65" s="71"/>
      <c r="W65" s="71"/>
      <c r="X65" s="71"/>
      <c r="Y65" s="71"/>
      <c r="Z65" s="71"/>
      <c r="AA65" s="71"/>
      <c r="AB65" s="71"/>
      <c r="AC65" s="71"/>
      <c r="AD65" s="44"/>
      <c r="AE65" s="44"/>
      <c r="AF65" s="44"/>
      <c r="AG65" s="44"/>
      <c r="AH65" s="44"/>
      <c r="AI65" s="44"/>
      <c r="AJ65" s="44"/>
      <c r="AK65" s="44"/>
      <c r="AL65" s="44"/>
      <c r="AM65" s="44"/>
      <c r="AN65" s="44"/>
      <c r="AO65" s="44"/>
      <c r="AP65" s="44"/>
      <c r="AQ65" s="44"/>
      <c r="AR65" s="44"/>
      <c r="AS65" s="44"/>
      <c r="AT65" s="44"/>
      <c r="AU65" s="44"/>
      <c r="AV65" s="44"/>
      <c r="AW65" s="44"/>
      <c r="AX65" s="44"/>
    </row>
    <row r="66" ht="15.75" customHeight="1">
      <c r="A66" s="82" t="s">
        <v>112</v>
      </c>
      <c r="B66" s="83" t="s">
        <v>538</v>
      </c>
      <c r="C66" s="68"/>
      <c r="D66" s="84" t="s">
        <v>174</v>
      </c>
      <c r="E66" s="68"/>
      <c r="F66" s="68"/>
      <c r="G66" s="68"/>
      <c r="H66" s="68"/>
      <c r="I66" s="68"/>
      <c r="J66" s="68"/>
      <c r="K66" s="68"/>
      <c r="L66" s="68"/>
      <c r="M66" s="68"/>
      <c r="N66" s="68"/>
      <c r="O66" s="71"/>
      <c r="P66" s="71"/>
      <c r="Q66" s="71"/>
      <c r="R66" s="71"/>
      <c r="S66" s="71"/>
      <c r="T66" s="83" t="s">
        <v>539</v>
      </c>
      <c r="U66" s="71"/>
      <c r="V66" s="71"/>
      <c r="W66" s="71"/>
      <c r="X66" s="71"/>
      <c r="Y66" s="71"/>
      <c r="Z66" s="71"/>
      <c r="AA66" s="71"/>
      <c r="AB66" s="71"/>
      <c r="AC66" s="71"/>
      <c r="AD66" s="44"/>
      <c r="AE66" s="44"/>
      <c r="AF66" s="44"/>
      <c r="AG66" s="44"/>
      <c r="AH66" s="44"/>
      <c r="AI66" s="44"/>
      <c r="AJ66" s="44"/>
      <c r="AK66" s="44"/>
      <c r="AL66" s="44"/>
      <c r="AM66" s="44"/>
      <c r="AN66" s="44"/>
      <c r="AO66" s="44"/>
      <c r="AP66" s="44"/>
      <c r="AQ66" s="44"/>
      <c r="AR66" s="44"/>
      <c r="AS66" s="44"/>
      <c r="AT66" s="44"/>
      <c r="AU66" s="44"/>
      <c r="AV66" s="44"/>
      <c r="AW66" s="44"/>
      <c r="AX66" s="44"/>
    </row>
    <row r="67" ht="15.75" customHeight="1">
      <c r="A67" s="82" t="s">
        <v>112</v>
      </c>
      <c r="B67" s="83" t="s">
        <v>540</v>
      </c>
      <c r="C67" s="68"/>
      <c r="D67" s="84" t="s">
        <v>174</v>
      </c>
      <c r="E67" s="68"/>
      <c r="F67" s="68"/>
      <c r="G67" s="68"/>
      <c r="H67" s="68"/>
      <c r="I67" s="68"/>
      <c r="J67" s="68"/>
      <c r="K67" s="68"/>
      <c r="L67" s="68"/>
      <c r="M67" s="68"/>
      <c r="N67" s="68"/>
      <c r="O67" s="71"/>
      <c r="P67" s="71"/>
      <c r="Q67" s="71"/>
      <c r="R67" s="71"/>
      <c r="S67" s="71"/>
      <c r="T67" s="83" t="s">
        <v>542</v>
      </c>
      <c r="U67" s="71"/>
      <c r="V67" s="71"/>
      <c r="W67" s="71"/>
      <c r="X67" s="71"/>
      <c r="Y67" s="71"/>
      <c r="Z67" s="71"/>
      <c r="AA67" s="71"/>
      <c r="AB67" s="71"/>
      <c r="AC67" s="71"/>
      <c r="AD67" s="44"/>
      <c r="AE67" s="44"/>
      <c r="AF67" s="44"/>
      <c r="AG67" s="44"/>
      <c r="AH67" s="44"/>
      <c r="AI67" s="44"/>
      <c r="AJ67" s="44"/>
      <c r="AK67" s="44"/>
      <c r="AL67" s="44"/>
      <c r="AM67" s="44"/>
      <c r="AN67" s="44"/>
      <c r="AO67" s="44"/>
      <c r="AP67" s="44"/>
      <c r="AQ67" s="44"/>
      <c r="AR67" s="44"/>
      <c r="AS67" s="44"/>
      <c r="AT67" s="44"/>
      <c r="AU67" s="44"/>
      <c r="AV67" s="44"/>
      <c r="AW67" s="44"/>
      <c r="AX67" s="44"/>
    </row>
    <row r="68" ht="15.75" customHeight="1">
      <c r="A68" s="82" t="s">
        <v>112</v>
      </c>
      <c r="B68" s="83" t="s">
        <v>548</v>
      </c>
      <c r="C68" s="68"/>
      <c r="D68" s="84" t="s">
        <v>174</v>
      </c>
      <c r="E68" s="68"/>
      <c r="F68" s="68"/>
      <c r="G68" s="68"/>
      <c r="H68" s="68"/>
      <c r="I68" s="68"/>
      <c r="J68" s="68"/>
      <c r="K68" s="68"/>
      <c r="L68" s="68"/>
      <c r="M68" s="68"/>
      <c r="N68" s="68"/>
      <c r="O68" s="71"/>
      <c r="P68" s="71"/>
      <c r="Q68" s="71"/>
      <c r="R68" s="71"/>
      <c r="S68" s="71"/>
      <c r="T68" s="83" t="s">
        <v>549</v>
      </c>
      <c r="U68" s="71"/>
      <c r="V68" s="71"/>
      <c r="W68" s="71"/>
      <c r="X68" s="71"/>
      <c r="Y68" s="71"/>
      <c r="Z68" s="71"/>
      <c r="AA68" s="71"/>
      <c r="AB68" s="71"/>
      <c r="AC68" s="71"/>
      <c r="AD68" s="44"/>
      <c r="AE68" s="44"/>
      <c r="AF68" s="44"/>
      <c r="AG68" s="44"/>
      <c r="AH68" s="44"/>
      <c r="AI68" s="44"/>
      <c r="AJ68" s="44"/>
      <c r="AK68" s="44"/>
      <c r="AL68" s="44"/>
      <c r="AM68" s="44"/>
      <c r="AN68" s="44"/>
      <c r="AO68" s="44"/>
      <c r="AP68" s="44"/>
      <c r="AQ68" s="44"/>
      <c r="AR68" s="44"/>
      <c r="AS68" s="44"/>
      <c r="AT68" s="44"/>
      <c r="AU68" s="44"/>
      <c r="AV68" s="44"/>
      <c r="AW68" s="44"/>
      <c r="AX68" s="44"/>
    </row>
    <row r="69" ht="15.75" customHeight="1">
      <c r="A69" s="82" t="s">
        <v>112</v>
      </c>
      <c r="B69" s="83" t="s">
        <v>553</v>
      </c>
      <c r="C69" s="68"/>
      <c r="D69" s="84" t="s">
        <v>174</v>
      </c>
      <c r="E69" s="68"/>
      <c r="F69" s="68"/>
      <c r="G69" s="68"/>
      <c r="H69" s="68"/>
      <c r="I69" s="68"/>
      <c r="J69" s="68"/>
      <c r="K69" s="68"/>
      <c r="L69" s="68"/>
      <c r="M69" s="68"/>
      <c r="N69" s="68"/>
      <c r="O69" s="71"/>
      <c r="P69" s="71"/>
      <c r="Q69" s="71"/>
      <c r="R69" s="71"/>
      <c r="S69" s="71"/>
      <c r="T69" s="83" t="s">
        <v>558</v>
      </c>
      <c r="U69" s="71"/>
      <c r="V69" s="71"/>
      <c r="W69" s="71"/>
      <c r="X69" s="71"/>
      <c r="Y69" s="71"/>
      <c r="Z69" s="71"/>
      <c r="AA69" s="71"/>
      <c r="AB69" s="71"/>
      <c r="AC69" s="71"/>
      <c r="AD69" s="44"/>
      <c r="AE69" s="44"/>
      <c r="AF69" s="44"/>
      <c r="AG69" s="44"/>
      <c r="AH69" s="44"/>
      <c r="AI69" s="44"/>
      <c r="AJ69" s="44"/>
      <c r="AK69" s="44"/>
      <c r="AL69" s="44"/>
      <c r="AM69" s="44"/>
      <c r="AN69" s="44"/>
      <c r="AO69" s="44"/>
      <c r="AP69" s="44"/>
      <c r="AQ69" s="44"/>
      <c r="AR69" s="44"/>
      <c r="AS69" s="44"/>
      <c r="AT69" s="44"/>
      <c r="AU69" s="44"/>
      <c r="AV69" s="44"/>
      <c r="AW69" s="44"/>
      <c r="AX69" s="44"/>
    </row>
    <row r="70" ht="15.75" customHeight="1">
      <c r="A70" s="82" t="s">
        <v>112</v>
      </c>
      <c r="B70" s="83" t="s">
        <v>563</v>
      </c>
      <c r="C70" s="68"/>
      <c r="D70" s="84" t="s">
        <v>174</v>
      </c>
      <c r="E70" s="68"/>
      <c r="F70" s="68"/>
      <c r="G70" s="68"/>
      <c r="H70" s="68"/>
      <c r="I70" s="68"/>
      <c r="J70" s="68"/>
      <c r="K70" s="68"/>
      <c r="L70" s="68"/>
      <c r="M70" s="68"/>
      <c r="N70" s="68"/>
      <c r="O70" s="71"/>
      <c r="P70" s="71"/>
      <c r="Q70" s="71"/>
      <c r="R70" s="71"/>
      <c r="S70" s="71"/>
      <c r="T70" s="83" t="s">
        <v>564</v>
      </c>
      <c r="U70" s="71"/>
      <c r="V70" s="71"/>
      <c r="W70" s="71"/>
      <c r="X70" s="71"/>
      <c r="Y70" s="71"/>
      <c r="Z70" s="71"/>
      <c r="AA70" s="71"/>
      <c r="AB70" s="71"/>
      <c r="AC70" s="71"/>
      <c r="AD70" s="44"/>
      <c r="AE70" s="44"/>
      <c r="AF70" s="44"/>
      <c r="AG70" s="44"/>
      <c r="AH70" s="44"/>
      <c r="AI70" s="44"/>
      <c r="AJ70" s="44"/>
      <c r="AK70" s="44"/>
      <c r="AL70" s="44"/>
      <c r="AM70" s="44"/>
      <c r="AN70" s="44"/>
      <c r="AO70" s="44"/>
      <c r="AP70" s="44"/>
      <c r="AQ70" s="44"/>
      <c r="AR70" s="44"/>
      <c r="AS70" s="44"/>
      <c r="AT70" s="44"/>
      <c r="AU70" s="44"/>
      <c r="AV70" s="44"/>
      <c r="AW70" s="44"/>
      <c r="AX70" s="44"/>
    </row>
    <row r="71" ht="15.75" customHeight="1">
      <c r="A71" s="82" t="s">
        <v>112</v>
      </c>
      <c r="B71" s="83" t="s">
        <v>566</v>
      </c>
      <c r="C71" s="68"/>
      <c r="D71" s="84" t="s">
        <v>174</v>
      </c>
      <c r="E71" s="68"/>
      <c r="F71" s="68"/>
      <c r="G71" s="68"/>
      <c r="H71" s="68"/>
      <c r="I71" s="68"/>
      <c r="J71" s="68"/>
      <c r="K71" s="68"/>
      <c r="L71" s="68"/>
      <c r="M71" s="68"/>
      <c r="N71" s="68"/>
      <c r="O71" s="71"/>
      <c r="P71" s="71"/>
      <c r="Q71" s="71"/>
      <c r="R71" s="71"/>
      <c r="S71" s="71"/>
      <c r="T71" s="83" t="s">
        <v>567</v>
      </c>
      <c r="U71" s="71"/>
      <c r="V71" s="71"/>
      <c r="W71" s="71"/>
      <c r="X71" s="71"/>
      <c r="Y71" s="71"/>
      <c r="Z71" s="71"/>
      <c r="AA71" s="71"/>
      <c r="AB71" s="71"/>
      <c r="AC71" s="71"/>
      <c r="AD71" s="44"/>
      <c r="AE71" s="44"/>
      <c r="AF71" s="44"/>
      <c r="AG71" s="44"/>
      <c r="AH71" s="44"/>
      <c r="AI71" s="44"/>
      <c r="AJ71" s="44"/>
      <c r="AK71" s="44"/>
      <c r="AL71" s="44"/>
      <c r="AM71" s="44"/>
      <c r="AN71" s="44"/>
      <c r="AO71" s="44"/>
      <c r="AP71" s="44"/>
      <c r="AQ71" s="44"/>
      <c r="AR71" s="44"/>
      <c r="AS71" s="44"/>
      <c r="AT71" s="44"/>
      <c r="AU71" s="44"/>
      <c r="AV71" s="44"/>
      <c r="AW71" s="44"/>
      <c r="AX71" s="44"/>
    </row>
    <row r="72" ht="15.75" customHeight="1">
      <c r="A72" s="82" t="s">
        <v>112</v>
      </c>
      <c r="B72" s="83" t="s">
        <v>569</v>
      </c>
      <c r="C72" s="68"/>
      <c r="D72" s="84" t="s">
        <v>174</v>
      </c>
      <c r="E72" s="68"/>
      <c r="F72" s="68"/>
      <c r="G72" s="68"/>
      <c r="H72" s="68"/>
      <c r="I72" s="68"/>
      <c r="J72" s="68"/>
      <c r="K72" s="68"/>
      <c r="L72" s="68"/>
      <c r="M72" s="68"/>
      <c r="N72" s="68"/>
      <c r="O72" s="71"/>
      <c r="P72" s="71"/>
      <c r="Q72" s="71"/>
      <c r="R72" s="71"/>
      <c r="S72" s="71"/>
      <c r="T72" s="83" t="s">
        <v>570</v>
      </c>
      <c r="U72" s="71"/>
      <c r="V72" s="71"/>
      <c r="W72" s="71"/>
      <c r="X72" s="71"/>
      <c r="Y72" s="71"/>
      <c r="Z72" s="71"/>
      <c r="AA72" s="71"/>
      <c r="AB72" s="71"/>
      <c r="AC72" s="71"/>
      <c r="AD72" s="44"/>
      <c r="AE72" s="44"/>
      <c r="AF72" s="44"/>
      <c r="AG72" s="44"/>
      <c r="AH72" s="44"/>
      <c r="AI72" s="44"/>
      <c r="AJ72" s="44"/>
      <c r="AK72" s="44"/>
      <c r="AL72" s="44"/>
      <c r="AM72" s="44"/>
      <c r="AN72" s="44"/>
      <c r="AO72" s="44"/>
      <c r="AP72" s="44"/>
      <c r="AQ72" s="44"/>
      <c r="AR72" s="44"/>
      <c r="AS72" s="44"/>
      <c r="AT72" s="44"/>
      <c r="AU72" s="44"/>
      <c r="AV72" s="44"/>
      <c r="AW72" s="44"/>
      <c r="AX72" s="44"/>
    </row>
    <row r="73" ht="15.75" customHeight="1">
      <c r="A73" s="82" t="s">
        <v>112</v>
      </c>
      <c r="B73" s="83" t="s">
        <v>572</v>
      </c>
      <c r="C73" s="68"/>
      <c r="D73" s="84" t="s">
        <v>174</v>
      </c>
      <c r="E73" s="68"/>
      <c r="F73" s="68"/>
      <c r="G73" s="68"/>
      <c r="H73" s="68"/>
      <c r="I73" s="68"/>
      <c r="J73" s="68"/>
      <c r="K73" s="68"/>
      <c r="L73" s="68"/>
      <c r="M73" s="68"/>
      <c r="N73" s="68"/>
      <c r="O73" s="71"/>
      <c r="P73" s="71"/>
      <c r="Q73" s="71"/>
      <c r="R73" s="71"/>
      <c r="S73" s="71"/>
      <c r="T73" s="83" t="s">
        <v>574</v>
      </c>
      <c r="U73" s="71"/>
      <c r="V73" s="71"/>
      <c r="W73" s="71"/>
      <c r="X73" s="71"/>
      <c r="Y73" s="71"/>
      <c r="Z73" s="71"/>
      <c r="AA73" s="71"/>
      <c r="AB73" s="71"/>
      <c r="AC73" s="71"/>
      <c r="AD73" s="44"/>
      <c r="AE73" s="44"/>
      <c r="AF73" s="44"/>
      <c r="AG73" s="44"/>
      <c r="AH73" s="44"/>
      <c r="AI73" s="44"/>
      <c r="AJ73" s="44"/>
      <c r="AK73" s="44"/>
      <c r="AL73" s="44"/>
      <c r="AM73" s="44"/>
      <c r="AN73" s="44"/>
      <c r="AO73" s="44"/>
      <c r="AP73" s="44"/>
      <c r="AQ73" s="44"/>
      <c r="AR73" s="44"/>
      <c r="AS73" s="44"/>
      <c r="AT73" s="44"/>
      <c r="AU73" s="44"/>
      <c r="AV73" s="44"/>
      <c r="AW73" s="44"/>
      <c r="AX73" s="44"/>
    </row>
    <row r="74" ht="15.75" customHeight="1">
      <c r="A74" s="82" t="s">
        <v>112</v>
      </c>
      <c r="B74" s="83" t="s">
        <v>575</v>
      </c>
      <c r="C74" s="68"/>
      <c r="D74" s="84" t="s">
        <v>174</v>
      </c>
      <c r="E74" s="68"/>
      <c r="F74" s="68"/>
      <c r="G74" s="68"/>
      <c r="H74" s="68"/>
      <c r="I74" s="68"/>
      <c r="J74" s="68"/>
      <c r="K74" s="68"/>
      <c r="L74" s="68"/>
      <c r="M74" s="68"/>
      <c r="N74" s="68"/>
      <c r="O74" s="71"/>
      <c r="P74" s="71"/>
      <c r="Q74" s="71"/>
      <c r="R74" s="71"/>
      <c r="S74" s="71"/>
      <c r="T74" s="83" t="s">
        <v>576</v>
      </c>
      <c r="U74" s="71"/>
      <c r="V74" s="71"/>
      <c r="W74" s="71"/>
      <c r="X74" s="71"/>
      <c r="Y74" s="71"/>
      <c r="Z74" s="71"/>
      <c r="AA74" s="71"/>
      <c r="AB74" s="71"/>
      <c r="AC74" s="71"/>
      <c r="AD74" s="44"/>
      <c r="AE74" s="44"/>
      <c r="AF74" s="44"/>
      <c r="AG74" s="44"/>
      <c r="AH74" s="44"/>
      <c r="AI74" s="44"/>
      <c r="AJ74" s="44"/>
      <c r="AK74" s="44"/>
      <c r="AL74" s="44"/>
      <c r="AM74" s="44"/>
      <c r="AN74" s="44"/>
      <c r="AO74" s="44"/>
      <c r="AP74" s="44"/>
      <c r="AQ74" s="44"/>
      <c r="AR74" s="44"/>
      <c r="AS74" s="44"/>
      <c r="AT74" s="44"/>
      <c r="AU74" s="44"/>
      <c r="AV74" s="44"/>
      <c r="AW74" s="44"/>
      <c r="AX74" s="44"/>
    </row>
    <row r="75" ht="15.75" customHeight="1">
      <c r="A75" s="82" t="s">
        <v>112</v>
      </c>
      <c r="B75" s="83" t="s">
        <v>578</v>
      </c>
      <c r="C75" s="68"/>
      <c r="D75" s="84" t="s">
        <v>174</v>
      </c>
      <c r="E75" s="68"/>
      <c r="F75" s="68"/>
      <c r="G75" s="68"/>
      <c r="H75" s="68"/>
      <c r="I75" s="68"/>
      <c r="J75" s="68"/>
      <c r="K75" s="68"/>
      <c r="L75" s="68"/>
      <c r="M75" s="68"/>
      <c r="N75" s="68"/>
      <c r="O75" s="71"/>
      <c r="P75" s="71"/>
      <c r="Q75" s="71"/>
      <c r="R75" s="71"/>
      <c r="S75" s="71"/>
      <c r="T75" s="83" t="s">
        <v>580</v>
      </c>
      <c r="U75" s="71"/>
      <c r="V75" s="71"/>
      <c r="W75" s="71"/>
      <c r="X75" s="71"/>
      <c r="Y75" s="71"/>
      <c r="Z75" s="71"/>
      <c r="AA75" s="71"/>
      <c r="AB75" s="71"/>
      <c r="AC75" s="71"/>
      <c r="AD75" s="44"/>
      <c r="AE75" s="44"/>
      <c r="AF75" s="44"/>
      <c r="AG75" s="44"/>
      <c r="AH75" s="44"/>
      <c r="AI75" s="44"/>
      <c r="AJ75" s="44"/>
      <c r="AK75" s="44"/>
      <c r="AL75" s="44"/>
      <c r="AM75" s="44"/>
      <c r="AN75" s="44"/>
      <c r="AO75" s="44"/>
      <c r="AP75" s="44"/>
      <c r="AQ75" s="44"/>
      <c r="AR75" s="44"/>
      <c r="AS75" s="44"/>
      <c r="AT75" s="44"/>
      <c r="AU75" s="44"/>
      <c r="AV75" s="44"/>
      <c r="AW75" s="44"/>
      <c r="AX75" s="44"/>
    </row>
    <row r="76" ht="15.75" customHeight="1">
      <c r="A76" s="82" t="s">
        <v>112</v>
      </c>
      <c r="B76" s="83" t="s">
        <v>581</v>
      </c>
      <c r="C76" s="68"/>
      <c r="D76" s="84" t="s">
        <v>174</v>
      </c>
      <c r="E76" s="68"/>
      <c r="F76" s="68"/>
      <c r="G76" s="68"/>
      <c r="H76" s="68"/>
      <c r="I76" s="68"/>
      <c r="J76" s="68"/>
      <c r="K76" s="68"/>
      <c r="L76" s="68"/>
      <c r="M76" s="68"/>
      <c r="N76" s="68"/>
      <c r="O76" s="71"/>
      <c r="P76" s="71"/>
      <c r="Q76" s="71"/>
      <c r="R76" s="71"/>
      <c r="S76" s="71"/>
      <c r="T76" s="83" t="s">
        <v>583</v>
      </c>
      <c r="U76" s="71"/>
      <c r="V76" s="71"/>
      <c r="W76" s="71"/>
      <c r="X76" s="71"/>
      <c r="Y76" s="71"/>
      <c r="Z76" s="71"/>
      <c r="AA76" s="71"/>
      <c r="AB76" s="71"/>
      <c r="AC76" s="71"/>
      <c r="AD76" s="44"/>
      <c r="AE76" s="44"/>
      <c r="AF76" s="44"/>
      <c r="AG76" s="44"/>
      <c r="AH76" s="44"/>
      <c r="AI76" s="44"/>
      <c r="AJ76" s="44"/>
      <c r="AK76" s="44"/>
      <c r="AL76" s="44"/>
      <c r="AM76" s="44"/>
      <c r="AN76" s="44"/>
      <c r="AO76" s="44"/>
      <c r="AP76" s="44"/>
      <c r="AQ76" s="44"/>
      <c r="AR76" s="44"/>
      <c r="AS76" s="44"/>
      <c r="AT76" s="44"/>
      <c r="AU76" s="44"/>
      <c r="AV76" s="44"/>
      <c r="AW76" s="44"/>
      <c r="AX76" s="44"/>
    </row>
    <row r="77" ht="15.75" customHeight="1">
      <c r="A77" s="44"/>
      <c r="B77" s="44"/>
      <c r="C77" s="154" t="s">
        <v>55</v>
      </c>
      <c r="D77" s="154"/>
      <c r="E77" s="154" t="s">
        <v>55</v>
      </c>
      <c r="F77" s="154"/>
      <c r="G77" s="154"/>
      <c r="H77" s="154"/>
      <c r="I77" s="154"/>
      <c r="J77" s="154"/>
      <c r="K77" s="154"/>
      <c r="L77" s="154"/>
      <c r="M77" s="154"/>
      <c r="N77" s="15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row>
    <row r="78" ht="15.75" customHeight="1">
      <c r="A78" s="82" t="s">
        <v>112</v>
      </c>
      <c r="B78" s="155" t="s">
        <v>586</v>
      </c>
      <c r="C78" s="68"/>
      <c r="D78" s="84" t="s">
        <v>174</v>
      </c>
      <c r="E78" s="68"/>
      <c r="F78" s="68"/>
      <c r="G78" s="68"/>
      <c r="H78" s="68"/>
      <c r="I78" s="68"/>
      <c r="J78" s="68"/>
      <c r="K78" s="68"/>
      <c r="L78" s="68"/>
      <c r="M78" s="68"/>
      <c r="N78" s="68"/>
      <c r="O78" s="187" t="s">
        <v>587</v>
      </c>
      <c r="P78" s="71"/>
      <c r="Q78" s="71"/>
      <c r="R78" s="71"/>
      <c r="S78" s="71"/>
      <c r="T78" s="155" t="s">
        <v>588</v>
      </c>
      <c r="U78" s="71"/>
      <c r="V78" s="71"/>
      <c r="W78" s="71"/>
      <c r="X78" s="71"/>
      <c r="Y78" s="71"/>
      <c r="Z78" s="71"/>
      <c r="AA78" s="71"/>
      <c r="AB78" s="71"/>
      <c r="AC78" s="71"/>
      <c r="AD78" s="44"/>
      <c r="AE78" s="44"/>
      <c r="AF78" s="44"/>
      <c r="AG78" s="44"/>
      <c r="AH78" s="44"/>
      <c r="AI78" s="44"/>
      <c r="AJ78" s="44"/>
      <c r="AK78" s="44"/>
      <c r="AL78" s="44"/>
      <c r="AM78" s="44"/>
      <c r="AN78" s="44"/>
      <c r="AO78" s="44"/>
      <c r="AP78" s="44"/>
      <c r="AQ78" s="44"/>
      <c r="AR78" s="44"/>
      <c r="AS78" s="44"/>
      <c r="AT78" s="44"/>
      <c r="AU78" s="44"/>
      <c r="AV78" s="44"/>
      <c r="AW78" s="44"/>
      <c r="AX78" s="44"/>
    </row>
    <row r="79" ht="15.75" customHeight="1">
      <c r="A79" s="82" t="s">
        <v>112</v>
      </c>
      <c r="B79" s="83" t="s">
        <v>590</v>
      </c>
      <c r="C79" s="84" t="s">
        <v>591</v>
      </c>
      <c r="D79" s="84" t="s">
        <v>174</v>
      </c>
      <c r="E79" s="68"/>
      <c r="F79" s="68"/>
      <c r="G79" s="68"/>
      <c r="H79" s="68"/>
      <c r="I79" s="68"/>
      <c r="J79" s="68"/>
      <c r="K79" s="68"/>
      <c r="L79" s="68"/>
      <c r="M79" s="68"/>
      <c r="N79" s="68"/>
      <c r="O79" s="71"/>
      <c r="P79" s="71"/>
      <c r="Q79" s="71"/>
      <c r="R79" s="71"/>
      <c r="S79" s="71"/>
      <c r="T79" s="155" t="s">
        <v>593</v>
      </c>
      <c r="U79" s="71"/>
      <c r="V79" s="71"/>
      <c r="W79" s="71"/>
      <c r="X79" s="71"/>
      <c r="Y79" s="71"/>
      <c r="Z79" s="71"/>
      <c r="AA79" s="71"/>
      <c r="AB79" s="71"/>
      <c r="AC79" s="71"/>
      <c r="AD79" s="44"/>
      <c r="AE79" s="44"/>
      <c r="AF79" s="44"/>
      <c r="AG79" s="44"/>
      <c r="AH79" s="44"/>
      <c r="AI79" s="44"/>
      <c r="AJ79" s="44"/>
      <c r="AK79" s="44"/>
      <c r="AL79" s="44"/>
      <c r="AM79" s="44"/>
      <c r="AN79" s="44"/>
      <c r="AO79" s="44"/>
      <c r="AP79" s="44"/>
      <c r="AQ79" s="44"/>
      <c r="AR79" s="44"/>
      <c r="AS79" s="44"/>
      <c r="AT79" s="44"/>
      <c r="AU79" s="44"/>
      <c r="AV79" s="44"/>
      <c r="AW79" s="44"/>
      <c r="AX79" s="44"/>
    </row>
    <row r="80" ht="15.75" customHeight="1">
      <c r="A80" s="82" t="s">
        <v>112</v>
      </c>
      <c r="B80" s="83" t="s">
        <v>594</v>
      </c>
      <c r="C80" s="84" t="s">
        <v>595</v>
      </c>
      <c r="D80" s="84" t="s">
        <v>174</v>
      </c>
      <c r="E80" s="68"/>
      <c r="F80" s="68"/>
      <c r="G80" s="68"/>
      <c r="H80" s="68"/>
      <c r="I80" s="68"/>
      <c r="J80" s="68"/>
      <c r="K80" s="68"/>
      <c r="L80" s="68"/>
      <c r="M80" s="68"/>
      <c r="N80" s="68"/>
      <c r="O80" s="71"/>
      <c r="P80" s="71"/>
      <c r="Q80" s="71"/>
      <c r="R80" s="71"/>
      <c r="S80" s="71"/>
      <c r="T80" s="83" t="s">
        <v>596</v>
      </c>
      <c r="U80" s="71"/>
      <c r="V80" s="71"/>
      <c r="W80" s="71"/>
      <c r="X80" s="71"/>
      <c r="Y80" s="71"/>
      <c r="Z80" s="71"/>
      <c r="AA80" s="71"/>
      <c r="AB80" s="71"/>
      <c r="AC80" s="71"/>
      <c r="AD80" s="44"/>
      <c r="AE80" s="44"/>
      <c r="AF80" s="44"/>
      <c r="AG80" s="44"/>
      <c r="AH80" s="44"/>
      <c r="AI80" s="44"/>
      <c r="AJ80" s="44"/>
      <c r="AK80" s="44"/>
      <c r="AL80" s="44"/>
      <c r="AM80" s="44"/>
      <c r="AN80" s="44"/>
      <c r="AO80" s="44"/>
      <c r="AP80" s="44"/>
      <c r="AQ80" s="44"/>
      <c r="AR80" s="44"/>
      <c r="AS80" s="44"/>
      <c r="AT80" s="44"/>
      <c r="AU80" s="44"/>
      <c r="AV80" s="44"/>
      <c r="AW80" s="44"/>
      <c r="AX80" s="44"/>
    </row>
    <row r="81" ht="15.75" customHeight="1">
      <c r="A81" s="44"/>
      <c r="B81" s="44"/>
      <c r="C81" s="154" t="s">
        <v>55</v>
      </c>
      <c r="D81" s="154"/>
      <c r="E81" s="154" t="s">
        <v>55</v>
      </c>
      <c r="F81" s="154"/>
      <c r="G81" s="154"/>
      <c r="H81" s="154"/>
      <c r="I81" s="154"/>
      <c r="J81" s="154"/>
      <c r="K81" s="154"/>
      <c r="L81" s="154"/>
      <c r="M81" s="154"/>
      <c r="N81" s="15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row>
    <row r="82" ht="15.75" customHeight="1">
      <c r="A82" s="82" t="s">
        <v>112</v>
      </c>
      <c r="B82" s="155" t="s">
        <v>599</v>
      </c>
      <c r="C82" s="84" t="s">
        <v>600</v>
      </c>
      <c r="D82" s="84" t="s">
        <v>174</v>
      </c>
      <c r="E82" s="68"/>
      <c r="F82" s="68"/>
      <c r="G82" s="68"/>
      <c r="H82" s="68"/>
      <c r="I82" s="68"/>
      <c r="J82" s="68"/>
      <c r="K82" s="68"/>
      <c r="L82" s="68"/>
      <c r="M82" s="68"/>
      <c r="N82" s="68"/>
      <c r="O82" s="71"/>
      <c r="P82" s="71"/>
      <c r="Q82" s="71"/>
      <c r="R82" s="71"/>
      <c r="S82" s="71"/>
      <c r="T82" s="155" t="s">
        <v>603</v>
      </c>
      <c r="U82" s="71"/>
      <c r="V82" s="71"/>
      <c r="W82" s="71"/>
      <c r="X82" s="71"/>
      <c r="Y82" s="71"/>
      <c r="Z82" s="71"/>
      <c r="AA82" s="71"/>
      <c r="AB82" s="71"/>
      <c r="AC82" s="71"/>
      <c r="AD82" s="44"/>
      <c r="AE82" s="44"/>
      <c r="AF82" s="44"/>
      <c r="AG82" s="44"/>
      <c r="AH82" s="44"/>
      <c r="AI82" s="44"/>
      <c r="AJ82" s="44"/>
      <c r="AK82" s="44"/>
      <c r="AL82" s="44"/>
      <c r="AM82" s="44"/>
      <c r="AN82" s="44"/>
      <c r="AO82" s="44"/>
      <c r="AP82" s="44"/>
      <c r="AQ82" s="44"/>
      <c r="AR82" s="44"/>
      <c r="AS82" s="44"/>
      <c r="AT82" s="44"/>
      <c r="AU82" s="44"/>
      <c r="AV82" s="44"/>
      <c r="AW82" s="44"/>
      <c r="AX82" s="44"/>
    </row>
    <row r="83" ht="15.75" customHeight="1">
      <c r="A83" s="82" t="s">
        <v>112</v>
      </c>
      <c r="B83" s="83" t="s">
        <v>608</v>
      </c>
      <c r="C83" s="68"/>
      <c r="D83" s="84" t="s">
        <v>174</v>
      </c>
      <c r="E83" s="68"/>
      <c r="F83" s="68"/>
      <c r="G83" s="68"/>
      <c r="H83" s="68"/>
      <c r="I83" s="68"/>
      <c r="J83" s="68"/>
      <c r="K83" s="68"/>
      <c r="L83" s="68"/>
      <c r="M83" s="68"/>
      <c r="N83" s="68"/>
      <c r="O83" s="71"/>
      <c r="P83" s="71"/>
      <c r="Q83" s="71"/>
      <c r="R83" s="71"/>
      <c r="S83" s="71"/>
      <c r="T83" s="155" t="s">
        <v>610</v>
      </c>
      <c r="U83" s="71"/>
      <c r="V83" s="71"/>
      <c r="W83" s="71"/>
      <c r="X83" s="71"/>
      <c r="Y83" s="71"/>
      <c r="Z83" s="71"/>
      <c r="AA83" s="71"/>
      <c r="AB83" s="71"/>
      <c r="AC83" s="71"/>
      <c r="AD83" s="44"/>
      <c r="AE83" s="44"/>
      <c r="AF83" s="44"/>
      <c r="AG83" s="44"/>
      <c r="AH83" s="44"/>
      <c r="AI83" s="44"/>
      <c r="AJ83" s="44"/>
      <c r="AK83" s="44"/>
      <c r="AL83" s="44"/>
      <c r="AM83" s="44"/>
      <c r="AN83" s="44"/>
      <c r="AO83" s="44"/>
      <c r="AP83" s="44"/>
      <c r="AQ83" s="44"/>
      <c r="AR83" s="44"/>
      <c r="AS83" s="44"/>
      <c r="AT83" s="44"/>
      <c r="AU83" s="44"/>
      <c r="AV83" s="44"/>
      <c r="AW83" s="44"/>
      <c r="AX83" s="44"/>
    </row>
    <row r="84" ht="15.75" customHeight="1">
      <c r="A84" s="82" t="s">
        <v>112</v>
      </c>
      <c r="B84" s="83" t="s">
        <v>615</v>
      </c>
      <c r="C84" s="84" t="s">
        <v>616</v>
      </c>
      <c r="D84" s="84" t="s">
        <v>174</v>
      </c>
      <c r="E84" s="68"/>
      <c r="F84" s="68"/>
      <c r="G84" s="68"/>
      <c r="H84" s="68"/>
      <c r="I84" s="68"/>
      <c r="J84" s="68"/>
      <c r="K84" s="68"/>
      <c r="L84" s="68"/>
      <c r="M84" s="68"/>
      <c r="N84" s="68"/>
      <c r="O84" s="71"/>
      <c r="P84" s="71"/>
      <c r="Q84" s="71"/>
      <c r="R84" s="71"/>
      <c r="S84" s="71"/>
      <c r="T84" s="83" t="s">
        <v>622</v>
      </c>
      <c r="U84" s="71"/>
      <c r="V84" s="71"/>
      <c r="W84" s="71"/>
      <c r="X84" s="71"/>
      <c r="Y84" s="71"/>
      <c r="Z84" s="71"/>
      <c r="AA84" s="71"/>
      <c r="AB84" s="71"/>
      <c r="AC84" s="71"/>
      <c r="AD84" s="44"/>
      <c r="AE84" s="44"/>
      <c r="AF84" s="44"/>
      <c r="AG84" s="44"/>
      <c r="AH84" s="44"/>
      <c r="AI84" s="44"/>
      <c r="AJ84" s="44"/>
      <c r="AK84" s="44"/>
      <c r="AL84" s="44"/>
      <c r="AM84" s="44"/>
      <c r="AN84" s="44"/>
      <c r="AO84" s="44"/>
      <c r="AP84" s="44"/>
      <c r="AQ84" s="44"/>
      <c r="AR84" s="44"/>
      <c r="AS84" s="44"/>
      <c r="AT84" s="44"/>
      <c r="AU84" s="44"/>
      <c r="AV84" s="44"/>
      <c r="AW84" s="44"/>
      <c r="AX84" s="44"/>
    </row>
    <row r="85" ht="15.75" customHeight="1">
      <c r="A85" s="82" t="s">
        <v>112</v>
      </c>
      <c r="B85" s="83" t="s">
        <v>636</v>
      </c>
      <c r="C85" s="84" t="s">
        <v>638</v>
      </c>
      <c r="D85" s="68"/>
      <c r="E85" s="68"/>
      <c r="F85" s="68"/>
      <c r="G85" s="68"/>
      <c r="H85" s="68"/>
      <c r="I85" s="68"/>
      <c r="J85" s="68"/>
      <c r="K85" s="68"/>
      <c r="L85" s="68"/>
      <c r="M85" s="68"/>
      <c r="N85" s="68"/>
      <c r="O85" s="71"/>
      <c r="P85" s="71"/>
      <c r="Q85" s="71"/>
      <c r="R85" s="71"/>
      <c r="S85" s="71"/>
      <c r="T85" s="83" t="s">
        <v>645</v>
      </c>
      <c r="U85" s="71"/>
      <c r="V85" s="71"/>
      <c r="W85" s="71"/>
      <c r="X85" s="71"/>
      <c r="Y85" s="71"/>
      <c r="Z85" s="71"/>
      <c r="AA85" s="71"/>
      <c r="AB85" s="71"/>
      <c r="AC85" s="71"/>
      <c r="AD85" s="44"/>
      <c r="AE85" s="44"/>
      <c r="AF85" s="44"/>
      <c r="AG85" s="44"/>
      <c r="AH85" s="44"/>
      <c r="AI85" s="44"/>
      <c r="AJ85" s="44"/>
      <c r="AK85" s="44"/>
      <c r="AL85" s="44"/>
      <c r="AM85" s="44"/>
      <c r="AN85" s="44"/>
      <c r="AO85" s="44"/>
      <c r="AP85" s="44"/>
      <c r="AQ85" s="44"/>
      <c r="AR85" s="44"/>
      <c r="AS85" s="44"/>
      <c r="AT85" s="44"/>
      <c r="AU85" s="44"/>
      <c r="AV85" s="44"/>
      <c r="AW85" s="44"/>
      <c r="AX85" s="44"/>
    </row>
    <row r="86" ht="15.75" customHeight="1">
      <c r="A86" s="82" t="s">
        <v>112</v>
      </c>
      <c r="B86" s="83" t="s">
        <v>657</v>
      </c>
      <c r="C86" s="84" t="s">
        <v>658</v>
      </c>
      <c r="D86" s="84" t="s">
        <v>174</v>
      </c>
      <c r="E86" s="68"/>
      <c r="F86" s="68"/>
      <c r="G86" s="68"/>
      <c r="H86" s="68"/>
      <c r="I86" s="68"/>
      <c r="J86" s="68"/>
      <c r="K86" s="68"/>
      <c r="L86" s="68"/>
      <c r="M86" s="68"/>
      <c r="N86" s="68"/>
      <c r="O86" s="71"/>
      <c r="P86" s="71"/>
      <c r="Q86" s="71"/>
      <c r="R86" s="71"/>
      <c r="S86" s="71"/>
      <c r="T86" s="155" t="s">
        <v>662</v>
      </c>
      <c r="U86" s="71"/>
      <c r="V86" s="71"/>
      <c r="W86" s="71"/>
      <c r="X86" s="71"/>
      <c r="Y86" s="71"/>
      <c r="Z86" s="71"/>
      <c r="AA86" s="71"/>
      <c r="AB86" s="71"/>
      <c r="AC86" s="71"/>
      <c r="AD86" s="44"/>
      <c r="AE86" s="44"/>
      <c r="AF86" s="44"/>
      <c r="AG86" s="44"/>
      <c r="AH86" s="44"/>
      <c r="AI86" s="44"/>
      <c r="AJ86" s="44"/>
      <c r="AK86" s="44"/>
      <c r="AL86" s="44"/>
      <c r="AM86" s="44"/>
      <c r="AN86" s="44"/>
      <c r="AO86" s="44"/>
      <c r="AP86" s="44"/>
      <c r="AQ86" s="44"/>
      <c r="AR86" s="44"/>
      <c r="AS86" s="44"/>
      <c r="AT86" s="44"/>
      <c r="AU86" s="44"/>
      <c r="AV86" s="44"/>
      <c r="AW86" s="44"/>
      <c r="AX86" s="44"/>
    </row>
    <row r="87" ht="15.75" customHeight="1">
      <c r="A87" s="44"/>
      <c r="B87" s="44"/>
      <c r="C87" s="154" t="s">
        <v>55</v>
      </c>
      <c r="D87" s="154"/>
      <c r="E87" s="154" t="s">
        <v>55</v>
      </c>
      <c r="F87" s="154"/>
      <c r="G87" s="154"/>
      <c r="H87" s="154"/>
      <c r="I87" s="154"/>
      <c r="J87" s="154"/>
      <c r="K87" s="154"/>
      <c r="L87" s="154"/>
      <c r="M87" s="154"/>
      <c r="N87" s="15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row>
    <row r="88" ht="15.75" customHeight="1">
      <c r="A88" s="82" t="s">
        <v>112</v>
      </c>
      <c r="B88" s="83" t="s">
        <v>677</v>
      </c>
      <c r="C88" s="84" t="s">
        <v>678</v>
      </c>
      <c r="D88" s="84" t="s">
        <v>174</v>
      </c>
      <c r="E88" s="68"/>
      <c r="F88" s="68"/>
      <c r="G88" s="68"/>
      <c r="H88" s="68"/>
      <c r="I88" s="68"/>
      <c r="J88" s="68"/>
      <c r="K88" s="68"/>
      <c r="L88" s="68"/>
      <c r="M88" s="68"/>
      <c r="N88" s="68"/>
      <c r="O88" s="71"/>
      <c r="P88" s="71"/>
      <c r="Q88" s="71"/>
      <c r="R88" s="71"/>
      <c r="S88" s="71"/>
      <c r="T88" s="83" t="s">
        <v>680</v>
      </c>
      <c r="U88" s="71"/>
      <c r="V88" s="71"/>
      <c r="W88" s="71"/>
      <c r="X88" s="71"/>
      <c r="Y88" s="71"/>
      <c r="Z88" s="71"/>
      <c r="AA88" s="71"/>
      <c r="AB88" s="71"/>
      <c r="AC88" s="71"/>
      <c r="AD88" s="44"/>
      <c r="AE88" s="44"/>
      <c r="AF88" s="44"/>
      <c r="AG88" s="44"/>
      <c r="AH88" s="44"/>
      <c r="AI88" s="44"/>
      <c r="AJ88" s="44"/>
      <c r="AK88" s="44"/>
      <c r="AL88" s="44"/>
      <c r="AM88" s="44"/>
      <c r="AN88" s="44"/>
      <c r="AO88" s="44"/>
      <c r="AP88" s="44"/>
      <c r="AQ88" s="44"/>
      <c r="AR88" s="44"/>
      <c r="AS88" s="44"/>
      <c r="AT88" s="44"/>
      <c r="AU88" s="44"/>
      <c r="AV88" s="44"/>
      <c r="AW88" s="44"/>
      <c r="AX88" s="44"/>
    </row>
    <row r="89" ht="15.75" customHeight="1">
      <c r="A89" s="82" t="s">
        <v>112</v>
      </c>
      <c r="B89" s="83" t="s">
        <v>643</v>
      </c>
      <c r="C89" s="68"/>
      <c r="D89" s="84" t="s">
        <v>174</v>
      </c>
      <c r="E89" s="68"/>
      <c r="F89" s="68"/>
      <c r="G89" s="68"/>
      <c r="H89" s="68"/>
      <c r="I89" s="68"/>
      <c r="J89" s="68"/>
      <c r="K89" s="68"/>
      <c r="L89" s="68"/>
      <c r="M89" s="68"/>
      <c r="N89" s="68"/>
      <c r="O89" s="71"/>
      <c r="P89" s="71"/>
      <c r="Q89" s="71"/>
      <c r="R89" s="71"/>
      <c r="S89" s="71"/>
      <c r="T89" s="83" t="s">
        <v>684</v>
      </c>
      <c r="U89" s="71"/>
      <c r="V89" s="71"/>
      <c r="W89" s="71"/>
      <c r="X89" s="71"/>
      <c r="Y89" s="71"/>
      <c r="Z89" s="71"/>
      <c r="AA89" s="71"/>
      <c r="AB89" s="71"/>
      <c r="AC89" s="71"/>
      <c r="AD89" s="44"/>
      <c r="AE89" s="44"/>
      <c r="AF89" s="44"/>
      <c r="AG89" s="44"/>
      <c r="AH89" s="44"/>
      <c r="AI89" s="44"/>
      <c r="AJ89" s="44"/>
      <c r="AK89" s="44"/>
      <c r="AL89" s="44"/>
      <c r="AM89" s="44"/>
      <c r="AN89" s="44"/>
      <c r="AO89" s="44"/>
      <c r="AP89" s="44"/>
      <c r="AQ89" s="44"/>
      <c r="AR89" s="44"/>
      <c r="AS89" s="44"/>
      <c r="AT89" s="44"/>
      <c r="AU89" s="44"/>
      <c r="AV89" s="44"/>
      <c r="AW89" s="44"/>
      <c r="AX89" s="44"/>
    </row>
    <row r="90" ht="15.75" customHeight="1">
      <c r="A90" s="44"/>
      <c r="B90" s="44"/>
      <c r="C90" s="154"/>
      <c r="D90" s="154"/>
      <c r="E90" s="154"/>
      <c r="F90" s="154"/>
      <c r="G90" s="154"/>
      <c r="H90" s="154"/>
      <c r="I90" s="154"/>
      <c r="J90" s="154"/>
      <c r="K90" s="154"/>
      <c r="L90" s="154"/>
      <c r="M90" s="154"/>
      <c r="N90" s="15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row>
    <row r="91" ht="15.75" customHeight="1">
      <c r="A91" s="150" t="s">
        <v>46</v>
      </c>
      <c r="B91" s="151" t="s">
        <v>698</v>
      </c>
      <c r="C91" s="132" t="s">
        <v>699</v>
      </c>
      <c r="D91" s="131"/>
      <c r="E91" s="131"/>
      <c r="F91" s="131"/>
      <c r="G91" s="131"/>
      <c r="H91" s="131"/>
      <c r="I91" s="131"/>
      <c r="J91" s="131"/>
      <c r="K91" s="131"/>
      <c r="L91" s="131"/>
      <c r="M91" s="131"/>
      <c r="N91" s="131"/>
      <c r="O91" s="128" t="s">
        <v>702</v>
      </c>
      <c r="P91" s="133"/>
      <c r="Q91" s="150" t="s">
        <v>307</v>
      </c>
      <c r="R91" s="133"/>
      <c r="S91" s="133"/>
      <c r="T91" s="133"/>
      <c r="U91" s="133"/>
      <c r="V91" s="133"/>
      <c r="W91" s="133"/>
      <c r="X91" s="133"/>
      <c r="Y91" s="133"/>
      <c r="Z91" s="133"/>
      <c r="AA91" s="133"/>
      <c r="AB91" s="133"/>
      <c r="AC91" s="133"/>
      <c r="AD91" s="44"/>
      <c r="AE91" s="44"/>
      <c r="AF91" s="44"/>
      <c r="AG91" s="44"/>
      <c r="AH91" s="44"/>
      <c r="AI91" s="44"/>
      <c r="AJ91" s="44"/>
      <c r="AK91" s="44"/>
      <c r="AL91" s="44"/>
      <c r="AM91" s="44"/>
      <c r="AN91" s="44"/>
      <c r="AO91" s="44"/>
      <c r="AP91" s="44"/>
      <c r="AQ91" s="44"/>
      <c r="AR91" s="44"/>
      <c r="AS91" s="44"/>
      <c r="AT91" s="44"/>
      <c r="AU91" s="44"/>
      <c r="AV91" s="44"/>
      <c r="AW91" s="44"/>
      <c r="AX91" s="44"/>
    </row>
    <row r="92" ht="15.75" customHeight="1">
      <c r="A92" s="44"/>
      <c r="B92" s="44"/>
      <c r="C92" s="154" t="s">
        <v>55</v>
      </c>
      <c r="D92" s="154" t="s">
        <v>55</v>
      </c>
      <c r="E92" s="154" t="s">
        <v>55</v>
      </c>
      <c r="F92" s="154"/>
      <c r="G92" s="154"/>
      <c r="H92" s="154"/>
      <c r="I92" s="154"/>
      <c r="J92" s="154"/>
      <c r="K92" s="154"/>
      <c r="L92" s="154"/>
      <c r="M92" s="154"/>
      <c r="N92" s="15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row>
    <row r="93" ht="15.75" customHeight="1">
      <c r="A93" s="150" t="s">
        <v>46</v>
      </c>
      <c r="B93" s="151" t="s">
        <v>708</v>
      </c>
      <c r="C93" s="132" t="s">
        <v>709</v>
      </c>
      <c r="D93" s="131"/>
      <c r="E93" s="131"/>
      <c r="F93" s="131"/>
      <c r="G93" s="131"/>
      <c r="H93" s="131"/>
      <c r="I93" s="131"/>
      <c r="J93" s="131"/>
      <c r="K93" s="131"/>
      <c r="L93" s="131"/>
      <c r="M93" s="131"/>
      <c r="N93" s="131"/>
      <c r="O93" s="128" t="s">
        <v>710</v>
      </c>
      <c r="P93" s="133"/>
      <c r="Q93" s="150" t="s">
        <v>307</v>
      </c>
      <c r="R93" s="133"/>
      <c r="S93" s="133"/>
      <c r="T93" s="133"/>
      <c r="U93" s="133"/>
      <c r="V93" s="133"/>
      <c r="W93" s="133"/>
      <c r="X93" s="133"/>
      <c r="Y93" s="133"/>
      <c r="Z93" s="133"/>
      <c r="AA93" s="133"/>
      <c r="AB93" s="133"/>
      <c r="AC93" s="133"/>
      <c r="AD93" s="44"/>
      <c r="AE93" s="44"/>
      <c r="AF93" s="44"/>
      <c r="AG93" s="44"/>
      <c r="AH93" s="44"/>
      <c r="AI93" s="44"/>
      <c r="AJ93" s="44"/>
      <c r="AK93" s="44"/>
      <c r="AL93" s="44"/>
      <c r="AM93" s="44"/>
      <c r="AN93" s="44"/>
      <c r="AO93" s="44"/>
      <c r="AP93" s="44"/>
      <c r="AQ93" s="44"/>
      <c r="AR93" s="44"/>
      <c r="AS93" s="44"/>
      <c r="AT93" s="44"/>
      <c r="AU93" s="44"/>
      <c r="AV93" s="44"/>
      <c r="AW93" s="44"/>
      <c r="AX93" s="44"/>
    </row>
    <row r="94" ht="15.75" customHeight="1">
      <c r="A94" s="150" t="s">
        <v>46</v>
      </c>
      <c r="B94" s="151" t="s">
        <v>714</v>
      </c>
      <c r="C94" s="132" t="s">
        <v>715</v>
      </c>
      <c r="D94" s="131"/>
      <c r="E94" s="131"/>
      <c r="F94" s="131"/>
      <c r="G94" s="131"/>
      <c r="H94" s="131"/>
      <c r="I94" s="131"/>
      <c r="J94" s="131"/>
      <c r="K94" s="131"/>
      <c r="L94" s="131"/>
      <c r="M94" s="131"/>
      <c r="N94" s="131"/>
      <c r="O94" s="133"/>
      <c r="P94" s="150" t="s">
        <v>307</v>
      </c>
      <c r="Q94" s="133"/>
      <c r="R94" s="133"/>
      <c r="S94" s="133"/>
      <c r="T94" s="133"/>
      <c r="U94" s="133"/>
      <c r="V94" s="133"/>
      <c r="W94" s="133"/>
      <c r="X94" s="133"/>
      <c r="Y94" s="133"/>
      <c r="Z94" s="133"/>
      <c r="AA94" s="133"/>
      <c r="AB94" s="133"/>
      <c r="AC94" s="133"/>
      <c r="AD94" s="44"/>
      <c r="AE94" s="44"/>
      <c r="AF94" s="44"/>
      <c r="AG94" s="44"/>
      <c r="AH94" s="44"/>
      <c r="AI94" s="44"/>
      <c r="AJ94" s="44"/>
      <c r="AK94" s="44"/>
      <c r="AL94" s="44"/>
      <c r="AM94" s="44"/>
      <c r="AN94" s="44"/>
      <c r="AO94" s="44"/>
      <c r="AP94" s="44"/>
      <c r="AQ94" s="44"/>
      <c r="AR94" s="44"/>
      <c r="AS94" s="44"/>
      <c r="AT94" s="44"/>
      <c r="AU94" s="44"/>
      <c r="AV94" s="44"/>
      <c r="AW94" s="44"/>
      <c r="AX94" s="44"/>
    </row>
    <row r="95" ht="15.75" customHeight="1">
      <c r="A95" s="150" t="s">
        <v>46</v>
      </c>
      <c r="B95" s="151" t="s">
        <v>720</v>
      </c>
      <c r="C95" s="130" t="s">
        <v>721</v>
      </c>
      <c r="D95" s="131"/>
      <c r="E95" s="131"/>
      <c r="F95" s="131"/>
      <c r="G95" s="131"/>
      <c r="H95" s="131"/>
      <c r="I95" s="131"/>
      <c r="J95" s="131"/>
      <c r="K95" s="131"/>
      <c r="L95" s="131"/>
      <c r="M95" s="131"/>
      <c r="N95" s="131"/>
      <c r="O95" s="133"/>
      <c r="P95" s="133"/>
      <c r="Q95" s="133"/>
      <c r="R95" s="133"/>
      <c r="S95" s="133"/>
      <c r="T95" s="133"/>
      <c r="U95" s="133"/>
      <c r="V95" s="133"/>
      <c r="W95" s="133"/>
      <c r="X95" s="133"/>
      <c r="Y95" s="133"/>
      <c r="Z95" s="133"/>
      <c r="AA95" s="133"/>
      <c r="AB95" s="133"/>
      <c r="AC95" s="133"/>
      <c r="AD95" s="44"/>
      <c r="AE95" s="44"/>
      <c r="AF95" s="44"/>
      <c r="AG95" s="44"/>
      <c r="AH95" s="44"/>
      <c r="AI95" s="44"/>
      <c r="AJ95" s="44"/>
      <c r="AK95" s="44"/>
      <c r="AL95" s="44"/>
      <c r="AM95" s="44"/>
      <c r="AN95" s="44"/>
      <c r="AO95" s="44"/>
      <c r="AP95" s="44"/>
      <c r="AQ95" s="44"/>
      <c r="AR95" s="44"/>
      <c r="AS95" s="44"/>
      <c r="AT95" s="44"/>
      <c r="AU95" s="44"/>
      <c r="AV95" s="44"/>
      <c r="AW95" s="44"/>
      <c r="AX95" s="44"/>
    </row>
    <row r="96" ht="15.75" customHeight="1">
      <c r="A96" s="163" t="s">
        <v>385</v>
      </c>
      <c r="B96" s="164" t="s">
        <v>729</v>
      </c>
      <c r="C96" s="165" t="s">
        <v>730</v>
      </c>
      <c r="D96" s="161"/>
      <c r="E96" s="161"/>
      <c r="F96" s="161"/>
      <c r="G96" s="161"/>
      <c r="H96" s="161"/>
      <c r="I96" s="161"/>
      <c r="J96" s="161"/>
      <c r="K96" s="161"/>
      <c r="L96" s="161"/>
      <c r="M96" s="161"/>
      <c r="N96" s="161"/>
      <c r="O96" s="160"/>
      <c r="P96" s="159"/>
      <c r="Q96" s="159"/>
      <c r="R96" s="159"/>
      <c r="S96" s="159"/>
      <c r="T96" s="159"/>
      <c r="U96" s="164" t="s">
        <v>732</v>
      </c>
      <c r="V96" s="159"/>
      <c r="W96" s="159"/>
      <c r="X96" s="159"/>
      <c r="Y96" s="159"/>
      <c r="Z96" s="159"/>
      <c r="AA96" s="159"/>
      <c r="AB96" s="159"/>
      <c r="AC96" s="159"/>
      <c r="AD96" s="44"/>
      <c r="AE96" s="44"/>
      <c r="AF96" s="44"/>
      <c r="AG96" s="44"/>
      <c r="AH96" s="44"/>
      <c r="AI96" s="44"/>
      <c r="AJ96" s="44"/>
      <c r="AK96" s="44"/>
      <c r="AL96" s="44"/>
      <c r="AM96" s="44"/>
      <c r="AN96" s="44"/>
      <c r="AO96" s="44"/>
      <c r="AP96" s="44"/>
      <c r="AQ96" s="44"/>
      <c r="AR96" s="44"/>
      <c r="AS96" s="44"/>
      <c r="AT96" s="44"/>
      <c r="AU96" s="44"/>
      <c r="AV96" s="44"/>
      <c r="AW96" s="44"/>
      <c r="AX96" s="44"/>
    </row>
    <row r="97" ht="15.75" customHeight="1">
      <c r="A97" s="208" t="s">
        <v>736</v>
      </c>
      <c r="B97" s="209" t="s">
        <v>737</v>
      </c>
      <c r="C97" s="147" t="s">
        <v>738</v>
      </c>
      <c r="D97" s="147" t="s">
        <v>739</v>
      </c>
      <c r="E97" s="147" t="s">
        <v>743</v>
      </c>
      <c r="F97" s="147" t="s">
        <v>744</v>
      </c>
      <c r="G97" s="147" t="s">
        <v>745</v>
      </c>
      <c r="H97" s="147" t="s">
        <v>746</v>
      </c>
      <c r="I97" s="139"/>
      <c r="J97" s="139"/>
      <c r="K97" s="139"/>
      <c r="L97" s="139"/>
      <c r="M97" s="139"/>
      <c r="N97" s="139"/>
      <c r="O97" s="145" t="s">
        <v>748</v>
      </c>
      <c r="P97" s="127"/>
      <c r="Q97" s="208" t="s">
        <v>307</v>
      </c>
      <c r="R97" s="127"/>
      <c r="S97" s="127"/>
      <c r="T97" s="127"/>
      <c r="U97" s="127"/>
      <c r="V97" s="127"/>
      <c r="W97" s="127"/>
      <c r="X97" s="127"/>
      <c r="Y97" s="208" t="s">
        <v>750</v>
      </c>
      <c r="Z97" s="127"/>
      <c r="AA97" s="127"/>
      <c r="AB97" s="127"/>
      <c r="AC97" s="127"/>
      <c r="AD97" s="44"/>
      <c r="AE97" s="44"/>
      <c r="AF97" s="44"/>
      <c r="AG97" s="44"/>
      <c r="AH97" s="44"/>
      <c r="AI97" s="44"/>
      <c r="AJ97" s="44"/>
      <c r="AK97" s="44"/>
      <c r="AL97" s="44"/>
      <c r="AM97" s="44"/>
      <c r="AN97" s="44"/>
      <c r="AO97" s="44"/>
      <c r="AP97" s="44"/>
      <c r="AQ97" s="44"/>
      <c r="AR97" s="44"/>
      <c r="AS97" s="44"/>
      <c r="AT97" s="44"/>
      <c r="AU97" s="44"/>
      <c r="AV97" s="44"/>
      <c r="AW97" s="44"/>
      <c r="AX97" s="44"/>
    </row>
    <row r="98" ht="15.75" customHeight="1">
      <c r="A98" s="82" t="s">
        <v>112</v>
      </c>
      <c r="B98" s="83" t="s">
        <v>752</v>
      </c>
      <c r="C98" s="84" t="s">
        <v>753</v>
      </c>
      <c r="D98" s="68"/>
      <c r="E98" s="68"/>
      <c r="F98" s="68"/>
      <c r="G98" s="68"/>
      <c r="H98" s="68"/>
      <c r="I98" s="68"/>
      <c r="J98" s="68"/>
      <c r="K98" s="68"/>
      <c r="L98" s="68"/>
      <c r="M98" s="68"/>
      <c r="N98" s="68"/>
      <c r="O98" s="71"/>
      <c r="P98" s="71"/>
      <c r="Q98" s="71"/>
      <c r="R98" s="71"/>
      <c r="S98" s="71"/>
      <c r="T98" s="83" t="s">
        <v>757</v>
      </c>
      <c r="U98" s="71"/>
      <c r="V98" s="71"/>
      <c r="W98" s="71"/>
      <c r="X98" s="71"/>
      <c r="Y98" s="71"/>
      <c r="Z98" s="71"/>
      <c r="AA98" s="71"/>
      <c r="AB98" s="71"/>
      <c r="AC98" s="71"/>
      <c r="AD98" s="44"/>
      <c r="AE98" s="44"/>
      <c r="AF98" s="44"/>
      <c r="AG98" s="44"/>
      <c r="AH98" s="44"/>
      <c r="AI98" s="44"/>
      <c r="AJ98" s="44"/>
      <c r="AK98" s="44"/>
      <c r="AL98" s="44"/>
      <c r="AM98" s="44"/>
      <c r="AN98" s="44"/>
      <c r="AO98" s="44"/>
      <c r="AP98" s="44"/>
      <c r="AQ98" s="44"/>
      <c r="AR98" s="44"/>
      <c r="AS98" s="44"/>
      <c r="AT98" s="44"/>
      <c r="AU98" s="44"/>
      <c r="AV98" s="44"/>
      <c r="AW98" s="44"/>
      <c r="AX98" s="44"/>
    </row>
    <row r="99" ht="15.75" customHeight="1">
      <c r="A99" s="82" t="s">
        <v>112</v>
      </c>
      <c r="B99" s="83" t="s">
        <v>761</v>
      </c>
      <c r="C99" s="84" t="s">
        <v>762</v>
      </c>
      <c r="D99" s="68"/>
      <c r="E99" s="68"/>
      <c r="F99" s="68"/>
      <c r="G99" s="68"/>
      <c r="H99" s="68"/>
      <c r="I99" s="68"/>
      <c r="J99" s="68"/>
      <c r="K99" s="68"/>
      <c r="L99" s="68"/>
      <c r="M99" s="68"/>
      <c r="N99" s="68"/>
      <c r="O99" s="71"/>
      <c r="P99" s="71"/>
      <c r="Q99" s="71"/>
      <c r="R99" s="71"/>
      <c r="S99" s="71"/>
      <c r="T99" s="83" t="s">
        <v>763</v>
      </c>
      <c r="U99" s="71"/>
      <c r="V99" s="71"/>
      <c r="W99" s="71"/>
      <c r="X99" s="71"/>
      <c r="Y99" s="71"/>
      <c r="Z99" s="71"/>
      <c r="AA99" s="71"/>
      <c r="AB99" s="71"/>
      <c r="AC99" s="71"/>
      <c r="AD99" s="44"/>
      <c r="AE99" s="44"/>
      <c r="AF99" s="44"/>
      <c r="AG99" s="44"/>
      <c r="AH99" s="44"/>
      <c r="AI99" s="44"/>
      <c r="AJ99" s="44"/>
      <c r="AK99" s="44"/>
      <c r="AL99" s="44"/>
      <c r="AM99" s="44"/>
      <c r="AN99" s="44"/>
      <c r="AO99" s="44"/>
      <c r="AP99" s="44"/>
      <c r="AQ99" s="44"/>
      <c r="AR99" s="44"/>
      <c r="AS99" s="44"/>
      <c r="AT99" s="44"/>
      <c r="AU99" s="44"/>
      <c r="AV99" s="44"/>
      <c r="AW99" s="44"/>
      <c r="AX99" s="44"/>
    </row>
    <row r="100" ht="15.75" customHeight="1">
      <c r="A100" s="82" t="s">
        <v>112</v>
      </c>
      <c r="B100" s="83" t="s">
        <v>767</v>
      </c>
      <c r="C100" s="84" t="s">
        <v>768</v>
      </c>
      <c r="D100" s="68"/>
      <c r="E100" s="68"/>
      <c r="F100" s="68"/>
      <c r="G100" s="68"/>
      <c r="H100" s="68"/>
      <c r="I100" s="68"/>
      <c r="J100" s="68"/>
      <c r="K100" s="68"/>
      <c r="L100" s="68"/>
      <c r="M100" s="68"/>
      <c r="N100" s="68"/>
      <c r="O100" s="71"/>
      <c r="P100" s="71"/>
      <c r="Q100" s="71"/>
      <c r="R100" s="71"/>
      <c r="S100" s="71"/>
      <c r="T100" s="83" t="s">
        <v>770</v>
      </c>
      <c r="U100" s="71"/>
      <c r="V100" s="71"/>
      <c r="W100" s="71"/>
      <c r="X100" s="71"/>
      <c r="Y100" s="71"/>
      <c r="Z100" s="71"/>
      <c r="AA100" s="71"/>
      <c r="AB100" s="71"/>
      <c r="AC100" s="71"/>
      <c r="AD100" s="44"/>
      <c r="AE100" s="44"/>
      <c r="AF100" s="44"/>
      <c r="AG100" s="44"/>
      <c r="AH100" s="44"/>
      <c r="AI100" s="44"/>
      <c r="AJ100" s="44"/>
      <c r="AK100" s="44"/>
      <c r="AL100" s="44"/>
      <c r="AM100" s="44"/>
      <c r="AN100" s="44"/>
      <c r="AO100" s="44"/>
      <c r="AP100" s="44"/>
      <c r="AQ100" s="44"/>
      <c r="AR100" s="44"/>
      <c r="AS100" s="44"/>
      <c r="AT100" s="44"/>
      <c r="AU100" s="44"/>
      <c r="AV100" s="44"/>
      <c r="AW100" s="44"/>
      <c r="AX100" s="44"/>
    </row>
    <row r="101" ht="15.75" customHeight="1">
      <c r="A101" s="82" t="s">
        <v>112</v>
      </c>
      <c r="B101" s="83" t="s">
        <v>775</v>
      </c>
      <c r="C101" s="84" t="s">
        <v>776</v>
      </c>
      <c r="D101" s="68"/>
      <c r="E101" s="68"/>
      <c r="F101" s="68"/>
      <c r="G101" s="68"/>
      <c r="H101" s="68"/>
      <c r="I101" s="68"/>
      <c r="J101" s="68"/>
      <c r="K101" s="68"/>
      <c r="L101" s="68"/>
      <c r="M101" s="68"/>
      <c r="N101" s="68"/>
      <c r="O101" s="71"/>
      <c r="P101" s="71"/>
      <c r="Q101" s="71"/>
      <c r="R101" s="71"/>
      <c r="S101" s="71"/>
      <c r="T101" s="83" t="s">
        <v>777</v>
      </c>
      <c r="U101" s="71"/>
      <c r="V101" s="71"/>
      <c r="W101" s="71"/>
      <c r="X101" s="71"/>
      <c r="Y101" s="71"/>
      <c r="Z101" s="71"/>
      <c r="AA101" s="71"/>
      <c r="AB101" s="71"/>
      <c r="AC101" s="71"/>
      <c r="AD101" s="44"/>
      <c r="AE101" s="44"/>
      <c r="AF101" s="44"/>
      <c r="AG101" s="44"/>
      <c r="AH101" s="44"/>
      <c r="AI101" s="44"/>
      <c r="AJ101" s="44"/>
      <c r="AK101" s="44"/>
      <c r="AL101" s="44"/>
      <c r="AM101" s="44"/>
      <c r="AN101" s="44"/>
      <c r="AO101" s="44"/>
      <c r="AP101" s="44"/>
      <c r="AQ101" s="44"/>
      <c r="AR101" s="44"/>
      <c r="AS101" s="44"/>
      <c r="AT101" s="44"/>
      <c r="AU101" s="44"/>
      <c r="AV101" s="44"/>
      <c r="AW101" s="44"/>
      <c r="AX101" s="44"/>
    </row>
    <row r="102" ht="15.75" customHeight="1">
      <c r="A102" s="82" t="s">
        <v>112</v>
      </c>
      <c r="B102" s="83" t="s">
        <v>783</v>
      </c>
      <c r="C102" s="84" t="s">
        <v>784</v>
      </c>
      <c r="D102" s="68"/>
      <c r="E102" s="68"/>
      <c r="F102" s="68"/>
      <c r="G102" s="68"/>
      <c r="H102" s="68"/>
      <c r="I102" s="68"/>
      <c r="J102" s="68"/>
      <c r="K102" s="68"/>
      <c r="L102" s="68"/>
      <c r="M102" s="68"/>
      <c r="N102" s="68"/>
      <c r="O102" s="71"/>
      <c r="P102" s="71"/>
      <c r="Q102" s="71"/>
      <c r="R102" s="71"/>
      <c r="S102" s="71"/>
      <c r="T102" s="83" t="s">
        <v>787</v>
      </c>
      <c r="U102" s="71"/>
      <c r="V102" s="71"/>
      <c r="W102" s="71"/>
      <c r="X102" s="71"/>
      <c r="Y102" s="71"/>
      <c r="Z102" s="71"/>
      <c r="AA102" s="71"/>
      <c r="AB102" s="71"/>
      <c r="AC102" s="71"/>
      <c r="AD102" s="44"/>
      <c r="AE102" s="44"/>
      <c r="AF102" s="44"/>
      <c r="AG102" s="44"/>
      <c r="AH102" s="44"/>
      <c r="AI102" s="44"/>
      <c r="AJ102" s="44"/>
      <c r="AK102" s="44"/>
      <c r="AL102" s="44"/>
      <c r="AM102" s="44"/>
      <c r="AN102" s="44"/>
      <c r="AO102" s="44"/>
      <c r="AP102" s="44"/>
      <c r="AQ102" s="44"/>
      <c r="AR102" s="44"/>
      <c r="AS102" s="44"/>
      <c r="AT102" s="44"/>
      <c r="AU102" s="44"/>
      <c r="AV102" s="44"/>
      <c r="AW102" s="44"/>
      <c r="AX102" s="44"/>
    </row>
    <row r="103" ht="15.75" customHeight="1">
      <c r="A103" s="82" t="s">
        <v>112</v>
      </c>
      <c r="B103" s="83" t="s">
        <v>794</v>
      </c>
      <c r="C103" s="84" t="s">
        <v>795</v>
      </c>
      <c r="D103" s="68"/>
      <c r="E103" s="68"/>
      <c r="F103" s="68"/>
      <c r="G103" s="68"/>
      <c r="H103" s="68"/>
      <c r="I103" s="68"/>
      <c r="J103" s="68"/>
      <c r="K103" s="68"/>
      <c r="L103" s="68"/>
      <c r="M103" s="68"/>
      <c r="N103" s="68"/>
      <c r="O103" s="71"/>
      <c r="P103" s="71"/>
      <c r="Q103" s="71"/>
      <c r="R103" s="71"/>
      <c r="S103" s="71"/>
      <c r="T103" s="83" t="s">
        <v>799</v>
      </c>
      <c r="U103" s="71"/>
      <c r="V103" s="71"/>
      <c r="W103" s="71"/>
      <c r="X103" s="71"/>
      <c r="Y103" s="71"/>
      <c r="Z103" s="71"/>
      <c r="AA103" s="71"/>
      <c r="AB103" s="71"/>
      <c r="AC103" s="71"/>
      <c r="AD103" s="44"/>
      <c r="AE103" s="44"/>
      <c r="AF103" s="44"/>
      <c r="AG103" s="44"/>
      <c r="AH103" s="44"/>
      <c r="AI103" s="44"/>
      <c r="AJ103" s="44"/>
      <c r="AK103" s="44"/>
      <c r="AL103" s="44"/>
      <c r="AM103" s="44"/>
      <c r="AN103" s="44"/>
      <c r="AO103" s="44"/>
      <c r="AP103" s="44"/>
      <c r="AQ103" s="44"/>
      <c r="AR103" s="44"/>
      <c r="AS103" s="44"/>
      <c r="AT103" s="44"/>
      <c r="AU103" s="44"/>
      <c r="AV103" s="44"/>
      <c r="AW103" s="44"/>
      <c r="AX103" s="44"/>
    </row>
    <row r="104" ht="15.75" customHeight="1">
      <c r="A104" s="215" t="s">
        <v>220</v>
      </c>
      <c r="B104" s="216" t="s">
        <v>805</v>
      </c>
      <c r="C104" s="217" t="s">
        <v>806</v>
      </c>
      <c r="D104" s="217" t="s">
        <v>807</v>
      </c>
      <c r="E104" s="217" t="s">
        <v>809</v>
      </c>
      <c r="F104" s="218"/>
      <c r="G104" s="218"/>
      <c r="H104" s="218"/>
      <c r="I104" s="218"/>
      <c r="J104" s="218"/>
      <c r="K104" s="218"/>
      <c r="L104" s="218"/>
      <c r="M104" s="218"/>
      <c r="N104" s="218"/>
      <c r="O104" s="219" t="s">
        <v>815</v>
      </c>
      <c r="P104" s="220"/>
      <c r="Q104" s="215" t="s">
        <v>816</v>
      </c>
      <c r="R104" s="220"/>
      <c r="S104" s="220"/>
      <c r="T104" s="220"/>
      <c r="U104" s="220"/>
      <c r="V104" s="220"/>
      <c r="W104" s="220"/>
      <c r="X104" s="220"/>
      <c r="Y104" s="220"/>
      <c r="Z104" s="220"/>
      <c r="AA104" s="220"/>
      <c r="AB104" s="220"/>
      <c r="AC104" s="220"/>
      <c r="AD104" s="44"/>
      <c r="AE104" s="44"/>
      <c r="AF104" s="44"/>
      <c r="AG104" s="44"/>
      <c r="AH104" s="44"/>
      <c r="AI104" s="44"/>
      <c r="AJ104" s="44"/>
      <c r="AK104" s="44"/>
      <c r="AL104" s="44"/>
      <c r="AM104" s="44"/>
      <c r="AN104" s="44"/>
      <c r="AO104" s="44"/>
      <c r="AP104" s="44"/>
      <c r="AQ104" s="44"/>
      <c r="AR104" s="44"/>
      <c r="AS104" s="44"/>
      <c r="AT104" s="44"/>
      <c r="AU104" s="44"/>
      <c r="AV104" s="44"/>
      <c r="AW104" s="44"/>
      <c r="AX104" s="44"/>
    </row>
    <row r="105" ht="15.75" customHeight="1">
      <c r="A105" s="150" t="s">
        <v>46</v>
      </c>
      <c r="B105" s="151" t="s">
        <v>821</v>
      </c>
      <c r="C105" s="132" t="s">
        <v>822</v>
      </c>
      <c r="D105" s="131"/>
      <c r="E105" s="131"/>
      <c r="F105" s="131"/>
      <c r="G105" s="131"/>
      <c r="H105" s="131"/>
      <c r="I105" s="131"/>
      <c r="J105" s="131"/>
      <c r="K105" s="131"/>
      <c r="L105" s="131"/>
      <c r="M105" s="131"/>
      <c r="N105" s="131"/>
      <c r="O105" s="128" t="s">
        <v>825</v>
      </c>
      <c r="P105" s="133"/>
      <c r="Q105" s="150" t="s">
        <v>816</v>
      </c>
      <c r="R105" s="133"/>
      <c r="S105" s="133"/>
      <c r="T105" s="133"/>
      <c r="U105" s="133"/>
      <c r="V105" s="133"/>
      <c r="W105" s="133"/>
      <c r="X105" s="133"/>
      <c r="Y105" s="133"/>
      <c r="Z105" s="133"/>
      <c r="AA105" s="133"/>
      <c r="AB105" s="133"/>
      <c r="AC105" s="133"/>
      <c r="AD105" s="44"/>
      <c r="AE105" s="44"/>
      <c r="AF105" s="44"/>
      <c r="AG105" s="44"/>
      <c r="AH105" s="44"/>
      <c r="AI105" s="44"/>
      <c r="AJ105" s="44"/>
      <c r="AK105" s="44"/>
      <c r="AL105" s="44"/>
      <c r="AM105" s="44"/>
      <c r="AN105" s="44"/>
      <c r="AO105" s="44"/>
      <c r="AP105" s="44"/>
      <c r="AQ105" s="44"/>
      <c r="AR105" s="44"/>
      <c r="AS105" s="44"/>
      <c r="AT105" s="44"/>
      <c r="AU105" s="44"/>
      <c r="AV105" s="44"/>
      <c r="AW105" s="44"/>
      <c r="AX105" s="44"/>
    </row>
    <row r="106" ht="15.75" customHeight="1">
      <c r="A106" s="208" t="s">
        <v>828</v>
      </c>
      <c r="B106" s="209" t="s">
        <v>829</v>
      </c>
      <c r="C106" s="147" t="s">
        <v>830</v>
      </c>
      <c r="D106" s="147" t="s">
        <v>832</v>
      </c>
      <c r="E106" s="147" t="s">
        <v>833</v>
      </c>
      <c r="F106" s="139"/>
      <c r="G106" s="139"/>
      <c r="H106" s="139"/>
      <c r="I106" s="139"/>
      <c r="J106" s="139"/>
      <c r="K106" s="139"/>
      <c r="L106" s="139"/>
      <c r="M106" s="139"/>
      <c r="N106" s="139"/>
      <c r="O106" s="127"/>
      <c r="P106" s="127"/>
      <c r="Q106" s="208" t="s">
        <v>307</v>
      </c>
      <c r="R106" s="127"/>
      <c r="S106" s="127"/>
      <c r="T106" s="127"/>
      <c r="U106" s="127"/>
      <c r="V106" s="127"/>
      <c r="W106" s="127"/>
      <c r="X106" s="127"/>
      <c r="Y106" s="127"/>
      <c r="Z106" s="127"/>
      <c r="AA106" s="127"/>
      <c r="AB106" s="127"/>
      <c r="AC106" s="127"/>
      <c r="AD106" s="44"/>
      <c r="AE106" s="44"/>
      <c r="AF106" s="44"/>
      <c r="AG106" s="44"/>
      <c r="AH106" s="44"/>
      <c r="AI106" s="44"/>
      <c r="AJ106" s="44"/>
      <c r="AK106" s="44"/>
      <c r="AL106" s="44"/>
      <c r="AM106" s="44"/>
      <c r="AN106" s="44"/>
      <c r="AO106" s="44"/>
      <c r="AP106" s="44"/>
      <c r="AQ106" s="44"/>
      <c r="AR106" s="44"/>
      <c r="AS106" s="44"/>
      <c r="AT106" s="44"/>
      <c r="AU106" s="44"/>
      <c r="AV106" s="44"/>
      <c r="AW106" s="44"/>
      <c r="AX106" s="44"/>
    </row>
    <row r="107" ht="15.75" customHeight="1">
      <c r="A107" s="150" t="s">
        <v>46</v>
      </c>
      <c r="B107" s="151" t="s">
        <v>841</v>
      </c>
      <c r="C107" s="132" t="s">
        <v>843</v>
      </c>
      <c r="D107" s="132" t="s">
        <v>846</v>
      </c>
      <c r="E107" s="132" t="s">
        <v>847</v>
      </c>
      <c r="F107" s="131"/>
      <c r="G107" s="131"/>
      <c r="H107" s="131"/>
      <c r="I107" s="131"/>
      <c r="J107" s="131"/>
      <c r="K107" s="131"/>
      <c r="L107" s="131"/>
      <c r="M107" s="131"/>
      <c r="N107" s="131"/>
      <c r="O107" s="128" t="s">
        <v>849</v>
      </c>
      <c r="P107" s="133"/>
      <c r="Q107" s="133"/>
      <c r="R107" s="133"/>
      <c r="S107" s="133"/>
      <c r="T107" s="133"/>
      <c r="U107" s="133"/>
      <c r="V107" s="133"/>
      <c r="W107" s="133"/>
      <c r="X107" s="133"/>
      <c r="Y107" s="133"/>
      <c r="Z107" s="133"/>
      <c r="AA107" s="133"/>
      <c r="AB107" s="133"/>
      <c r="AC107" s="133"/>
      <c r="AD107" s="44"/>
      <c r="AE107" s="44"/>
      <c r="AF107" s="44"/>
      <c r="AG107" s="44"/>
      <c r="AH107" s="44"/>
      <c r="AI107" s="44"/>
      <c r="AJ107" s="44"/>
      <c r="AK107" s="44"/>
      <c r="AL107" s="44"/>
      <c r="AM107" s="44"/>
      <c r="AN107" s="44"/>
      <c r="AO107" s="44"/>
      <c r="AP107" s="44"/>
      <c r="AQ107" s="44"/>
      <c r="AR107" s="44"/>
      <c r="AS107" s="44"/>
      <c r="AT107" s="44"/>
      <c r="AU107" s="44"/>
      <c r="AV107" s="44"/>
      <c r="AW107" s="44"/>
      <c r="AX107" s="44"/>
    </row>
    <row r="108" ht="15.75" customHeight="1">
      <c r="A108" s="44"/>
      <c r="B108" s="44"/>
      <c r="C108" s="154" t="s">
        <v>55</v>
      </c>
      <c r="D108" s="154" t="s">
        <v>55</v>
      </c>
      <c r="E108" s="154" t="s">
        <v>55</v>
      </c>
      <c r="F108" s="154"/>
      <c r="G108" s="154"/>
      <c r="H108" s="154"/>
      <c r="I108" s="154"/>
      <c r="J108" s="154"/>
      <c r="K108" s="154"/>
      <c r="L108" s="154"/>
      <c r="M108" s="154"/>
      <c r="N108" s="15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row>
    <row r="109" ht="15.75" customHeight="1">
      <c r="A109" s="82" t="s">
        <v>256</v>
      </c>
      <c r="B109" s="83" t="s">
        <v>870</v>
      </c>
      <c r="C109" s="84" t="s">
        <v>872</v>
      </c>
      <c r="D109" s="68"/>
      <c r="E109" s="68"/>
      <c r="F109" s="68"/>
      <c r="G109" s="68"/>
      <c r="H109" s="68"/>
      <c r="I109" s="68"/>
      <c r="J109" s="68"/>
      <c r="K109" s="68"/>
      <c r="L109" s="68"/>
      <c r="M109" s="68"/>
      <c r="N109" s="68"/>
      <c r="O109" s="71"/>
      <c r="P109" s="71"/>
      <c r="Q109" s="71"/>
      <c r="R109" s="71"/>
      <c r="S109" s="71"/>
      <c r="T109" s="83" t="s">
        <v>880</v>
      </c>
      <c r="U109" s="71"/>
      <c r="V109" s="71"/>
      <c r="W109" s="71"/>
      <c r="X109" s="71"/>
      <c r="Y109" s="71"/>
      <c r="Z109" s="71"/>
      <c r="AA109" s="71"/>
      <c r="AB109" s="71"/>
      <c r="AC109" s="71"/>
      <c r="AD109" s="44"/>
      <c r="AE109" s="44"/>
      <c r="AF109" s="44"/>
      <c r="AG109" s="44"/>
      <c r="AH109" s="44"/>
      <c r="AI109" s="44"/>
      <c r="AJ109" s="44"/>
      <c r="AK109" s="44"/>
      <c r="AL109" s="44"/>
      <c r="AM109" s="44"/>
      <c r="AN109" s="44"/>
      <c r="AO109" s="44"/>
      <c r="AP109" s="44"/>
      <c r="AQ109" s="44"/>
      <c r="AR109" s="44"/>
      <c r="AS109" s="44"/>
      <c r="AT109" s="44"/>
      <c r="AU109" s="44"/>
      <c r="AV109" s="44"/>
      <c r="AW109" s="44"/>
      <c r="AX109" s="44"/>
    </row>
    <row r="110" ht="15.75" customHeight="1">
      <c r="A110" s="163" t="s">
        <v>385</v>
      </c>
      <c r="B110" s="164" t="s">
        <v>884</v>
      </c>
      <c r="C110" s="165" t="s">
        <v>885</v>
      </c>
      <c r="D110" s="161"/>
      <c r="E110" s="161"/>
      <c r="F110" s="161"/>
      <c r="G110" s="161"/>
      <c r="H110" s="161"/>
      <c r="I110" s="161"/>
      <c r="J110" s="161"/>
      <c r="K110" s="161"/>
      <c r="L110" s="161"/>
      <c r="M110" s="161"/>
      <c r="N110" s="161"/>
      <c r="O110" s="160"/>
      <c r="P110" s="159"/>
      <c r="Q110" s="159"/>
      <c r="R110" s="159"/>
      <c r="S110" s="159"/>
      <c r="T110" s="159"/>
      <c r="U110" s="164" t="s">
        <v>888</v>
      </c>
      <c r="V110" s="159"/>
      <c r="W110" s="159"/>
      <c r="X110" s="159"/>
      <c r="Y110" s="159"/>
      <c r="Z110" s="159"/>
      <c r="AA110" s="159"/>
      <c r="AB110" s="159"/>
      <c r="AC110" s="159"/>
      <c r="AD110" s="44"/>
      <c r="AE110" s="44"/>
      <c r="AF110" s="44"/>
      <c r="AG110" s="44"/>
      <c r="AH110" s="44"/>
      <c r="AI110" s="44"/>
      <c r="AJ110" s="44"/>
      <c r="AK110" s="44"/>
      <c r="AL110" s="44"/>
      <c r="AM110" s="44"/>
      <c r="AN110" s="44"/>
      <c r="AO110" s="44"/>
      <c r="AP110" s="44"/>
      <c r="AQ110" s="44"/>
      <c r="AR110" s="44"/>
      <c r="AS110" s="44"/>
      <c r="AT110" s="44"/>
      <c r="AU110" s="44"/>
      <c r="AV110" s="44"/>
      <c r="AW110" s="44"/>
      <c r="AX110" s="44"/>
    </row>
    <row r="111" ht="15.75" customHeight="1">
      <c r="A111" s="82" t="s">
        <v>112</v>
      </c>
      <c r="B111" s="83" t="s">
        <v>895</v>
      </c>
      <c r="C111" s="84" t="s">
        <v>897</v>
      </c>
      <c r="D111" s="68"/>
      <c r="E111" s="68"/>
      <c r="F111" s="68"/>
      <c r="G111" s="68"/>
      <c r="H111" s="68"/>
      <c r="I111" s="68"/>
      <c r="J111" s="68"/>
      <c r="K111" s="68"/>
      <c r="L111" s="68"/>
      <c r="M111" s="68"/>
      <c r="N111" s="68"/>
      <c r="O111" s="71"/>
      <c r="P111" s="71"/>
      <c r="Q111" s="71"/>
      <c r="R111" s="71"/>
      <c r="S111" s="71"/>
      <c r="T111" s="83" t="s">
        <v>904</v>
      </c>
      <c r="U111" s="71"/>
      <c r="V111" s="71"/>
      <c r="W111" s="71"/>
      <c r="X111" s="71"/>
      <c r="Y111" s="71"/>
      <c r="Z111" s="71"/>
      <c r="AA111" s="71"/>
      <c r="AB111" s="71"/>
      <c r="AC111" s="71"/>
      <c r="AD111" s="44"/>
      <c r="AE111" s="44"/>
      <c r="AF111" s="44"/>
      <c r="AG111" s="44"/>
      <c r="AH111" s="44"/>
      <c r="AI111" s="44"/>
      <c r="AJ111" s="44"/>
      <c r="AK111" s="44"/>
      <c r="AL111" s="44"/>
      <c r="AM111" s="44"/>
      <c r="AN111" s="44"/>
      <c r="AO111" s="44"/>
      <c r="AP111" s="44"/>
      <c r="AQ111" s="44"/>
      <c r="AR111" s="44"/>
      <c r="AS111" s="44"/>
      <c r="AT111" s="44"/>
      <c r="AU111" s="44"/>
      <c r="AV111" s="44"/>
      <c r="AW111" s="44"/>
      <c r="AX111" s="44"/>
    </row>
    <row r="112" ht="15.75" customHeight="1">
      <c r="A112" s="82" t="s">
        <v>112</v>
      </c>
      <c r="B112" s="83" t="s">
        <v>912</v>
      </c>
      <c r="C112" s="84" t="s">
        <v>913</v>
      </c>
      <c r="D112" s="68"/>
      <c r="E112" s="68"/>
      <c r="F112" s="68"/>
      <c r="G112" s="68"/>
      <c r="H112" s="68"/>
      <c r="I112" s="68"/>
      <c r="J112" s="68"/>
      <c r="K112" s="68"/>
      <c r="L112" s="68"/>
      <c r="M112" s="68"/>
      <c r="N112" s="68"/>
      <c r="O112" s="71"/>
      <c r="P112" s="71"/>
      <c r="Q112" s="71"/>
      <c r="R112" s="71"/>
      <c r="S112" s="71"/>
      <c r="T112" s="83" t="s">
        <v>918</v>
      </c>
      <c r="U112" s="71"/>
      <c r="V112" s="71"/>
      <c r="W112" s="71"/>
      <c r="X112" s="71"/>
      <c r="Y112" s="71"/>
      <c r="Z112" s="71"/>
      <c r="AA112" s="71"/>
      <c r="AB112" s="71"/>
      <c r="AC112" s="71"/>
      <c r="AD112" s="44"/>
      <c r="AE112" s="44"/>
      <c r="AF112" s="44"/>
      <c r="AG112" s="44"/>
      <c r="AH112" s="44"/>
      <c r="AI112" s="44"/>
      <c r="AJ112" s="44"/>
      <c r="AK112" s="44"/>
      <c r="AL112" s="44"/>
      <c r="AM112" s="44"/>
      <c r="AN112" s="44"/>
      <c r="AO112" s="44"/>
      <c r="AP112" s="44"/>
      <c r="AQ112" s="44"/>
      <c r="AR112" s="44"/>
      <c r="AS112" s="44"/>
      <c r="AT112" s="44"/>
      <c r="AU112" s="44"/>
      <c r="AV112" s="44"/>
      <c r="AW112" s="44"/>
      <c r="AX112" s="44"/>
    </row>
    <row r="113" ht="15.75" customHeight="1">
      <c r="A113" s="82" t="s">
        <v>112</v>
      </c>
      <c r="B113" s="83" t="s">
        <v>927</v>
      </c>
      <c r="C113" s="84" t="s">
        <v>928</v>
      </c>
      <c r="D113" s="68"/>
      <c r="E113" s="68"/>
      <c r="F113" s="68"/>
      <c r="G113" s="68"/>
      <c r="H113" s="68"/>
      <c r="I113" s="68"/>
      <c r="J113" s="68"/>
      <c r="K113" s="68"/>
      <c r="L113" s="68"/>
      <c r="M113" s="68"/>
      <c r="N113" s="68"/>
      <c r="O113" s="71"/>
      <c r="P113" s="71"/>
      <c r="Q113" s="71"/>
      <c r="R113" s="71"/>
      <c r="S113" s="71"/>
      <c r="T113" s="83" t="s">
        <v>930</v>
      </c>
      <c r="U113" s="71"/>
      <c r="V113" s="71"/>
      <c r="W113" s="71"/>
      <c r="X113" s="71"/>
      <c r="Y113" s="71"/>
      <c r="Z113" s="71"/>
      <c r="AA113" s="71"/>
      <c r="AB113" s="71"/>
      <c r="AC113" s="71"/>
      <c r="AD113" s="44"/>
      <c r="AE113" s="44"/>
      <c r="AF113" s="44"/>
      <c r="AG113" s="44"/>
      <c r="AH113" s="44"/>
      <c r="AI113" s="44"/>
      <c r="AJ113" s="44"/>
      <c r="AK113" s="44"/>
      <c r="AL113" s="44"/>
      <c r="AM113" s="44"/>
      <c r="AN113" s="44"/>
      <c r="AO113" s="44"/>
      <c r="AP113" s="44"/>
      <c r="AQ113" s="44"/>
      <c r="AR113" s="44"/>
      <c r="AS113" s="44"/>
      <c r="AT113" s="44"/>
      <c r="AU113" s="44"/>
      <c r="AV113" s="44"/>
      <c r="AW113" s="44"/>
      <c r="AX113" s="44"/>
    </row>
    <row r="114" ht="15.75" customHeight="1">
      <c r="A114" s="163" t="s">
        <v>450</v>
      </c>
      <c r="B114" s="163" t="s">
        <v>884</v>
      </c>
      <c r="C114" s="178" t="s">
        <v>885</v>
      </c>
      <c r="D114" s="162"/>
      <c r="E114" s="162"/>
      <c r="F114" s="162"/>
      <c r="G114" s="162"/>
      <c r="H114" s="162"/>
      <c r="I114" s="162"/>
      <c r="J114" s="162"/>
      <c r="K114" s="162"/>
      <c r="L114" s="162"/>
      <c r="M114" s="162"/>
      <c r="N114" s="162"/>
      <c r="O114" s="159"/>
      <c r="P114" s="159"/>
      <c r="Q114" s="159"/>
      <c r="R114" s="159"/>
      <c r="S114" s="159"/>
      <c r="T114" s="159"/>
      <c r="U114" s="159"/>
      <c r="V114" s="159"/>
      <c r="W114" s="159"/>
      <c r="X114" s="159"/>
      <c r="Y114" s="159"/>
      <c r="Z114" s="159"/>
      <c r="AA114" s="159"/>
      <c r="AB114" s="159"/>
      <c r="AC114" s="159"/>
      <c r="AD114" s="44"/>
      <c r="AE114" s="44"/>
      <c r="AF114" s="44"/>
      <c r="AG114" s="44"/>
      <c r="AH114" s="44"/>
      <c r="AI114" s="44"/>
      <c r="AJ114" s="44"/>
      <c r="AK114" s="44"/>
      <c r="AL114" s="44"/>
      <c r="AM114" s="44"/>
      <c r="AN114" s="44"/>
      <c r="AO114" s="44"/>
      <c r="AP114" s="44"/>
      <c r="AQ114" s="44"/>
      <c r="AR114" s="44"/>
      <c r="AS114" s="44"/>
      <c r="AT114" s="44"/>
      <c r="AU114" s="44"/>
      <c r="AV114" s="44"/>
      <c r="AW114" s="44"/>
      <c r="AX114" s="44"/>
    </row>
    <row r="115" ht="15.75" customHeight="1">
      <c r="A115" s="82" t="s">
        <v>112</v>
      </c>
      <c r="B115" s="83" t="s">
        <v>958</v>
      </c>
      <c r="C115" s="84" t="s">
        <v>960</v>
      </c>
      <c r="D115" s="68"/>
      <c r="E115" s="68"/>
      <c r="F115" s="68"/>
      <c r="G115" s="68"/>
      <c r="H115" s="68"/>
      <c r="I115" s="68"/>
      <c r="J115" s="68"/>
      <c r="K115" s="68"/>
      <c r="L115" s="68"/>
      <c r="M115" s="68"/>
      <c r="N115" s="68"/>
      <c r="O115" s="71"/>
      <c r="P115" s="71"/>
      <c r="Q115" s="71"/>
      <c r="R115" s="71"/>
      <c r="S115" s="71"/>
      <c r="T115" s="83" t="s">
        <v>968</v>
      </c>
      <c r="U115" s="71"/>
      <c r="V115" s="71"/>
      <c r="W115" s="71"/>
      <c r="X115" s="71"/>
      <c r="Y115" s="71"/>
      <c r="Z115" s="71"/>
      <c r="AA115" s="71"/>
      <c r="AB115" s="71"/>
      <c r="AC115" s="71"/>
      <c r="AD115" s="44"/>
      <c r="AE115" s="44"/>
      <c r="AF115" s="44"/>
      <c r="AG115" s="44"/>
      <c r="AH115" s="44"/>
      <c r="AI115" s="44"/>
      <c r="AJ115" s="44"/>
      <c r="AK115" s="44"/>
      <c r="AL115" s="44"/>
      <c r="AM115" s="44"/>
      <c r="AN115" s="44"/>
      <c r="AO115" s="44"/>
      <c r="AP115" s="44"/>
      <c r="AQ115" s="44"/>
      <c r="AR115" s="44"/>
      <c r="AS115" s="44"/>
      <c r="AT115" s="44"/>
      <c r="AU115" s="44"/>
      <c r="AV115" s="44"/>
      <c r="AW115" s="44"/>
      <c r="AX115" s="44"/>
    </row>
    <row r="116" ht="15.75" customHeight="1">
      <c r="A116" s="44"/>
      <c r="B116" s="44"/>
      <c r="C116" s="154" t="s">
        <v>55</v>
      </c>
      <c r="D116" s="154" t="s">
        <v>55</v>
      </c>
      <c r="E116" s="154" t="s">
        <v>55</v>
      </c>
      <c r="F116" s="154"/>
      <c r="G116" s="154"/>
      <c r="H116" s="154"/>
      <c r="I116" s="154"/>
      <c r="J116" s="154"/>
      <c r="K116" s="154"/>
      <c r="L116" s="154"/>
      <c r="M116" s="154"/>
      <c r="N116" s="15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row>
    <row r="117" ht="15.75" customHeight="1">
      <c r="A117" s="134" t="s">
        <v>278</v>
      </c>
      <c r="B117" s="135" t="s">
        <v>982</v>
      </c>
      <c r="C117" s="143" t="s">
        <v>983</v>
      </c>
      <c r="D117" s="136"/>
      <c r="E117" s="136"/>
      <c r="F117" s="136"/>
      <c r="G117" s="136"/>
      <c r="H117" s="136"/>
      <c r="I117" s="136"/>
      <c r="J117" s="226" t="s">
        <v>987</v>
      </c>
      <c r="K117" s="136"/>
      <c r="L117" s="136"/>
      <c r="M117" s="136"/>
      <c r="N117" s="136"/>
      <c r="O117" s="142" t="s">
        <v>990</v>
      </c>
      <c r="P117" s="137"/>
      <c r="Q117" s="137"/>
      <c r="R117" s="137"/>
      <c r="S117" s="137"/>
      <c r="T117" s="137"/>
      <c r="U117" s="137"/>
      <c r="V117" s="137"/>
      <c r="W117" s="137"/>
      <c r="X117" s="137"/>
      <c r="Y117" s="137"/>
      <c r="Z117" s="137"/>
      <c r="AA117" s="137"/>
      <c r="AB117" s="137"/>
      <c r="AC117" s="137"/>
      <c r="AD117" s="44"/>
      <c r="AE117" s="44"/>
      <c r="AF117" s="44"/>
      <c r="AG117" s="44"/>
      <c r="AH117" s="44"/>
      <c r="AI117" s="44"/>
      <c r="AJ117" s="44"/>
      <c r="AK117" s="44"/>
      <c r="AL117" s="44"/>
      <c r="AM117" s="44"/>
      <c r="AN117" s="44"/>
      <c r="AO117" s="44"/>
      <c r="AP117" s="44"/>
      <c r="AQ117" s="44"/>
      <c r="AR117" s="44"/>
      <c r="AS117" s="44"/>
      <c r="AT117" s="44"/>
      <c r="AU117" s="44"/>
      <c r="AV117" s="44"/>
      <c r="AW117" s="44"/>
      <c r="AX117" s="44"/>
    </row>
    <row r="118" ht="15.75" customHeight="1">
      <c r="A118" s="150" t="s">
        <v>46</v>
      </c>
      <c r="B118" s="151" t="s">
        <v>1003</v>
      </c>
      <c r="C118" s="132" t="s">
        <v>1004</v>
      </c>
      <c r="D118" s="132" t="s">
        <v>1007</v>
      </c>
      <c r="E118" s="132" t="s">
        <v>1009</v>
      </c>
      <c r="F118" s="131"/>
      <c r="G118" s="131"/>
      <c r="H118" s="131"/>
      <c r="I118" s="131"/>
      <c r="J118" s="131"/>
      <c r="K118" s="131"/>
      <c r="L118" s="131"/>
      <c r="M118" s="131"/>
      <c r="N118" s="131"/>
      <c r="O118" s="128" t="s">
        <v>1014</v>
      </c>
      <c r="P118" s="133"/>
      <c r="Q118" s="133"/>
      <c r="R118" s="133"/>
      <c r="S118" s="133"/>
      <c r="T118" s="133"/>
      <c r="U118" s="133"/>
      <c r="V118" s="133"/>
      <c r="W118" s="133"/>
      <c r="X118" s="133"/>
      <c r="Y118" s="133"/>
      <c r="Z118" s="133"/>
      <c r="AA118" s="133"/>
      <c r="AB118" s="133"/>
      <c r="AC118" s="133"/>
      <c r="AD118" s="44"/>
      <c r="AE118" s="44"/>
      <c r="AF118" s="44"/>
      <c r="AG118" s="44"/>
      <c r="AH118" s="44"/>
      <c r="AI118" s="44"/>
      <c r="AJ118" s="44"/>
      <c r="AK118" s="44"/>
      <c r="AL118" s="44"/>
      <c r="AM118" s="44"/>
      <c r="AN118" s="44"/>
      <c r="AO118" s="44"/>
      <c r="AP118" s="44"/>
      <c r="AQ118" s="44"/>
      <c r="AR118" s="44"/>
      <c r="AS118" s="44"/>
      <c r="AT118" s="44"/>
      <c r="AU118" s="44"/>
      <c r="AV118" s="44"/>
      <c r="AW118" s="44"/>
      <c r="AX118" s="44"/>
    </row>
    <row r="119" ht="15.75" customHeight="1">
      <c r="A119" s="150" t="s">
        <v>46</v>
      </c>
      <c r="B119" s="151" t="s">
        <v>1026</v>
      </c>
      <c r="C119" s="132" t="s">
        <v>1027</v>
      </c>
      <c r="D119" s="132" t="s">
        <v>1028</v>
      </c>
      <c r="E119" s="132" t="s">
        <v>1029</v>
      </c>
      <c r="F119" s="131"/>
      <c r="G119" s="131"/>
      <c r="H119" s="131"/>
      <c r="I119" s="131"/>
      <c r="J119" s="131"/>
      <c r="K119" s="131"/>
      <c r="L119" s="131"/>
      <c r="M119" s="131"/>
      <c r="N119" s="131"/>
      <c r="O119" s="128" t="s">
        <v>1030</v>
      </c>
      <c r="P119" s="133"/>
      <c r="Q119" s="133"/>
      <c r="R119" s="133"/>
      <c r="S119" s="133"/>
      <c r="T119" s="133"/>
      <c r="U119" s="133"/>
      <c r="V119" s="133"/>
      <c r="W119" s="133"/>
      <c r="X119" s="133"/>
      <c r="Y119" s="133"/>
      <c r="Z119" s="133"/>
      <c r="AA119" s="133"/>
      <c r="AB119" s="133"/>
      <c r="AC119" s="133"/>
      <c r="AD119" s="44"/>
      <c r="AE119" s="44"/>
      <c r="AF119" s="44"/>
      <c r="AG119" s="44"/>
      <c r="AH119" s="44"/>
      <c r="AI119" s="44"/>
      <c r="AJ119" s="44"/>
      <c r="AK119" s="44"/>
      <c r="AL119" s="44"/>
      <c r="AM119" s="44"/>
      <c r="AN119" s="44"/>
      <c r="AO119" s="44"/>
      <c r="AP119" s="44"/>
      <c r="AQ119" s="44"/>
      <c r="AR119" s="44"/>
      <c r="AS119" s="44"/>
      <c r="AT119" s="44"/>
      <c r="AU119" s="44"/>
      <c r="AV119" s="44"/>
      <c r="AW119" s="44"/>
      <c r="AX119" s="44"/>
    </row>
    <row r="120" ht="15.75" customHeight="1">
      <c r="A120" s="150" t="s">
        <v>46</v>
      </c>
      <c r="B120" s="151" t="s">
        <v>1041</v>
      </c>
      <c r="C120" s="132" t="s">
        <v>1043</v>
      </c>
      <c r="D120" s="132" t="s">
        <v>1043</v>
      </c>
      <c r="E120" s="132" t="s">
        <v>1043</v>
      </c>
      <c r="F120" s="131"/>
      <c r="G120" s="131"/>
      <c r="H120" s="131"/>
      <c r="I120" s="131"/>
      <c r="J120" s="131"/>
      <c r="K120" s="131"/>
      <c r="L120" s="131"/>
      <c r="M120" s="131"/>
      <c r="N120" s="131"/>
      <c r="O120" s="133"/>
      <c r="P120" s="133"/>
      <c r="Q120" s="133"/>
      <c r="R120" s="133"/>
      <c r="S120" s="133"/>
      <c r="T120" s="133"/>
      <c r="U120" s="133"/>
      <c r="V120" s="133"/>
      <c r="W120" s="133"/>
      <c r="X120" s="133"/>
      <c r="Y120" s="133"/>
      <c r="Z120" s="133"/>
      <c r="AA120" s="133"/>
      <c r="AB120" s="133"/>
      <c r="AC120" s="133"/>
      <c r="AD120" s="44"/>
      <c r="AE120" s="44"/>
      <c r="AF120" s="44"/>
      <c r="AG120" s="44"/>
      <c r="AH120" s="44"/>
      <c r="AI120" s="44"/>
      <c r="AJ120" s="44"/>
      <c r="AK120" s="44"/>
      <c r="AL120" s="44"/>
      <c r="AM120" s="44"/>
      <c r="AN120" s="44"/>
      <c r="AO120" s="44"/>
      <c r="AP120" s="44"/>
      <c r="AQ120" s="44"/>
      <c r="AR120" s="44"/>
      <c r="AS120" s="44"/>
      <c r="AT120" s="44"/>
      <c r="AU120" s="44"/>
      <c r="AV120" s="44"/>
      <c r="AW120" s="44"/>
      <c r="AX120" s="44"/>
    </row>
    <row r="121" ht="15.75" customHeight="1">
      <c r="A121" s="208" t="s">
        <v>1060</v>
      </c>
      <c r="B121" s="209" t="s">
        <v>1061</v>
      </c>
      <c r="C121" s="147" t="s">
        <v>1062</v>
      </c>
      <c r="D121" s="147" t="s">
        <v>1063</v>
      </c>
      <c r="E121" s="147" t="s">
        <v>1064</v>
      </c>
      <c r="F121" s="139"/>
      <c r="G121" s="139"/>
      <c r="H121" s="139"/>
      <c r="I121" s="139"/>
      <c r="J121" s="139"/>
      <c r="K121" s="139"/>
      <c r="L121" s="139"/>
      <c r="M121" s="139"/>
      <c r="N121" s="139"/>
      <c r="O121" s="127"/>
      <c r="P121" s="127"/>
      <c r="Q121" s="208" t="s">
        <v>307</v>
      </c>
      <c r="R121" s="127"/>
      <c r="S121" s="127"/>
      <c r="T121" s="127"/>
      <c r="U121" s="127"/>
      <c r="V121" s="127"/>
      <c r="W121" s="127"/>
      <c r="X121" s="127"/>
      <c r="Y121" s="127"/>
      <c r="Z121" s="127"/>
      <c r="AA121" s="127"/>
      <c r="AB121" s="127"/>
      <c r="AC121" s="127"/>
      <c r="AD121" s="44"/>
      <c r="AE121" s="44"/>
      <c r="AF121" s="44"/>
      <c r="AG121" s="44"/>
      <c r="AH121" s="44"/>
      <c r="AI121" s="44"/>
      <c r="AJ121" s="44"/>
      <c r="AK121" s="44"/>
      <c r="AL121" s="44"/>
      <c r="AM121" s="44"/>
      <c r="AN121" s="44"/>
      <c r="AO121" s="44"/>
      <c r="AP121" s="44"/>
      <c r="AQ121" s="44"/>
      <c r="AR121" s="44"/>
      <c r="AS121" s="44"/>
      <c r="AT121" s="44"/>
      <c r="AU121" s="44"/>
      <c r="AV121" s="44"/>
      <c r="AW121" s="44"/>
      <c r="AX121" s="44"/>
    </row>
    <row r="122" ht="15.75" customHeight="1">
      <c r="A122" s="134" t="s">
        <v>331</v>
      </c>
      <c r="B122" s="134" t="s">
        <v>982</v>
      </c>
      <c r="C122" s="152" t="s">
        <v>983</v>
      </c>
      <c r="D122" s="153"/>
      <c r="E122" s="153"/>
      <c r="F122" s="153"/>
      <c r="G122" s="153"/>
      <c r="H122" s="153"/>
      <c r="I122" s="153"/>
      <c r="J122" s="153"/>
      <c r="K122" s="153"/>
      <c r="L122" s="153"/>
      <c r="M122" s="153"/>
      <c r="N122" s="153"/>
      <c r="O122" s="137"/>
      <c r="P122" s="137"/>
      <c r="Q122" s="137"/>
      <c r="R122" s="137"/>
      <c r="S122" s="137"/>
      <c r="T122" s="137"/>
      <c r="U122" s="137"/>
      <c r="V122" s="137"/>
      <c r="W122" s="137"/>
      <c r="X122" s="137"/>
      <c r="Y122" s="137"/>
      <c r="Z122" s="137"/>
      <c r="AA122" s="137"/>
      <c r="AB122" s="137"/>
      <c r="AC122" s="137"/>
      <c r="AD122" s="44"/>
      <c r="AE122" s="44"/>
      <c r="AF122" s="44"/>
      <c r="AG122" s="44"/>
      <c r="AH122" s="44"/>
      <c r="AI122" s="44"/>
      <c r="AJ122" s="44"/>
      <c r="AK122" s="44"/>
      <c r="AL122" s="44"/>
      <c r="AM122" s="44"/>
      <c r="AN122" s="44"/>
      <c r="AO122" s="44"/>
      <c r="AP122" s="44"/>
      <c r="AQ122" s="44"/>
      <c r="AR122" s="44"/>
      <c r="AS122" s="44"/>
      <c r="AT122" s="44"/>
      <c r="AU122" s="44"/>
      <c r="AV122" s="44"/>
      <c r="AW122" s="44"/>
      <c r="AX122" s="44"/>
    </row>
    <row r="123" ht="15.75" customHeight="1">
      <c r="A123" s="82" t="s">
        <v>112</v>
      </c>
      <c r="B123" s="83" t="s">
        <v>1095</v>
      </c>
      <c r="C123" s="84" t="s">
        <v>1096</v>
      </c>
      <c r="D123" s="68"/>
      <c r="E123" s="68"/>
      <c r="F123" s="68"/>
      <c r="G123" s="68"/>
      <c r="H123" s="68"/>
      <c r="I123" s="68"/>
      <c r="J123" s="68"/>
      <c r="K123" s="68"/>
      <c r="L123" s="68"/>
      <c r="M123" s="68"/>
      <c r="N123" s="68"/>
      <c r="O123" s="71"/>
      <c r="P123" s="71"/>
      <c r="Q123" s="71"/>
      <c r="R123" s="71"/>
      <c r="S123" s="71"/>
      <c r="T123" s="83" t="s">
        <v>1101</v>
      </c>
      <c r="U123" s="71"/>
      <c r="V123" s="71"/>
      <c r="W123" s="71"/>
      <c r="X123" s="71"/>
      <c r="Y123" s="71"/>
      <c r="Z123" s="71"/>
      <c r="AA123" s="71"/>
      <c r="AB123" s="71"/>
      <c r="AC123" s="71"/>
      <c r="AD123" s="44"/>
      <c r="AE123" s="44"/>
      <c r="AF123" s="44"/>
      <c r="AG123" s="44"/>
      <c r="AH123" s="44"/>
      <c r="AI123" s="44"/>
      <c r="AJ123" s="44"/>
      <c r="AK123" s="44"/>
      <c r="AL123" s="44"/>
      <c r="AM123" s="44"/>
      <c r="AN123" s="44"/>
      <c r="AO123" s="44"/>
      <c r="AP123" s="44"/>
      <c r="AQ123" s="44"/>
      <c r="AR123" s="44"/>
      <c r="AS123" s="44"/>
      <c r="AT123" s="44"/>
      <c r="AU123" s="44"/>
      <c r="AV123" s="44"/>
      <c r="AW123" s="44"/>
      <c r="AX123" s="44"/>
    </row>
    <row r="124" ht="15.75" customHeight="1">
      <c r="A124" s="82" t="s">
        <v>256</v>
      </c>
      <c r="B124" s="83" t="s">
        <v>1109</v>
      </c>
      <c r="C124" s="84" t="s">
        <v>1111</v>
      </c>
      <c r="D124" s="68"/>
      <c r="E124" s="68"/>
      <c r="F124" s="68"/>
      <c r="G124" s="68"/>
      <c r="H124" s="68"/>
      <c r="I124" s="68"/>
      <c r="J124" s="68"/>
      <c r="K124" s="68"/>
      <c r="L124" s="68"/>
      <c r="M124" s="68"/>
      <c r="N124" s="68"/>
      <c r="O124" s="71"/>
      <c r="P124" s="71"/>
      <c r="Q124" s="71"/>
      <c r="R124" s="71"/>
      <c r="S124" s="71"/>
      <c r="T124" s="83" t="s">
        <v>1114</v>
      </c>
      <c r="U124" s="71"/>
      <c r="V124" s="71"/>
      <c r="W124" s="71"/>
      <c r="X124" s="71"/>
      <c r="Y124" s="71"/>
      <c r="Z124" s="71"/>
      <c r="AA124" s="71"/>
      <c r="AB124" s="71"/>
      <c r="AC124" s="71"/>
      <c r="AD124" s="44"/>
      <c r="AE124" s="44"/>
      <c r="AF124" s="44"/>
      <c r="AG124" s="44"/>
      <c r="AH124" s="44"/>
      <c r="AI124" s="44"/>
      <c r="AJ124" s="44"/>
      <c r="AK124" s="44"/>
      <c r="AL124" s="44"/>
      <c r="AM124" s="44"/>
      <c r="AN124" s="44"/>
      <c r="AO124" s="44"/>
      <c r="AP124" s="44"/>
      <c r="AQ124" s="44"/>
      <c r="AR124" s="44"/>
      <c r="AS124" s="44"/>
      <c r="AT124" s="44"/>
      <c r="AU124" s="44"/>
      <c r="AV124" s="44"/>
      <c r="AW124" s="44"/>
      <c r="AX124" s="44"/>
    </row>
    <row r="125" ht="15.75" customHeight="1">
      <c r="A125" s="163" t="s">
        <v>450</v>
      </c>
      <c r="B125" s="159"/>
      <c r="C125" s="162" t="s">
        <v>55</v>
      </c>
      <c r="D125" s="162" t="s">
        <v>55</v>
      </c>
      <c r="E125" s="162" t="s">
        <v>55</v>
      </c>
      <c r="F125" s="162"/>
      <c r="G125" s="162"/>
      <c r="H125" s="162"/>
      <c r="I125" s="162"/>
      <c r="J125" s="162"/>
      <c r="K125" s="162"/>
      <c r="L125" s="162"/>
      <c r="M125" s="162"/>
      <c r="N125" s="162"/>
      <c r="O125" s="159"/>
      <c r="P125" s="159"/>
      <c r="Q125" s="159"/>
      <c r="R125" s="159"/>
      <c r="S125" s="159"/>
      <c r="T125" s="159"/>
      <c r="U125" s="159"/>
      <c r="V125" s="159"/>
      <c r="W125" s="159"/>
      <c r="X125" s="159"/>
      <c r="Y125" s="159"/>
      <c r="Z125" s="159"/>
      <c r="AA125" s="159"/>
      <c r="AB125" s="159"/>
      <c r="AC125" s="159"/>
      <c r="AD125" s="44"/>
      <c r="AE125" s="44"/>
      <c r="AF125" s="44"/>
      <c r="AG125" s="44"/>
      <c r="AH125" s="44"/>
      <c r="AI125" s="44"/>
      <c r="AJ125" s="44"/>
      <c r="AK125" s="44"/>
      <c r="AL125" s="44"/>
      <c r="AM125" s="44"/>
      <c r="AN125" s="44"/>
      <c r="AO125" s="44"/>
      <c r="AP125" s="44"/>
      <c r="AQ125" s="44"/>
      <c r="AR125" s="44"/>
      <c r="AS125" s="44"/>
      <c r="AT125" s="44"/>
      <c r="AU125" s="44"/>
      <c r="AV125" s="44"/>
      <c r="AW125" s="44"/>
      <c r="AX125" s="44"/>
    </row>
    <row r="126" ht="15.75" customHeight="1">
      <c r="A126" s="44"/>
      <c r="B126" s="44"/>
      <c r="C126" s="154"/>
      <c r="D126" s="154"/>
      <c r="E126" s="154"/>
      <c r="F126" s="154"/>
      <c r="G126" s="154"/>
      <c r="H126" s="154"/>
      <c r="I126" s="154"/>
      <c r="J126" s="154"/>
      <c r="K126" s="154"/>
      <c r="L126" s="154"/>
      <c r="M126" s="154"/>
      <c r="N126" s="15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row>
    <row r="127" ht="15.75" customHeight="1">
      <c r="A127" s="44"/>
      <c r="B127" s="44"/>
      <c r="C127" s="154"/>
      <c r="D127" s="154"/>
      <c r="E127" s="154"/>
      <c r="F127" s="154"/>
      <c r="G127" s="154"/>
      <c r="H127" s="154"/>
      <c r="I127" s="154"/>
      <c r="J127" s="154"/>
      <c r="K127" s="154"/>
      <c r="L127" s="154"/>
      <c r="M127" s="154"/>
      <c r="N127" s="15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row>
    <row r="128" ht="15.75" customHeight="1">
      <c r="A128" s="82" t="s">
        <v>112</v>
      </c>
      <c r="B128" s="83" t="s">
        <v>1170</v>
      </c>
      <c r="C128" s="84" t="s">
        <v>1171</v>
      </c>
      <c r="D128" s="68"/>
      <c r="E128" s="68"/>
      <c r="F128" s="68"/>
      <c r="G128" s="68"/>
      <c r="H128" s="68"/>
      <c r="I128" s="68"/>
      <c r="J128" s="68"/>
      <c r="K128" s="68"/>
      <c r="L128" s="68"/>
      <c r="M128" s="68"/>
      <c r="N128" s="68"/>
      <c r="O128" s="71"/>
      <c r="P128" s="71"/>
      <c r="Q128" s="71"/>
      <c r="R128" s="71"/>
      <c r="S128" s="71"/>
      <c r="T128" s="83" t="s">
        <v>1176</v>
      </c>
      <c r="U128" s="71"/>
      <c r="V128" s="71"/>
      <c r="W128" s="71"/>
      <c r="X128" s="71"/>
      <c r="Y128" s="71"/>
      <c r="Z128" s="71"/>
      <c r="AA128" s="71"/>
      <c r="AB128" s="71"/>
      <c r="AC128" s="71"/>
      <c r="AD128" s="44"/>
      <c r="AE128" s="44"/>
      <c r="AF128" s="44"/>
      <c r="AG128" s="44"/>
      <c r="AH128" s="44"/>
      <c r="AI128" s="44"/>
      <c r="AJ128" s="44"/>
      <c r="AK128" s="44"/>
      <c r="AL128" s="44"/>
      <c r="AM128" s="44"/>
      <c r="AN128" s="44"/>
      <c r="AO128" s="44"/>
      <c r="AP128" s="44"/>
      <c r="AQ128" s="44"/>
      <c r="AR128" s="44"/>
      <c r="AS128" s="44"/>
      <c r="AT128" s="44"/>
      <c r="AU128" s="44"/>
      <c r="AV128" s="44"/>
      <c r="AW128" s="44"/>
      <c r="AX128" s="44"/>
    </row>
    <row r="129" ht="15.75" customHeight="1">
      <c r="A129" s="44"/>
      <c r="B129" s="44"/>
      <c r="C129" s="154" t="s">
        <v>55</v>
      </c>
      <c r="D129" s="154" t="s">
        <v>55</v>
      </c>
      <c r="E129" s="154" t="s">
        <v>55</v>
      </c>
      <c r="F129" s="154"/>
      <c r="G129" s="154"/>
      <c r="H129" s="154"/>
      <c r="I129" s="154"/>
      <c r="J129" s="154"/>
      <c r="K129" s="154"/>
      <c r="L129" s="154"/>
      <c r="M129" s="154"/>
      <c r="N129" s="15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row>
    <row r="130" ht="15.75" customHeight="1">
      <c r="A130" s="82" t="s">
        <v>112</v>
      </c>
      <c r="B130" s="83" t="s">
        <v>1199</v>
      </c>
      <c r="C130" s="84" t="s">
        <v>1201</v>
      </c>
      <c r="D130" s="68"/>
      <c r="E130" s="68"/>
      <c r="F130" s="68"/>
      <c r="G130" s="68"/>
      <c r="H130" s="68"/>
      <c r="I130" s="68"/>
      <c r="J130" s="68"/>
      <c r="K130" s="68"/>
      <c r="L130" s="68"/>
      <c r="M130" s="68"/>
      <c r="N130" s="68"/>
      <c r="O130" s="71"/>
      <c r="P130" s="71"/>
      <c r="Q130" s="71"/>
      <c r="R130" s="71"/>
      <c r="S130" s="71"/>
      <c r="T130" s="83" t="s">
        <v>1206</v>
      </c>
      <c r="U130" s="71"/>
      <c r="V130" s="71"/>
      <c r="W130" s="71"/>
      <c r="X130" s="71"/>
      <c r="Y130" s="71"/>
      <c r="Z130" s="71"/>
      <c r="AA130" s="71"/>
      <c r="AB130" s="71"/>
      <c r="AC130" s="71"/>
      <c r="AD130" s="44"/>
      <c r="AE130" s="44"/>
      <c r="AF130" s="44"/>
      <c r="AG130" s="44"/>
      <c r="AH130" s="44"/>
      <c r="AI130" s="44"/>
      <c r="AJ130" s="44"/>
      <c r="AK130" s="44"/>
      <c r="AL130" s="44"/>
      <c r="AM130" s="44"/>
      <c r="AN130" s="44"/>
      <c r="AO130" s="44"/>
      <c r="AP130" s="44"/>
      <c r="AQ130" s="44"/>
      <c r="AR130" s="44"/>
      <c r="AS130" s="44"/>
      <c r="AT130" s="44"/>
      <c r="AU130" s="44"/>
      <c r="AV130" s="44"/>
      <c r="AW130" s="44"/>
      <c r="AX130" s="44"/>
    </row>
    <row r="131" ht="15.75" customHeight="1">
      <c r="A131" s="82" t="s">
        <v>112</v>
      </c>
      <c r="B131" s="83" t="s">
        <v>1217</v>
      </c>
      <c r="C131" s="84" t="s">
        <v>1219</v>
      </c>
      <c r="D131" s="68"/>
      <c r="E131" s="68"/>
      <c r="F131" s="68"/>
      <c r="G131" s="68"/>
      <c r="H131" s="68"/>
      <c r="I131" s="68"/>
      <c r="J131" s="68"/>
      <c r="K131" s="68"/>
      <c r="L131" s="68"/>
      <c r="M131" s="68"/>
      <c r="N131" s="68"/>
      <c r="O131" s="71"/>
      <c r="P131" s="71"/>
      <c r="Q131" s="71"/>
      <c r="R131" s="71"/>
      <c r="S131" s="71"/>
      <c r="T131" s="83" t="s">
        <v>1226</v>
      </c>
      <c r="U131" s="71"/>
      <c r="V131" s="71"/>
      <c r="W131" s="71"/>
      <c r="X131" s="71"/>
      <c r="Y131" s="71"/>
      <c r="Z131" s="71"/>
      <c r="AA131" s="71"/>
      <c r="AB131" s="71"/>
      <c r="AC131" s="71"/>
      <c r="AD131" s="44"/>
      <c r="AE131" s="44"/>
      <c r="AF131" s="44"/>
      <c r="AG131" s="44"/>
      <c r="AH131" s="44"/>
      <c r="AI131" s="44"/>
      <c r="AJ131" s="44"/>
      <c r="AK131" s="44"/>
      <c r="AL131" s="44"/>
      <c r="AM131" s="44"/>
      <c r="AN131" s="44"/>
      <c r="AO131" s="44"/>
      <c r="AP131" s="44"/>
      <c r="AQ131" s="44"/>
      <c r="AR131" s="44"/>
      <c r="AS131" s="44"/>
      <c r="AT131" s="44"/>
      <c r="AU131" s="44"/>
      <c r="AV131" s="44"/>
      <c r="AW131" s="44"/>
      <c r="AX131" s="44"/>
    </row>
    <row r="132" ht="15.75" customHeight="1">
      <c r="A132" s="82" t="s">
        <v>112</v>
      </c>
      <c r="B132" s="83" t="s">
        <v>1237</v>
      </c>
      <c r="C132" s="84" t="s">
        <v>1239</v>
      </c>
      <c r="D132" s="68"/>
      <c r="E132" s="68"/>
      <c r="F132" s="68"/>
      <c r="G132" s="68"/>
      <c r="H132" s="68"/>
      <c r="I132" s="68"/>
      <c r="J132" s="68"/>
      <c r="K132" s="68"/>
      <c r="L132" s="68"/>
      <c r="M132" s="68"/>
      <c r="N132" s="68"/>
      <c r="O132" s="71"/>
      <c r="P132" s="71"/>
      <c r="Q132" s="71"/>
      <c r="R132" s="71"/>
      <c r="S132" s="71"/>
      <c r="T132" s="83" t="s">
        <v>1243</v>
      </c>
      <c r="U132" s="71"/>
      <c r="V132" s="71"/>
      <c r="W132" s="71"/>
      <c r="X132" s="71"/>
      <c r="Y132" s="71"/>
      <c r="Z132" s="71"/>
      <c r="AA132" s="71"/>
      <c r="AB132" s="71"/>
      <c r="AC132" s="71"/>
      <c r="AD132" s="44"/>
      <c r="AE132" s="44"/>
      <c r="AF132" s="44"/>
      <c r="AG132" s="44"/>
      <c r="AH132" s="44"/>
      <c r="AI132" s="44"/>
      <c r="AJ132" s="44"/>
      <c r="AK132" s="44"/>
      <c r="AL132" s="44"/>
      <c r="AM132" s="44"/>
      <c r="AN132" s="44"/>
      <c r="AO132" s="44"/>
      <c r="AP132" s="44"/>
      <c r="AQ132" s="44"/>
      <c r="AR132" s="44"/>
      <c r="AS132" s="44"/>
      <c r="AT132" s="44"/>
      <c r="AU132" s="44"/>
      <c r="AV132" s="44"/>
      <c r="AW132" s="44"/>
      <c r="AX132" s="44"/>
    </row>
    <row r="133" ht="15.75" customHeight="1">
      <c r="A133" s="82" t="s">
        <v>112</v>
      </c>
      <c r="B133" s="83" t="s">
        <v>1253</v>
      </c>
      <c r="C133" s="84" t="s">
        <v>1254</v>
      </c>
      <c r="D133" s="68"/>
      <c r="E133" s="68"/>
      <c r="F133" s="68"/>
      <c r="G133" s="68"/>
      <c r="H133" s="68"/>
      <c r="I133" s="68"/>
      <c r="J133" s="68"/>
      <c r="K133" s="68"/>
      <c r="L133" s="68"/>
      <c r="M133" s="68"/>
      <c r="N133" s="68"/>
      <c r="O133" s="71"/>
      <c r="P133" s="71"/>
      <c r="Q133" s="71"/>
      <c r="R133" s="71"/>
      <c r="S133" s="71"/>
      <c r="T133" s="83" t="s">
        <v>1261</v>
      </c>
      <c r="U133" s="71"/>
      <c r="V133" s="71"/>
      <c r="W133" s="71"/>
      <c r="X133" s="71"/>
      <c r="Y133" s="71"/>
      <c r="Z133" s="71"/>
      <c r="AA133" s="71"/>
      <c r="AB133" s="71"/>
      <c r="AC133" s="71"/>
      <c r="AD133" s="44"/>
      <c r="AE133" s="44"/>
      <c r="AF133" s="44"/>
      <c r="AG133" s="44"/>
      <c r="AH133" s="44"/>
      <c r="AI133" s="44"/>
      <c r="AJ133" s="44"/>
      <c r="AK133" s="44"/>
      <c r="AL133" s="44"/>
      <c r="AM133" s="44"/>
      <c r="AN133" s="44"/>
      <c r="AO133" s="44"/>
      <c r="AP133" s="44"/>
      <c r="AQ133" s="44"/>
      <c r="AR133" s="44"/>
      <c r="AS133" s="44"/>
      <c r="AT133" s="44"/>
      <c r="AU133" s="44"/>
      <c r="AV133" s="44"/>
      <c r="AW133" s="44"/>
      <c r="AX133" s="44"/>
    </row>
    <row r="134" ht="15.75" customHeight="1">
      <c r="A134" s="82" t="s">
        <v>112</v>
      </c>
      <c r="B134" s="83" t="s">
        <v>1272</v>
      </c>
      <c r="C134" s="84" t="s">
        <v>1273</v>
      </c>
      <c r="D134" s="68"/>
      <c r="E134" s="68"/>
      <c r="F134" s="68"/>
      <c r="G134" s="68"/>
      <c r="H134" s="68"/>
      <c r="I134" s="68"/>
      <c r="J134" s="68"/>
      <c r="K134" s="68"/>
      <c r="L134" s="68"/>
      <c r="M134" s="68"/>
      <c r="N134" s="68"/>
      <c r="O134" s="71"/>
      <c r="P134" s="71"/>
      <c r="Q134" s="71"/>
      <c r="R134" s="71"/>
      <c r="S134" s="71"/>
      <c r="T134" s="83" t="s">
        <v>1278</v>
      </c>
      <c r="U134" s="71"/>
      <c r="V134" s="71"/>
      <c r="W134" s="71"/>
      <c r="X134" s="71"/>
      <c r="Y134" s="71"/>
      <c r="Z134" s="71"/>
      <c r="AA134" s="71"/>
      <c r="AB134" s="71"/>
      <c r="AC134" s="71"/>
      <c r="AD134" s="44"/>
      <c r="AE134" s="44"/>
      <c r="AF134" s="44"/>
      <c r="AG134" s="44"/>
      <c r="AH134" s="44"/>
      <c r="AI134" s="44"/>
      <c r="AJ134" s="44"/>
      <c r="AK134" s="44"/>
      <c r="AL134" s="44"/>
      <c r="AM134" s="44"/>
      <c r="AN134" s="44"/>
      <c r="AO134" s="44"/>
      <c r="AP134" s="44"/>
      <c r="AQ134" s="44"/>
      <c r="AR134" s="44"/>
      <c r="AS134" s="44"/>
      <c r="AT134" s="44"/>
      <c r="AU134" s="44"/>
      <c r="AV134" s="44"/>
      <c r="AW134" s="44"/>
      <c r="AX134" s="44"/>
    </row>
    <row r="135" ht="15.75" customHeight="1">
      <c r="A135" s="82" t="s">
        <v>112</v>
      </c>
      <c r="B135" s="83" t="s">
        <v>1295</v>
      </c>
      <c r="C135" s="84" t="s">
        <v>1297</v>
      </c>
      <c r="D135" s="68"/>
      <c r="E135" s="68"/>
      <c r="F135" s="68"/>
      <c r="G135" s="68"/>
      <c r="H135" s="68"/>
      <c r="I135" s="68"/>
      <c r="J135" s="68"/>
      <c r="K135" s="68"/>
      <c r="L135" s="68"/>
      <c r="M135" s="68"/>
      <c r="N135" s="68"/>
      <c r="O135" s="71"/>
      <c r="P135" s="71"/>
      <c r="Q135" s="71"/>
      <c r="R135" s="71"/>
      <c r="S135" s="71"/>
      <c r="T135" s="83" t="s">
        <v>1301</v>
      </c>
      <c r="U135" s="71"/>
      <c r="V135" s="71"/>
      <c r="W135" s="71"/>
      <c r="X135" s="71"/>
      <c r="Y135" s="71"/>
      <c r="Z135" s="71"/>
      <c r="AA135" s="71"/>
      <c r="AB135" s="71"/>
      <c r="AC135" s="71"/>
      <c r="AD135" s="44"/>
      <c r="AE135" s="44"/>
      <c r="AF135" s="44"/>
      <c r="AG135" s="44"/>
      <c r="AH135" s="44"/>
      <c r="AI135" s="44"/>
      <c r="AJ135" s="44"/>
      <c r="AK135" s="44"/>
      <c r="AL135" s="44"/>
      <c r="AM135" s="44"/>
      <c r="AN135" s="44"/>
      <c r="AO135" s="44"/>
      <c r="AP135" s="44"/>
      <c r="AQ135" s="44"/>
      <c r="AR135" s="44"/>
      <c r="AS135" s="44"/>
      <c r="AT135" s="44"/>
      <c r="AU135" s="44"/>
      <c r="AV135" s="44"/>
      <c r="AW135" s="44"/>
      <c r="AX135" s="44"/>
    </row>
    <row r="136" ht="15.75" customHeight="1">
      <c r="A136" s="82" t="s">
        <v>112</v>
      </c>
      <c r="B136" s="83" t="s">
        <v>1314</v>
      </c>
      <c r="C136" s="84" t="s">
        <v>1316</v>
      </c>
      <c r="D136" s="68"/>
      <c r="E136" s="68"/>
      <c r="F136" s="68"/>
      <c r="G136" s="68"/>
      <c r="H136" s="68"/>
      <c r="I136" s="68"/>
      <c r="J136" s="68"/>
      <c r="K136" s="68"/>
      <c r="L136" s="68"/>
      <c r="M136" s="68"/>
      <c r="N136" s="68"/>
      <c r="O136" s="71"/>
      <c r="P136" s="71"/>
      <c r="Q136" s="71"/>
      <c r="R136" s="71"/>
      <c r="S136" s="71"/>
      <c r="T136" s="83" t="s">
        <v>1323</v>
      </c>
      <c r="U136" s="71"/>
      <c r="V136" s="71"/>
      <c r="W136" s="71"/>
      <c r="X136" s="71"/>
      <c r="Y136" s="71"/>
      <c r="Z136" s="71"/>
      <c r="AA136" s="71"/>
      <c r="AB136" s="71"/>
      <c r="AC136" s="71"/>
      <c r="AD136" s="44"/>
      <c r="AE136" s="44"/>
      <c r="AF136" s="44"/>
      <c r="AG136" s="44"/>
      <c r="AH136" s="44"/>
      <c r="AI136" s="44"/>
      <c r="AJ136" s="44"/>
      <c r="AK136" s="44"/>
      <c r="AL136" s="44"/>
      <c r="AM136" s="44"/>
      <c r="AN136" s="44"/>
      <c r="AO136" s="44"/>
      <c r="AP136" s="44"/>
      <c r="AQ136" s="44"/>
      <c r="AR136" s="44"/>
      <c r="AS136" s="44"/>
      <c r="AT136" s="44"/>
      <c r="AU136" s="44"/>
      <c r="AV136" s="44"/>
      <c r="AW136" s="44"/>
      <c r="AX136" s="44"/>
    </row>
    <row r="137" ht="15.75" customHeight="1">
      <c r="A137" s="82" t="s">
        <v>112</v>
      </c>
      <c r="B137" s="83" t="s">
        <v>1329</v>
      </c>
      <c r="C137" s="84" t="s">
        <v>1330</v>
      </c>
      <c r="D137" s="68"/>
      <c r="E137" s="68"/>
      <c r="F137" s="68"/>
      <c r="G137" s="68"/>
      <c r="H137" s="68"/>
      <c r="I137" s="68"/>
      <c r="J137" s="68"/>
      <c r="K137" s="68"/>
      <c r="L137" s="68"/>
      <c r="M137" s="68"/>
      <c r="N137" s="68"/>
      <c r="O137" s="71"/>
      <c r="P137" s="71"/>
      <c r="Q137" s="71"/>
      <c r="R137" s="71"/>
      <c r="S137" s="71"/>
      <c r="T137" s="83" t="s">
        <v>1331</v>
      </c>
      <c r="U137" s="71"/>
      <c r="V137" s="71"/>
      <c r="W137" s="71"/>
      <c r="X137" s="71"/>
      <c r="Y137" s="71"/>
      <c r="Z137" s="71"/>
      <c r="AA137" s="71"/>
      <c r="AB137" s="71"/>
      <c r="AC137" s="71"/>
      <c r="AD137" s="44"/>
      <c r="AE137" s="44"/>
      <c r="AF137" s="44"/>
      <c r="AG137" s="44"/>
      <c r="AH137" s="44"/>
      <c r="AI137" s="44"/>
      <c r="AJ137" s="44"/>
      <c r="AK137" s="44"/>
      <c r="AL137" s="44"/>
      <c r="AM137" s="44"/>
      <c r="AN137" s="44"/>
      <c r="AO137" s="44"/>
      <c r="AP137" s="44"/>
      <c r="AQ137" s="44"/>
      <c r="AR137" s="44"/>
      <c r="AS137" s="44"/>
      <c r="AT137" s="44"/>
      <c r="AU137" s="44"/>
      <c r="AV137" s="44"/>
      <c r="AW137" s="44"/>
      <c r="AX137" s="44"/>
    </row>
    <row r="138" ht="15.75" customHeight="1">
      <c r="A138" s="82" t="s">
        <v>112</v>
      </c>
      <c r="B138" s="83" t="s">
        <v>1338</v>
      </c>
      <c r="C138" s="84" t="s">
        <v>1339</v>
      </c>
      <c r="D138" s="68"/>
      <c r="E138" s="68"/>
      <c r="F138" s="68"/>
      <c r="G138" s="68"/>
      <c r="H138" s="68"/>
      <c r="I138" s="68"/>
      <c r="J138" s="68"/>
      <c r="K138" s="68"/>
      <c r="L138" s="68"/>
      <c r="M138" s="68"/>
      <c r="N138" s="68"/>
      <c r="O138" s="71"/>
      <c r="P138" s="71"/>
      <c r="Q138" s="71"/>
      <c r="R138" s="71"/>
      <c r="S138" s="71"/>
      <c r="T138" s="83" t="s">
        <v>1344</v>
      </c>
      <c r="U138" s="71"/>
      <c r="V138" s="71"/>
      <c r="W138" s="71"/>
      <c r="X138" s="71"/>
      <c r="Y138" s="71"/>
      <c r="Z138" s="71"/>
      <c r="AA138" s="71"/>
      <c r="AB138" s="71"/>
      <c r="AC138" s="71"/>
      <c r="AD138" s="44"/>
      <c r="AE138" s="44"/>
      <c r="AF138" s="44"/>
      <c r="AG138" s="44"/>
      <c r="AH138" s="44"/>
      <c r="AI138" s="44"/>
      <c r="AJ138" s="44"/>
      <c r="AK138" s="44"/>
      <c r="AL138" s="44"/>
      <c r="AM138" s="44"/>
      <c r="AN138" s="44"/>
      <c r="AO138" s="44"/>
      <c r="AP138" s="44"/>
      <c r="AQ138" s="44"/>
      <c r="AR138" s="44"/>
      <c r="AS138" s="44"/>
      <c r="AT138" s="44"/>
      <c r="AU138" s="44"/>
      <c r="AV138" s="44"/>
      <c r="AW138" s="44"/>
      <c r="AX138" s="44"/>
    </row>
    <row r="139" ht="15.75" customHeight="1">
      <c r="A139" s="82" t="s">
        <v>112</v>
      </c>
      <c r="B139" s="83" t="s">
        <v>1352</v>
      </c>
      <c r="C139" s="84" t="s">
        <v>1354</v>
      </c>
      <c r="D139" s="68"/>
      <c r="E139" s="68"/>
      <c r="F139" s="68"/>
      <c r="G139" s="68"/>
      <c r="H139" s="68"/>
      <c r="I139" s="68"/>
      <c r="J139" s="68"/>
      <c r="K139" s="68"/>
      <c r="L139" s="68"/>
      <c r="M139" s="68"/>
      <c r="N139" s="68"/>
      <c r="O139" s="71"/>
      <c r="P139" s="71"/>
      <c r="Q139" s="71"/>
      <c r="R139" s="71"/>
      <c r="S139" s="71"/>
      <c r="T139" s="83" t="s">
        <v>1358</v>
      </c>
      <c r="U139" s="71"/>
      <c r="V139" s="71"/>
      <c r="W139" s="71"/>
      <c r="X139" s="71"/>
      <c r="Y139" s="71"/>
      <c r="Z139" s="71"/>
      <c r="AA139" s="71"/>
      <c r="AB139" s="71"/>
      <c r="AC139" s="71"/>
      <c r="AD139" s="44"/>
      <c r="AE139" s="44"/>
      <c r="AF139" s="44"/>
      <c r="AG139" s="44"/>
      <c r="AH139" s="44"/>
      <c r="AI139" s="44"/>
      <c r="AJ139" s="44"/>
      <c r="AK139" s="44"/>
      <c r="AL139" s="44"/>
      <c r="AM139" s="44"/>
      <c r="AN139" s="44"/>
      <c r="AO139" s="44"/>
      <c r="AP139" s="44"/>
      <c r="AQ139" s="44"/>
      <c r="AR139" s="44"/>
      <c r="AS139" s="44"/>
      <c r="AT139" s="44"/>
      <c r="AU139" s="44"/>
      <c r="AV139" s="44"/>
      <c r="AW139" s="44"/>
      <c r="AX139" s="44"/>
    </row>
    <row r="140" ht="15.75" customHeight="1">
      <c r="A140" s="82" t="s">
        <v>112</v>
      </c>
      <c r="B140" s="83" t="s">
        <v>1367</v>
      </c>
      <c r="C140" s="84" t="s">
        <v>1368</v>
      </c>
      <c r="D140" s="68"/>
      <c r="E140" s="68"/>
      <c r="F140" s="68"/>
      <c r="G140" s="68"/>
      <c r="H140" s="68"/>
      <c r="I140" s="68"/>
      <c r="J140" s="68"/>
      <c r="K140" s="68"/>
      <c r="L140" s="68"/>
      <c r="M140" s="68"/>
      <c r="N140" s="68"/>
      <c r="O140" s="71"/>
      <c r="P140" s="71"/>
      <c r="Q140" s="71"/>
      <c r="R140" s="71"/>
      <c r="S140" s="71"/>
      <c r="T140" s="83" t="s">
        <v>1373</v>
      </c>
      <c r="U140" s="71"/>
      <c r="V140" s="71"/>
      <c r="W140" s="71"/>
      <c r="X140" s="71"/>
      <c r="Y140" s="71"/>
      <c r="Z140" s="71"/>
      <c r="AA140" s="71"/>
      <c r="AB140" s="71"/>
      <c r="AC140" s="71"/>
      <c r="AD140" s="44"/>
      <c r="AE140" s="44"/>
      <c r="AF140" s="44"/>
      <c r="AG140" s="44"/>
      <c r="AH140" s="44"/>
      <c r="AI140" s="44"/>
      <c r="AJ140" s="44"/>
      <c r="AK140" s="44"/>
      <c r="AL140" s="44"/>
      <c r="AM140" s="44"/>
      <c r="AN140" s="44"/>
      <c r="AO140" s="44"/>
      <c r="AP140" s="44"/>
      <c r="AQ140" s="44"/>
      <c r="AR140" s="44"/>
      <c r="AS140" s="44"/>
      <c r="AT140" s="44"/>
      <c r="AU140" s="44"/>
      <c r="AV140" s="44"/>
      <c r="AW140" s="44"/>
      <c r="AX140" s="44"/>
    </row>
    <row r="141" ht="15.75" customHeight="1">
      <c r="A141" s="44"/>
      <c r="B141" s="44"/>
      <c r="C141" s="154" t="s">
        <v>55</v>
      </c>
      <c r="D141" s="154" t="s">
        <v>55</v>
      </c>
      <c r="E141" s="154" t="s">
        <v>55</v>
      </c>
      <c r="F141" s="154"/>
      <c r="G141" s="154"/>
      <c r="H141" s="154"/>
      <c r="I141" s="154"/>
      <c r="J141" s="154"/>
      <c r="K141" s="154"/>
      <c r="L141" s="154"/>
      <c r="M141" s="154"/>
      <c r="N141" s="15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row>
    <row r="142" ht="15.75" customHeight="1">
      <c r="A142" s="134" t="s">
        <v>278</v>
      </c>
      <c r="B142" s="135" t="s">
        <v>1396</v>
      </c>
      <c r="C142" s="143" t="s">
        <v>1397</v>
      </c>
      <c r="D142" s="136"/>
      <c r="E142" s="136"/>
      <c r="F142" s="136"/>
      <c r="G142" s="136"/>
      <c r="H142" s="136"/>
      <c r="I142" s="136"/>
      <c r="J142" s="136"/>
      <c r="K142" s="136"/>
      <c r="L142" s="136"/>
      <c r="M142" s="136"/>
      <c r="N142" s="136"/>
      <c r="O142" s="142" t="s">
        <v>1401</v>
      </c>
      <c r="P142" s="137"/>
      <c r="Q142" s="137"/>
      <c r="R142" s="137"/>
      <c r="S142" s="137"/>
      <c r="T142" s="137"/>
      <c r="U142" s="137"/>
      <c r="V142" s="137"/>
      <c r="W142" s="137"/>
      <c r="X142" s="137"/>
      <c r="Y142" s="137"/>
      <c r="Z142" s="137"/>
      <c r="AA142" s="137"/>
      <c r="AB142" s="137"/>
      <c r="AC142" s="137"/>
      <c r="AD142" s="44"/>
      <c r="AE142" s="44"/>
      <c r="AF142" s="44"/>
      <c r="AG142" s="44"/>
      <c r="AH142" s="44"/>
      <c r="AI142" s="44"/>
      <c r="AJ142" s="44"/>
      <c r="AK142" s="44"/>
      <c r="AL142" s="44"/>
      <c r="AM142" s="44"/>
      <c r="AN142" s="44"/>
      <c r="AO142" s="44"/>
      <c r="AP142" s="44"/>
      <c r="AQ142" s="44"/>
      <c r="AR142" s="44"/>
      <c r="AS142" s="44"/>
      <c r="AT142" s="44"/>
      <c r="AU142" s="44"/>
      <c r="AV142" s="44"/>
      <c r="AW142" s="44"/>
      <c r="AX142" s="44"/>
    </row>
    <row r="143" ht="15.75" customHeight="1">
      <c r="A143" s="134" t="s">
        <v>278</v>
      </c>
      <c r="B143" s="135" t="s">
        <v>1414</v>
      </c>
      <c r="C143" s="143" t="s">
        <v>1415</v>
      </c>
      <c r="D143" s="136"/>
      <c r="E143" s="136"/>
      <c r="F143" s="136"/>
      <c r="G143" s="136"/>
      <c r="H143" s="136"/>
      <c r="I143" s="136"/>
      <c r="J143" s="136"/>
      <c r="K143" s="136"/>
      <c r="L143" s="136"/>
      <c r="M143" s="136"/>
      <c r="N143" s="136"/>
      <c r="O143" s="144"/>
      <c r="P143" s="137"/>
      <c r="Q143" s="137"/>
      <c r="R143" s="137"/>
      <c r="S143" s="137"/>
      <c r="T143" s="137"/>
      <c r="U143" s="137"/>
      <c r="V143" s="137"/>
      <c r="W143" s="137"/>
      <c r="X143" s="137"/>
      <c r="Y143" s="137"/>
      <c r="Z143" s="137"/>
      <c r="AA143" s="137"/>
      <c r="AB143" s="137"/>
      <c r="AC143" s="137"/>
      <c r="AD143" s="44"/>
      <c r="AE143" s="44"/>
      <c r="AF143" s="44"/>
      <c r="AG143" s="44"/>
      <c r="AH143" s="44"/>
      <c r="AI143" s="44"/>
      <c r="AJ143" s="44"/>
      <c r="AK143" s="44"/>
      <c r="AL143" s="44"/>
      <c r="AM143" s="44"/>
      <c r="AN143" s="44"/>
      <c r="AO143" s="44"/>
      <c r="AP143" s="44"/>
      <c r="AQ143" s="44"/>
      <c r="AR143" s="44"/>
      <c r="AS143" s="44"/>
      <c r="AT143" s="44"/>
      <c r="AU143" s="44"/>
      <c r="AV143" s="44"/>
      <c r="AW143" s="44"/>
      <c r="AX143" s="44"/>
    </row>
    <row r="144" ht="15.75" customHeight="1">
      <c r="A144" s="208" t="s">
        <v>1432</v>
      </c>
      <c r="B144" s="209" t="s">
        <v>1433</v>
      </c>
      <c r="C144" s="147" t="s">
        <v>1434</v>
      </c>
      <c r="D144" s="147" t="s">
        <v>1436</v>
      </c>
      <c r="E144" s="147" t="s">
        <v>1437</v>
      </c>
      <c r="F144" s="139"/>
      <c r="G144" s="139"/>
      <c r="H144" s="139"/>
      <c r="I144" s="139"/>
      <c r="J144" s="139"/>
      <c r="K144" s="139"/>
      <c r="L144" s="139"/>
      <c r="M144" s="139"/>
      <c r="N144" s="139"/>
      <c r="O144" s="127"/>
      <c r="P144" s="127"/>
      <c r="Q144" s="208" t="s">
        <v>307</v>
      </c>
      <c r="R144" s="127"/>
      <c r="S144" s="127"/>
      <c r="T144" s="127"/>
      <c r="U144" s="127"/>
      <c r="V144" s="127"/>
      <c r="W144" s="127"/>
      <c r="X144" s="127"/>
      <c r="Y144" s="208" t="s">
        <v>1448</v>
      </c>
      <c r="Z144" s="127"/>
      <c r="AA144" s="127"/>
      <c r="AB144" s="127"/>
      <c r="AC144" s="127"/>
      <c r="AD144" s="44"/>
      <c r="AE144" s="44"/>
      <c r="AF144" s="44"/>
      <c r="AG144" s="44"/>
      <c r="AH144" s="44"/>
      <c r="AI144" s="44"/>
      <c r="AJ144" s="44"/>
      <c r="AK144" s="44"/>
      <c r="AL144" s="44"/>
      <c r="AM144" s="44"/>
      <c r="AN144" s="44"/>
      <c r="AO144" s="44"/>
      <c r="AP144" s="44"/>
      <c r="AQ144" s="44"/>
      <c r="AR144" s="44"/>
      <c r="AS144" s="44"/>
      <c r="AT144" s="44"/>
      <c r="AU144" s="44"/>
      <c r="AV144" s="44"/>
      <c r="AW144" s="44"/>
      <c r="AX144" s="44"/>
    </row>
    <row r="145" ht="15.75" customHeight="1">
      <c r="A145" s="215" t="s">
        <v>220</v>
      </c>
      <c r="B145" s="216" t="s">
        <v>1460</v>
      </c>
      <c r="C145" s="240" t="s">
        <v>1461</v>
      </c>
      <c r="D145" s="240" t="s">
        <v>1463</v>
      </c>
      <c r="E145" s="240" t="s">
        <v>1463</v>
      </c>
      <c r="F145" s="218"/>
      <c r="G145" s="218"/>
      <c r="H145" s="218"/>
      <c r="I145" s="218"/>
      <c r="J145" s="218"/>
      <c r="K145" s="218"/>
      <c r="L145" s="218"/>
      <c r="M145" s="218"/>
      <c r="N145" s="218"/>
      <c r="O145" s="219" t="s">
        <v>1474</v>
      </c>
      <c r="P145" s="220"/>
      <c r="Q145" s="215" t="s">
        <v>307</v>
      </c>
      <c r="R145" s="220"/>
      <c r="S145" s="220"/>
      <c r="T145" s="220"/>
      <c r="U145" s="220"/>
      <c r="V145" s="220"/>
      <c r="W145" s="220"/>
      <c r="X145" s="220"/>
      <c r="Y145" s="220"/>
      <c r="Z145" s="220"/>
      <c r="AA145" s="220"/>
      <c r="AB145" s="220"/>
      <c r="AC145" s="220"/>
      <c r="AD145" s="44"/>
      <c r="AE145" s="44"/>
      <c r="AF145" s="44"/>
      <c r="AG145" s="44"/>
      <c r="AH145" s="44"/>
      <c r="AI145" s="44"/>
      <c r="AJ145" s="44"/>
      <c r="AK145" s="44"/>
      <c r="AL145" s="44"/>
      <c r="AM145" s="44"/>
      <c r="AN145" s="44"/>
      <c r="AO145" s="44"/>
      <c r="AP145" s="44"/>
      <c r="AQ145" s="44"/>
      <c r="AR145" s="44"/>
      <c r="AS145" s="44"/>
      <c r="AT145" s="44"/>
      <c r="AU145" s="44"/>
      <c r="AV145" s="44"/>
      <c r="AW145" s="44"/>
      <c r="AX145" s="44"/>
    </row>
    <row r="146" ht="15.75" customHeight="1">
      <c r="A146" s="82" t="s">
        <v>112</v>
      </c>
      <c r="B146" s="83" t="s">
        <v>1494</v>
      </c>
      <c r="C146" s="84" t="s">
        <v>1495</v>
      </c>
      <c r="D146" s="68"/>
      <c r="E146" s="68"/>
      <c r="F146" s="68"/>
      <c r="G146" s="68"/>
      <c r="H146" s="68"/>
      <c r="I146" s="68"/>
      <c r="J146" s="68"/>
      <c r="K146" s="68"/>
      <c r="L146" s="68"/>
      <c r="M146" s="68"/>
      <c r="N146" s="68"/>
      <c r="O146" s="71"/>
      <c r="P146" s="71"/>
      <c r="Q146" s="71"/>
      <c r="R146" s="71"/>
      <c r="S146" s="71"/>
      <c r="T146" s="83" t="s">
        <v>1506</v>
      </c>
      <c r="U146" s="71"/>
      <c r="V146" s="71"/>
      <c r="W146" s="71"/>
      <c r="X146" s="71"/>
      <c r="Y146" s="71"/>
      <c r="Z146" s="71"/>
      <c r="AA146" s="71"/>
      <c r="AB146" s="71"/>
      <c r="AC146" s="71"/>
      <c r="AD146" s="44"/>
      <c r="AE146" s="44"/>
      <c r="AF146" s="44"/>
      <c r="AG146" s="44"/>
      <c r="AH146" s="44"/>
      <c r="AI146" s="44"/>
      <c r="AJ146" s="44"/>
      <c r="AK146" s="44"/>
      <c r="AL146" s="44"/>
      <c r="AM146" s="44"/>
      <c r="AN146" s="44"/>
      <c r="AO146" s="44"/>
      <c r="AP146" s="44"/>
      <c r="AQ146" s="44"/>
      <c r="AR146" s="44"/>
      <c r="AS146" s="44"/>
      <c r="AT146" s="44"/>
      <c r="AU146" s="44"/>
      <c r="AV146" s="44"/>
      <c r="AW146" s="44"/>
      <c r="AX146" s="44"/>
    </row>
    <row r="147" ht="15.75" customHeight="1">
      <c r="A147" s="215" t="s">
        <v>220</v>
      </c>
      <c r="B147" s="216" t="s">
        <v>1522</v>
      </c>
      <c r="C147" s="240" t="s">
        <v>1523</v>
      </c>
      <c r="D147" s="217" t="s">
        <v>1525</v>
      </c>
      <c r="E147" s="217" t="s">
        <v>1526</v>
      </c>
      <c r="F147" s="218"/>
      <c r="G147" s="218"/>
      <c r="H147" s="218"/>
      <c r="I147" s="218"/>
      <c r="J147" s="218"/>
      <c r="K147" s="218"/>
      <c r="L147" s="218"/>
      <c r="M147" s="218"/>
      <c r="N147" s="218"/>
      <c r="O147" s="219" t="s">
        <v>1528</v>
      </c>
      <c r="P147" s="220"/>
      <c r="Q147" s="215" t="s">
        <v>307</v>
      </c>
      <c r="R147" s="220"/>
      <c r="S147" s="220"/>
      <c r="T147" s="220"/>
      <c r="U147" s="220"/>
      <c r="V147" s="220"/>
      <c r="W147" s="220"/>
      <c r="X147" s="220"/>
      <c r="Y147" s="220"/>
      <c r="Z147" s="220"/>
      <c r="AA147" s="220"/>
      <c r="AB147" s="220"/>
      <c r="AC147" s="220"/>
      <c r="AD147" s="44"/>
      <c r="AE147" s="44"/>
      <c r="AF147" s="44"/>
      <c r="AG147" s="44"/>
      <c r="AH147" s="44"/>
      <c r="AI147" s="44"/>
      <c r="AJ147" s="44"/>
      <c r="AK147" s="44"/>
      <c r="AL147" s="44"/>
      <c r="AM147" s="44"/>
      <c r="AN147" s="44"/>
      <c r="AO147" s="44"/>
      <c r="AP147" s="44"/>
      <c r="AQ147" s="44"/>
      <c r="AR147" s="44"/>
      <c r="AS147" s="44"/>
      <c r="AT147" s="44"/>
      <c r="AU147" s="44"/>
      <c r="AV147" s="44"/>
      <c r="AW147" s="44"/>
      <c r="AX147" s="44"/>
    </row>
    <row r="148" ht="15.75" customHeight="1">
      <c r="A148" s="134" t="s">
        <v>331</v>
      </c>
      <c r="B148" s="134" t="s">
        <v>1414</v>
      </c>
      <c r="C148" s="152" t="s">
        <v>1415</v>
      </c>
      <c r="D148" s="153"/>
      <c r="E148" s="153"/>
      <c r="F148" s="153"/>
      <c r="G148" s="153"/>
      <c r="H148" s="153"/>
      <c r="I148" s="153"/>
      <c r="J148" s="153"/>
      <c r="K148" s="153"/>
      <c r="L148" s="153"/>
      <c r="M148" s="153"/>
      <c r="N148" s="153"/>
      <c r="O148" s="137"/>
      <c r="P148" s="137"/>
      <c r="Q148" s="137"/>
      <c r="R148" s="137"/>
      <c r="S148" s="137"/>
      <c r="T148" s="137"/>
      <c r="U148" s="137"/>
      <c r="V148" s="137"/>
      <c r="W148" s="137"/>
      <c r="X148" s="137"/>
      <c r="Y148" s="137"/>
      <c r="Z148" s="137"/>
      <c r="AA148" s="137"/>
      <c r="AB148" s="137"/>
      <c r="AC148" s="137"/>
      <c r="AD148" s="44"/>
      <c r="AE148" s="44"/>
      <c r="AF148" s="44"/>
      <c r="AG148" s="44"/>
      <c r="AH148" s="44"/>
      <c r="AI148" s="44"/>
      <c r="AJ148" s="44"/>
      <c r="AK148" s="44"/>
      <c r="AL148" s="44"/>
      <c r="AM148" s="44"/>
      <c r="AN148" s="44"/>
      <c r="AO148" s="44"/>
      <c r="AP148" s="44"/>
      <c r="AQ148" s="44"/>
      <c r="AR148" s="44"/>
      <c r="AS148" s="44"/>
      <c r="AT148" s="44"/>
      <c r="AU148" s="44"/>
      <c r="AV148" s="44"/>
      <c r="AW148" s="44"/>
      <c r="AX148" s="44"/>
    </row>
    <row r="149" ht="15.75" customHeight="1">
      <c r="A149" s="208" t="s">
        <v>1060</v>
      </c>
      <c r="B149" s="209" t="s">
        <v>1564</v>
      </c>
      <c r="C149" s="147" t="s">
        <v>1566</v>
      </c>
      <c r="D149" s="147" t="s">
        <v>1568</v>
      </c>
      <c r="E149" s="147" t="s">
        <v>1569</v>
      </c>
      <c r="F149" s="139"/>
      <c r="G149" s="139"/>
      <c r="H149" s="139"/>
      <c r="I149" s="139"/>
      <c r="J149" s="139"/>
      <c r="K149" s="139"/>
      <c r="L149" s="139"/>
      <c r="M149" s="139"/>
      <c r="N149" s="139"/>
      <c r="O149" s="145" t="s">
        <v>1528</v>
      </c>
      <c r="P149" s="127"/>
      <c r="Q149" s="208" t="s">
        <v>307</v>
      </c>
      <c r="R149" s="127"/>
      <c r="S149" s="127"/>
      <c r="T149" s="127"/>
      <c r="U149" s="127"/>
      <c r="V149" s="127"/>
      <c r="W149" s="127"/>
      <c r="X149" s="127"/>
      <c r="Y149" s="127"/>
      <c r="Z149" s="127"/>
      <c r="AA149" s="127"/>
      <c r="AB149" s="127"/>
      <c r="AC149" s="127"/>
      <c r="AD149" s="44"/>
      <c r="AE149" s="44"/>
      <c r="AF149" s="44"/>
      <c r="AG149" s="44"/>
      <c r="AH149" s="44"/>
      <c r="AI149" s="44"/>
      <c r="AJ149" s="44"/>
      <c r="AK149" s="44"/>
      <c r="AL149" s="44"/>
      <c r="AM149" s="44"/>
      <c r="AN149" s="44"/>
      <c r="AO149" s="44"/>
      <c r="AP149" s="44"/>
      <c r="AQ149" s="44"/>
      <c r="AR149" s="44"/>
      <c r="AS149" s="44"/>
      <c r="AT149" s="44"/>
      <c r="AU149" s="44"/>
      <c r="AV149" s="44"/>
      <c r="AW149" s="44"/>
      <c r="AX149" s="44"/>
    </row>
    <row r="150" ht="15.75" customHeight="1">
      <c r="A150" s="208" t="s">
        <v>1060</v>
      </c>
      <c r="B150" s="209" t="s">
        <v>1417</v>
      </c>
      <c r="C150" s="147" t="s">
        <v>1589</v>
      </c>
      <c r="D150" s="147" t="s">
        <v>1591</v>
      </c>
      <c r="E150" s="147" t="s">
        <v>1592</v>
      </c>
      <c r="F150" s="139"/>
      <c r="G150" s="139"/>
      <c r="H150" s="139"/>
      <c r="I150" s="139"/>
      <c r="J150" s="139"/>
      <c r="K150" s="139"/>
      <c r="L150" s="139"/>
      <c r="M150" s="139"/>
      <c r="N150" s="139"/>
      <c r="O150" s="145" t="s">
        <v>1599</v>
      </c>
      <c r="P150" s="127"/>
      <c r="Q150" s="208" t="s">
        <v>307</v>
      </c>
      <c r="R150" s="127"/>
      <c r="S150" s="127"/>
      <c r="T150" s="127"/>
      <c r="U150" s="127"/>
      <c r="V150" s="127"/>
      <c r="W150" s="127"/>
      <c r="X150" s="127"/>
      <c r="Y150" s="127"/>
      <c r="Z150" s="127"/>
      <c r="AA150" s="127"/>
      <c r="AB150" s="127"/>
      <c r="AC150" s="127"/>
      <c r="AD150" s="44"/>
      <c r="AE150" s="44"/>
      <c r="AF150" s="44"/>
      <c r="AG150" s="44"/>
      <c r="AH150" s="44"/>
      <c r="AI150" s="44"/>
      <c r="AJ150" s="44"/>
      <c r="AK150" s="44"/>
      <c r="AL150" s="44"/>
      <c r="AM150" s="44"/>
      <c r="AN150" s="44"/>
      <c r="AO150" s="44"/>
      <c r="AP150" s="44"/>
      <c r="AQ150" s="44"/>
      <c r="AR150" s="44"/>
      <c r="AS150" s="44"/>
      <c r="AT150" s="44"/>
      <c r="AU150" s="44"/>
      <c r="AV150" s="44"/>
      <c r="AW150" s="44"/>
      <c r="AX150" s="44"/>
    </row>
    <row r="151" ht="15.75" customHeight="1">
      <c r="A151" s="208" t="s">
        <v>1060</v>
      </c>
      <c r="B151" s="209" t="s">
        <v>1617</v>
      </c>
      <c r="C151" s="147" t="s">
        <v>1618</v>
      </c>
      <c r="D151" s="147" t="s">
        <v>1619</v>
      </c>
      <c r="E151" s="147" t="s">
        <v>1621</v>
      </c>
      <c r="F151" s="139"/>
      <c r="G151" s="139"/>
      <c r="H151" s="139"/>
      <c r="I151" s="139"/>
      <c r="J151" s="139"/>
      <c r="K151" s="139"/>
      <c r="L151" s="139"/>
      <c r="M151" s="139"/>
      <c r="N151" s="139"/>
      <c r="O151" s="145" t="s">
        <v>1629</v>
      </c>
      <c r="P151" s="127"/>
      <c r="Q151" s="208" t="s">
        <v>307</v>
      </c>
      <c r="R151" s="127"/>
      <c r="S151" s="127"/>
      <c r="T151" s="127"/>
      <c r="U151" s="127"/>
      <c r="V151" s="127"/>
      <c r="W151" s="127"/>
      <c r="X151" s="127"/>
      <c r="Y151" s="127"/>
      <c r="Z151" s="127"/>
      <c r="AA151" s="127"/>
      <c r="AB151" s="127"/>
      <c r="AC151" s="127"/>
      <c r="AD151" s="44"/>
      <c r="AE151" s="44"/>
      <c r="AF151" s="44"/>
      <c r="AG151" s="44"/>
      <c r="AH151" s="44"/>
      <c r="AI151" s="44"/>
      <c r="AJ151" s="44"/>
      <c r="AK151" s="44"/>
      <c r="AL151" s="44"/>
      <c r="AM151" s="44"/>
      <c r="AN151" s="44"/>
      <c r="AO151" s="44"/>
      <c r="AP151" s="44"/>
      <c r="AQ151" s="44"/>
      <c r="AR151" s="44"/>
      <c r="AS151" s="44"/>
      <c r="AT151" s="44"/>
      <c r="AU151" s="44"/>
      <c r="AV151" s="44"/>
      <c r="AW151" s="44"/>
      <c r="AX151" s="44"/>
    </row>
    <row r="152" ht="15.75" customHeight="1">
      <c r="A152" s="134" t="s">
        <v>331</v>
      </c>
      <c r="B152" s="134" t="s">
        <v>1396</v>
      </c>
      <c r="C152" s="152" t="s">
        <v>1397</v>
      </c>
      <c r="D152" s="153"/>
      <c r="E152" s="153"/>
      <c r="F152" s="153"/>
      <c r="G152" s="153"/>
      <c r="H152" s="153"/>
      <c r="I152" s="153"/>
      <c r="J152" s="153"/>
      <c r="K152" s="153"/>
      <c r="L152" s="153"/>
      <c r="M152" s="153"/>
      <c r="N152" s="153"/>
      <c r="O152" s="137"/>
      <c r="P152" s="137"/>
      <c r="Q152" s="137"/>
      <c r="R152" s="137"/>
      <c r="S152" s="137"/>
      <c r="T152" s="137"/>
      <c r="U152" s="137"/>
      <c r="V152" s="137"/>
      <c r="W152" s="137"/>
      <c r="X152" s="137"/>
      <c r="Y152" s="137"/>
      <c r="Z152" s="137"/>
      <c r="AA152" s="137"/>
      <c r="AB152" s="137"/>
      <c r="AC152" s="137"/>
      <c r="AD152" s="44"/>
      <c r="AE152" s="44"/>
      <c r="AF152" s="44"/>
      <c r="AG152" s="44"/>
      <c r="AH152" s="44"/>
      <c r="AI152" s="44"/>
      <c r="AJ152" s="44"/>
      <c r="AK152" s="44"/>
      <c r="AL152" s="44"/>
      <c r="AM152" s="44"/>
      <c r="AN152" s="44"/>
      <c r="AO152" s="44"/>
      <c r="AP152" s="44"/>
      <c r="AQ152" s="44"/>
      <c r="AR152" s="44"/>
      <c r="AS152" s="44"/>
      <c r="AT152" s="44"/>
      <c r="AU152" s="44"/>
      <c r="AV152" s="44"/>
      <c r="AW152" s="44"/>
      <c r="AX152" s="44"/>
    </row>
    <row r="153" ht="15.75" customHeight="1">
      <c r="A153" s="82" t="s">
        <v>112</v>
      </c>
      <c r="B153" s="83" t="s">
        <v>808</v>
      </c>
      <c r="C153" s="84" t="s">
        <v>808</v>
      </c>
      <c r="D153" s="68"/>
      <c r="E153" s="68"/>
      <c r="F153" s="68"/>
      <c r="G153" s="68"/>
      <c r="H153" s="68"/>
      <c r="I153" s="68"/>
      <c r="J153" s="68"/>
      <c r="K153" s="68"/>
      <c r="L153" s="68"/>
      <c r="M153" s="68"/>
      <c r="N153" s="68"/>
      <c r="O153" s="71"/>
      <c r="P153" s="71"/>
      <c r="Q153" s="71"/>
      <c r="R153" s="71"/>
      <c r="S153" s="71"/>
      <c r="T153" s="249">
        <v>300.0</v>
      </c>
      <c r="U153" s="71"/>
      <c r="V153" s="71"/>
      <c r="W153" s="71"/>
      <c r="X153" s="71"/>
      <c r="Y153" s="71"/>
      <c r="Z153" s="71"/>
      <c r="AA153" s="71"/>
      <c r="AB153" s="71"/>
      <c r="AC153" s="71"/>
      <c r="AD153" s="71"/>
      <c r="AE153" s="71"/>
      <c r="AF153" s="71"/>
      <c r="AG153" s="71"/>
      <c r="AH153" s="71"/>
      <c r="AI153" s="71"/>
      <c r="AJ153" s="71"/>
      <c r="AK153" s="71"/>
      <c r="AL153" s="71"/>
      <c r="AM153" s="71"/>
      <c r="AN153" s="71"/>
      <c r="AO153" s="44"/>
      <c r="AP153" s="44"/>
      <c r="AQ153" s="44"/>
      <c r="AR153" s="44"/>
      <c r="AS153" s="44"/>
      <c r="AT153" s="44"/>
      <c r="AU153" s="44"/>
      <c r="AV153" s="44"/>
      <c r="AW153" s="44"/>
      <c r="AX153" s="44"/>
    </row>
    <row r="154" ht="15.75" customHeight="1">
      <c r="A154" s="82" t="s">
        <v>112</v>
      </c>
      <c r="B154" s="251" t="s">
        <v>169</v>
      </c>
      <c r="C154" s="84" t="s">
        <v>1675</v>
      </c>
      <c r="D154" s="68"/>
      <c r="E154" s="68"/>
      <c r="F154" s="68"/>
      <c r="G154" s="68"/>
      <c r="H154" s="68"/>
      <c r="I154" s="68"/>
      <c r="J154" s="68"/>
      <c r="K154" s="68"/>
      <c r="L154" s="68"/>
      <c r="M154" s="68"/>
      <c r="N154" s="68"/>
      <c r="O154" s="71"/>
      <c r="P154" s="71"/>
      <c r="Q154" s="71"/>
      <c r="R154" s="71"/>
      <c r="S154" s="71"/>
      <c r="T154" s="249">
        <v>1.0</v>
      </c>
      <c r="U154" s="71"/>
      <c r="V154" s="71"/>
      <c r="W154" s="71"/>
      <c r="X154" s="71"/>
      <c r="Y154" s="71"/>
      <c r="Z154" s="71"/>
      <c r="AA154" s="71"/>
      <c r="AB154" s="71"/>
      <c r="AC154" s="71"/>
      <c r="AD154" s="44"/>
      <c r="AE154" s="44"/>
      <c r="AF154" s="44"/>
      <c r="AG154" s="44"/>
      <c r="AH154" s="44"/>
      <c r="AI154" s="44"/>
      <c r="AJ154" s="44"/>
      <c r="AK154" s="44"/>
      <c r="AL154" s="44"/>
      <c r="AM154" s="44"/>
      <c r="AN154" s="44"/>
      <c r="AO154" s="44"/>
      <c r="AP154" s="44"/>
      <c r="AQ154" s="44"/>
      <c r="AR154" s="44"/>
      <c r="AS154" s="44"/>
      <c r="AT154" s="44"/>
      <c r="AU154" s="44"/>
      <c r="AV154" s="44"/>
      <c r="AW154" s="44"/>
      <c r="AX154" s="44"/>
    </row>
    <row r="155" ht="15.75" customHeight="1">
      <c r="A155" s="82" t="s">
        <v>112</v>
      </c>
      <c r="B155" s="83" t="s">
        <v>1695</v>
      </c>
      <c r="C155" s="68"/>
      <c r="D155" s="68"/>
      <c r="E155" s="68"/>
      <c r="F155" s="68"/>
      <c r="G155" s="68"/>
      <c r="H155" s="68"/>
      <c r="I155" s="68"/>
      <c r="J155" s="68"/>
      <c r="K155" s="68"/>
      <c r="L155" s="68"/>
      <c r="M155" s="68"/>
      <c r="N155" s="68"/>
      <c r="O155" s="71"/>
      <c r="P155" s="71"/>
      <c r="Q155" s="71"/>
      <c r="R155" s="71"/>
      <c r="S155" s="71"/>
      <c r="T155" s="83" t="s">
        <v>1701</v>
      </c>
      <c r="U155" s="71"/>
      <c r="V155" s="71"/>
      <c r="W155" s="71"/>
      <c r="X155" s="71"/>
      <c r="Y155" s="71"/>
      <c r="Z155" s="71"/>
      <c r="AA155" s="71"/>
      <c r="AB155" s="71"/>
      <c r="AC155" s="71"/>
      <c r="AD155" s="44"/>
      <c r="AE155" s="44"/>
      <c r="AF155" s="44"/>
      <c r="AG155" s="44"/>
      <c r="AH155" s="44"/>
      <c r="AI155" s="44"/>
      <c r="AJ155" s="44"/>
      <c r="AK155" s="44"/>
      <c r="AL155" s="44"/>
      <c r="AM155" s="44"/>
      <c r="AN155" s="44"/>
      <c r="AO155" s="44"/>
      <c r="AP155" s="44"/>
      <c r="AQ155" s="44"/>
      <c r="AR155" s="44"/>
      <c r="AS155" s="44"/>
      <c r="AT155" s="44"/>
      <c r="AU155" s="44"/>
      <c r="AV155" s="44"/>
      <c r="AW155" s="44"/>
      <c r="AX155" s="44"/>
    </row>
    <row r="156" ht="15.75" customHeight="1">
      <c r="A156" s="82" t="s">
        <v>112</v>
      </c>
      <c r="B156" s="83" t="s">
        <v>1709</v>
      </c>
      <c r="C156" s="68"/>
      <c r="D156" s="68"/>
      <c r="E156" s="68"/>
      <c r="F156" s="68"/>
      <c r="G156" s="68"/>
      <c r="H156" s="68"/>
      <c r="I156" s="68"/>
      <c r="J156" s="68"/>
      <c r="K156" s="68"/>
      <c r="L156" s="68"/>
      <c r="M156" s="68"/>
      <c r="N156" s="68"/>
      <c r="O156" s="71"/>
      <c r="P156" s="71"/>
      <c r="Q156" s="71"/>
      <c r="R156" s="71"/>
      <c r="S156" s="71"/>
      <c r="T156" s="83" t="s">
        <v>1715</v>
      </c>
      <c r="U156" s="71"/>
      <c r="V156" s="71"/>
      <c r="W156" s="71"/>
      <c r="X156" s="71"/>
      <c r="Y156" s="71"/>
      <c r="Z156" s="71"/>
      <c r="AA156" s="71"/>
      <c r="AB156" s="71"/>
      <c r="AC156" s="71"/>
      <c r="AD156" s="44"/>
      <c r="AE156" s="44"/>
      <c r="AF156" s="44"/>
      <c r="AG156" s="44"/>
      <c r="AH156" s="44"/>
      <c r="AI156" s="44"/>
      <c r="AJ156" s="44"/>
      <c r="AK156" s="44"/>
      <c r="AL156" s="44"/>
      <c r="AM156" s="44"/>
      <c r="AN156" s="44"/>
      <c r="AO156" s="44"/>
      <c r="AP156" s="44"/>
      <c r="AQ156" s="44"/>
      <c r="AR156" s="44"/>
      <c r="AS156" s="44"/>
      <c r="AT156" s="44"/>
      <c r="AU156" s="44"/>
      <c r="AV156" s="44"/>
      <c r="AW156" s="44"/>
      <c r="AX156" s="44"/>
    </row>
    <row r="157" ht="15.75" customHeight="1">
      <c r="A157" s="82" t="s">
        <v>112</v>
      </c>
      <c r="B157" s="155" t="s">
        <v>1724</v>
      </c>
      <c r="C157" s="68"/>
      <c r="D157" s="68"/>
      <c r="E157" s="68"/>
      <c r="F157" s="68"/>
      <c r="G157" s="68"/>
      <c r="H157" s="68"/>
      <c r="I157" s="68"/>
      <c r="J157" s="68"/>
      <c r="K157" s="68"/>
      <c r="L157" s="68"/>
      <c r="M157" s="68"/>
      <c r="N157" s="68"/>
      <c r="O157" s="71"/>
      <c r="P157" s="71"/>
      <c r="Q157" s="71"/>
      <c r="R157" s="71"/>
      <c r="S157" s="71"/>
      <c r="T157" s="155" t="s">
        <v>1731</v>
      </c>
      <c r="U157" s="71"/>
      <c r="V157" s="71"/>
      <c r="W157" s="71"/>
      <c r="X157" s="71"/>
      <c r="Y157" s="71"/>
      <c r="Z157" s="71"/>
      <c r="AA157" s="71"/>
      <c r="AB157" s="71"/>
      <c r="AC157" s="71"/>
      <c r="AD157" s="44"/>
      <c r="AE157" s="44"/>
      <c r="AF157" s="44"/>
      <c r="AG157" s="44"/>
      <c r="AH157" s="44"/>
      <c r="AI157" s="44"/>
      <c r="AJ157" s="44"/>
      <c r="AK157" s="44"/>
      <c r="AL157" s="44"/>
      <c r="AM157" s="44"/>
      <c r="AN157" s="44"/>
      <c r="AO157" s="44"/>
      <c r="AP157" s="44"/>
      <c r="AQ157" s="44"/>
      <c r="AR157" s="44"/>
      <c r="AS157" s="44"/>
      <c r="AT157" s="44"/>
      <c r="AU157" s="44"/>
      <c r="AV157" s="44"/>
      <c r="AW157" s="44"/>
      <c r="AX157" s="44"/>
    </row>
    <row r="158" ht="15.75" customHeight="1">
      <c r="A158" s="82" t="s">
        <v>112</v>
      </c>
      <c r="B158" s="83" t="s">
        <v>1742</v>
      </c>
      <c r="C158" s="68"/>
      <c r="D158" s="68"/>
      <c r="E158" s="68"/>
      <c r="F158" s="68"/>
      <c r="G158" s="68"/>
      <c r="H158" s="68"/>
      <c r="I158" s="68"/>
      <c r="J158" s="68"/>
      <c r="K158" s="68"/>
      <c r="L158" s="68"/>
      <c r="M158" s="68"/>
      <c r="N158" s="68"/>
      <c r="O158" s="71"/>
      <c r="P158" s="71"/>
      <c r="Q158" s="71"/>
      <c r="R158" s="71"/>
      <c r="S158" s="71"/>
      <c r="T158" s="155" t="s">
        <v>1752</v>
      </c>
      <c r="U158" s="71"/>
      <c r="V158" s="71"/>
      <c r="W158" s="71"/>
      <c r="X158" s="71"/>
      <c r="Y158" s="71"/>
      <c r="Z158" s="71"/>
      <c r="AA158" s="71"/>
      <c r="AB158" s="71"/>
      <c r="AC158" s="71"/>
      <c r="AD158" s="44"/>
      <c r="AE158" s="44"/>
      <c r="AF158" s="44"/>
      <c r="AG158" s="44"/>
      <c r="AH158" s="44"/>
      <c r="AI158" s="44"/>
      <c r="AJ158" s="44"/>
      <c r="AK158" s="44"/>
      <c r="AL158" s="44"/>
      <c r="AM158" s="44"/>
      <c r="AN158" s="44"/>
      <c r="AO158" s="44"/>
      <c r="AP158" s="44"/>
      <c r="AQ158" s="44"/>
      <c r="AR158" s="44"/>
      <c r="AS158" s="44"/>
      <c r="AT158" s="44"/>
      <c r="AU158" s="44"/>
      <c r="AV158" s="44"/>
      <c r="AW158" s="44"/>
      <c r="AX158" s="44"/>
    </row>
    <row r="159" ht="15.75" customHeight="1">
      <c r="A159" s="82" t="s">
        <v>112</v>
      </c>
      <c r="B159" s="83" t="s">
        <v>1764</v>
      </c>
      <c r="C159" s="68"/>
      <c r="D159" s="68"/>
      <c r="E159" s="68"/>
      <c r="F159" s="68"/>
      <c r="G159" s="68"/>
      <c r="H159" s="68"/>
      <c r="I159" s="68"/>
      <c r="J159" s="68"/>
      <c r="K159" s="68"/>
      <c r="L159" s="68"/>
      <c r="M159" s="68"/>
      <c r="N159" s="68"/>
      <c r="O159" s="71"/>
      <c r="P159" s="71"/>
      <c r="Q159" s="71"/>
      <c r="R159" s="71"/>
      <c r="S159" s="71"/>
      <c r="T159" s="83" t="s">
        <v>1768</v>
      </c>
      <c r="U159" s="71"/>
      <c r="V159" s="71"/>
      <c r="W159" s="71"/>
      <c r="X159" s="71"/>
      <c r="Y159" s="71"/>
      <c r="Z159" s="71"/>
      <c r="AA159" s="71"/>
      <c r="AB159" s="71"/>
      <c r="AC159" s="71"/>
      <c r="AD159" s="44"/>
      <c r="AE159" s="44"/>
      <c r="AF159" s="44"/>
      <c r="AG159" s="44"/>
      <c r="AH159" s="44"/>
      <c r="AI159" s="44"/>
      <c r="AJ159" s="44"/>
      <c r="AK159" s="44"/>
      <c r="AL159" s="44"/>
      <c r="AM159" s="44"/>
      <c r="AN159" s="44"/>
      <c r="AO159" s="44"/>
      <c r="AP159" s="44"/>
      <c r="AQ159" s="44"/>
      <c r="AR159" s="44"/>
      <c r="AS159" s="44"/>
      <c r="AT159" s="44"/>
      <c r="AU159" s="44"/>
      <c r="AV159" s="44"/>
      <c r="AW159" s="44"/>
      <c r="AX159" s="44"/>
    </row>
    <row r="160" ht="15.75" customHeight="1">
      <c r="A160" s="82" t="s">
        <v>112</v>
      </c>
      <c r="B160" s="83" t="s">
        <v>1783</v>
      </c>
      <c r="C160" s="84" t="s">
        <v>1785</v>
      </c>
      <c r="D160" s="68"/>
      <c r="E160" s="68"/>
      <c r="F160" s="68"/>
      <c r="G160" s="68"/>
      <c r="H160" s="68"/>
      <c r="I160" s="68"/>
      <c r="J160" s="68"/>
      <c r="K160" s="68"/>
      <c r="L160" s="68"/>
      <c r="M160" s="68"/>
      <c r="N160" s="68"/>
      <c r="O160" s="71"/>
      <c r="P160" s="71"/>
      <c r="Q160" s="71"/>
      <c r="R160" s="71"/>
      <c r="S160" s="71"/>
      <c r="T160" s="83" t="s">
        <v>1793</v>
      </c>
      <c r="U160" s="71"/>
      <c r="V160" s="71"/>
      <c r="W160" s="71"/>
      <c r="X160" s="71"/>
      <c r="Y160" s="71"/>
      <c r="Z160" s="71"/>
      <c r="AA160" s="71"/>
      <c r="AB160" s="71"/>
      <c r="AC160" s="71"/>
      <c r="AD160" s="44"/>
      <c r="AE160" s="44"/>
      <c r="AF160" s="44"/>
      <c r="AG160" s="44"/>
      <c r="AH160" s="44"/>
      <c r="AI160" s="44"/>
      <c r="AJ160" s="44"/>
      <c r="AK160" s="44"/>
      <c r="AL160" s="44"/>
      <c r="AM160" s="44"/>
      <c r="AN160" s="44"/>
      <c r="AO160" s="44"/>
      <c r="AP160" s="44"/>
      <c r="AQ160" s="44"/>
      <c r="AR160" s="44"/>
      <c r="AS160" s="44"/>
      <c r="AT160" s="44"/>
      <c r="AU160" s="44"/>
      <c r="AV160" s="44"/>
      <c r="AW160" s="44"/>
      <c r="AX160" s="44"/>
    </row>
    <row r="161" ht="15.75" customHeight="1">
      <c r="A161" s="82" t="s">
        <v>112</v>
      </c>
      <c r="B161" s="83" t="s">
        <v>1804</v>
      </c>
      <c r="C161" s="84" t="s">
        <v>1806</v>
      </c>
      <c r="D161" s="68"/>
      <c r="E161" s="68"/>
      <c r="F161" s="68"/>
      <c r="G161" s="68"/>
      <c r="H161" s="68"/>
      <c r="I161" s="68"/>
      <c r="J161" s="68"/>
      <c r="K161" s="68"/>
      <c r="L161" s="68"/>
      <c r="M161" s="68"/>
      <c r="N161" s="68"/>
      <c r="O161" s="71"/>
      <c r="P161" s="71"/>
      <c r="Q161" s="71"/>
      <c r="R161" s="71"/>
      <c r="S161" s="71"/>
      <c r="T161" s="83" t="s">
        <v>1810</v>
      </c>
      <c r="U161" s="71"/>
      <c r="V161" s="71"/>
      <c r="W161" s="71"/>
      <c r="X161" s="71"/>
      <c r="Y161" s="71"/>
      <c r="Z161" s="71"/>
      <c r="AA161" s="71"/>
      <c r="AB161" s="71"/>
      <c r="AC161" s="71"/>
      <c r="AD161" s="44"/>
      <c r="AE161" s="44"/>
      <c r="AF161" s="44"/>
      <c r="AG161" s="44"/>
      <c r="AH161" s="44"/>
      <c r="AI161" s="44"/>
      <c r="AJ161" s="44"/>
      <c r="AK161" s="44"/>
      <c r="AL161" s="44"/>
      <c r="AM161" s="44"/>
      <c r="AN161" s="44"/>
      <c r="AO161" s="44"/>
      <c r="AP161" s="44"/>
      <c r="AQ161" s="44"/>
      <c r="AR161" s="44"/>
      <c r="AS161" s="44"/>
      <c r="AT161" s="44"/>
      <c r="AU161" s="44"/>
      <c r="AV161" s="44"/>
      <c r="AW161" s="44"/>
      <c r="AX161" s="44"/>
    </row>
    <row r="162" ht="15.75" customHeight="1">
      <c r="A162" s="208" t="s">
        <v>1060</v>
      </c>
      <c r="B162" s="209" t="s">
        <v>1645</v>
      </c>
      <c r="C162" s="147" t="s">
        <v>1825</v>
      </c>
      <c r="D162" s="147" t="s">
        <v>1826</v>
      </c>
      <c r="E162" s="147" t="s">
        <v>1828</v>
      </c>
      <c r="F162" s="139"/>
      <c r="G162" s="139"/>
      <c r="H162" s="139"/>
      <c r="I162" s="139"/>
      <c r="J162" s="139"/>
      <c r="K162" s="139"/>
      <c r="L162" s="139"/>
      <c r="M162" s="139"/>
      <c r="N162" s="139"/>
      <c r="O162" s="145" t="s">
        <v>1831</v>
      </c>
      <c r="P162" s="127"/>
      <c r="Q162" s="208" t="s">
        <v>307</v>
      </c>
      <c r="R162" s="127"/>
      <c r="S162" s="127"/>
      <c r="T162" s="127"/>
      <c r="U162" s="127"/>
      <c r="V162" s="127"/>
      <c r="W162" s="127"/>
      <c r="X162" s="127"/>
      <c r="Y162" s="127"/>
      <c r="Z162" s="127"/>
      <c r="AA162" s="127"/>
      <c r="AB162" s="127"/>
      <c r="AC162" s="127"/>
      <c r="AD162" s="44"/>
      <c r="AE162" s="44"/>
      <c r="AF162" s="44"/>
      <c r="AG162" s="44"/>
      <c r="AH162" s="44"/>
      <c r="AI162" s="44"/>
      <c r="AJ162" s="44"/>
      <c r="AK162" s="44"/>
      <c r="AL162" s="44"/>
      <c r="AM162" s="44"/>
      <c r="AN162" s="44"/>
      <c r="AO162" s="44"/>
      <c r="AP162" s="44"/>
      <c r="AQ162" s="44"/>
      <c r="AR162" s="44"/>
      <c r="AS162" s="44"/>
      <c r="AT162" s="44"/>
      <c r="AU162" s="44"/>
      <c r="AV162" s="44"/>
      <c r="AW162" s="44"/>
      <c r="AX162" s="44"/>
    </row>
    <row r="163" ht="15.75" customHeight="1">
      <c r="A163" s="150" t="s">
        <v>46</v>
      </c>
      <c r="B163" s="151" t="s">
        <v>1840</v>
      </c>
      <c r="C163" s="132" t="s">
        <v>1842</v>
      </c>
      <c r="D163" s="132" t="s">
        <v>1844</v>
      </c>
      <c r="E163" s="132" t="s">
        <v>1845</v>
      </c>
      <c r="F163" s="131"/>
      <c r="G163" s="131"/>
      <c r="H163" s="131"/>
      <c r="I163" s="131"/>
      <c r="J163" s="131"/>
      <c r="K163" s="131"/>
      <c r="L163" s="131"/>
      <c r="M163" s="131"/>
      <c r="N163" s="131"/>
      <c r="O163" s="150" t="s">
        <v>1847</v>
      </c>
      <c r="P163" s="133"/>
      <c r="Q163" s="133"/>
      <c r="R163" s="133"/>
      <c r="S163" s="133"/>
      <c r="T163" s="133"/>
      <c r="U163" s="133"/>
      <c r="V163" s="133"/>
      <c r="W163" s="133"/>
      <c r="X163" s="133"/>
      <c r="Y163" s="133"/>
      <c r="Z163" s="133"/>
      <c r="AA163" s="133"/>
      <c r="AB163" s="133"/>
      <c r="AC163" s="133"/>
      <c r="AD163" s="44"/>
      <c r="AE163" s="44"/>
      <c r="AF163" s="44"/>
      <c r="AG163" s="44"/>
      <c r="AH163" s="44"/>
      <c r="AI163" s="44"/>
      <c r="AJ163" s="44"/>
      <c r="AK163" s="44"/>
      <c r="AL163" s="44"/>
      <c r="AM163" s="44"/>
      <c r="AN163" s="44"/>
      <c r="AO163" s="44"/>
      <c r="AP163" s="44"/>
      <c r="AQ163" s="44"/>
      <c r="AR163" s="44"/>
      <c r="AS163" s="44"/>
      <c r="AT163" s="44"/>
      <c r="AU163" s="44"/>
      <c r="AV163" s="44"/>
      <c r="AW163" s="44"/>
      <c r="AX163" s="44"/>
    </row>
    <row r="164" ht="15.75" customHeight="1">
      <c r="A164" s="150" t="s">
        <v>46</v>
      </c>
      <c r="B164" s="151" t="s">
        <v>1858</v>
      </c>
      <c r="C164" s="132" t="s">
        <v>1859</v>
      </c>
      <c r="D164" s="132" t="s">
        <v>1862</v>
      </c>
      <c r="E164" s="132" t="s">
        <v>1863</v>
      </c>
      <c r="F164" s="131"/>
      <c r="G164" s="131"/>
      <c r="H164" s="131"/>
      <c r="I164" s="131"/>
      <c r="J164" s="131"/>
      <c r="K164" s="131"/>
      <c r="L164" s="131"/>
      <c r="M164" s="131"/>
      <c r="N164" s="131"/>
      <c r="O164" s="128" t="s">
        <v>1870</v>
      </c>
      <c r="P164" s="133"/>
      <c r="Q164" s="133"/>
      <c r="R164" s="133"/>
      <c r="S164" s="133"/>
      <c r="T164" s="133"/>
      <c r="U164" s="133"/>
      <c r="V164" s="133"/>
      <c r="W164" s="133"/>
      <c r="X164" s="133"/>
      <c r="Y164" s="133"/>
      <c r="Z164" s="133"/>
      <c r="AA164" s="133"/>
      <c r="AB164" s="133"/>
      <c r="AC164" s="133"/>
      <c r="AD164" s="44"/>
      <c r="AE164" s="44"/>
      <c r="AF164" s="44"/>
      <c r="AG164" s="44"/>
      <c r="AH164" s="44"/>
      <c r="AI164" s="44"/>
      <c r="AJ164" s="44"/>
      <c r="AK164" s="44"/>
      <c r="AL164" s="44"/>
      <c r="AM164" s="44"/>
      <c r="AN164" s="44"/>
      <c r="AO164" s="44"/>
      <c r="AP164" s="44"/>
      <c r="AQ164" s="44"/>
      <c r="AR164" s="44"/>
      <c r="AS164" s="44"/>
      <c r="AT164" s="44"/>
      <c r="AU164" s="44"/>
      <c r="AV164" s="44"/>
      <c r="AW164" s="44"/>
      <c r="AX164" s="44"/>
    </row>
    <row r="165" ht="15.75" customHeight="1">
      <c r="A165" s="44"/>
      <c r="B165" s="44"/>
      <c r="C165" s="154" t="s">
        <v>55</v>
      </c>
      <c r="D165" s="154" t="s">
        <v>55</v>
      </c>
      <c r="E165" s="154" t="s">
        <v>55</v>
      </c>
      <c r="F165" s="154"/>
      <c r="G165" s="154"/>
      <c r="H165" s="154"/>
      <c r="I165" s="154"/>
      <c r="J165" s="154"/>
      <c r="K165" s="154"/>
      <c r="L165" s="154"/>
      <c r="M165" s="154"/>
      <c r="N165" s="15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row>
    <row r="166" ht="15.75" customHeight="1">
      <c r="A166" s="82" t="s">
        <v>112</v>
      </c>
      <c r="B166" s="83" t="s">
        <v>146</v>
      </c>
      <c r="C166" s="68"/>
      <c r="D166" s="68"/>
      <c r="E166" s="68"/>
      <c r="F166" s="68"/>
      <c r="G166" s="68"/>
      <c r="H166" s="68"/>
      <c r="I166" s="68"/>
      <c r="J166" s="68"/>
      <c r="K166" s="68"/>
      <c r="L166" s="68"/>
      <c r="M166" s="68"/>
      <c r="N166" s="68"/>
      <c r="O166" s="66" t="s">
        <v>1892</v>
      </c>
      <c r="P166" s="71"/>
      <c r="Q166" s="71"/>
      <c r="R166" s="71"/>
      <c r="S166" s="71"/>
      <c r="T166" s="83" t="s">
        <v>1895</v>
      </c>
      <c r="U166" s="71"/>
      <c r="V166" s="71"/>
      <c r="W166" s="71"/>
      <c r="X166" s="71"/>
      <c r="Y166" s="71"/>
      <c r="Z166" s="71"/>
      <c r="AA166" s="71"/>
      <c r="AB166" s="71"/>
      <c r="AC166" s="71"/>
      <c r="AD166" s="44"/>
      <c r="AE166" s="44"/>
      <c r="AF166" s="44"/>
      <c r="AG166" s="44"/>
      <c r="AH166" s="44"/>
      <c r="AI166" s="44"/>
      <c r="AJ166" s="44"/>
      <c r="AK166" s="44"/>
      <c r="AL166" s="44"/>
      <c r="AM166" s="44"/>
      <c r="AN166" s="44"/>
      <c r="AO166" s="44"/>
      <c r="AP166" s="44"/>
      <c r="AQ166" s="44"/>
      <c r="AR166" s="44"/>
      <c r="AS166" s="44"/>
      <c r="AT166" s="44"/>
      <c r="AU166" s="44"/>
      <c r="AV166" s="44"/>
      <c r="AW166" s="44"/>
      <c r="AX166" s="44"/>
    </row>
    <row r="167" ht="15.75" customHeight="1">
      <c r="A167" s="82" t="s">
        <v>112</v>
      </c>
      <c r="B167" s="83" t="s">
        <v>1903</v>
      </c>
      <c r="C167" s="68"/>
      <c r="D167" s="68"/>
      <c r="E167" s="68"/>
      <c r="F167" s="68"/>
      <c r="G167" s="68"/>
      <c r="H167" s="68"/>
      <c r="I167" s="68"/>
      <c r="J167" s="68"/>
      <c r="K167" s="68"/>
      <c r="L167" s="68"/>
      <c r="M167" s="68"/>
      <c r="N167" s="68"/>
      <c r="O167" s="66" t="s">
        <v>1892</v>
      </c>
      <c r="P167" s="71"/>
      <c r="Q167" s="71"/>
      <c r="R167" s="71"/>
      <c r="S167" s="71"/>
      <c r="T167" s="155" t="s">
        <v>1911</v>
      </c>
      <c r="U167" s="71"/>
      <c r="V167" s="71"/>
      <c r="W167" s="71"/>
      <c r="X167" s="71"/>
      <c r="Y167" s="71"/>
      <c r="Z167" s="71"/>
      <c r="AA167" s="71"/>
      <c r="AB167" s="71"/>
      <c r="AC167" s="71"/>
      <c r="AD167" s="44"/>
      <c r="AE167" s="44"/>
      <c r="AF167" s="44"/>
      <c r="AG167" s="44"/>
      <c r="AH167" s="44"/>
      <c r="AI167" s="44"/>
      <c r="AJ167" s="44"/>
      <c r="AK167" s="44"/>
      <c r="AL167" s="44"/>
      <c r="AM167" s="44"/>
      <c r="AN167" s="44"/>
      <c r="AO167" s="44"/>
      <c r="AP167" s="44"/>
      <c r="AQ167" s="44"/>
      <c r="AR167" s="44"/>
      <c r="AS167" s="44"/>
      <c r="AT167" s="44"/>
      <c r="AU167" s="44"/>
      <c r="AV167" s="44"/>
      <c r="AW167" s="44"/>
      <c r="AX167" s="44"/>
    </row>
    <row r="168" ht="15.75" customHeight="1">
      <c r="A168" s="82" t="s">
        <v>112</v>
      </c>
      <c r="B168" s="83" t="s">
        <v>804</v>
      </c>
      <c r="C168" s="68"/>
      <c r="D168" s="68"/>
      <c r="E168" s="68"/>
      <c r="F168" s="68"/>
      <c r="G168" s="68"/>
      <c r="H168" s="68"/>
      <c r="I168" s="68"/>
      <c r="J168" s="68"/>
      <c r="K168" s="68"/>
      <c r="L168" s="68"/>
      <c r="M168" s="68"/>
      <c r="N168" s="68"/>
      <c r="O168" s="66" t="s">
        <v>1892</v>
      </c>
      <c r="P168" s="71"/>
      <c r="Q168" s="71"/>
      <c r="R168" s="71"/>
      <c r="S168" s="71"/>
      <c r="T168" s="83" t="s">
        <v>1933</v>
      </c>
      <c r="U168" s="71"/>
      <c r="V168" s="71"/>
      <c r="W168" s="71"/>
      <c r="X168" s="71"/>
      <c r="Y168" s="71"/>
      <c r="Z168" s="71"/>
      <c r="AA168" s="71"/>
      <c r="AB168" s="71"/>
      <c r="AC168" s="71"/>
      <c r="AD168" s="44"/>
      <c r="AE168" s="44"/>
      <c r="AF168" s="44"/>
      <c r="AG168" s="44"/>
      <c r="AH168" s="44"/>
      <c r="AI168" s="44"/>
      <c r="AJ168" s="44"/>
      <c r="AK168" s="44"/>
      <c r="AL168" s="44"/>
      <c r="AM168" s="44"/>
      <c r="AN168" s="44"/>
      <c r="AO168" s="44"/>
      <c r="AP168" s="44"/>
      <c r="AQ168" s="44"/>
      <c r="AR168" s="44"/>
      <c r="AS168" s="44"/>
      <c r="AT168" s="44"/>
      <c r="AU168" s="44"/>
      <c r="AV168" s="44"/>
      <c r="AW168" s="44"/>
      <c r="AX168" s="44"/>
    </row>
    <row r="169" ht="15.75" customHeight="1">
      <c r="A169" s="82" t="s">
        <v>112</v>
      </c>
      <c r="B169" s="83" t="s">
        <v>673</v>
      </c>
      <c r="C169" s="68"/>
      <c r="D169" s="68"/>
      <c r="E169" s="68"/>
      <c r="F169" s="68"/>
      <c r="G169" s="68"/>
      <c r="H169" s="68"/>
      <c r="I169" s="68"/>
      <c r="J169" s="68"/>
      <c r="K169" s="68"/>
      <c r="L169" s="68"/>
      <c r="M169" s="68"/>
      <c r="N169" s="68"/>
      <c r="O169" s="66" t="s">
        <v>1892</v>
      </c>
      <c r="P169" s="71"/>
      <c r="Q169" s="71"/>
      <c r="R169" s="71"/>
      <c r="S169" s="71"/>
      <c r="T169" s="83" t="s">
        <v>1951</v>
      </c>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44"/>
      <c r="AV169" s="44"/>
      <c r="AW169" s="44"/>
      <c r="AX169" s="44"/>
    </row>
    <row r="170" ht="15.75" customHeight="1">
      <c r="A170" s="66" t="s">
        <v>112</v>
      </c>
      <c r="B170" s="67" t="s">
        <v>817</v>
      </c>
      <c r="C170" s="68"/>
      <c r="D170" s="68"/>
      <c r="E170" s="68"/>
      <c r="F170" s="68"/>
      <c r="G170" s="68"/>
      <c r="H170" s="68"/>
      <c r="I170" s="68"/>
      <c r="J170" s="68"/>
      <c r="K170" s="68"/>
      <c r="L170" s="68"/>
      <c r="M170" s="68"/>
      <c r="N170" s="68"/>
      <c r="O170" s="71"/>
      <c r="P170" s="71"/>
      <c r="Q170" s="71"/>
      <c r="R170" s="71"/>
      <c r="S170" s="71"/>
      <c r="T170" s="67" t="s">
        <v>1971</v>
      </c>
      <c r="U170" s="71"/>
      <c r="V170" s="71"/>
      <c r="W170" s="71"/>
      <c r="X170" s="71"/>
      <c r="Y170" s="71"/>
      <c r="Z170" s="71"/>
      <c r="AA170" s="71"/>
      <c r="AB170" s="71"/>
      <c r="AC170" s="71"/>
      <c r="AD170" s="71"/>
      <c r="AE170" s="71"/>
      <c r="AF170" s="71"/>
      <c r="AG170" s="71"/>
      <c r="AH170" s="71"/>
      <c r="AI170" s="71"/>
      <c r="AJ170" s="71"/>
      <c r="AK170" s="71"/>
      <c r="AL170" s="71"/>
      <c r="AM170" s="71"/>
      <c r="AN170" s="71"/>
      <c r="AO170" s="44"/>
      <c r="AP170" s="44"/>
      <c r="AQ170" s="44"/>
      <c r="AR170" s="44"/>
      <c r="AS170" s="44"/>
      <c r="AT170" s="44"/>
      <c r="AU170" s="44"/>
      <c r="AV170" s="44"/>
      <c r="AW170" s="44"/>
      <c r="AX170" s="44"/>
    </row>
    <row r="171" ht="15.75" customHeight="1">
      <c r="A171" s="66" t="s">
        <v>112</v>
      </c>
      <c r="B171" s="67" t="s">
        <v>706</v>
      </c>
      <c r="C171" s="68"/>
      <c r="D171" s="68"/>
      <c r="E171" s="68"/>
      <c r="F171" s="68"/>
      <c r="G171" s="68"/>
      <c r="H171" s="68"/>
      <c r="I171" s="68"/>
      <c r="J171" s="68"/>
      <c r="K171" s="68"/>
      <c r="L171" s="68"/>
      <c r="M171" s="68"/>
      <c r="N171" s="68"/>
      <c r="O171" s="71"/>
      <c r="P171" s="71"/>
      <c r="Q171" s="71"/>
      <c r="R171" s="71"/>
      <c r="S171" s="71"/>
      <c r="T171" s="67" t="s">
        <v>1989</v>
      </c>
      <c r="U171" s="71"/>
      <c r="V171" s="71"/>
      <c r="W171" s="71"/>
      <c r="X171" s="71"/>
      <c r="Y171" s="71"/>
      <c r="Z171" s="71"/>
      <c r="AA171" s="71"/>
      <c r="AB171" s="71"/>
      <c r="AC171" s="71"/>
      <c r="AD171" s="44"/>
      <c r="AE171" s="44"/>
      <c r="AF171" s="44"/>
      <c r="AG171" s="44"/>
      <c r="AH171" s="44"/>
      <c r="AI171" s="44"/>
      <c r="AJ171" s="44"/>
      <c r="AK171" s="44"/>
      <c r="AL171" s="44"/>
      <c r="AM171" s="44"/>
      <c r="AN171" s="44"/>
      <c r="AO171" s="44"/>
      <c r="AP171" s="44"/>
      <c r="AQ171" s="44"/>
      <c r="AR171" s="44"/>
      <c r="AS171" s="44"/>
      <c r="AT171" s="44"/>
      <c r="AU171" s="44"/>
      <c r="AV171" s="44"/>
      <c r="AW171" s="44"/>
      <c r="AX171" s="44"/>
    </row>
    <row r="172" ht="15.75" customHeight="1">
      <c r="A172" s="66" t="s">
        <v>112</v>
      </c>
      <c r="B172" s="67" t="s">
        <v>711</v>
      </c>
      <c r="C172" s="68"/>
      <c r="D172" s="68"/>
      <c r="E172" s="68"/>
      <c r="F172" s="68"/>
      <c r="G172" s="68"/>
      <c r="H172" s="68"/>
      <c r="I172" s="68"/>
      <c r="J172" s="68"/>
      <c r="K172" s="68"/>
      <c r="L172" s="68"/>
      <c r="M172" s="68"/>
      <c r="N172" s="68"/>
      <c r="O172" s="71"/>
      <c r="P172" s="71"/>
      <c r="Q172" s="71"/>
      <c r="R172" s="71"/>
      <c r="S172" s="71"/>
      <c r="T172" s="67" t="s">
        <v>2007</v>
      </c>
      <c r="U172" s="71"/>
      <c r="V172" s="71"/>
      <c r="W172" s="71"/>
      <c r="X172" s="71"/>
      <c r="Y172" s="71"/>
      <c r="Z172" s="71"/>
      <c r="AA172" s="71"/>
      <c r="AB172" s="71"/>
      <c r="AC172" s="71"/>
      <c r="AD172" s="44"/>
      <c r="AE172" s="44"/>
      <c r="AF172" s="44"/>
      <c r="AG172" s="44"/>
      <c r="AH172" s="44"/>
      <c r="AI172" s="44"/>
      <c r="AJ172" s="44"/>
      <c r="AK172" s="44"/>
      <c r="AL172" s="44"/>
      <c r="AM172" s="44"/>
      <c r="AN172" s="44"/>
      <c r="AO172" s="44"/>
      <c r="AP172" s="44"/>
      <c r="AQ172" s="44"/>
      <c r="AR172" s="44"/>
      <c r="AS172" s="44"/>
      <c r="AT172" s="44"/>
      <c r="AU172" s="44"/>
      <c r="AV172" s="44"/>
      <c r="AW172" s="44"/>
      <c r="AX172" s="44"/>
    </row>
    <row r="173" ht="15.75" customHeight="1">
      <c r="A173" s="66" t="s">
        <v>112</v>
      </c>
      <c r="B173" s="67" t="s">
        <v>713</v>
      </c>
      <c r="C173" s="68"/>
      <c r="D173" s="68"/>
      <c r="E173" s="68"/>
      <c r="F173" s="68"/>
      <c r="G173" s="68"/>
      <c r="H173" s="68"/>
      <c r="I173" s="68"/>
      <c r="J173" s="68"/>
      <c r="K173" s="68"/>
      <c r="L173" s="68"/>
      <c r="M173" s="68"/>
      <c r="N173" s="68"/>
      <c r="O173" s="71"/>
      <c r="P173" s="71"/>
      <c r="Q173" s="71"/>
      <c r="R173" s="71"/>
      <c r="S173" s="71"/>
      <c r="T173" s="67" t="s">
        <v>2027</v>
      </c>
      <c r="U173" s="71"/>
      <c r="V173" s="71"/>
      <c r="W173" s="71"/>
      <c r="X173" s="71"/>
      <c r="Y173" s="71"/>
      <c r="Z173" s="71"/>
      <c r="AA173" s="71"/>
      <c r="AB173" s="71"/>
      <c r="AC173" s="71"/>
      <c r="AD173" s="44"/>
      <c r="AE173" s="44"/>
      <c r="AF173" s="44"/>
      <c r="AG173" s="44"/>
      <c r="AH173" s="44"/>
      <c r="AI173" s="44"/>
      <c r="AJ173" s="44"/>
      <c r="AK173" s="44"/>
      <c r="AL173" s="44"/>
      <c r="AM173" s="44"/>
      <c r="AN173" s="44"/>
      <c r="AO173" s="44"/>
      <c r="AP173" s="44"/>
      <c r="AQ173" s="44"/>
      <c r="AR173" s="44"/>
      <c r="AS173" s="44"/>
      <c r="AT173" s="44"/>
      <c r="AU173" s="44"/>
      <c r="AV173" s="44"/>
      <c r="AW173" s="44"/>
      <c r="AX173" s="44"/>
    </row>
    <row r="174" ht="15.75" customHeight="1">
      <c r="A174" s="66" t="s">
        <v>112</v>
      </c>
      <c r="B174" s="67" t="s">
        <v>716</v>
      </c>
      <c r="C174" s="68"/>
      <c r="D174" s="68"/>
      <c r="E174" s="68"/>
      <c r="F174" s="68"/>
      <c r="G174" s="68"/>
      <c r="H174" s="68"/>
      <c r="I174" s="68"/>
      <c r="J174" s="68"/>
      <c r="K174" s="68"/>
      <c r="L174" s="68"/>
      <c r="M174" s="68"/>
      <c r="N174" s="68"/>
      <c r="O174" s="71"/>
      <c r="P174" s="71"/>
      <c r="Q174" s="71"/>
      <c r="R174" s="71"/>
      <c r="S174" s="71"/>
      <c r="T174" s="67" t="s">
        <v>2048</v>
      </c>
      <c r="U174" s="71"/>
      <c r="V174" s="71"/>
      <c r="W174" s="71"/>
      <c r="X174" s="71"/>
      <c r="Y174" s="71"/>
      <c r="Z174" s="71"/>
      <c r="AA174" s="71"/>
      <c r="AB174" s="71"/>
      <c r="AC174" s="71"/>
      <c r="AD174" s="44"/>
      <c r="AE174" s="44"/>
      <c r="AF174" s="44"/>
      <c r="AG174" s="44"/>
      <c r="AH174" s="44"/>
      <c r="AI174" s="44"/>
      <c r="AJ174" s="44"/>
      <c r="AK174" s="44"/>
      <c r="AL174" s="44"/>
      <c r="AM174" s="44"/>
      <c r="AN174" s="44"/>
      <c r="AO174" s="44"/>
      <c r="AP174" s="44"/>
      <c r="AQ174" s="44"/>
      <c r="AR174" s="44"/>
      <c r="AS174" s="44"/>
      <c r="AT174" s="44"/>
      <c r="AU174" s="44"/>
      <c r="AV174" s="44"/>
      <c r="AW174" s="44"/>
      <c r="AX174" s="44"/>
    </row>
    <row r="175" ht="15.75" customHeight="1">
      <c r="A175" s="201" t="s">
        <v>112</v>
      </c>
      <c r="B175" s="203" t="s">
        <v>719</v>
      </c>
      <c r="C175" s="68"/>
      <c r="D175" s="68"/>
      <c r="E175" s="68"/>
      <c r="F175" s="68"/>
      <c r="G175" s="68"/>
      <c r="H175" s="68"/>
      <c r="I175" s="68"/>
      <c r="J175" s="68"/>
      <c r="K175" s="68"/>
      <c r="L175" s="68"/>
      <c r="M175" s="68"/>
      <c r="N175" s="68"/>
      <c r="O175" s="71"/>
      <c r="P175" s="71"/>
      <c r="Q175" s="71"/>
      <c r="R175" s="71"/>
      <c r="S175" s="71"/>
      <c r="T175" s="67" t="s">
        <v>2072</v>
      </c>
      <c r="U175" s="71"/>
      <c r="V175" s="71"/>
      <c r="W175" s="71"/>
      <c r="X175" s="71"/>
      <c r="Y175" s="71"/>
      <c r="Z175" s="71"/>
      <c r="AA175" s="71"/>
      <c r="AB175" s="71"/>
      <c r="AC175" s="71"/>
      <c r="AD175" s="44"/>
      <c r="AE175" s="44"/>
      <c r="AF175" s="44"/>
      <c r="AG175" s="44"/>
      <c r="AH175" s="44"/>
      <c r="AI175" s="44"/>
      <c r="AJ175" s="44"/>
      <c r="AK175" s="44"/>
      <c r="AL175" s="44"/>
      <c r="AM175" s="44"/>
      <c r="AN175" s="44"/>
      <c r="AO175" s="44"/>
      <c r="AP175" s="44"/>
      <c r="AQ175" s="44"/>
      <c r="AR175" s="44"/>
      <c r="AS175" s="44"/>
      <c r="AT175" s="44"/>
      <c r="AU175" s="44"/>
      <c r="AV175" s="44"/>
      <c r="AW175" s="44"/>
      <c r="AX175" s="44"/>
    </row>
    <row r="176" ht="15.75" customHeight="1">
      <c r="A176" s="201" t="s">
        <v>112</v>
      </c>
      <c r="B176" s="203" t="s">
        <v>727</v>
      </c>
      <c r="C176" s="68"/>
      <c r="D176" s="68"/>
      <c r="E176" s="68"/>
      <c r="F176" s="68"/>
      <c r="G176" s="68"/>
      <c r="H176" s="68"/>
      <c r="I176" s="68"/>
      <c r="J176" s="68"/>
      <c r="K176" s="68"/>
      <c r="L176" s="68"/>
      <c r="M176" s="68"/>
      <c r="N176" s="68"/>
      <c r="O176" s="71"/>
      <c r="P176" s="71"/>
      <c r="Q176" s="71"/>
      <c r="R176" s="71"/>
      <c r="S176" s="71"/>
      <c r="T176" s="67" t="s">
        <v>2089</v>
      </c>
      <c r="U176" s="71"/>
      <c r="V176" s="71"/>
      <c r="W176" s="71"/>
      <c r="X176" s="71"/>
      <c r="Y176" s="71"/>
      <c r="Z176" s="71"/>
      <c r="AA176" s="71"/>
      <c r="AB176" s="71"/>
      <c r="AC176" s="71"/>
      <c r="AD176" s="44"/>
      <c r="AE176" s="44"/>
      <c r="AF176" s="44"/>
      <c r="AG176" s="44"/>
      <c r="AH176" s="44"/>
      <c r="AI176" s="44"/>
      <c r="AJ176" s="44"/>
      <c r="AK176" s="44"/>
      <c r="AL176" s="44"/>
      <c r="AM176" s="44"/>
      <c r="AN176" s="44"/>
      <c r="AO176" s="44"/>
      <c r="AP176" s="44"/>
      <c r="AQ176" s="44"/>
      <c r="AR176" s="44"/>
      <c r="AS176" s="44"/>
      <c r="AT176" s="44"/>
      <c r="AU176" s="44"/>
      <c r="AV176" s="44"/>
      <c r="AW176" s="44"/>
      <c r="AX176" s="44"/>
    </row>
    <row r="177" ht="15.75" customHeight="1">
      <c r="A177" s="66" t="s">
        <v>112</v>
      </c>
      <c r="B177" s="67" t="s">
        <v>728</v>
      </c>
      <c r="C177" s="68"/>
      <c r="D177" s="68"/>
      <c r="E177" s="68"/>
      <c r="F177" s="68"/>
      <c r="G177" s="68"/>
      <c r="H177" s="68"/>
      <c r="I177" s="68"/>
      <c r="J177" s="68"/>
      <c r="K177" s="68"/>
      <c r="L177" s="68"/>
      <c r="M177" s="68"/>
      <c r="N177" s="68"/>
      <c r="O177" s="71"/>
      <c r="P177" s="71"/>
      <c r="Q177" s="71"/>
      <c r="R177" s="71"/>
      <c r="S177" s="71"/>
      <c r="T177" s="67" t="s">
        <v>2108</v>
      </c>
      <c r="U177" s="71"/>
      <c r="V177" s="71"/>
      <c r="W177" s="71"/>
      <c r="X177" s="71"/>
      <c r="Y177" s="71"/>
      <c r="Z177" s="71"/>
      <c r="AA177" s="71"/>
      <c r="AB177" s="71"/>
      <c r="AC177" s="71"/>
      <c r="AD177" s="44"/>
      <c r="AE177" s="44"/>
      <c r="AF177" s="44"/>
      <c r="AG177" s="44"/>
      <c r="AH177" s="44"/>
      <c r="AI177" s="44"/>
      <c r="AJ177" s="44"/>
      <c r="AK177" s="44"/>
      <c r="AL177" s="44"/>
      <c r="AM177" s="44"/>
      <c r="AN177" s="44"/>
      <c r="AO177" s="44"/>
      <c r="AP177" s="44"/>
      <c r="AQ177" s="44"/>
      <c r="AR177" s="44"/>
      <c r="AS177" s="44"/>
      <c r="AT177" s="44"/>
      <c r="AU177" s="44"/>
      <c r="AV177" s="44"/>
      <c r="AW177" s="44"/>
      <c r="AX177" s="44"/>
    </row>
    <row r="178" ht="15.75" customHeight="1">
      <c r="A178" s="66" t="s">
        <v>112</v>
      </c>
      <c r="B178" s="202" t="s">
        <v>731</v>
      </c>
      <c r="C178" s="68"/>
      <c r="D178" s="68"/>
      <c r="E178" s="68"/>
      <c r="F178" s="68"/>
      <c r="G178" s="68"/>
      <c r="H178" s="68"/>
      <c r="I178" s="68"/>
      <c r="J178" s="68"/>
      <c r="K178" s="68"/>
      <c r="L178" s="68"/>
      <c r="M178" s="68"/>
      <c r="N178" s="68"/>
      <c r="O178" s="71"/>
      <c r="P178" s="71"/>
      <c r="Q178" s="71"/>
      <c r="R178" s="71"/>
      <c r="S178" s="71"/>
      <c r="T178" s="67" t="s">
        <v>2121</v>
      </c>
      <c r="U178" s="71"/>
      <c r="V178" s="71"/>
      <c r="W178" s="71"/>
      <c r="X178" s="71"/>
      <c r="Y178" s="71"/>
      <c r="Z178" s="71"/>
      <c r="AA178" s="71"/>
      <c r="AB178" s="71"/>
      <c r="AC178" s="71"/>
      <c r="AD178" s="44"/>
      <c r="AE178" s="44"/>
      <c r="AF178" s="44"/>
      <c r="AG178" s="44"/>
      <c r="AH178" s="44"/>
      <c r="AI178" s="44"/>
      <c r="AJ178" s="44"/>
      <c r="AK178" s="44"/>
      <c r="AL178" s="44"/>
      <c r="AM178" s="44"/>
      <c r="AN178" s="44"/>
      <c r="AO178" s="44"/>
      <c r="AP178" s="44"/>
      <c r="AQ178" s="44"/>
      <c r="AR178" s="44"/>
      <c r="AS178" s="44"/>
      <c r="AT178" s="44"/>
      <c r="AU178" s="44"/>
      <c r="AV178" s="44"/>
      <c r="AW178" s="44"/>
      <c r="AX178" s="44"/>
    </row>
    <row r="179" ht="15.75" customHeight="1">
      <c r="A179" s="201" t="s">
        <v>112</v>
      </c>
      <c r="B179" s="203" t="s">
        <v>734</v>
      </c>
      <c r="C179" s="68"/>
      <c r="D179" s="68"/>
      <c r="E179" s="68"/>
      <c r="F179" s="68"/>
      <c r="G179" s="68"/>
      <c r="H179" s="68"/>
      <c r="I179" s="68"/>
      <c r="J179" s="68"/>
      <c r="K179" s="68"/>
      <c r="L179" s="68"/>
      <c r="M179" s="68"/>
      <c r="N179" s="68"/>
      <c r="O179" s="71"/>
      <c r="P179" s="71"/>
      <c r="Q179" s="71"/>
      <c r="R179" s="71"/>
      <c r="S179" s="71"/>
      <c r="T179" s="67" t="s">
        <v>2132</v>
      </c>
      <c r="U179" s="71"/>
      <c r="V179" s="71"/>
      <c r="W179" s="71"/>
      <c r="X179" s="71"/>
      <c r="Y179" s="71"/>
      <c r="Z179" s="71"/>
      <c r="AA179" s="71"/>
      <c r="AB179" s="71"/>
      <c r="AC179" s="71"/>
      <c r="AD179" s="44"/>
      <c r="AE179" s="44"/>
      <c r="AF179" s="44"/>
      <c r="AG179" s="44"/>
      <c r="AH179" s="44"/>
      <c r="AI179" s="44"/>
      <c r="AJ179" s="44"/>
      <c r="AK179" s="44"/>
      <c r="AL179" s="44"/>
      <c r="AM179" s="44"/>
      <c r="AN179" s="44"/>
      <c r="AO179" s="44"/>
      <c r="AP179" s="44"/>
      <c r="AQ179" s="44"/>
      <c r="AR179" s="44"/>
      <c r="AS179" s="44"/>
      <c r="AT179" s="44"/>
      <c r="AU179" s="44"/>
      <c r="AV179" s="44"/>
      <c r="AW179" s="44"/>
      <c r="AX179" s="44"/>
    </row>
    <row r="180" ht="15.75" customHeight="1">
      <c r="A180" s="201" t="s">
        <v>256</v>
      </c>
      <c r="B180" s="203" t="s">
        <v>1665</v>
      </c>
      <c r="C180" s="68"/>
      <c r="D180" s="68"/>
      <c r="E180" s="68"/>
      <c r="F180" s="68"/>
      <c r="G180" s="68"/>
      <c r="H180" s="68"/>
      <c r="I180" s="68"/>
      <c r="J180" s="68"/>
      <c r="K180" s="68"/>
      <c r="L180" s="68"/>
      <c r="M180" s="68"/>
      <c r="N180" s="68"/>
      <c r="O180" s="71"/>
      <c r="P180" s="71"/>
      <c r="Q180" s="269"/>
      <c r="R180" s="71"/>
      <c r="S180" s="71"/>
      <c r="T180" s="67" t="s">
        <v>260</v>
      </c>
      <c r="U180" s="71"/>
      <c r="V180" s="71"/>
      <c r="W180" s="71"/>
      <c r="X180" s="71"/>
      <c r="Y180" s="269"/>
      <c r="Z180" s="71"/>
      <c r="AA180" s="71"/>
      <c r="AB180" s="71"/>
      <c r="AC180" s="71"/>
      <c r="AD180" s="127"/>
      <c r="AE180" s="127"/>
      <c r="AF180" s="127"/>
      <c r="AG180" s="127"/>
      <c r="AH180" s="127"/>
      <c r="AI180" s="127"/>
      <c r="AJ180" s="127"/>
      <c r="AK180" s="127"/>
      <c r="AL180" s="127"/>
      <c r="AM180" s="127"/>
      <c r="AN180" s="127"/>
      <c r="AO180" s="127"/>
      <c r="AP180" s="127"/>
      <c r="AQ180" s="127"/>
      <c r="AR180" s="127"/>
      <c r="AS180" s="127"/>
      <c r="AT180" s="127"/>
      <c r="AU180" s="127"/>
      <c r="AV180" s="127"/>
      <c r="AW180" s="127"/>
      <c r="AX180" s="127"/>
    </row>
    <row r="181" ht="15.75" customHeight="1">
      <c r="A181" s="201" t="s">
        <v>112</v>
      </c>
      <c r="B181" s="203" t="s">
        <v>1672</v>
      </c>
      <c r="C181" s="68"/>
      <c r="D181" s="68"/>
      <c r="E181" s="68"/>
      <c r="F181" s="68"/>
      <c r="G181" s="68"/>
      <c r="H181" s="68"/>
      <c r="I181" s="68"/>
      <c r="J181" s="68"/>
      <c r="K181" s="68"/>
      <c r="L181" s="68"/>
      <c r="M181" s="68"/>
      <c r="N181" s="68"/>
      <c r="O181" s="71"/>
      <c r="P181" s="71"/>
      <c r="Q181" s="71"/>
      <c r="R181" s="71"/>
      <c r="S181" s="71"/>
      <c r="T181" s="203" t="s">
        <v>2162</v>
      </c>
      <c r="U181" s="71"/>
      <c r="V181" s="71"/>
      <c r="W181" s="71"/>
      <c r="X181" s="71"/>
      <c r="Y181" s="71"/>
      <c r="Z181" s="71"/>
      <c r="AA181" s="71"/>
      <c r="AB181" s="71"/>
      <c r="AC181" s="71"/>
      <c r="AD181" s="44"/>
      <c r="AE181" s="44"/>
      <c r="AF181" s="44"/>
      <c r="AG181" s="44"/>
      <c r="AH181" s="44"/>
      <c r="AI181" s="44"/>
      <c r="AJ181" s="44"/>
      <c r="AK181" s="44"/>
      <c r="AL181" s="44"/>
      <c r="AM181" s="44"/>
      <c r="AN181" s="44"/>
      <c r="AO181" s="44"/>
      <c r="AP181" s="44"/>
      <c r="AQ181" s="44"/>
      <c r="AR181" s="44"/>
      <c r="AS181" s="44"/>
      <c r="AT181" s="44"/>
      <c r="AU181" s="44"/>
      <c r="AV181" s="44"/>
      <c r="AW181" s="44"/>
      <c r="AX181" s="44"/>
    </row>
    <row r="182" ht="15.75" customHeight="1">
      <c r="A182" s="255"/>
      <c r="B182" s="256"/>
      <c r="C182" s="143"/>
      <c r="D182" s="136"/>
      <c r="E182" s="136"/>
      <c r="F182" s="136"/>
      <c r="G182" s="136"/>
      <c r="H182" s="136"/>
      <c r="I182" s="136"/>
      <c r="J182" s="136"/>
      <c r="K182" s="136"/>
      <c r="L182" s="136"/>
      <c r="M182" s="136"/>
      <c r="N182" s="136"/>
      <c r="O182" s="142"/>
      <c r="P182" s="137"/>
      <c r="Q182" s="270"/>
      <c r="R182" s="137"/>
      <c r="S182" s="137"/>
      <c r="T182" s="137"/>
      <c r="U182" s="137"/>
      <c r="V182" s="137"/>
      <c r="W182" s="137"/>
      <c r="X182" s="137"/>
      <c r="Y182" s="137"/>
      <c r="Z182" s="137"/>
      <c r="AA182" s="137"/>
      <c r="AB182" s="137"/>
      <c r="AC182" s="137"/>
      <c r="AD182" s="44"/>
      <c r="AE182" s="44"/>
      <c r="AF182" s="44"/>
      <c r="AG182" s="44"/>
      <c r="AH182" s="44"/>
      <c r="AI182" s="44"/>
      <c r="AJ182" s="44"/>
      <c r="AK182" s="44"/>
      <c r="AL182" s="44"/>
      <c r="AM182" s="44"/>
      <c r="AN182" s="44"/>
      <c r="AO182" s="44"/>
      <c r="AP182" s="44"/>
      <c r="AQ182" s="44"/>
      <c r="AR182" s="44"/>
      <c r="AS182" s="44"/>
      <c r="AT182" s="44"/>
      <c r="AU182" s="44"/>
      <c r="AV182" s="44"/>
      <c r="AW182" s="44"/>
      <c r="AX182" s="44"/>
    </row>
    <row r="183" ht="15.75" customHeight="1">
      <c r="A183" s="271" t="s">
        <v>385</v>
      </c>
      <c r="B183" s="272" t="s">
        <v>823</v>
      </c>
      <c r="C183" s="165" t="s">
        <v>824</v>
      </c>
      <c r="D183" s="161"/>
      <c r="E183" s="161"/>
      <c r="F183" s="161"/>
      <c r="G183" s="161"/>
      <c r="H183" s="161"/>
      <c r="I183" s="161"/>
      <c r="J183" s="161"/>
      <c r="K183" s="161"/>
      <c r="L183" s="161"/>
      <c r="M183" s="161"/>
      <c r="N183" s="161"/>
      <c r="O183" s="160"/>
      <c r="P183" s="159"/>
      <c r="Q183" s="273"/>
      <c r="R183" s="159"/>
      <c r="S183" s="159"/>
      <c r="T183" s="159"/>
      <c r="U183" s="274" t="s">
        <v>2203</v>
      </c>
      <c r="V183" s="159"/>
      <c r="W183" s="159"/>
      <c r="X183" s="159"/>
      <c r="Y183" s="159"/>
      <c r="Z183" s="159"/>
      <c r="AA183" s="159"/>
      <c r="AB183" s="159"/>
      <c r="AC183" s="159"/>
      <c r="AD183" s="71"/>
      <c r="AE183" s="71"/>
      <c r="AF183" s="71"/>
      <c r="AG183" s="71"/>
      <c r="AH183" s="71"/>
      <c r="AI183" s="71"/>
      <c r="AJ183" s="71"/>
      <c r="AK183" s="71"/>
      <c r="AL183" s="71"/>
      <c r="AM183" s="71"/>
      <c r="AN183" s="71"/>
      <c r="AO183" s="44"/>
      <c r="AP183" s="44"/>
      <c r="AQ183" s="44"/>
      <c r="AR183" s="44"/>
      <c r="AS183" s="44"/>
      <c r="AT183" s="44"/>
      <c r="AU183" s="44"/>
      <c r="AV183" s="44"/>
      <c r="AW183" s="44"/>
      <c r="AX183" s="44"/>
    </row>
    <row r="184" ht="15.75" customHeight="1">
      <c r="A184" s="201" t="s">
        <v>112</v>
      </c>
      <c r="B184" s="203" t="s">
        <v>827</v>
      </c>
      <c r="C184" s="68"/>
      <c r="D184" s="68"/>
      <c r="E184" s="68"/>
      <c r="F184" s="68"/>
      <c r="G184" s="68"/>
      <c r="H184" s="68"/>
      <c r="I184" s="68"/>
      <c r="J184" s="68"/>
      <c r="K184" s="68"/>
      <c r="L184" s="68"/>
      <c r="M184" s="68"/>
      <c r="N184" s="68"/>
      <c r="O184" s="71"/>
      <c r="P184" s="71"/>
      <c r="Q184" s="269"/>
      <c r="R184" s="71"/>
      <c r="S184" s="71"/>
      <c r="T184" s="67" t="s">
        <v>1581</v>
      </c>
      <c r="U184" s="71"/>
      <c r="V184" s="71"/>
      <c r="W184" s="71"/>
      <c r="X184" s="71"/>
      <c r="Y184" s="71"/>
      <c r="Z184" s="71"/>
      <c r="AA184" s="71"/>
      <c r="AB184" s="71"/>
      <c r="AC184" s="71"/>
      <c r="AD184" s="71"/>
      <c r="AE184" s="71"/>
      <c r="AF184" s="71"/>
      <c r="AG184" s="71"/>
      <c r="AH184" s="71"/>
      <c r="AI184" s="71"/>
      <c r="AJ184" s="71"/>
      <c r="AK184" s="71"/>
      <c r="AL184" s="71"/>
      <c r="AM184" s="71"/>
      <c r="AN184" s="71"/>
      <c r="AO184" s="44"/>
      <c r="AP184" s="44"/>
      <c r="AQ184" s="44"/>
      <c r="AR184" s="44"/>
      <c r="AS184" s="44"/>
      <c r="AT184" s="44"/>
      <c r="AU184" s="44"/>
      <c r="AV184" s="44"/>
      <c r="AW184" s="44"/>
      <c r="AX184" s="44"/>
    </row>
    <row r="185" ht="15.75" customHeight="1">
      <c r="A185" s="201" t="s">
        <v>112</v>
      </c>
      <c r="B185" s="203" t="s">
        <v>831</v>
      </c>
      <c r="C185" s="68"/>
      <c r="D185" s="68"/>
      <c r="E185" s="68"/>
      <c r="F185" s="68"/>
      <c r="G185" s="68"/>
      <c r="H185" s="68"/>
      <c r="I185" s="68"/>
      <c r="J185" s="68"/>
      <c r="K185" s="68"/>
      <c r="L185" s="68"/>
      <c r="M185" s="68"/>
      <c r="N185" s="68"/>
      <c r="O185" s="66" t="s">
        <v>2237</v>
      </c>
      <c r="P185" s="71"/>
      <c r="Q185" s="269"/>
      <c r="R185" s="71"/>
      <c r="S185" s="71"/>
      <c r="T185" s="67" t="s">
        <v>2240</v>
      </c>
      <c r="U185" s="71"/>
      <c r="V185" s="71"/>
      <c r="W185" s="71"/>
      <c r="X185" s="71"/>
      <c r="Y185" s="71"/>
      <c r="Z185" s="71"/>
      <c r="AA185" s="71"/>
      <c r="AB185" s="71"/>
      <c r="AC185" s="71"/>
      <c r="AD185" s="71"/>
      <c r="AE185" s="71"/>
      <c r="AF185" s="71"/>
      <c r="AG185" s="71"/>
      <c r="AH185" s="71"/>
      <c r="AI185" s="71"/>
      <c r="AJ185" s="71"/>
      <c r="AK185" s="71"/>
      <c r="AL185" s="71"/>
      <c r="AM185" s="71"/>
      <c r="AN185" s="71"/>
      <c r="AO185" s="44"/>
      <c r="AP185" s="44"/>
      <c r="AQ185" s="44"/>
      <c r="AR185" s="44"/>
      <c r="AS185" s="44"/>
      <c r="AT185" s="44"/>
      <c r="AU185" s="44"/>
      <c r="AV185" s="44"/>
      <c r="AW185" s="44"/>
      <c r="AX185" s="44"/>
    </row>
    <row r="186" ht="15.75" customHeight="1">
      <c r="A186" s="201" t="s">
        <v>112</v>
      </c>
      <c r="B186" s="203" t="s">
        <v>838</v>
      </c>
      <c r="C186" s="68"/>
      <c r="D186" s="68"/>
      <c r="E186" s="68"/>
      <c r="F186" s="68"/>
      <c r="G186" s="68"/>
      <c r="H186" s="68"/>
      <c r="I186" s="68"/>
      <c r="J186" s="68"/>
      <c r="K186" s="68"/>
      <c r="L186" s="68"/>
      <c r="M186" s="68"/>
      <c r="N186" s="68"/>
      <c r="O186" s="71"/>
      <c r="P186" s="71"/>
      <c r="Q186" s="269"/>
      <c r="R186" s="71"/>
      <c r="S186" s="71"/>
      <c r="T186" s="67" t="s">
        <v>2255</v>
      </c>
      <c r="U186" s="71"/>
      <c r="V186" s="71"/>
      <c r="W186" s="71"/>
      <c r="X186" s="71"/>
      <c r="Y186" s="71"/>
      <c r="Z186" s="71"/>
      <c r="AA186" s="71"/>
      <c r="AB186" s="71"/>
      <c r="AC186" s="71"/>
      <c r="AD186" s="71"/>
      <c r="AE186" s="71"/>
      <c r="AF186" s="71"/>
      <c r="AG186" s="71"/>
      <c r="AH186" s="71"/>
      <c r="AI186" s="71"/>
      <c r="AJ186" s="71"/>
      <c r="AK186" s="71"/>
      <c r="AL186" s="71"/>
      <c r="AM186" s="71"/>
      <c r="AN186" s="71"/>
      <c r="AO186" s="44"/>
      <c r="AP186" s="44"/>
      <c r="AQ186" s="44"/>
      <c r="AR186" s="44"/>
      <c r="AS186" s="44"/>
      <c r="AT186" s="44"/>
      <c r="AU186" s="44"/>
      <c r="AV186" s="44"/>
      <c r="AW186" s="44"/>
      <c r="AX186" s="44"/>
    </row>
    <row r="187" ht="15.75" customHeight="1">
      <c r="A187" s="201" t="s">
        <v>112</v>
      </c>
      <c r="B187" s="203" t="s">
        <v>839</v>
      </c>
      <c r="C187" s="68"/>
      <c r="D187" s="68"/>
      <c r="E187" s="68"/>
      <c r="F187" s="68"/>
      <c r="G187" s="68"/>
      <c r="H187" s="68"/>
      <c r="I187" s="68"/>
      <c r="J187" s="68"/>
      <c r="K187" s="68"/>
      <c r="L187" s="68"/>
      <c r="M187" s="68"/>
      <c r="N187" s="68"/>
      <c r="O187" s="71"/>
      <c r="P187" s="71"/>
      <c r="Q187" s="269"/>
      <c r="R187" s="71"/>
      <c r="S187" s="71"/>
      <c r="T187" s="67" t="s">
        <v>2268</v>
      </c>
      <c r="U187" s="71"/>
      <c r="V187" s="71"/>
      <c r="W187" s="71"/>
      <c r="X187" s="71"/>
      <c r="Y187" s="71"/>
      <c r="Z187" s="71"/>
      <c r="AA187" s="71"/>
      <c r="AB187" s="71"/>
      <c r="AC187" s="71"/>
      <c r="AD187" s="71"/>
      <c r="AE187" s="71"/>
      <c r="AF187" s="71"/>
      <c r="AG187" s="71"/>
      <c r="AH187" s="71"/>
      <c r="AI187" s="71"/>
      <c r="AJ187" s="71"/>
      <c r="AK187" s="71"/>
      <c r="AL187" s="71"/>
      <c r="AM187" s="71"/>
      <c r="AN187" s="71"/>
      <c r="AO187" s="44"/>
      <c r="AP187" s="44"/>
      <c r="AQ187" s="44"/>
      <c r="AR187" s="44"/>
      <c r="AS187" s="44"/>
      <c r="AT187" s="44"/>
      <c r="AU187" s="44"/>
      <c r="AV187" s="44"/>
      <c r="AW187" s="44"/>
      <c r="AX187" s="44"/>
    </row>
    <row r="188" ht="15.75" customHeight="1">
      <c r="A188" s="201" t="s">
        <v>112</v>
      </c>
      <c r="B188" s="203" t="s">
        <v>848</v>
      </c>
      <c r="C188" s="68"/>
      <c r="D188" s="68"/>
      <c r="E188" s="68"/>
      <c r="F188" s="68"/>
      <c r="G188" s="68"/>
      <c r="H188" s="68"/>
      <c r="I188" s="68"/>
      <c r="J188" s="68"/>
      <c r="K188" s="68"/>
      <c r="L188" s="68"/>
      <c r="M188" s="68"/>
      <c r="N188" s="68"/>
      <c r="O188" s="71"/>
      <c r="P188" s="71"/>
      <c r="Q188" s="269"/>
      <c r="R188" s="71"/>
      <c r="S188" s="71"/>
      <c r="T188" s="67" t="s">
        <v>2277</v>
      </c>
      <c r="U188" s="71"/>
      <c r="V188" s="71"/>
      <c r="W188" s="71"/>
      <c r="X188" s="71"/>
      <c r="Y188" s="71"/>
      <c r="Z188" s="71"/>
      <c r="AA188" s="71"/>
      <c r="AB188" s="71"/>
      <c r="AC188" s="71"/>
      <c r="AD188" s="71"/>
      <c r="AE188" s="71"/>
      <c r="AF188" s="71"/>
      <c r="AG188" s="71"/>
      <c r="AH188" s="71"/>
      <c r="AI188" s="71"/>
      <c r="AJ188" s="71"/>
      <c r="AK188" s="71"/>
      <c r="AL188" s="71"/>
      <c r="AM188" s="71"/>
      <c r="AN188" s="71"/>
      <c r="AO188" s="44"/>
      <c r="AP188" s="44"/>
      <c r="AQ188" s="44"/>
      <c r="AR188" s="44"/>
      <c r="AS188" s="44"/>
      <c r="AT188" s="44"/>
      <c r="AU188" s="44"/>
      <c r="AV188" s="44"/>
      <c r="AW188" s="44"/>
      <c r="AX188" s="44"/>
    </row>
    <row r="189" ht="15.75" customHeight="1">
      <c r="A189" s="271" t="s">
        <v>450</v>
      </c>
      <c r="B189" s="271" t="s">
        <v>823</v>
      </c>
      <c r="C189" s="162"/>
      <c r="D189" s="162"/>
      <c r="E189" s="162"/>
      <c r="F189" s="162"/>
      <c r="G189" s="162"/>
      <c r="H189" s="162"/>
      <c r="I189" s="162"/>
      <c r="J189" s="162"/>
      <c r="K189" s="162"/>
      <c r="L189" s="162"/>
      <c r="M189" s="162"/>
      <c r="N189" s="162"/>
      <c r="O189" s="159"/>
      <c r="P189" s="159"/>
      <c r="Q189" s="273"/>
      <c r="R189" s="159"/>
      <c r="S189" s="159"/>
      <c r="T189" s="159"/>
      <c r="U189" s="159"/>
      <c r="V189" s="159"/>
      <c r="W189" s="159"/>
      <c r="X189" s="159"/>
      <c r="Y189" s="159"/>
      <c r="Z189" s="159"/>
      <c r="AA189" s="159"/>
      <c r="AB189" s="159"/>
      <c r="AC189" s="159"/>
      <c r="AD189" s="71"/>
      <c r="AE189" s="71"/>
      <c r="AF189" s="71"/>
      <c r="AG189" s="71"/>
      <c r="AH189" s="71"/>
      <c r="AI189" s="71"/>
      <c r="AJ189" s="71"/>
      <c r="AK189" s="71"/>
      <c r="AL189" s="71"/>
      <c r="AM189" s="71"/>
      <c r="AN189" s="71"/>
      <c r="AO189" s="44"/>
      <c r="AP189" s="44"/>
      <c r="AQ189" s="44"/>
      <c r="AR189" s="44"/>
      <c r="AS189" s="44"/>
      <c r="AT189" s="44"/>
      <c r="AU189" s="44"/>
      <c r="AV189" s="44"/>
      <c r="AW189" s="44"/>
      <c r="AX189" s="44"/>
    </row>
    <row r="190" ht="15.75" customHeight="1">
      <c r="A190" s="201" t="s">
        <v>112</v>
      </c>
      <c r="B190" s="203" t="s">
        <v>858</v>
      </c>
      <c r="C190" s="68"/>
      <c r="D190" s="68"/>
      <c r="E190" s="68"/>
      <c r="F190" s="68"/>
      <c r="G190" s="68"/>
      <c r="H190" s="68"/>
      <c r="I190" s="68"/>
      <c r="J190" s="68"/>
      <c r="K190" s="68"/>
      <c r="L190" s="68"/>
      <c r="M190" s="68"/>
      <c r="N190" s="68"/>
      <c r="O190" s="71"/>
      <c r="P190" s="71"/>
      <c r="Q190" s="269"/>
      <c r="R190" s="71"/>
      <c r="S190" s="71"/>
      <c r="T190" s="67" t="s">
        <v>2304</v>
      </c>
      <c r="U190" s="71"/>
      <c r="V190" s="71"/>
      <c r="W190" s="71"/>
      <c r="X190" s="71"/>
      <c r="Y190" s="71"/>
      <c r="Z190" s="71"/>
      <c r="AA190" s="71"/>
      <c r="AB190" s="71"/>
      <c r="AC190" s="71"/>
      <c r="AD190" s="71"/>
      <c r="AE190" s="71"/>
      <c r="AF190" s="71"/>
      <c r="AG190" s="71"/>
      <c r="AH190" s="71"/>
      <c r="AI190" s="71"/>
      <c r="AJ190" s="71"/>
      <c r="AK190" s="71"/>
      <c r="AL190" s="71"/>
      <c r="AM190" s="71"/>
      <c r="AN190" s="71"/>
      <c r="AO190" s="44"/>
      <c r="AP190" s="44"/>
      <c r="AQ190" s="44"/>
      <c r="AR190" s="44"/>
      <c r="AS190" s="44"/>
      <c r="AT190" s="44"/>
      <c r="AU190" s="44"/>
      <c r="AV190" s="44"/>
      <c r="AW190" s="44"/>
      <c r="AX190" s="44"/>
    </row>
    <row r="191" ht="15.75" customHeight="1">
      <c r="A191" s="201" t="s">
        <v>112</v>
      </c>
      <c r="B191" s="203" t="s">
        <v>861</v>
      </c>
      <c r="C191" s="68"/>
      <c r="D191" s="68"/>
      <c r="E191" s="68"/>
      <c r="F191" s="68"/>
      <c r="G191" s="68"/>
      <c r="H191" s="68"/>
      <c r="I191" s="68"/>
      <c r="J191" s="68"/>
      <c r="K191" s="68"/>
      <c r="L191" s="68"/>
      <c r="M191" s="68"/>
      <c r="N191" s="68"/>
      <c r="O191" s="71"/>
      <c r="P191" s="71"/>
      <c r="Q191" s="269"/>
      <c r="R191" s="71"/>
      <c r="S191" s="71"/>
      <c r="T191" s="67" t="s">
        <v>2327</v>
      </c>
      <c r="U191" s="71"/>
      <c r="V191" s="71"/>
      <c r="W191" s="71"/>
      <c r="X191" s="71"/>
      <c r="Y191" s="71"/>
      <c r="Z191" s="71"/>
      <c r="AA191" s="71"/>
      <c r="AB191" s="71"/>
      <c r="AC191" s="71"/>
      <c r="AD191" s="71"/>
      <c r="AE191" s="71"/>
      <c r="AF191" s="71"/>
      <c r="AG191" s="71"/>
      <c r="AH191" s="71"/>
      <c r="AI191" s="71"/>
      <c r="AJ191" s="71"/>
      <c r="AK191" s="71"/>
      <c r="AL191" s="71"/>
      <c r="AM191" s="71"/>
      <c r="AN191" s="71"/>
      <c r="AO191" s="44"/>
      <c r="AP191" s="44"/>
      <c r="AQ191" s="44"/>
      <c r="AR191" s="44"/>
      <c r="AS191" s="44"/>
      <c r="AT191" s="44"/>
      <c r="AU191" s="44"/>
      <c r="AV191" s="44"/>
      <c r="AW191" s="44"/>
      <c r="AX191" s="44"/>
    </row>
    <row r="192" ht="15.75" customHeight="1">
      <c r="A192" s="278"/>
      <c r="B192" s="139"/>
      <c r="C192" s="154"/>
      <c r="D192" s="154"/>
      <c r="E192" s="154"/>
      <c r="F192" s="154"/>
      <c r="G192" s="154"/>
      <c r="H192" s="154"/>
      <c r="I192" s="154"/>
      <c r="J192" s="154"/>
      <c r="K192" s="154"/>
      <c r="L192" s="154"/>
      <c r="M192" s="154"/>
      <c r="N192" s="154"/>
      <c r="O192" s="127"/>
      <c r="P192" s="127"/>
      <c r="Q192" s="278"/>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c r="AM192" s="127"/>
      <c r="AN192" s="127"/>
      <c r="AO192" s="44"/>
      <c r="AP192" s="44"/>
      <c r="AQ192" s="44"/>
      <c r="AR192" s="44"/>
      <c r="AS192" s="44"/>
      <c r="AT192" s="44"/>
      <c r="AU192" s="44"/>
      <c r="AV192" s="44"/>
      <c r="AW192" s="44"/>
      <c r="AX192" s="44"/>
    </row>
    <row r="193" ht="15.75" customHeight="1">
      <c r="A193" s="201" t="s">
        <v>112</v>
      </c>
      <c r="B193" s="202" t="s">
        <v>882</v>
      </c>
      <c r="C193" s="68"/>
      <c r="D193" s="68"/>
      <c r="E193" s="68"/>
      <c r="F193" s="68"/>
      <c r="G193" s="68"/>
      <c r="H193" s="68"/>
      <c r="I193" s="68"/>
      <c r="J193" s="68"/>
      <c r="K193" s="68"/>
      <c r="L193" s="68"/>
      <c r="M193" s="68"/>
      <c r="N193" s="68"/>
      <c r="O193" s="71"/>
      <c r="P193" s="71"/>
      <c r="Q193" s="269"/>
      <c r="R193" s="71"/>
      <c r="S193" s="71"/>
      <c r="T193" s="67" t="s">
        <v>2442</v>
      </c>
      <c r="U193" s="71"/>
      <c r="V193" s="71"/>
      <c r="W193" s="71"/>
      <c r="X193" s="71"/>
      <c r="Y193" s="71"/>
      <c r="Z193" s="71"/>
      <c r="AA193" s="71"/>
      <c r="AB193" s="71"/>
      <c r="AC193" s="71"/>
      <c r="AD193" s="127"/>
      <c r="AE193" s="127"/>
      <c r="AF193" s="127"/>
      <c r="AG193" s="127"/>
      <c r="AH193" s="127"/>
      <c r="AI193" s="127"/>
      <c r="AJ193" s="127"/>
      <c r="AK193" s="127"/>
      <c r="AL193" s="127"/>
      <c r="AM193" s="127"/>
      <c r="AN193" s="127"/>
      <c r="AO193" s="44"/>
      <c r="AP193" s="44"/>
      <c r="AQ193" s="44"/>
      <c r="AR193" s="44"/>
      <c r="AS193" s="44"/>
      <c r="AT193" s="44"/>
      <c r="AU193" s="44"/>
      <c r="AV193" s="44"/>
      <c r="AW193" s="44"/>
      <c r="AX193" s="44"/>
    </row>
    <row r="194" ht="15.75" customHeight="1">
      <c r="A194" s="201" t="s">
        <v>112</v>
      </c>
      <c r="B194" s="202" t="s">
        <v>886</v>
      </c>
      <c r="C194" s="68"/>
      <c r="D194" s="68"/>
      <c r="E194" s="68"/>
      <c r="F194" s="68"/>
      <c r="G194" s="68"/>
      <c r="H194" s="68"/>
      <c r="I194" s="68"/>
      <c r="J194" s="68"/>
      <c r="K194" s="68"/>
      <c r="L194" s="68"/>
      <c r="M194" s="68"/>
      <c r="N194" s="68"/>
      <c r="O194" s="71"/>
      <c r="P194" s="71"/>
      <c r="Q194" s="269"/>
      <c r="R194" s="71"/>
      <c r="S194" s="71"/>
      <c r="T194" s="67" t="s">
        <v>2462</v>
      </c>
      <c r="U194" s="71"/>
      <c r="V194" s="71"/>
      <c r="W194" s="71"/>
      <c r="X194" s="71"/>
      <c r="Y194" s="71"/>
      <c r="Z194" s="71"/>
      <c r="AA194" s="71"/>
      <c r="AB194" s="71"/>
      <c r="AC194" s="71"/>
      <c r="AD194" s="127"/>
      <c r="AE194" s="127"/>
      <c r="AF194" s="127"/>
      <c r="AG194" s="127"/>
      <c r="AH194" s="127"/>
      <c r="AI194" s="127"/>
      <c r="AJ194" s="127"/>
      <c r="AK194" s="127"/>
      <c r="AL194" s="127"/>
      <c r="AM194" s="127"/>
      <c r="AN194" s="127"/>
      <c r="AO194" s="44"/>
      <c r="AP194" s="44"/>
      <c r="AQ194" s="44"/>
      <c r="AR194" s="44"/>
      <c r="AS194" s="44"/>
      <c r="AT194" s="44"/>
      <c r="AU194" s="44"/>
      <c r="AV194" s="44"/>
      <c r="AW194" s="44"/>
      <c r="AX194" s="44"/>
    </row>
    <row r="195" ht="15.75" customHeight="1">
      <c r="A195" s="201" t="s">
        <v>112</v>
      </c>
      <c r="B195" s="202" t="s">
        <v>892</v>
      </c>
      <c r="C195" s="68"/>
      <c r="D195" s="68"/>
      <c r="E195" s="68"/>
      <c r="F195" s="68"/>
      <c r="G195" s="68"/>
      <c r="H195" s="68"/>
      <c r="I195" s="68"/>
      <c r="J195" s="68"/>
      <c r="K195" s="68"/>
      <c r="L195" s="68"/>
      <c r="M195" s="68"/>
      <c r="N195" s="68"/>
      <c r="O195" s="71"/>
      <c r="P195" s="71"/>
      <c r="Q195" s="269"/>
      <c r="R195" s="71"/>
      <c r="S195" s="71"/>
      <c r="T195" s="67" t="s">
        <v>2484</v>
      </c>
      <c r="U195" s="71"/>
      <c r="V195" s="71"/>
      <c r="W195" s="71"/>
      <c r="X195" s="71"/>
      <c r="Y195" s="71"/>
      <c r="Z195" s="71"/>
      <c r="AA195" s="71"/>
      <c r="AB195" s="71"/>
      <c r="AC195" s="71"/>
      <c r="AD195" s="127"/>
      <c r="AE195" s="127"/>
      <c r="AF195" s="127"/>
      <c r="AG195" s="127"/>
      <c r="AH195" s="127"/>
      <c r="AI195" s="127"/>
      <c r="AJ195" s="127"/>
      <c r="AK195" s="127"/>
      <c r="AL195" s="127"/>
      <c r="AM195" s="127"/>
      <c r="AN195" s="127"/>
      <c r="AO195" s="44"/>
      <c r="AP195" s="44"/>
      <c r="AQ195" s="44"/>
      <c r="AR195" s="44"/>
      <c r="AS195" s="44"/>
      <c r="AT195" s="44"/>
      <c r="AU195" s="44"/>
      <c r="AV195" s="44"/>
      <c r="AW195" s="44"/>
      <c r="AX195" s="44"/>
    </row>
    <row r="196" ht="15.75" customHeight="1">
      <c r="A196" s="201" t="s">
        <v>112</v>
      </c>
      <c r="B196" s="202" t="s">
        <v>898</v>
      </c>
      <c r="C196" s="68"/>
      <c r="D196" s="68"/>
      <c r="E196" s="68"/>
      <c r="F196" s="68"/>
      <c r="G196" s="68"/>
      <c r="H196" s="68"/>
      <c r="I196" s="68"/>
      <c r="J196" s="68"/>
      <c r="K196" s="68"/>
      <c r="L196" s="68"/>
      <c r="M196" s="68"/>
      <c r="N196" s="68"/>
      <c r="O196" s="71"/>
      <c r="P196" s="71"/>
      <c r="Q196" s="269"/>
      <c r="R196" s="71"/>
      <c r="S196" s="71"/>
      <c r="T196" s="67" t="s">
        <v>2502</v>
      </c>
      <c r="U196" s="71"/>
      <c r="V196" s="71"/>
      <c r="W196" s="71"/>
      <c r="X196" s="71"/>
      <c r="Y196" s="71"/>
      <c r="Z196" s="71"/>
      <c r="AA196" s="71"/>
      <c r="AB196" s="71"/>
      <c r="AC196" s="71"/>
      <c r="AD196" s="127"/>
      <c r="AE196" s="127"/>
      <c r="AF196" s="127"/>
      <c r="AG196" s="127"/>
      <c r="AH196" s="127"/>
      <c r="AI196" s="127"/>
      <c r="AJ196" s="127"/>
      <c r="AK196" s="127"/>
      <c r="AL196" s="127"/>
      <c r="AM196" s="127"/>
      <c r="AN196" s="127"/>
      <c r="AO196" s="44"/>
      <c r="AP196" s="44"/>
      <c r="AQ196" s="44"/>
      <c r="AR196" s="44"/>
      <c r="AS196" s="44"/>
      <c r="AT196" s="44"/>
      <c r="AU196" s="44"/>
      <c r="AV196" s="44"/>
      <c r="AW196" s="44"/>
      <c r="AX196" s="44"/>
    </row>
    <row r="197" ht="15.75" customHeight="1">
      <c r="A197" s="201" t="s">
        <v>112</v>
      </c>
      <c r="B197" s="202" t="s">
        <v>906</v>
      </c>
      <c r="C197" s="68"/>
      <c r="D197" s="68"/>
      <c r="E197" s="68"/>
      <c r="F197" s="68"/>
      <c r="G197" s="68"/>
      <c r="H197" s="68"/>
      <c r="I197" s="68"/>
      <c r="J197" s="68"/>
      <c r="K197" s="68"/>
      <c r="L197" s="68"/>
      <c r="M197" s="68"/>
      <c r="N197" s="68"/>
      <c r="O197" s="71"/>
      <c r="P197" s="71"/>
      <c r="Q197" s="269"/>
      <c r="R197" s="71"/>
      <c r="S197" s="71"/>
      <c r="T197" s="67" t="s">
        <v>2523</v>
      </c>
      <c r="U197" s="71"/>
      <c r="V197" s="71"/>
      <c r="W197" s="71"/>
      <c r="X197" s="71"/>
      <c r="Y197" s="71"/>
      <c r="Z197" s="71"/>
      <c r="AA197" s="71"/>
      <c r="AB197" s="71"/>
      <c r="AC197" s="71"/>
      <c r="AD197" s="127"/>
      <c r="AE197" s="127"/>
      <c r="AF197" s="127"/>
      <c r="AG197" s="127"/>
      <c r="AH197" s="127"/>
      <c r="AI197" s="127"/>
      <c r="AJ197" s="127"/>
      <c r="AK197" s="127"/>
      <c r="AL197" s="127"/>
      <c r="AM197" s="127"/>
      <c r="AN197" s="127"/>
      <c r="AO197" s="44"/>
      <c r="AP197" s="44"/>
      <c r="AQ197" s="44"/>
      <c r="AR197" s="44"/>
      <c r="AS197" s="44"/>
      <c r="AT197" s="44"/>
      <c r="AU197" s="44"/>
      <c r="AV197" s="44"/>
      <c r="AW197" s="44"/>
      <c r="AX197" s="44"/>
    </row>
    <row r="198" ht="15.75" customHeight="1">
      <c r="A198" s="201" t="s">
        <v>112</v>
      </c>
      <c r="B198" s="202" t="s">
        <v>911</v>
      </c>
      <c r="C198" s="68"/>
      <c r="D198" s="68"/>
      <c r="E198" s="68"/>
      <c r="F198" s="68"/>
      <c r="G198" s="68"/>
      <c r="H198" s="68"/>
      <c r="I198" s="68"/>
      <c r="J198" s="68"/>
      <c r="K198" s="68"/>
      <c r="L198" s="68"/>
      <c r="M198" s="68"/>
      <c r="N198" s="68"/>
      <c r="O198" s="71"/>
      <c r="P198" s="71"/>
      <c r="Q198" s="269"/>
      <c r="R198" s="71"/>
      <c r="S198" s="71"/>
      <c r="T198" s="67" t="s">
        <v>2541</v>
      </c>
      <c r="U198" s="71"/>
      <c r="V198" s="71"/>
      <c r="W198" s="71"/>
      <c r="X198" s="71"/>
      <c r="Y198" s="71"/>
      <c r="Z198" s="71"/>
      <c r="AA198" s="71"/>
      <c r="AB198" s="71"/>
      <c r="AC198" s="71"/>
      <c r="AD198" s="127"/>
      <c r="AE198" s="127"/>
      <c r="AF198" s="127"/>
      <c r="AG198" s="127"/>
      <c r="AH198" s="127"/>
      <c r="AI198" s="127"/>
      <c r="AJ198" s="127"/>
      <c r="AK198" s="127"/>
      <c r="AL198" s="127"/>
      <c r="AM198" s="127"/>
      <c r="AN198" s="127"/>
      <c r="AO198" s="44"/>
      <c r="AP198" s="44"/>
      <c r="AQ198" s="44"/>
      <c r="AR198" s="44"/>
      <c r="AS198" s="44"/>
      <c r="AT198" s="44"/>
      <c r="AU198" s="44"/>
      <c r="AV198" s="44"/>
      <c r="AW198" s="44"/>
      <c r="AX198" s="44"/>
    </row>
    <row r="199" ht="15.75" customHeight="1">
      <c r="A199" s="201" t="s">
        <v>112</v>
      </c>
      <c r="B199" s="202" t="s">
        <v>917</v>
      </c>
      <c r="C199" s="68"/>
      <c r="D199" s="68"/>
      <c r="E199" s="68"/>
      <c r="F199" s="68"/>
      <c r="G199" s="68"/>
      <c r="H199" s="68"/>
      <c r="I199" s="68"/>
      <c r="J199" s="68"/>
      <c r="K199" s="68"/>
      <c r="L199" s="68"/>
      <c r="M199" s="68"/>
      <c r="N199" s="68"/>
      <c r="O199" s="71"/>
      <c r="P199" s="71"/>
      <c r="Q199" s="269"/>
      <c r="R199" s="71"/>
      <c r="S199" s="71"/>
      <c r="T199" s="67" t="s">
        <v>2560</v>
      </c>
      <c r="U199" s="71"/>
      <c r="V199" s="71"/>
      <c r="W199" s="71"/>
      <c r="X199" s="71"/>
      <c r="Y199" s="71"/>
      <c r="Z199" s="71"/>
      <c r="AA199" s="71"/>
      <c r="AB199" s="71"/>
      <c r="AC199" s="71"/>
      <c r="AD199" s="127"/>
      <c r="AE199" s="127"/>
      <c r="AF199" s="127"/>
      <c r="AG199" s="127"/>
      <c r="AH199" s="127"/>
      <c r="AI199" s="127"/>
      <c r="AJ199" s="127"/>
      <c r="AK199" s="127"/>
      <c r="AL199" s="127"/>
      <c r="AM199" s="127"/>
      <c r="AN199" s="127"/>
      <c r="AO199" s="44"/>
      <c r="AP199" s="44"/>
      <c r="AQ199" s="44"/>
      <c r="AR199" s="44"/>
      <c r="AS199" s="44"/>
      <c r="AT199" s="44"/>
      <c r="AU199" s="44"/>
      <c r="AV199" s="44"/>
      <c r="AW199" s="44"/>
      <c r="AX199" s="44"/>
    </row>
    <row r="200" ht="15.75" customHeight="1">
      <c r="A200" s="201" t="s">
        <v>112</v>
      </c>
      <c r="B200" s="202" t="s">
        <v>922</v>
      </c>
      <c r="C200" s="68"/>
      <c r="D200" s="68"/>
      <c r="E200" s="68"/>
      <c r="F200" s="68"/>
      <c r="G200" s="68"/>
      <c r="H200" s="68"/>
      <c r="I200" s="68"/>
      <c r="J200" s="68"/>
      <c r="K200" s="68"/>
      <c r="L200" s="68"/>
      <c r="M200" s="68"/>
      <c r="N200" s="68"/>
      <c r="O200" s="71"/>
      <c r="P200" s="71"/>
      <c r="Q200" s="269"/>
      <c r="R200" s="71"/>
      <c r="S200" s="71"/>
      <c r="T200" s="67" t="s">
        <v>2579</v>
      </c>
      <c r="U200" s="71"/>
      <c r="V200" s="71"/>
      <c r="W200" s="71"/>
      <c r="X200" s="71"/>
      <c r="Y200" s="71"/>
      <c r="Z200" s="71"/>
      <c r="AA200" s="71"/>
      <c r="AB200" s="71"/>
      <c r="AC200" s="71"/>
      <c r="AD200" s="127"/>
      <c r="AE200" s="127"/>
      <c r="AF200" s="127"/>
      <c r="AG200" s="127"/>
      <c r="AH200" s="127"/>
      <c r="AI200" s="127"/>
      <c r="AJ200" s="127"/>
      <c r="AK200" s="127"/>
      <c r="AL200" s="127"/>
      <c r="AM200" s="127"/>
      <c r="AN200" s="127"/>
      <c r="AO200" s="44"/>
      <c r="AP200" s="44"/>
      <c r="AQ200" s="44"/>
      <c r="AR200" s="44"/>
      <c r="AS200" s="44"/>
      <c r="AT200" s="44"/>
      <c r="AU200" s="44"/>
      <c r="AV200" s="44"/>
      <c r="AW200" s="44"/>
      <c r="AX200" s="44"/>
    </row>
    <row r="201" ht="15.75" customHeight="1">
      <c r="A201" s="201" t="s">
        <v>112</v>
      </c>
      <c r="B201" s="202" t="s">
        <v>926</v>
      </c>
      <c r="C201" s="68"/>
      <c r="D201" s="68"/>
      <c r="E201" s="68"/>
      <c r="F201" s="68"/>
      <c r="G201" s="68"/>
      <c r="H201" s="68"/>
      <c r="I201" s="68"/>
      <c r="J201" s="68"/>
      <c r="K201" s="68"/>
      <c r="L201" s="68"/>
      <c r="M201" s="68"/>
      <c r="N201" s="68"/>
      <c r="O201" s="71"/>
      <c r="P201" s="71"/>
      <c r="Q201" s="269"/>
      <c r="R201" s="71"/>
      <c r="S201" s="71"/>
      <c r="T201" s="67" t="s">
        <v>2587</v>
      </c>
      <c r="U201" s="71"/>
      <c r="V201" s="71"/>
      <c r="W201" s="71"/>
      <c r="X201" s="71"/>
      <c r="Y201" s="71"/>
      <c r="Z201" s="71"/>
      <c r="AA201" s="71"/>
      <c r="AB201" s="71"/>
      <c r="AC201" s="71"/>
      <c r="AD201" s="127"/>
      <c r="AE201" s="127"/>
      <c r="AF201" s="127"/>
      <c r="AG201" s="127"/>
      <c r="AH201" s="127"/>
      <c r="AI201" s="127"/>
      <c r="AJ201" s="127"/>
      <c r="AK201" s="127"/>
      <c r="AL201" s="127"/>
      <c r="AM201" s="127"/>
      <c r="AN201" s="127"/>
      <c r="AO201" s="44"/>
      <c r="AP201" s="44"/>
      <c r="AQ201" s="44"/>
      <c r="AR201" s="44"/>
      <c r="AS201" s="44"/>
      <c r="AT201" s="44"/>
      <c r="AU201" s="44"/>
      <c r="AV201" s="44"/>
      <c r="AW201" s="44"/>
      <c r="AX201" s="44"/>
    </row>
    <row r="202" ht="15.75" customHeight="1">
      <c r="A202" s="201" t="s">
        <v>112</v>
      </c>
      <c r="B202" s="202" t="s">
        <v>931</v>
      </c>
      <c r="C202" s="68"/>
      <c r="D202" s="68"/>
      <c r="E202" s="68"/>
      <c r="F202" s="68"/>
      <c r="G202" s="68"/>
      <c r="H202" s="68"/>
      <c r="I202" s="68"/>
      <c r="J202" s="68"/>
      <c r="K202" s="68"/>
      <c r="L202" s="68"/>
      <c r="M202" s="68"/>
      <c r="N202" s="68"/>
      <c r="O202" s="71"/>
      <c r="P202" s="71"/>
      <c r="Q202" s="269"/>
      <c r="R202" s="71"/>
      <c r="S202" s="71"/>
      <c r="T202" s="67" t="s">
        <v>2600</v>
      </c>
      <c r="U202" s="71"/>
      <c r="V202" s="71"/>
      <c r="W202" s="71"/>
      <c r="X202" s="71"/>
      <c r="Y202" s="71"/>
      <c r="Z202" s="71"/>
      <c r="AA202" s="71"/>
      <c r="AB202" s="71"/>
      <c r="AC202" s="71"/>
      <c r="AD202" s="127"/>
      <c r="AE202" s="127"/>
      <c r="AF202" s="127"/>
      <c r="AG202" s="127"/>
      <c r="AH202" s="127"/>
      <c r="AI202" s="127"/>
      <c r="AJ202" s="127"/>
      <c r="AK202" s="127"/>
      <c r="AL202" s="127"/>
      <c r="AM202" s="127"/>
      <c r="AN202" s="127"/>
      <c r="AO202" s="44"/>
      <c r="AP202" s="44"/>
      <c r="AQ202" s="44"/>
      <c r="AR202" s="44"/>
      <c r="AS202" s="44"/>
      <c r="AT202" s="44"/>
      <c r="AU202" s="44"/>
      <c r="AV202" s="44"/>
      <c r="AW202" s="44"/>
      <c r="AX202" s="44"/>
    </row>
    <row r="203" ht="15.75" customHeight="1">
      <c r="A203" s="201" t="s">
        <v>112</v>
      </c>
      <c r="B203" s="202" t="s">
        <v>932</v>
      </c>
      <c r="C203" s="68"/>
      <c r="D203" s="68"/>
      <c r="E203" s="68"/>
      <c r="F203" s="68"/>
      <c r="G203" s="68"/>
      <c r="H203" s="68"/>
      <c r="I203" s="68"/>
      <c r="J203" s="68"/>
      <c r="K203" s="68"/>
      <c r="L203" s="68"/>
      <c r="M203" s="68"/>
      <c r="N203" s="68"/>
      <c r="O203" s="71"/>
      <c r="P203" s="71"/>
      <c r="Q203" s="269"/>
      <c r="R203" s="71"/>
      <c r="S203" s="71"/>
      <c r="T203" s="67" t="s">
        <v>2614</v>
      </c>
      <c r="U203" s="71"/>
      <c r="V203" s="71"/>
      <c r="W203" s="71"/>
      <c r="X203" s="71"/>
      <c r="Y203" s="71"/>
      <c r="Z203" s="71"/>
      <c r="AA203" s="71"/>
      <c r="AB203" s="71"/>
      <c r="AC203" s="71"/>
      <c r="AD203" s="127"/>
      <c r="AE203" s="127"/>
      <c r="AF203" s="127"/>
      <c r="AG203" s="127"/>
      <c r="AH203" s="127"/>
      <c r="AI203" s="127"/>
      <c r="AJ203" s="127"/>
      <c r="AK203" s="127"/>
      <c r="AL203" s="127"/>
      <c r="AM203" s="127"/>
      <c r="AN203" s="127"/>
      <c r="AO203" s="44"/>
      <c r="AP203" s="44"/>
      <c r="AQ203" s="44"/>
      <c r="AR203" s="44"/>
      <c r="AS203" s="44"/>
      <c r="AT203" s="44"/>
      <c r="AU203" s="44"/>
      <c r="AV203" s="44"/>
      <c r="AW203" s="44"/>
      <c r="AX203" s="44"/>
    </row>
    <row r="204" ht="15.75" customHeight="1">
      <c r="A204" s="201" t="s">
        <v>112</v>
      </c>
      <c r="B204" s="202" t="s">
        <v>940</v>
      </c>
      <c r="C204" s="68"/>
      <c r="D204" s="68"/>
      <c r="E204" s="68"/>
      <c r="F204" s="68"/>
      <c r="G204" s="68"/>
      <c r="H204" s="68"/>
      <c r="I204" s="68"/>
      <c r="J204" s="68"/>
      <c r="K204" s="68"/>
      <c r="L204" s="68"/>
      <c r="M204" s="68"/>
      <c r="N204" s="68"/>
      <c r="O204" s="71"/>
      <c r="P204" s="71"/>
      <c r="Q204" s="269"/>
      <c r="R204" s="71"/>
      <c r="S204" s="71"/>
      <c r="T204" s="67" t="s">
        <v>2636</v>
      </c>
      <c r="U204" s="71"/>
      <c r="V204" s="71"/>
      <c r="W204" s="71"/>
      <c r="X204" s="71"/>
      <c r="Y204" s="71"/>
      <c r="Z204" s="71"/>
      <c r="AA204" s="71"/>
      <c r="AB204" s="71"/>
      <c r="AC204" s="71"/>
      <c r="AD204" s="127"/>
      <c r="AE204" s="127"/>
      <c r="AF204" s="127"/>
      <c r="AG204" s="127"/>
      <c r="AH204" s="127"/>
      <c r="AI204" s="127"/>
      <c r="AJ204" s="127"/>
      <c r="AK204" s="127"/>
      <c r="AL204" s="127"/>
      <c r="AM204" s="127"/>
      <c r="AN204" s="127"/>
      <c r="AO204" s="44"/>
      <c r="AP204" s="44"/>
      <c r="AQ204" s="44"/>
      <c r="AR204" s="44"/>
      <c r="AS204" s="44"/>
      <c r="AT204" s="44"/>
      <c r="AU204" s="44"/>
      <c r="AV204" s="44"/>
      <c r="AW204" s="44"/>
      <c r="AX204" s="44"/>
    </row>
    <row r="205" ht="15.75" customHeight="1">
      <c r="A205" s="201" t="s">
        <v>112</v>
      </c>
      <c r="B205" s="202" t="s">
        <v>944</v>
      </c>
      <c r="C205" s="68"/>
      <c r="D205" s="68"/>
      <c r="E205" s="68"/>
      <c r="F205" s="68"/>
      <c r="G205" s="68"/>
      <c r="H205" s="68"/>
      <c r="I205" s="68"/>
      <c r="J205" s="68"/>
      <c r="K205" s="68"/>
      <c r="L205" s="68"/>
      <c r="M205" s="68"/>
      <c r="N205" s="68"/>
      <c r="O205" s="71"/>
      <c r="P205" s="71"/>
      <c r="Q205" s="269"/>
      <c r="R205" s="71"/>
      <c r="S205" s="71"/>
      <c r="T205" s="67" t="s">
        <v>2647</v>
      </c>
      <c r="U205" s="71"/>
      <c r="V205" s="71"/>
      <c r="W205" s="71"/>
      <c r="X205" s="71"/>
      <c r="Y205" s="71"/>
      <c r="Z205" s="71"/>
      <c r="AA205" s="71"/>
      <c r="AB205" s="71"/>
      <c r="AC205" s="71"/>
      <c r="AD205" s="127"/>
      <c r="AE205" s="127"/>
      <c r="AF205" s="127"/>
      <c r="AG205" s="127"/>
      <c r="AH205" s="127"/>
      <c r="AI205" s="127"/>
      <c r="AJ205" s="127"/>
      <c r="AK205" s="127"/>
      <c r="AL205" s="127"/>
      <c r="AM205" s="127"/>
      <c r="AN205" s="127"/>
      <c r="AO205" s="44"/>
      <c r="AP205" s="44"/>
      <c r="AQ205" s="44"/>
      <c r="AR205" s="44"/>
      <c r="AS205" s="44"/>
      <c r="AT205" s="44"/>
      <c r="AU205" s="44"/>
      <c r="AV205" s="44"/>
      <c r="AW205" s="44"/>
      <c r="AX205" s="44"/>
    </row>
    <row r="206" ht="15.75" customHeight="1">
      <c r="A206" s="201" t="s">
        <v>112</v>
      </c>
      <c r="B206" s="202" t="s">
        <v>949</v>
      </c>
      <c r="C206" s="68"/>
      <c r="D206" s="68"/>
      <c r="E206" s="68"/>
      <c r="F206" s="68"/>
      <c r="G206" s="68"/>
      <c r="H206" s="68"/>
      <c r="I206" s="68"/>
      <c r="J206" s="68"/>
      <c r="K206" s="68"/>
      <c r="L206" s="68"/>
      <c r="M206" s="68"/>
      <c r="N206" s="68"/>
      <c r="O206" s="71"/>
      <c r="P206" s="71"/>
      <c r="Q206" s="269"/>
      <c r="R206" s="71"/>
      <c r="S206" s="71"/>
      <c r="T206" s="67" t="s">
        <v>2654</v>
      </c>
      <c r="U206" s="71"/>
      <c r="V206" s="71"/>
      <c r="W206" s="71"/>
      <c r="X206" s="71"/>
      <c r="Y206" s="71"/>
      <c r="Z206" s="71"/>
      <c r="AA206" s="71"/>
      <c r="AB206" s="71"/>
      <c r="AC206" s="71"/>
      <c r="AD206" s="127"/>
      <c r="AE206" s="127"/>
      <c r="AF206" s="127"/>
      <c r="AG206" s="127"/>
      <c r="AH206" s="127"/>
      <c r="AI206" s="127"/>
      <c r="AJ206" s="127"/>
      <c r="AK206" s="127"/>
      <c r="AL206" s="127"/>
      <c r="AM206" s="127"/>
      <c r="AN206" s="127"/>
      <c r="AO206" s="44"/>
      <c r="AP206" s="44"/>
      <c r="AQ206" s="44"/>
      <c r="AR206" s="44"/>
      <c r="AS206" s="44"/>
      <c r="AT206" s="44"/>
      <c r="AU206" s="44"/>
      <c r="AV206" s="44"/>
      <c r="AW206" s="44"/>
      <c r="AX206" s="44"/>
    </row>
    <row r="207" ht="15.75" customHeight="1">
      <c r="A207" s="201" t="s">
        <v>112</v>
      </c>
      <c r="B207" s="202" t="s">
        <v>956</v>
      </c>
      <c r="C207" s="68"/>
      <c r="D207" s="68"/>
      <c r="E207" s="68"/>
      <c r="F207" s="68"/>
      <c r="G207" s="68"/>
      <c r="H207" s="68"/>
      <c r="I207" s="68"/>
      <c r="J207" s="68"/>
      <c r="K207" s="68"/>
      <c r="L207" s="68"/>
      <c r="M207" s="68"/>
      <c r="N207" s="68"/>
      <c r="O207" s="71"/>
      <c r="P207" s="71"/>
      <c r="Q207" s="269"/>
      <c r="R207" s="71"/>
      <c r="S207" s="71"/>
      <c r="T207" s="67" t="s">
        <v>2670</v>
      </c>
      <c r="U207" s="71"/>
      <c r="V207" s="71"/>
      <c r="W207" s="71"/>
      <c r="X207" s="71"/>
      <c r="Y207" s="71"/>
      <c r="Z207" s="71"/>
      <c r="AA207" s="71"/>
      <c r="AB207" s="71"/>
      <c r="AC207" s="71"/>
      <c r="AD207" s="127"/>
      <c r="AE207" s="127"/>
      <c r="AF207" s="127"/>
      <c r="AG207" s="127"/>
      <c r="AH207" s="127"/>
      <c r="AI207" s="127"/>
      <c r="AJ207" s="127"/>
      <c r="AK207" s="127"/>
      <c r="AL207" s="127"/>
      <c r="AM207" s="127"/>
      <c r="AN207" s="127"/>
      <c r="AO207" s="44"/>
      <c r="AP207" s="44"/>
      <c r="AQ207" s="44"/>
      <c r="AR207" s="44"/>
      <c r="AS207" s="44"/>
      <c r="AT207" s="44"/>
      <c r="AU207" s="44"/>
      <c r="AV207" s="44"/>
      <c r="AW207" s="44"/>
      <c r="AX207" s="44"/>
    </row>
    <row r="208" ht="15.75" customHeight="1">
      <c r="A208" s="201" t="s">
        <v>112</v>
      </c>
      <c r="B208" s="202" t="s">
        <v>963</v>
      </c>
      <c r="C208" s="68"/>
      <c r="D208" s="68"/>
      <c r="E208" s="68"/>
      <c r="F208" s="68"/>
      <c r="G208" s="68"/>
      <c r="H208" s="68"/>
      <c r="I208" s="68"/>
      <c r="J208" s="68"/>
      <c r="K208" s="68"/>
      <c r="L208" s="68"/>
      <c r="M208" s="68"/>
      <c r="N208" s="68"/>
      <c r="O208" s="71"/>
      <c r="P208" s="71"/>
      <c r="Q208" s="269"/>
      <c r="R208" s="71"/>
      <c r="S208" s="71"/>
      <c r="T208" s="67" t="s">
        <v>2684</v>
      </c>
      <c r="U208" s="71"/>
      <c r="V208" s="71"/>
      <c r="W208" s="71"/>
      <c r="X208" s="71"/>
      <c r="Y208" s="71"/>
      <c r="Z208" s="71"/>
      <c r="AA208" s="71"/>
      <c r="AB208" s="71"/>
      <c r="AC208" s="71"/>
      <c r="AD208" s="127"/>
      <c r="AE208" s="127"/>
      <c r="AF208" s="127"/>
      <c r="AG208" s="127"/>
      <c r="AH208" s="127"/>
      <c r="AI208" s="127"/>
      <c r="AJ208" s="127"/>
      <c r="AK208" s="127"/>
      <c r="AL208" s="127"/>
      <c r="AM208" s="127"/>
      <c r="AN208" s="127"/>
      <c r="AO208" s="44"/>
      <c r="AP208" s="44"/>
      <c r="AQ208" s="44"/>
      <c r="AR208" s="44"/>
      <c r="AS208" s="44"/>
      <c r="AT208" s="44"/>
      <c r="AU208" s="44"/>
      <c r="AV208" s="44"/>
      <c r="AW208" s="44"/>
      <c r="AX208" s="44"/>
    </row>
    <row r="209" ht="15.75" customHeight="1">
      <c r="A209" s="201" t="s">
        <v>112</v>
      </c>
      <c r="B209" s="202" t="s">
        <v>970</v>
      </c>
      <c r="C209" s="68"/>
      <c r="D209" s="68"/>
      <c r="E209" s="68"/>
      <c r="F209" s="68"/>
      <c r="G209" s="68"/>
      <c r="H209" s="68"/>
      <c r="I209" s="68"/>
      <c r="J209" s="68"/>
      <c r="K209" s="68"/>
      <c r="L209" s="68"/>
      <c r="M209" s="68"/>
      <c r="N209" s="68"/>
      <c r="O209" s="71"/>
      <c r="P209" s="71"/>
      <c r="Q209" s="269"/>
      <c r="R209" s="71"/>
      <c r="S209" s="71"/>
      <c r="T209" s="67" t="s">
        <v>2692</v>
      </c>
      <c r="U209" s="71"/>
      <c r="V209" s="71"/>
      <c r="W209" s="71"/>
      <c r="X209" s="71"/>
      <c r="Y209" s="71"/>
      <c r="Z209" s="71"/>
      <c r="AA209" s="71"/>
      <c r="AB209" s="71"/>
      <c r="AC209" s="71"/>
      <c r="AD209" s="127"/>
      <c r="AE209" s="127"/>
      <c r="AF209" s="127"/>
      <c r="AG209" s="127"/>
      <c r="AH209" s="127"/>
      <c r="AI209" s="127"/>
      <c r="AJ209" s="127"/>
      <c r="AK209" s="127"/>
      <c r="AL209" s="127"/>
      <c r="AM209" s="127"/>
      <c r="AN209" s="127"/>
      <c r="AO209" s="44"/>
      <c r="AP209" s="44"/>
      <c r="AQ209" s="44"/>
      <c r="AR209" s="44"/>
      <c r="AS209" s="44"/>
      <c r="AT209" s="44"/>
      <c r="AU209" s="44"/>
      <c r="AV209" s="44"/>
      <c r="AW209" s="44"/>
      <c r="AX209" s="44"/>
    </row>
    <row r="210" ht="15.75" customHeight="1">
      <c r="A210" s="201" t="s">
        <v>112</v>
      </c>
      <c r="B210" s="202" t="s">
        <v>972</v>
      </c>
      <c r="C210" s="68"/>
      <c r="D210" s="68"/>
      <c r="E210" s="68"/>
      <c r="F210" s="68"/>
      <c r="G210" s="68"/>
      <c r="H210" s="68"/>
      <c r="I210" s="68"/>
      <c r="J210" s="68"/>
      <c r="K210" s="68"/>
      <c r="L210" s="68"/>
      <c r="M210" s="68"/>
      <c r="N210" s="68"/>
      <c r="O210" s="71"/>
      <c r="P210" s="71"/>
      <c r="Q210" s="269"/>
      <c r="R210" s="71"/>
      <c r="S210" s="71"/>
      <c r="T210" s="67" t="s">
        <v>2704</v>
      </c>
      <c r="U210" s="71"/>
      <c r="V210" s="71"/>
      <c r="W210" s="71"/>
      <c r="X210" s="71"/>
      <c r="Y210" s="71"/>
      <c r="Z210" s="71"/>
      <c r="AA210" s="71"/>
      <c r="AB210" s="71"/>
      <c r="AC210" s="71"/>
      <c r="AD210" s="127"/>
      <c r="AE210" s="127"/>
      <c r="AF210" s="127"/>
      <c r="AG210" s="127"/>
      <c r="AH210" s="127"/>
      <c r="AI210" s="127"/>
      <c r="AJ210" s="127"/>
      <c r="AK210" s="127"/>
      <c r="AL210" s="127"/>
      <c r="AM210" s="127"/>
      <c r="AN210" s="127"/>
      <c r="AO210" s="44"/>
      <c r="AP210" s="44"/>
      <c r="AQ210" s="44"/>
      <c r="AR210" s="44"/>
      <c r="AS210" s="44"/>
      <c r="AT210" s="44"/>
      <c r="AU210" s="44"/>
      <c r="AV210" s="44"/>
      <c r="AW210" s="44"/>
      <c r="AX210" s="44"/>
    </row>
    <row r="211" ht="15.75" customHeight="1">
      <c r="A211" s="201" t="s">
        <v>112</v>
      </c>
      <c r="B211" s="202" t="s">
        <v>976</v>
      </c>
      <c r="C211" s="68"/>
      <c r="D211" s="68"/>
      <c r="E211" s="68"/>
      <c r="F211" s="68"/>
      <c r="G211" s="68"/>
      <c r="H211" s="68"/>
      <c r="I211" s="68"/>
      <c r="J211" s="68"/>
      <c r="K211" s="68"/>
      <c r="L211" s="68"/>
      <c r="M211" s="68"/>
      <c r="N211" s="68"/>
      <c r="O211" s="71"/>
      <c r="P211" s="71"/>
      <c r="Q211" s="269"/>
      <c r="R211" s="71"/>
      <c r="S211" s="71"/>
      <c r="T211" s="67" t="s">
        <v>2722</v>
      </c>
      <c r="U211" s="71"/>
      <c r="V211" s="71"/>
      <c r="W211" s="71"/>
      <c r="X211" s="71"/>
      <c r="Y211" s="71"/>
      <c r="Z211" s="71"/>
      <c r="AA211" s="71"/>
      <c r="AB211" s="71"/>
      <c r="AC211" s="71"/>
      <c r="AD211" s="127"/>
      <c r="AE211" s="127"/>
      <c r="AF211" s="127"/>
      <c r="AG211" s="127"/>
      <c r="AH211" s="127"/>
      <c r="AI211" s="127"/>
      <c r="AJ211" s="127"/>
      <c r="AK211" s="127"/>
      <c r="AL211" s="127"/>
      <c r="AM211" s="127"/>
      <c r="AN211" s="127"/>
      <c r="AO211" s="44"/>
      <c r="AP211" s="44"/>
      <c r="AQ211" s="44"/>
      <c r="AR211" s="44"/>
      <c r="AS211" s="44"/>
      <c r="AT211" s="44"/>
      <c r="AU211" s="44"/>
      <c r="AV211" s="44"/>
      <c r="AW211" s="44"/>
      <c r="AX211" s="44"/>
    </row>
    <row r="212" ht="15.75" customHeight="1">
      <c r="A212" s="201" t="s">
        <v>112</v>
      </c>
      <c r="B212" s="202" t="s">
        <v>977</v>
      </c>
      <c r="C212" s="68"/>
      <c r="D212" s="68"/>
      <c r="E212" s="68"/>
      <c r="F212" s="68"/>
      <c r="G212" s="68"/>
      <c r="H212" s="68"/>
      <c r="I212" s="68"/>
      <c r="J212" s="68"/>
      <c r="K212" s="68"/>
      <c r="L212" s="68"/>
      <c r="M212" s="68"/>
      <c r="N212" s="68"/>
      <c r="O212" s="71"/>
      <c r="P212" s="71"/>
      <c r="Q212" s="269"/>
      <c r="R212" s="71"/>
      <c r="S212" s="71"/>
      <c r="T212" s="67" t="s">
        <v>2741</v>
      </c>
      <c r="U212" s="71"/>
      <c r="V212" s="71"/>
      <c r="W212" s="71"/>
      <c r="X212" s="71"/>
      <c r="Y212" s="71"/>
      <c r="Z212" s="71"/>
      <c r="AA212" s="71"/>
      <c r="AB212" s="71"/>
      <c r="AC212" s="71"/>
      <c r="AD212" s="127"/>
      <c r="AE212" s="127"/>
      <c r="AF212" s="127"/>
      <c r="AG212" s="127"/>
      <c r="AH212" s="127"/>
      <c r="AI212" s="127"/>
      <c r="AJ212" s="127"/>
      <c r="AK212" s="127"/>
      <c r="AL212" s="127"/>
      <c r="AM212" s="127"/>
      <c r="AN212" s="127"/>
      <c r="AO212" s="44"/>
      <c r="AP212" s="44"/>
      <c r="AQ212" s="44"/>
      <c r="AR212" s="44"/>
      <c r="AS212" s="44"/>
      <c r="AT212" s="44"/>
      <c r="AU212" s="44"/>
      <c r="AV212" s="44"/>
      <c r="AW212" s="44"/>
      <c r="AX212" s="44"/>
    </row>
    <row r="213" ht="15.75" customHeight="1">
      <c r="A213" s="201" t="s">
        <v>112</v>
      </c>
      <c r="B213" s="202" t="s">
        <v>978</v>
      </c>
      <c r="C213" s="68"/>
      <c r="D213" s="68"/>
      <c r="E213" s="68"/>
      <c r="F213" s="68"/>
      <c r="G213" s="68"/>
      <c r="H213" s="68"/>
      <c r="I213" s="68"/>
      <c r="J213" s="68"/>
      <c r="K213" s="68"/>
      <c r="L213" s="68"/>
      <c r="M213" s="68"/>
      <c r="N213" s="68"/>
      <c r="O213" s="71"/>
      <c r="P213" s="71"/>
      <c r="Q213" s="269"/>
      <c r="R213" s="71"/>
      <c r="S213" s="71"/>
      <c r="T213" s="67" t="s">
        <v>2764</v>
      </c>
      <c r="U213" s="71"/>
      <c r="V213" s="71"/>
      <c r="W213" s="71"/>
      <c r="X213" s="71"/>
      <c r="Y213" s="71"/>
      <c r="Z213" s="71"/>
      <c r="AA213" s="71"/>
      <c r="AB213" s="71"/>
      <c r="AC213" s="71"/>
      <c r="AD213" s="127"/>
      <c r="AE213" s="127"/>
      <c r="AF213" s="127"/>
      <c r="AG213" s="127"/>
      <c r="AH213" s="127"/>
      <c r="AI213" s="127"/>
      <c r="AJ213" s="127"/>
      <c r="AK213" s="127"/>
      <c r="AL213" s="127"/>
      <c r="AM213" s="127"/>
      <c r="AN213" s="127"/>
      <c r="AO213" s="44"/>
      <c r="AP213" s="44"/>
      <c r="AQ213" s="44"/>
      <c r="AR213" s="44"/>
      <c r="AS213" s="44"/>
      <c r="AT213" s="44"/>
      <c r="AU213" s="44"/>
      <c r="AV213" s="44"/>
      <c r="AW213" s="44"/>
      <c r="AX213" s="44"/>
    </row>
    <row r="214" ht="15.75" customHeight="1">
      <c r="A214" s="201" t="s">
        <v>112</v>
      </c>
      <c r="B214" s="202" t="s">
        <v>981</v>
      </c>
      <c r="C214" s="68"/>
      <c r="D214" s="68"/>
      <c r="E214" s="68"/>
      <c r="F214" s="68"/>
      <c r="G214" s="68"/>
      <c r="H214" s="68"/>
      <c r="I214" s="68"/>
      <c r="J214" s="68"/>
      <c r="K214" s="68"/>
      <c r="L214" s="68"/>
      <c r="M214" s="68"/>
      <c r="N214" s="68"/>
      <c r="O214" s="71"/>
      <c r="P214" s="71"/>
      <c r="Q214" s="269"/>
      <c r="R214" s="71"/>
      <c r="S214" s="71"/>
      <c r="T214" s="67" t="s">
        <v>2782</v>
      </c>
      <c r="U214" s="71"/>
      <c r="V214" s="71"/>
      <c r="W214" s="71"/>
      <c r="X214" s="71"/>
      <c r="Y214" s="71"/>
      <c r="Z214" s="71"/>
      <c r="AA214" s="71"/>
      <c r="AB214" s="71"/>
      <c r="AC214" s="71"/>
      <c r="AD214" s="127"/>
      <c r="AE214" s="127"/>
      <c r="AF214" s="127"/>
      <c r="AG214" s="127"/>
      <c r="AH214" s="127"/>
      <c r="AI214" s="127"/>
      <c r="AJ214" s="127"/>
      <c r="AK214" s="127"/>
      <c r="AL214" s="127"/>
      <c r="AM214" s="127"/>
      <c r="AN214" s="127"/>
      <c r="AO214" s="44"/>
      <c r="AP214" s="44"/>
      <c r="AQ214" s="44"/>
      <c r="AR214" s="44"/>
      <c r="AS214" s="44"/>
      <c r="AT214" s="44"/>
      <c r="AU214" s="44"/>
      <c r="AV214" s="44"/>
      <c r="AW214" s="44"/>
      <c r="AX214" s="44"/>
    </row>
    <row r="215" ht="15.75" customHeight="1">
      <c r="A215" s="201" t="s">
        <v>112</v>
      </c>
      <c r="B215" s="202" t="s">
        <v>988</v>
      </c>
      <c r="C215" s="68"/>
      <c r="D215" s="68"/>
      <c r="E215" s="68"/>
      <c r="F215" s="68"/>
      <c r="G215" s="68"/>
      <c r="H215" s="68"/>
      <c r="I215" s="68"/>
      <c r="J215" s="68"/>
      <c r="K215" s="68"/>
      <c r="L215" s="68"/>
      <c r="M215" s="68"/>
      <c r="N215" s="68"/>
      <c r="O215" s="71"/>
      <c r="P215" s="71"/>
      <c r="Q215" s="269"/>
      <c r="R215" s="71"/>
      <c r="S215" s="71"/>
      <c r="T215" s="67" t="s">
        <v>2795</v>
      </c>
      <c r="U215" s="71"/>
      <c r="V215" s="71"/>
      <c r="W215" s="71"/>
      <c r="X215" s="71"/>
      <c r="Y215" s="71"/>
      <c r="Z215" s="71"/>
      <c r="AA215" s="71"/>
      <c r="AB215" s="71"/>
      <c r="AC215" s="71"/>
      <c r="AD215" s="127"/>
      <c r="AE215" s="127"/>
      <c r="AF215" s="127"/>
      <c r="AG215" s="127"/>
      <c r="AH215" s="127"/>
      <c r="AI215" s="127"/>
      <c r="AJ215" s="127"/>
      <c r="AK215" s="127"/>
      <c r="AL215" s="127"/>
      <c r="AM215" s="127"/>
      <c r="AN215" s="127"/>
      <c r="AO215" s="44"/>
      <c r="AP215" s="44"/>
      <c r="AQ215" s="44"/>
      <c r="AR215" s="44"/>
      <c r="AS215" s="44"/>
      <c r="AT215" s="44"/>
      <c r="AU215" s="44"/>
      <c r="AV215" s="44"/>
      <c r="AW215" s="44"/>
      <c r="AX215" s="44"/>
    </row>
    <row r="216" ht="15.75" customHeight="1">
      <c r="A216" s="201" t="s">
        <v>112</v>
      </c>
      <c r="B216" s="202" t="s">
        <v>997</v>
      </c>
      <c r="C216" s="68"/>
      <c r="D216" s="68"/>
      <c r="E216" s="68"/>
      <c r="F216" s="68"/>
      <c r="G216" s="68"/>
      <c r="H216" s="68"/>
      <c r="I216" s="68"/>
      <c r="J216" s="68"/>
      <c r="K216" s="68"/>
      <c r="L216" s="68"/>
      <c r="M216" s="68"/>
      <c r="N216" s="68"/>
      <c r="O216" s="71"/>
      <c r="P216" s="71"/>
      <c r="Q216" s="269"/>
      <c r="R216" s="71"/>
      <c r="S216" s="71"/>
      <c r="T216" s="67" t="s">
        <v>2814</v>
      </c>
      <c r="U216" s="71"/>
      <c r="V216" s="71"/>
      <c r="W216" s="71"/>
      <c r="X216" s="71"/>
      <c r="Y216" s="71"/>
      <c r="Z216" s="71"/>
      <c r="AA216" s="71"/>
      <c r="AB216" s="71"/>
      <c r="AC216" s="71"/>
      <c r="AD216" s="127"/>
      <c r="AE216" s="127"/>
      <c r="AF216" s="127"/>
      <c r="AG216" s="127"/>
      <c r="AH216" s="127"/>
      <c r="AI216" s="127"/>
      <c r="AJ216" s="127"/>
      <c r="AK216" s="127"/>
      <c r="AL216" s="127"/>
      <c r="AM216" s="127"/>
      <c r="AN216" s="127"/>
      <c r="AO216" s="44"/>
      <c r="AP216" s="44"/>
      <c r="AQ216" s="44"/>
      <c r="AR216" s="44"/>
      <c r="AS216" s="44"/>
      <c r="AT216" s="44"/>
      <c r="AU216" s="44"/>
      <c r="AV216" s="44"/>
      <c r="AW216" s="44"/>
      <c r="AX216" s="44"/>
    </row>
    <row r="217" ht="15.75" customHeight="1">
      <c r="A217" s="201" t="s">
        <v>112</v>
      </c>
      <c r="B217" s="202" t="s">
        <v>1001</v>
      </c>
      <c r="C217" s="68"/>
      <c r="D217" s="68"/>
      <c r="E217" s="68"/>
      <c r="F217" s="68"/>
      <c r="G217" s="68"/>
      <c r="H217" s="68"/>
      <c r="I217" s="68"/>
      <c r="J217" s="68"/>
      <c r="K217" s="68"/>
      <c r="L217" s="68"/>
      <c r="M217" s="68"/>
      <c r="N217" s="68"/>
      <c r="O217" s="71"/>
      <c r="P217" s="71"/>
      <c r="Q217" s="269"/>
      <c r="R217" s="71"/>
      <c r="S217" s="71"/>
      <c r="T217" s="67" t="s">
        <v>2826</v>
      </c>
      <c r="U217" s="71"/>
      <c r="V217" s="71"/>
      <c r="W217" s="71"/>
      <c r="X217" s="71"/>
      <c r="Y217" s="71"/>
      <c r="Z217" s="71"/>
      <c r="AA217" s="71"/>
      <c r="AB217" s="71"/>
      <c r="AC217" s="71"/>
      <c r="AD217" s="127"/>
      <c r="AE217" s="127"/>
      <c r="AF217" s="127"/>
      <c r="AG217" s="127"/>
      <c r="AH217" s="127"/>
      <c r="AI217" s="127"/>
      <c r="AJ217" s="127"/>
      <c r="AK217" s="127"/>
      <c r="AL217" s="127"/>
      <c r="AM217" s="127"/>
      <c r="AN217" s="127"/>
      <c r="AO217" s="44"/>
      <c r="AP217" s="44"/>
      <c r="AQ217" s="44"/>
      <c r="AR217" s="44"/>
      <c r="AS217" s="44"/>
      <c r="AT217" s="44"/>
      <c r="AU217" s="44"/>
      <c r="AV217" s="44"/>
      <c r="AW217" s="44"/>
      <c r="AX217" s="44"/>
    </row>
    <row r="218" ht="15.75" customHeight="1">
      <c r="A218" s="201" t="s">
        <v>112</v>
      </c>
      <c r="B218" s="202" t="s">
        <v>1011</v>
      </c>
      <c r="C218" s="68"/>
      <c r="D218" s="68"/>
      <c r="E218" s="68"/>
      <c r="F218" s="68"/>
      <c r="G218" s="68"/>
      <c r="H218" s="68"/>
      <c r="I218" s="68"/>
      <c r="J218" s="68"/>
      <c r="K218" s="68"/>
      <c r="L218" s="68"/>
      <c r="M218" s="68"/>
      <c r="N218" s="68"/>
      <c r="O218" s="71"/>
      <c r="P218" s="71"/>
      <c r="Q218" s="269"/>
      <c r="R218" s="71"/>
      <c r="S218" s="71"/>
      <c r="T218" s="67" t="s">
        <v>2833</v>
      </c>
      <c r="U218" s="71"/>
      <c r="V218" s="71"/>
      <c r="W218" s="71"/>
      <c r="X218" s="71"/>
      <c r="Y218" s="71"/>
      <c r="Z218" s="71"/>
      <c r="AA218" s="71"/>
      <c r="AB218" s="71"/>
      <c r="AC218" s="71"/>
      <c r="AD218" s="127"/>
      <c r="AE218" s="127"/>
      <c r="AF218" s="127"/>
      <c r="AG218" s="127"/>
      <c r="AH218" s="127"/>
      <c r="AI218" s="127"/>
      <c r="AJ218" s="127"/>
      <c r="AK218" s="127"/>
      <c r="AL218" s="127"/>
      <c r="AM218" s="127"/>
      <c r="AN218" s="127"/>
      <c r="AO218" s="44"/>
      <c r="AP218" s="44"/>
      <c r="AQ218" s="44"/>
      <c r="AR218" s="44"/>
      <c r="AS218" s="44"/>
      <c r="AT218" s="44"/>
      <c r="AU218" s="44"/>
      <c r="AV218" s="44"/>
      <c r="AW218" s="44"/>
      <c r="AX218" s="44"/>
    </row>
    <row r="219" ht="15.75" customHeight="1">
      <c r="A219" s="201" t="s">
        <v>112</v>
      </c>
      <c r="B219" s="202" t="s">
        <v>1018</v>
      </c>
      <c r="C219" s="68"/>
      <c r="D219" s="68"/>
      <c r="E219" s="68"/>
      <c r="F219" s="68"/>
      <c r="G219" s="68"/>
      <c r="H219" s="68"/>
      <c r="I219" s="68"/>
      <c r="J219" s="68"/>
      <c r="K219" s="68"/>
      <c r="L219" s="68"/>
      <c r="M219" s="68"/>
      <c r="N219" s="68"/>
      <c r="O219" s="71"/>
      <c r="P219" s="71"/>
      <c r="Q219" s="269"/>
      <c r="R219" s="71"/>
      <c r="S219" s="71"/>
      <c r="T219" s="67" t="s">
        <v>2847</v>
      </c>
      <c r="U219" s="71"/>
      <c r="V219" s="71"/>
      <c r="W219" s="71"/>
      <c r="X219" s="71"/>
      <c r="Y219" s="71"/>
      <c r="Z219" s="71"/>
      <c r="AA219" s="71"/>
      <c r="AB219" s="71"/>
      <c r="AC219" s="71"/>
      <c r="AD219" s="127"/>
      <c r="AE219" s="127"/>
      <c r="AF219" s="127"/>
      <c r="AG219" s="127"/>
      <c r="AH219" s="127"/>
      <c r="AI219" s="127"/>
      <c r="AJ219" s="127"/>
      <c r="AK219" s="127"/>
      <c r="AL219" s="127"/>
      <c r="AM219" s="127"/>
      <c r="AN219" s="127"/>
      <c r="AO219" s="44"/>
      <c r="AP219" s="44"/>
      <c r="AQ219" s="44"/>
      <c r="AR219" s="44"/>
      <c r="AS219" s="44"/>
      <c r="AT219" s="44"/>
      <c r="AU219" s="44"/>
      <c r="AV219" s="44"/>
      <c r="AW219" s="44"/>
      <c r="AX219" s="44"/>
    </row>
    <row r="220" ht="15.75" customHeight="1">
      <c r="A220" s="201" t="s">
        <v>112</v>
      </c>
      <c r="B220" s="202" t="s">
        <v>1024</v>
      </c>
      <c r="C220" s="68"/>
      <c r="D220" s="68"/>
      <c r="E220" s="68"/>
      <c r="F220" s="68"/>
      <c r="G220" s="68"/>
      <c r="H220" s="68"/>
      <c r="I220" s="68"/>
      <c r="J220" s="68"/>
      <c r="K220" s="68"/>
      <c r="L220" s="68"/>
      <c r="M220" s="68"/>
      <c r="N220" s="68"/>
      <c r="O220" s="71"/>
      <c r="P220" s="71"/>
      <c r="Q220" s="269"/>
      <c r="R220" s="71"/>
      <c r="S220" s="71"/>
      <c r="T220" s="67" t="s">
        <v>2871</v>
      </c>
      <c r="U220" s="71"/>
      <c r="V220" s="71"/>
      <c r="W220" s="71"/>
      <c r="X220" s="71"/>
      <c r="Y220" s="71"/>
      <c r="Z220" s="71"/>
      <c r="AA220" s="71"/>
      <c r="AB220" s="71"/>
      <c r="AC220" s="71"/>
      <c r="AD220" s="127"/>
      <c r="AE220" s="127"/>
      <c r="AF220" s="127"/>
      <c r="AG220" s="127"/>
      <c r="AH220" s="127"/>
      <c r="AI220" s="127"/>
      <c r="AJ220" s="127"/>
      <c r="AK220" s="127"/>
      <c r="AL220" s="127"/>
      <c r="AM220" s="127"/>
      <c r="AN220" s="127"/>
      <c r="AO220" s="44"/>
      <c r="AP220" s="44"/>
      <c r="AQ220" s="44"/>
      <c r="AR220" s="44"/>
      <c r="AS220" s="44"/>
      <c r="AT220" s="44"/>
      <c r="AU220" s="44"/>
      <c r="AV220" s="44"/>
      <c r="AW220" s="44"/>
      <c r="AX220" s="44"/>
    </row>
    <row r="221" ht="15.75" customHeight="1">
      <c r="A221" s="201" t="s">
        <v>112</v>
      </c>
      <c r="B221" s="202" t="s">
        <v>1395</v>
      </c>
      <c r="C221" s="68"/>
      <c r="D221" s="68"/>
      <c r="E221" s="68"/>
      <c r="F221" s="68"/>
      <c r="G221" s="68"/>
      <c r="H221" s="68"/>
      <c r="I221" s="68"/>
      <c r="J221" s="68"/>
      <c r="K221" s="68"/>
      <c r="L221" s="68"/>
      <c r="M221" s="68"/>
      <c r="N221" s="68"/>
      <c r="O221" s="71"/>
      <c r="P221" s="71"/>
      <c r="Q221" s="269"/>
      <c r="R221" s="71"/>
      <c r="S221" s="71"/>
      <c r="T221" s="67" t="s">
        <v>2885</v>
      </c>
      <c r="U221" s="71"/>
      <c r="V221" s="71"/>
      <c r="W221" s="71"/>
      <c r="X221" s="71"/>
      <c r="Y221" s="71"/>
      <c r="Z221" s="71"/>
      <c r="AA221" s="71"/>
      <c r="AB221" s="71"/>
      <c r="AC221" s="71"/>
      <c r="AD221" s="127"/>
      <c r="AE221" s="127"/>
      <c r="AF221" s="127"/>
      <c r="AG221" s="127"/>
      <c r="AH221" s="127"/>
      <c r="AI221" s="127"/>
      <c r="AJ221" s="127"/>
      <c r="AK221" s="127"/>
      <c r="AL221" s="127"/>
      <c r="AM221" s="127"/>
      <c r="AN221" s="127"/>
      <c r="AO221" s="44"/>
      <c r="AP221" s="44"/>
      <c r="AQ221" s="44"/>
      <c r="AR221" s="44"/>
      <c r="AS221" s="44"/>
      <c r="AT221" s="44"/>
      <c r="AU221" s="44"/>
      <c r="AV221" s="44"/>
      <c r="AW221" s="44"/>
      <c r="AX221" s="44"/>
    </row>
    <row r="222" ht="15.75" customHeight="1">
      <c r="A222" s="255"/>
      <c r="B222" s="256"/>
      <c r="C222" s="143"/>
      <c r="D222" s="136"/>
      <c r="E222" s="136"/>
      <c r="F222" s="136"/>
      <c r="G222" s="136"/>
      <c r="H222" s="136"/>
      <c r="I222" s="136"/>
      <c r="J222" s="136"/>
      <c r="K222" s="136"/>
      <c r="L222" s="136"/>
      <c r="M222" s="136"/>
      <c r="N222" s="136"/>
      <c r="O222" s="142"/>
      <c r="P222" s="137"/>
      <c r="Q222" s="270"/>
      <c r="R222" s="137"/>
      <c r="S222" s="137"/>
      <c r="T222" s="137"/>
      <c r="U222" s="137"/>
      <c r="V222" s="137"/>
      <c r="W222" s="137"/>
      <c r="X222" s="137"/>
      <c r="Y222" s="137"/>
      <c r="Z222" s="137"/>
      <c r="AA222" s="137"/>
      <c r="AB222" s="137"/>
      <c r="AC222" s="137"/>
      <c r="AD222" s="44"/>
      <c r="AE222" s="44"/>
      <c r="AF222" s="44"/>
      <c r="AG222" s="44"/>
      <c r="AH222" s="44"/>
      <c r="AI222" s="44"/>
      <c r="AJ222" s="44"/>
      <c r="AK222" s="44"/>
      <c r="AL222" s="44"/>
      <c r="AM222" s="44"/>
      <c r="AN222" s="44"/>
      <c r="AO222" s="44"/>
      <c r="AP222" s="44"/>
      <c r="AQ222" s="44"/>
      <c r="AR222" s="44"/>
      <c r="AS222" s="44"/>
      <c r="AT222" s="44"/>
      <c r="AU222" s="44"/>
      <c r="AV222" s="44"/>
      <c r="AW222" s="44"/>
      <c r="AX222" s="44"/>
    </row>
    <row r="223" ht="15.75" customHeight="1">
      <c r="A223" s="255" t="s">
        <v>278</v>
      </c>
      <c r="B223" s="256" t="s">
        <v>1682</v>
      </c>
      <c r="C223" s="143" t="s">
        <v>1684</v>
      </c>
      <c r="D223" s="136"/>
      <c r="E223" s="136"/>
      <c r="F223" s="136"/>
      <c r="G223" s="136"/>
      <c r="H223" s="136"/>
      <c r="I223" s="136"/>
      <c r="J223" s="136"/>
      <c r="K223" s="136"/>
      <c r="L223" s="136"/>
      <c r="M223" s="136"/>
      <c r="N223" s="136"/>
      <c r="O223" s="142" t="s">
        <v>1892</v>
      </c>
      <c r="P223" s="137"/>
      <c r="Q223" s="270"/>
      <c r="R223" s="137"/>
      <c r="S223" s="137"/>
      <c r="T223" s="137"/>
      <c r="U223" s="137"/>
      <c r="V223" s="137"/>
      <c r="W223" s="137"/>
      <c r="X223" s="137"/>
      <c r="Y223" s="137"/>
      <c r="Z223" s="137"/>
      <c r="AA223" s="137"/>
      <c r="AB223" s="137"/>
      <c r="AC223" s="137"/>
      <c r="AD223" s="44"/>
      <c r="AE223" s="44"/>
      <c r="AF223" s="44"/>
      <c r="AG223" s="44"/>
      <c r="AH223" s="44"/>
      <c r="AI223" s="44"/>
      <c r="AJ223" s="44"/>
      <c r="AK223" s="44"/>
      <c r="AL223" s="44"/>
      <c r="AM223" s="44"/>
      <c r="AN223" s="44"/>
      <c r="AO223" s="44"/>
      <c r="AP223" s="44"/>
      <c r="AQ223" s="44"/>
      <c r="AR223" s="44"/>
      <c r="AS223" s="44"/>
      <c r="AT223" s="44"/>
      <c r="AU223" s="44"/>
      <c r="AV223" s="44"/>
      <c r="AW223" s="44"/>
      <c r="AX223" s="44"/>
    </row>
    <row r="224" ht="15.75" customHeight="1">
      <c r="A224" s="255" t="s">
        <v>278</v>
      </c>
      <c r="B224" s="256" t="s">
        <v>1691</v>
      </c>
      <c r="C224" s="136"/>
      <c r="D224" s="136"/>
      <c r="E224" s="136"/>
      <c r="F224" s="136"/>
      <c r="G224" s="136"/>
      <c r="H224" s="136"/>
      <c r="I224" s="136"/>
      <c r="J224" s="136"/>
      <c r="K224" s="136"/>
      <c r="L224" s="136"/>
      <c r="M224" s="136"/>
      <c r="N224" s="136"/>
      <c r="O224" s="144"/>
      <c r="P224" s="137"/>
      <c r="Q224" s="137"/>
      <c r="R224" s="137"/>
      <c r="S224" s="137"/>
      <c r="T224" s="270"/>
      <c r="U224" s="137"/>
      <c r="V224" s="137"/>
      <c r="W224" s="137"/>
      <c r="X224" s="137"/>
      <c r="Y224" s="137"/>
      <c r="Z224" s="137"/>
      <c r="AA224" s="137"/>
      <c r="AB224" s="137"/>
      <c r="AC224" s="137"/>
      <c r="AD224" s="44"/>
      <c r="AE224" s="44"/>
      <c r="AF224" s="44"/>
      <c r="AG224" s="44"/>
      <c r="AH224" s="44"/>
      <c r="AI224" s="44"/>
      <c r="AJ224" s="44"/>
      <c r="AK224" s="44"/>
      <c r="AL224" s="44"/>
      <c r="AM224" s="44"/>
      <c r="AN224" s="44"/>
      <c r="AO224" s="44"/>
      <c r="AP224" s="44"/>
      <c r="AQ224" s="44"/>
      <c r="AR224" s="44"/>
      <c r="AS224" s="44"/>
      <c r="AT224" s="44"/>
      <c r="AU224" s="44"/>
      <c r="AV224" s="44"/>
      <c r="AW224" s="44"/>
      <c r="AX224" s="44"/>
    </row>
    <row r="225" ht="15.75" customHeight="1">
      <c r="A225" s="197"/>
      <c r="B225" s="225"/>
      <c r="C225" s="190"/>
      <c r="D225" s="190"/>
      <c r="E225" s="190"/>
      <c r="F225" s="190"/>
      <c r="G225" s="128"/>
      <c r="H225" s="128"/>
      <c r="I225" s="128"/>
      <c r="J225" s="128"/>
      <c r="K225" s="128"/>
      <c r="L225" s="128"/>
      <c r="M225" s="128"/>
      <c r="N225" s="128"/>
      <c r="O225" s="128"/>
      <c r="P225" s="291"/>
      <c r="Q225" s="128"/>
      <c r="R225" s="128"/>
      <c r="S225" s="128"/>
      <c r="T225" s="149"/>
      <c r="U225" s="128"/>
      <c r="V225" s="128"/>
      <c r="W225" s="128"/>
      <c r="X225" s="128"/>
      <c r="Y225" s="128"/>
      <c r="Z225" s="128"/>
      <c r="AA225" s="128"/>
      <c r="AB225" s="128"/>
      <c r="AC225" s="128"/>
      <c r="AD225" s="292"/>
      <c r="AE225" s="292"/>
      <c r="AF225" s="292"/>
      <c r="AG225" s="292"/>
      <c r="AH225" s="292"/>
      <c r="AI225" s="292"/>
      <c r="AJ225" s="292"/>
      <c r="AK225" s="292"/>
      <c r="AL225" s="292"/>
      <c r="AM225" s="292"/>
      <c r="AN225" s="292"/>
      <c r="AO225" s="292"/>
      <c r="AP225" s="292"/>
      <c r="AQ225" s="292"/>
      <c r="AR225" s="292"/>
      <c r="AS225" s="292"/>
      <c r="AT225" s="292"/>
      <c r="AU225" s="292"/>
      <c r="AV225" s="292"/>
      <c r="AW225" s="292"/>
      <c r="AX225" s="292"/>
    </row>
    <row r="226" ht="15.75" customHeight="1">
      <c r="A226" s="197" t="s">
        <v>256</v>
      </c>
      <c r="B226" s="225" t="s">
        <v>1705</v>
      </c>
      <c r="C226" s="190"/>
      <c r="D226" s="190"/>
      <c r="E226" s="190"/>
      <c r="F226" s="190"/>
      <c r="G226" s="128"/>
      <c r="H226" s="128"/>
      <c r="I226" s="128"/>
      <c r="J226" s="128"/>
      <c r="K226" s="128"/>
      <c r="L226" s="128"/>
      <c r="M226" s="128"/>
      <c r="N226" s="128"/>
      <c r="O226" s="128"/>
      <c r="P226" s="291"/>
      <c r="Q226" s="128"/>
      <c r="R226" s="128"/>
      <c r="S226" s="128"/>
      <c r="T226" s="149" t="s">
        <v>260</v>
      </c>
      <c r="U226" s="128"/>
      <c r="V226" s="128"/>
      <c r="W226" s="128"/>
      <c r="X226" s="128"/>
      <c r="Y226" s="128"/>
      <c r="Z226" s="128"/>
      <c r="AA226" s="128"/>
      <c r="AB226" s="128"/>
      <c r="AC226" s="128"/>
      <c r="AD226" s="292"/>
      <c r="AE226" s="292"/>
      <c r="AF226" s="292"/>
      <c r="AG226" s="292"/>
      <c r="AH226" s="292"/>
      <c r="AI226" s="292"/>
      <c r="AJ226" s="292"/>
      <c r="AK226" s="292"/>
      <c r="AL226" s="292"/>
      <c r="AM226" s="292"/>
      <c r="AN226" s="292"/>
      <c r="AO226" s="292"/>
      <c r="AP226" s="292"/>
      <c r="AQ226" s="292"/>
      <c r="AR226" s="292"/>
      <c r="AS226" s="292"/>
      <c r="AT226" s="292"/>
      <c r="AU226" s="292"/>
      <c r="AV226" s="292"/>
      <c r="AW226" s="292"/>
      <c r="AX226" s="292"/>
    </row>
    <row r="227" ht="15.75" customHeight="1">
      <c r="A227" s="255" t="s">
        <v>278</v>
      </c>
      <c r="B227" s="256" t="s">
        <v>1713</v>
      </c>
      <c r="C227" s="190" t="s">
        <v>1714</v>
      </c>
      <c r="D227" s="190"/>
      <c r="E227" s="190"/>
      <c r="F227" s="190"/>
      <c r="G227" s="141"/>
      <c r="H227" s="141"/>
      <c r="I227" s="141"/>
      <c r="J227" s="142"/>
      <c r="K227" s="141"/>
      <c r="L227" s="141"/>
      <c r="M227" s="142"/>
      <c r="N227" s="142"/>
      <c r="O227" s="256"/>
      <c r="P227" s="291"/>
      <c r="Q227" s="141"/>
      <c r="R227" s="141"/>
      <c r="S227" s="141"/>
      <c r="T227" s="141"/>
      <c r="U227" s="141"/>
      <c r="V227" s="141"/>
      <c r="W227" s="141"/>
      <c r="X227" s="141"/>
      <c r="Y227" s="141"/>
      <c r="Z227" s="141"/>
      <c r="AA227" s="141"/>
      <c r="AB227" s="141"/>
      <c r="AC227" s="141"/>
      <c r="AD227" s="292"/>
      <c r="AE227" s="292"/>
      <c r="AF227" s="292"/>
      <c r="AG227" s="292"/>
      <c r="AH227" s="292"/>
      <c r="AI227" s="292"/>
      <c r="AJ227" s="292"/>
      <c r="AK227" s="292"/>
      <c r="AL227" s="292"/>
      <c r="AM227" s="292"/>
      <c r="AN227" s="292"/>
      <c r="AO227" s="292"/>
      <c r="AP227" s="292"/>
      <c r="AQ227" s="292"/>
      <c r="AR227" s="292"/>
      <c r="AS227" s="292"/>
      <c r="AT227" s="292"/>
      <c r="AU227" s="292"/>
      <c r="AV227" s="292"/>
      <c r="AW227" s="292"/>
      <c r="AX227" s="292"/>
    </row>
    <row r="228" ht="15.75" customHeight="1">
      <c r="A228" s="238" t="s">
        <v>46</v>
      </c>
      <c r="B228" s="241" t="s">
        <v>1721</v>
      </c>
      <c r="C228" s="190" t="s">
        <v>1729</v>
      </c>
      <c r="D228" s="190" t="s">
        <v>1730</v>
      </c>
      <c r="E228" s="190" t="s">
        <v>1732</v>
      </c>
      <c r="F228" s="190"/>
      <c r="G228" s="293"/>
      <c r="H228" s="293"/>
      <c r="I228" s="128"/>
      <c r="J228" s="128"/>
      <c r="K228" s="128"/>
      <c r="L228" s="128"/>
      <c r="M228" s="128"/>
      <c r="N228" s="128"/>
      <c r="O228" s="128"/>
      <c r="P228" s="291"/>
      <c r="Q228" s="128"/>
      <c r="R228" s="128"/>
      <c r="S228" s="128"/>
      <c r="T228" s="128"/>
      <c r="U228" s="128"/>
      <c r="V228" s="128"/>
      <c r="W228" s="128"/>
      <c r="X228" s="128"/>
      <c r="Y228" s="128"/>
      <c r="Z228" s="128"/>
      <c r="AA228" s="128"/>
      <c r="AB228" s="128"/>
      <c r="AC228" s="128"/>
      <c r="AD228" s="292"/>
      <c r="AE228" s="292"/>
      <c r="AF228" s="292"/>
      <c r="AG228" s="292"/>
      <c r="AH228" s="292"/>
      <c r="AI228" s="292"/>
      <c r="AJ228" s="292"/>
      <c r="AK228" s="292"/>
      <c r="AL228" s="292"/>
      <c r="AM228" s="292"/>
      <c r="AN228" s="292"/>
      <c r="AO228" s="292"/>
      <c r="AP228" s="292"/>
      <c r="AQ228" s="292"/>
      <c r="AR228" s="292"/>
      <c r="AS228" s="292"/>
      <c r="AT228" s="292"/>
      <c r="AU228" s="292"/>
      <c r="AV228" s="292"/>
      <c r="AW228" s="292"/>
      <c r="AX228" s="292"/>
    </row>
    <row r="229" ht="15.75" customHeight="1">
      <c r="A229" s="255" t="s">
        <v>278</v>
      </c>
      <c r="B229" s="143" t="s">
        <v>1733</v>
      </c>
      <c r="C229" s="190" t="s">
        <v>1734</v>
      </c>
      <c r="D229" s="190"/>
      <c r="E229" s="190"/>
      <c r="F229" s="190"/>
      <c r="G229" s="141"/>
      <c r="H229" s="141"/>
      <c r="I229" s="141"/>
      <c r="J229" s="142"/>
      <c r="K229" s="141"/>
      <c r="L229" s="141"/>
      <c r="M229" s="142"/>
      <c r="N229" s="142"/>
      <c r="O229" s="142"/>
      <c r="P229" s="291"/>
      <c r="Q229" s="141"/>
      <c r="R229" s="141"/>
      <c r="S229" s="141"/>
      <c r="T229" s="141"/>
      <c r="U229" s="141"/>
      <c r="V229" s="141"/>
      <c r="W229" s="141"/>
      <c r="X229" s="141"/>
      <c r="Y229" s="141"/>
      <c r="Z229" s="141"/>
      <c r="AA229" s="141"/>
      <c r="AB229" s="141"/>
      <c r="AC229" s="141"/>
      <c r="AD229" s="141"/>
      <c r="AE229" s="141"/>
      <c r="AF229" s="141"/>
      <c r="AG229" s="141"/>
      <c r="AH229" s="141"/>
      <c r="AI229" s="141"/>
      <c r="AJ229" s="141"/>
      <c r="AK229" s="141"/>
      <c r="AL229" s="141"/>
      <c r="AM229" s="141"/>
      <c r="AN229" s="141"/>
      <c r="AO229" s="292"/>
      <c r="AP229" s="292"/>
      <c r="AQ229" s="292"/>
      <c r="AR229" s="292"/>
      <c r="AS229" s="292"/>
      <c r="AT229" s="292"/>
      <c r="AU229" s="292"/>
      <c r="AV229" s="292"/>
      <c r="AW229" s="292"/>
      <c r="AX229" s="292"/>
    </row>
    <row r="230" ht="15.75" customHeight="1">
      <c r="A230" s="149" t="s">
        <v>256</v>
      </c>
      <c r="B230" s="148" t="s">
        <v>1741</v>
      </c>
      <c r="C230" s="190"/>
      <c r="D230" s="190"/>
      <c r="E230" s="190"/>
      <c r="F230" s="190"/>
      <c r="G230" s="145"/>
      <c r="H230" s="145"/>
      <c r="I230" s="145"/>
      <c r="J230" s="146"/>
      <c r="K230" s="145"/>
      <c r="L230" s="145"/>
      <c r="M230" s="145"/>
      <c r="N230" s="145"/>
      <c r="O230" s="199"/>
      <c r="P230" s="291"/>
      <c r="Q230" s="145"/>
      <c r="R230" s="145"/>
      <c r="S230" s="145"/>
      <c r="T230" s="149" t="s">
        <v>260</v>
      </c>
      <c r="U230" s="145"/>
      <c r="V230" s="145"/>
      <c r="W230" s="145"/>
      <c r="X230" s="145"/>
      <c r="Y230" s="145"/>
      <c r="Z230" s="145"/>
      <c r="AA230" s="145"/>
      <c r="AB230" s="145"/>
      <c r="AC230" s="145"/>
      <c r="AD230" s="145"/>
      <c r="AE230" s="145"/>
      <c r="AF230" s="145"/>
      <c r="AG230" s="145"/>
      <c r="AH230" s="145"/>
      <c r="AI230" s="145"/>
      <c r="AJ230" s="145"/>
      <c r="AK230" s="145"/>
      <c r="AL230" s="145"/>
      <c r="AM230" s="145"/>
      <c r="AN230" s="145"/>
      <c r="AO230" s="292"/>
      <c r="AP230" s="292"/>
      <c r="AQ230" s="292"/>
      <c r="AR230" s="292"/>
      <c r="AS230" s="292"/>
      <c r="AT230" s="292"/>
      <c r="AU230" s="292"/>
      <c r="AV230" s="292"/>
      <c r="AW230" s="292"/>
      <c r="AX230" s="292"/>
    </row>
    <row r="231" ht="15.75" customHeight="1">
      <c r="A231" s="199" t="s">
        <v>1060</v>
      </c>
      <c r="B231" s="147" t="s">
        <v>1749</v>
      </c>
      <c r="C231" s="190" t="s">
        <v>1754</v>
      </c>
      <c r="D231" s="190" t="s">
        <v>1755</v>
      </c>
      <c r="E231" s="190" t="s">
        <v>1756</v>
      </c>
      <c r="F231" s="190"/>
      <c r="G231" s="293"/>
      <c r="H231" s="293"/>
      <c r="I231" s="145"/>
      <c r="J231" s="146"/>
      <c r="K231" s="145"/>
      <c r="L231" s="145"/>
      <c r="M231" s="145"/>
      <c r="N231" s="145"/>
      <c r="O231" s="199"/>
      <c r="P231" s="291"/>
      <c r="Q231" s="145" t="s">
        <v>307</v>
      </c>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292"/>
      <c r="AP231" s="292"/>
      <c r="AQ231" s="292"/>
      <c r="AR231" s="292"/>
      <c r="AS231" s="292"/>
      <c r="AT231" s="292"/>
      <c r="AU231" s="292"/>
      <c r="AV231" s="292"/>
      <c r="AW231" s="292"/>
      <c r="AX231" s="292"/>
    </row>
    <row r="232" ht="15.75" customHeight="1">
      <c r="A232" s="199" t="s">
        <v>1060</v>
      </c>
      <c r="B232" s="147" t="s">
        <v>1758</v>
      </c>
      <c r="C232" s="190" t="s">
        <v>1765</v>
      </c>
      <c r="D232" s="190" t="s">
        <v>1766</v>
      </c>
      <c r="E232" s="190" t="s">
        <v>1767</v>
      </c>
      <c r="F232" s="190"/>
      <c r="G232" s="293"/>
      <c r="H232" s="293"/>
      <c r="I232" s="145"/>
      <c r="J232" s="146"/>
      <c r="K232" s="145"/>
      <c r="L232" s="145"/>
      <c r="M232" s="145"/>
      <c r="N232" s="145"/>
      <c r="O232" s="145"/>
      <c r="P232" s="291"/>
      <c r="Q232" s="145"/>
      <c r="R232" s="145"/>
      <c r="S232" s="145"/>
      <c r="T232" s="199"/>
      <c r="U232" s="145"/>
      <c r="V232" s="145"/>
      <c r="W232" s="145"/>
      <c r="X232" s="145"/>
      <c r="Y232" s="145"/>
      <c r="Z232" s="145"/>
      <c r="AA232" s="145"/>
      <c r="AB232" s="145"/>
      <c r="AC232" s="145"/>
      <c r="AD232" s="145"/>
      <c r="AE232" s="145"/>
      <c r="AF232" s="145"/>
      <c r="AG232" s="145"/>
      <c r="AH232" s="145"/>
      <c r="AI232" s="145"/>
      <c r="AJ232" s="145"/>
      <c r="AK232" s="145"/>
      <c r="AL232" s="145"/>
      <c r="AM232" s="145"/>
      <c r="AN232" s="145"/>
      <c r="AO232" s="292"/>
      <c r="AP232" s="292"/>
      <c r="AQ232" s="292"/>
      <c r="AR232" s="292"/>
      <c r="AS232" s="292"/>
      <c r="AT232" s="292"/>
      <c r="AU232" s="292"/>
      <c r="AV232" s="292"/>
      <c r="AW232" s="292"/>
      <c r="AX232" s="292"/>
    </row>
    <row r="233" ht="15.75" customHeight="1">
      <c r="A233" s="199" t="s">
        <v>1060</v>
      </c>
      <c r="B233" s="147" t="s">
        <v>1769</v>
      </c>
      <c r="C233" s="190" t="s">
        <v>1776</v>
      </c>
      <c r="D233" s="190" t="s">
        <v>1777</v>
      </c>
      <c r="E233" s="190" t="s">
        <v>1778</v>
      </c>
      <c r="F233" s="190"/>
      <c r="G233" s="293"/>
      <c r="H233" s="293"/>
      <c r="I233" s="145"/>
      <c r="J233" s="146"/>
      <c r="K233" s="145"/>
      <c r="L233" s="145"/>
      <c r="M233" s="145"/>
      <c r="N233" s="145"/>
      <c r="O233" s="145" t="s">
        <v>3047</v>
      </c>
      <c r="P233" s="291"/>
      <c r="Q233" s="145" t="s">
        <v>307</v>
      </c>
      <c r="R233" s="145"/>
      <c r="S233" s="145"/>
      <c r="T233" s="199"/>
      <c r="U233" s="145"/>
      <c r="V233" s="145"/>
      <c r="W233" s="145"/>
      <c r="X233" s="145"/>
      <c r="Y233" s="145"/>
      <c r="Z233" s="145"/>
      <c r="AA233" s="145"/>
      <c r="AB233" s="145"/>
      <c r="AC233" s="145"/>
      <c r="AD233" s="145"/>
      <c r="AE233" s="145"/>
      <c r="AF233" s="145"/>
      <c r="AG233" s="145"/>
      <c r="AH233" s="145"/>
      <c r="AI233" s="145"/>
      <c r="AJ233" s="145"/>
      <c r="AK233" s="145"/>
      <c r="AL233" s="145"/>
      <c r="AM233" s="145"/>
      <c r="AN233" s="145"/>
      <c r="AO233" s="292"/>
      <c r="AP233" s="292"/>
      <c r="AQ233" s="292"/>
      <c r="AR233" s="292"/>
      <c r="AS233" s="292"/>
      <c r="AT233" s="292"/>
      <c r="AU233" s="292"/>
      <c r="AV233" s="292"/>
      <c r="AW233" s="292"/>
      <c r="AX233" s="292"/>
    </row>
    <row r="234" ht="15.75" customHeight="1">
      <c r="A234" s="199" t="s">
        <v>1779</v>
      </c>
      <c r="B234" s="147" t="s">
        <v>1780</v>
      </c>
      <c r="C234" s="190" t="s">
        <v>1789</v>
      </c>
      <c r="D234" s="190" t="s">
        <v>1790</v>
      </c>
      <c r="E234" s="190" t="s">
        <v>1791</v>
      </c>
      <c r="F234" s="190"/>
      <c r="G234" s="293"/>
      <c r="H234" s="293"/>
      <c r="I234" s="145"/>
      <c r="J234" s="146"/>
      <c r="K234" s="145"/>
      <c r="L234" s="145"/>
      <c r="M234" s="145"/>
      <c r="N234" s="145"/>
      <c r="O234" s="145" t="s">
        <v>3063</v>
      </c>
      <c r="P234" s="291"/>
      <c r="Q234" s="145" t="s">
        <v>307</v>
      </c>
      <c r="R234" s="145"/>
      <c r="S234" s="145"/>
      <c r="T234" s="199"/>
      <c r="U234" s="145"/>
      <c r="V234" s="145"/>
      <c r="W234" s="145"/>
      <c r="X234" s="145"/>
      <c r="Y234" s="145"/>
      <c r="Z234" s="145"/>
      <c r="AA234" s="145"/>
      <c r="AB234" s="145"/>
      <c r="AC234" s="145"/>
      <c r="AD234" s="145"/>
      <c r="AE234" s="145"/>
      <c r="AF234" s="145"/>
      <c r="AG234" s="145"/>
      <c r="AH234" s="145"/>
      <c r="AI234" s="145"/>
      <c r="AJ234" s="145"/>
      <c r="AK234" s="145"/>
      <c r="AL234" s="145"/>
      <c r="AM234" s="145"/>
      <c r="AN234" s="145"/>
      <c r="AO234" s="292"/>
      <c r="AP234" s="292"/>
      <c r="AQ234" s="292"/>
      <c r="AR234" s="292"/>
      <c r="AS234" s="292"/>
      <c r="AT234" s="292"/>
      <c r="AU234" s="292"/>
      <c r="AV234" s="292"/>
      <c r="AW234" s="292"/>
      <c r="AX234" s="292"/>
    </row>
    <row r="235" ht="15.75" customHeight="1">
      <c r="A235" s="199" t="s">
        <v>1792</v>
      </c>
      <c r="B235" s="147" t="s">
        <v>1794</v>
      </c>
      <c r="C235" s="190" t="s">
        <v>1798</v>
      </c>
      <c r="D235" s="190" t="s">
        <v>1799</v>
      </c>
      <c r="E235" s="190" t="s">
        <v>1801</v>
      </c>
      <c r="F235" s="190"/>
      <c r="G235" s="293"/>
      <c r="H235" s="293"/>
      <c r="I235" s="145"/>
      <c r="J235" s="146"/>
      <c r="K235" s="145"/>
      <c r="L235" s="145"/>
      <c r="M235" s="145"/>
      <c r="N235" s="145"/>
      <c r="O235" s="145" t="s">
        <v>3087</v>
      </c>
      <c r="P235" s="291"/>
      <c r="Q235" s="145" t="s">
        <v>307</v>
      </c>
      <c r="R235" s="145"/>
      <c r="S235" s="145"/>
      <c r="T235" s="145"/>
      <c r="U235" s="145"/>
      <c r="V235" s="145"/>
      <c r="W235" s="145"/>
      <c r="X235" s="145"/>
      <c r="Y235" s="145"/>
      <c r="Z235" s="145"/>
      <c r="AA235" s="145"/>
      <c r="AB235" s="145"/>
      <c r="AC235" s="145"/>
      <c r="AD235" s="145"/>
      <c r="AE235" s="145"/>
      <c r="AF235" s="145"/>
      <c r="AG235" s="145"/>
      <c r="AH235" s="145"/>
      <c r="AI235" s="145"/>
      <c r="AJ235" s="145"/>
      <c r="AK235" s="145"/>
      <c r="AL235" s="145"/>
      <c r="AM235" s="145"/>
      <c r="AN235" s="145"/>
      <c r="AO235" s="292"/>
      <c r="AP235" s="292"/>
      <c r="AQ235" s="292"/>
      <c r="AR235" s="292"/>
      <c r="AS235" s="292"/>
      <c r="AT235" s="292"/>
      <c r="AU235" s="292"/>
      <c r="AV235" s="292"/>
      <c r="AW235" s="292"/>
      <c r="AX235" s="292"/>
    </row>
    <row r="236" ht="15.75" customHeight="1">
      <c r="A236" s="257" t="s">
        <v>220</v>
      </c>
      <c r="B236" s="240" t="s">
        <v>1805</v>
      </c>
      <c r="C236" s="190" t="s">
        <v>1811</v>
      </c>
      <c r="D236" s="190" t="s">
        <v>1812</v>
      </c>
      <c r="E236" s="190" t="s">
        <v>1813</v>
      </c>
      <c r="F236" s="190"/>
      <c r="G236" s="293"/>
      <c r="H236" s="293"/>
      <c r="I236" s="219"/>
      <c r="J236" s="295"/>
      <c r="K236" s="219"/>
      <c r="L236" s="219"/>
      <c r="M236" s="219"/>
      <c r="N236" s="219"/>
      <c r="O236" s="219" t="s">
        <v>3104</v>
      </c>
      <c r="P236" s="291"/>
      <c r="Q236" s="219" t="s">
        <v>307</v>
      </c>
      <c r="R236" s="219"/>
      <c r="S236" s="219"/>
      <c r="T236" s="219"/>
      <c r="U236" s="219"/>
      <c r="V236" s="219"/>
      <c r="W236" s="219"/>
      <c r="X236" s="219"/>
      <c r="Y236" s="219"/>
      <c r="Z236" s="219"/>
      <c r="AA236" s="219"/>
      <c r="AB236" s="219"/>
      <c r="AC236" s="219"/>
      <c r="AD236" s="219"/>
      <c r="AE236" s="219"/>
      <c r="AF236" s="219"/>
      <c r="AG236" s="219"/>
      <c r="AH236" s="219"/>
      <c r="AI236" s="219"/>
      <c r="AJ236" s="219"/>
      <c r="AK236" s="219"/>
      <c r="AL236" s="219"/>
      <c r="AM236" s="219"/>
      <c r="AN236" s="219"/>
      <c r="AO236" s="292"/>
      <c r="AP236" s="292"/>
      <c r="AQ236" s="292"/>
      <c r="AR236" s="292"/>
      <c r="AS236" s="292"/>
      <c r="AT236" s="292"/>
      <c r="AU236" s="292"/>
      <c r="AV236" s="292"/>
      <c r="AW236" s="292"/>
      <c r="AX236" s="292"/>
    </row>
    <row r="237" ht="15.75" customHeight="1">
      <c r="A237" s="199" t="s">
        <v>1814</v>
      </c>
      <c r="B237" s="147" t="s">
        <v>1815</v>
      </c>
      <c r="C237" s="190" t="s">
        <v>1822</v>
      </c>
      <c r="D237" s="190" t="s">
        <v>1823</v>
      </c>
      <c r="E237" s="190" t="s">
        <v>1824</v>
      </c>
      <c r="F237" s="190"/>
      <c r="G237" s="293"/>
      <c r="H237" s="293"/>
      <c r="I237" s="145"/>
      <c r="J237" s="146" t="s">
        <v>3113</v>
      </c>
      <c r="K237" s="145"/>
      <c r="L237" s="145"/>
      <c r="M237" s="145"/>
      <c r="N237" s="145"/>
      <c r="O237" s="149" t="s">
        <v>3117</v>
      </c>
      <c r="P237" s="291"/>
      <c r="Q237" s="145" t="s">
        <v>307</v>
      </c>
      <c r="R237" s="145"/>
      <c r="S237" s="145"/>
      <c r="T237" s="145"/>
      <c r="U237" s="145"/>
      <c r="V237" s="145"/>
      <c r="W237" s="145"/>
      <c r="X237" s="145"/>
      <c r="Y237" s="145"/>
      <c r="Z237" s="145"/>
      <c r="AA237" s="145"/>
      <c r="AB237" s="145"/>
      <c r="AC237" s="145"/>
      <c r="AD237" s="145"/>
      <c r="AE237" s="145"/>
      <c r="AF237" s="145"/>
      <c r="AG237" s="145"/>
      <c r="AH237" s="145"/>
      <c r="AI237" s="145"/>
      <c r="AJ237" s="145"/>
      <c r="AK237" s="145"/>
      <c r="AL237" s="145"/>
      <c r="AM237" s="145"/>
      <c r="AN237" s="145"/>
      <c r="AO237" s="292"/>
      <c r="AP237" s="292"/>
      <c r="AQ237" s="292"/>
      <c r="AR237" s="292"/>
      <c r="AS237" s="292"/>
      <c r="AT237" s="292"/>
      <c r="AU237" s="292"/>
      <c r="AV237" s="292"/>
      <c r="AW237" s="292"/>
      <c r="AX237" s="292"/>
    </row>
    <row r="238" ht="15.75" customHeight="1">
      <c r="A238" s="201" t="s">
        <v>112</v>
      </c>
      <c r="B238" s="202" t="s">
        <v>1827</v>
      </c>
      <c r="C238" s="190"/>
      <c r="D238" s="190"/>
      <c r="E238" s="190"/>
      <c r="F238" s="190"/>
      <c r="G238" s="66"/>
      <c r="H238" s="66"/>
      <c r="I238" s="66"/>
      <c r="J238" s="66"/>
      <c r="K238" s="66"/>
      <c r="L238" s="66"/>
      <c r="M238" s="66"/>
      <c r="N238" s="66"/>
      <c r="O238" s="66"/>
      <c r="P238" s="291"/>
      <c r="Q238" s="66"/>
      <c r="R238" s="66"/>
      <c r="S238" s="66"/>
      <c r="T238" s="67" t="s">
        <v>3122</v>
      </c>
      <c r="U238" s="66"/>
      <c r="V238" s="66"/>
      <c r="W238" s="66"/>
      <c r="X238" s="66"/>
      <c r="Y238" s="66"/>
      <c r="Z238" s="66"/>
      <c r="AA238" s="66"/>
      <c r="AB238" s="66"/>
      <c r="AC238" s="66"/>
      <c r="AD238" s="66"/>
      <c r="AE238" s="66"/>
      <c r="AF238" s="66"/>
      <c r="AG238" s="66"/>
      <c r="AH238" s="66"/>
      <c r="AI238" s="66"/>
      <c r="AJ238" s="66"/>
      <c r="AK238" s="66"/>
      <c r="AL238" s="66"/>
      <c r="AM238" s="66"/>
      <c r="AN238" s="66"/>
      <c r="AO238" s="292"/>
      <c r="AP238" s="292"/>
      <c r="AQ238" s="292"/>
      <c r="AR238" s="292"/>
      <c r="AS238" s="292"/>
      <c r="AT238" s="292"/>
      <c r="AU238" s="292"/>
      <c r="AV238" s="292"/>
      <c r="AW238" s="292"/>
      <c r="AX238" s="292"/>
    </row>
    <row r="239" ht="15.75" customHeight="1">
      <c r="A239" s="201" t="s">
        <v>112</v>
      </c>
      <c r="B239" s="202" t="s">
        <v>1836</v>
      </c>
      <c r="C239" s="190"/>
      <c r="D239" s="190"/>
      <c r="E239" s="190"/>
      <c r="F239" s="190"/>
      <c r="G239" s="66"/>
      <c r="H239" s="66"/>
      <c r="I239" s="66"/>
      <c r="J239" s="66"/>
      <c r="K239" s="66"/>
      <c r="L239" s="66"/>
      <c r="M239" s="66"/>
      <c r="N239" s="66"/>
      <c r="O239" s="66"/>
      <c r="P239" s="291"/>
      <c r="Q239" s="66"/>
      <c r="R239" s="66"/>
      <c r="S239" s="66"/>
      <c r="T239" s="67" t="s">
        <v>3140</v>
      </c>
      <c r="U239" s="66"/>
      <c r="V239" s="66"/>
      <c r="W239" s="66"/>
      <c r="X239" s="66"/>
      <c r="Y239" s="66"/>
      <c r="Z239" s="66"/>
      <c r="AA239" s="66"/>
      <c r="AB239" s="66"/>
      <c r="AC239" s="66"/>
      <c r="AD239" s="66"/>
      <c r="AE239" s="66"/>
      <c r="AF239" s="66"/>
      <c r="AG239" s="66"/>
      <c r="AH239" s="66"/>
      <c r="AI239" s="66"/>
      <c r="AJ239" s="66"/>
      <c r="AK239" s="66"/>
      <c r="AL239" s="66"/>
      <c r="AM239" s="66"/>
      <c r="AN239" s="66"/>
      <c r="AO239" s="292"/>
      <c r="AP239" s="292"/>
      <c r="AQ239" s="292"/>
      <c r="AR239" s="292"/>
      <c r="AS239" s="292"/>
      <c r="AT239" s="292"/>
      <c r="AU239" s="292"/>
      <c r="AV239" s="292"/>
      <c r="AW239" s="292"/>
      <c r="AX239" s="292"/>
    </row>
    <row r="240" ht="15.75" customHeight="1">
      <c r="A240" s="201" t="s">
        <v>112</v>
      </c>
      <c r="B240" s="202" t="s">
        <v>1841</v>
      </c>
      <c r="C240" s="190" t="s">
        <v>1843</v>
      </c>
      <c r="D240" s="190"/>
      <c r="E240" s="190"/>
      <c r="F240" s="190"/>
      <c r="G240" s="66"/>
      <c r="H240" s="66"/>
      <c r="I240" s="66"/>
      <c r="J240" s="66"/>
      <c r="K240" s="66"/>
      <c r="L240" s="66"/>
      <c r="M240" s="66"/>
      <c r="N240" s="66"/>
      <c r="O240" s="66"/>
      <c r="P240" s="291"/>
      <c r="Q240" s="66"/>
      <c r="R240" s="66"/>
      <c r="S240" s="66"/>
      <c r="T240" s="67" t="s">
        <v>3161</v>
      </c>
      <c r="U240" s="66"/>
      <c r="V240" s="66"/>
      <c r="W240" s="66"/>
      <c r="X240" s="66"/>
      <c r="Y240" s="66"/>
      <c r="Z240" s="66"/>
      <c r="AA240" s="66"/>
      <c r="AB240" s="66"/>
      <c r="AC240" s="66"/>
      <c r="AD240" s="66"/>
      <c r="AE240" s="66"/>
      <c r="AF240" s="66"/>
      <c r="AG240" s="66"/>
      <c r="AH240" s="66"/>
      <c r="AI240" s="66"/>
      <c r="AJ240" s="66"/>
      <c r="AK240" s="66"/>
      <c r="AL240" s="66"/>
      <c r="AM240" s="66"/>
      <c r="AN240" s="66"/>
      <c r="AO240" s="292"/>
      <c r="AP240" s="292"/>
      <c r="AQ240" s="292"/>
      <c r="AR240" s="292"/>
      <c r="AS240" s="292"/>
      <c r="AT240" s="292"/>
      <c r="AU240" s="292"/>
      <c r="AV240" s="292"/>
      <c r="AW240" s="292"/>
      <c r="AX240" s="292"/>
    </row>
    <row r="241" ht="15.75" customHeight="1">
      <c r="A241" s="199" t="s">
        <v>1850</v>
      </c>
      <c r="B241" s="147" t="s">
        <v>1851</v>
      </c>
      <c r="C241" s="190" t="s">
        <v>1855</v>
      </c>
      <c r="D241" s="190" t="s">
        <v>1856</v>
      </c>
      <c r="E241" s="190" t="s">
        <v>1857</v>
      </c>
      <c r="F241" s="190"/>
      <c r="G241" s="293"/>
      <c r="H241" s="293"/>
      <c r="I241" s="145"/>
      <c r="J241" s="146"/>
      <c r="K241" s="145"/>
      <c r="L241" s="145"/>
      <c r="M241" s="145"/>
      <c r="N241" s="145"/>
      <c r="O241" s="145" t="s">
        <v>3047</v>
      </c>
      <c r="P241" s="291"/>
      <c r="Q241" s="145" t="s">
        <v>307</v>
      </c>
      <c r="R241" s="145"/>
      <c r="S241" s="145"/>
      <c r="T241" s="145"/>
      <c r="U241" s="145"/>
      <c r="V241" s="145"/>
      <c r="W241" s="145"/>
      <c r="X241" s="145"/>
      <c r="Y241" s="145"/>
      <c r="Z241" s="145"/>
      <c r="AA241" s="145"/>
      <c r="AB241" s="145"/>
      <c r="AC241" s="145"/>
      <c r="AD241" s="145"/>
      <c r="AE241" s="145"/>
      <c r="AF241" s="145"/>
      <c r="AG241" s="145"/>
      <c r="AH241" s="145"/>
      <c r="AI241" s="145"/>
      <c r="AJ241" s="145"/>
      <c r="AK241" s="145"/>
      <c r="AL241" s="145"/>
      <c r="AM241" s="145"/>
      <c r="AN241" s="145"/>
      <c r="AO241" s="292"/>
      <c r="AP241" s="292"/>
      <c r="AQ241" s="292"/>
      <c r="AR241" s="292"/>
      <c r="AS241" s="292"/>
      <c r="AT241" s="292"/>
      <c r="AU241" s="292"/>
      <c r="AV241" s="292"/>
      <c r="AW241" s="292"/>
      <c r="AX241" s="292"/>
    </row>
    <row r="242" ht="15.75" customHeight="1">
      <c r="A242" s="258" t="s">
        <v>247</v>
      </c>
      <c r="B242" s="259" t="s">
        <v>1860</v>
      </c>
      <c r="C242" s="190" t="s">
        <v>1871</v>
      </c>
      <c r="D242" s="190" t="s">
        <v>1872</v>
      </c>
      <c r="E242" s="190" t="s">
        <v>1873</v>
      </c>
      <c r="F242" s="190"/>
      <c r="G242" s="293"/>
      <c r="H242" s="293"/>
      <c r="I242" s="303"/>
      <c r="J242" s="303"/>
      <c r="K242" s="304" t="s">
        <v>3195</v>
      </c>
      <c r="L242" s="304"/>
      <c r="M242" s="303"/>
      <c r="N242" s="303"/>
      <c r="O242" s="303" t="s">
        <v>3047</v>
      </c>
      <c r="P242" s="291"/>
      <c r="Q242" s="303" t="s">
        <v>307</v>
      </c>
      <c r="R242" s="303"/>
      <c r="S242" s="303"/>
      <c r="T242" s="303"/>
      <c r="U242" s="303"/>
      <c r="V242" s="303"/>
      <c r="W242" s="303"/>
      <c r="X242" s="303"/>
      <c r="Y242" s="303"/>
      <c r="Z242" s="303"/>
      <c r="AA242" s="303"/>
      <c r="AB242" s="303"/>
      <c r="AC242" s="303"/>
      <c r="AD242" s="303"/>
      <c r="AE242" s="303"/>
      <c r="AF242" s="303"/>
      <c r="AG242" s="303"/>
      <c r="AH242" s="303"/>
      <c r="AI242" s="303"/>
      <c r="AJ242" s="303"/>
      <c r="AK242" s="303"/>
      <c r="AL242" s="303"/>
      <c r="AM242" s="303"/>
      <c r="AN242" s="303"/>
      <c r="AO242" s="292"/>
      <c r="AP242" s="292"/>
      <c r="AQ242" s="292"/>
      <c r="AR242" s="292"/>
      <c r="AS242" s="292"/>
      <c r="AT242" s="292"/>
      <c r="AU242" s="292"/>
      <c r="AV242" s="292"/>
      <c r="AW242" s="292"/>
      <c r="AX242" s="292"/>
    </row>
    <row r="243" ht="15.75" customHeight="1">
      <c r="A243" s="149" t="s">
        <v>256</v>
      </c>
      <c r="B243" s="148" t="s">
        <v>1874</v>
      </c>
      <c r="C243" s="190"/>
      <c r="D243" s="190"/>
      <c r="E243" s="190"/>
      <c r="F243" s="190"/>
      <c r="G243" s="145"/>
      <c r="H243" s="145"/>
      <c r="I243" s="145"/>
      <c r="J243" s="146"/>
      <c r="K243" s="145"/>
      <c r="L243" s="145"/>
      <c r="M243" s="145"/>
      <c r="N243" s="145"/>
      <c r="O243" s="199"/>
      <c r="P243" s="291"/>
      <c r="Q243" s="145"/>
      <c r="R243" s="145"/>
      <c r="S243" s="145"/>
      <c r="T243" s="149" t="s">
        <v>260</v>
      </c>
      <c r="U243" s="145"/>
      <c r="V243" s="145"/>
      <c r="W243" s="145"/>
      <c r="X243" s="145"/>
      <c r="Y243" s="145"/>
      <c r="Z243" s="145"/>
      <c r="AA243" s="145"/>
      <c r="AB243" s="145"/>
      <c r="AC243" s="145"/>
      <c r="AD243" s="145"/>
      <c r="AE243" s="145"/>
      <c r="AF243" s="145"/>
      <c r="AG243" s="145"/>
      <c r="AH243" s="145"/>
      <c r="AI243" s="145"/>
      <c r="AJ243" s="145"/>
      <c r="AK243" s="145"/>
      <c r="AL243" s="145"/>
      <c r="AM243" s="145"/>
      <c r="AN243" s="145"/>
      <c r="AO243" s="292"/>
      <c r="AP243" s="292"/>
      <c r="AQ243" s="292"/>
      <c r="AR243" s="292"/>
      <c r="AS243" s="292"/>
      <c r="AT243" s="292"/>
      <c r="AU243" s="292"/>
      <c r="AV243" s="292"/>
      <c r="AW243" s="292"/>
      <c r="AX243" s="292"/>
    </row>
    <row r="244" ht="15.75" customHeight="1">
      <c r="A244" s="210" t="s">
        <v>112</v>
      </c>
      <c r="B244" s="261" t="s">
        <v>1881</v>
      </c>
      <c r="C244" s="190"/>
      <c r="D244" s="190"/>
      <c r="E244" s="190"/>
      <c r="F244" s="190"/>
      <c r="G244" s="141"/>
      <c r="H244" s="141"/>
      <c r="I244" s="141"/>
      <c r="J244" s="141"/>
      <c r="K244" s="141"/>
      <c r="L244" s="141"/>
      <c r="M244" s="141"/>
      <c r="N244" s="141"/>
      <c r="O244" s="141"/>
      <c r="P244" s="291"/>
      <c r="Q244" s="141"/>
      <c r="R244" s="141"/>
      <c r="S244" s="141"/>
      <c r="T244" s="210" t="s">
        <v>3237</v>
      </c>
      <c r="U244" s="141"/>
      <c r="V244" s="141"/>
      <c r="W244" s="141"/>
      <c r="X244" s="141"/>
      <c r="Y244" s="141"/>
      <c r="Z244" s="141"/>
      <c r="AA244" s="141"/>
      <c r="AB244" s="141"/>
      <c r="AC244" s="141"/>
      <c r="AD244" s="141"/>
      <c r="AE244" s="141"/>
      <c r="AF244" s="141"/>
      <c r="AG244" s="141"/>
      <c r="AH244" s="141"/>
      <c r="AI244" s="141"/>
      <c r="AJ244" s="141"/>
      <c r="AK244" s="141"/>
      <c r="AL244" s="141"/>
      <c r="AM244" s="141"/>
      <c r="AN244" s="141"/>
      <c r="AO244" s="292"/>
      <c r="AP244" s="292"/>
      <c r="AQ244" s="292"/>
      <c r="AR244" s="292"/>
      <c r="AS244" s="292"/>
      <c r="AT244" s="292"/>
      <c r="AU244" s="292"/>
      <c r="AV244" s="292"/>
      <c r="AW244" s="292"/>
      <c r="AX244" s="292"/>
    </row>
    <row r="245" ht="15.75" customHeight="1">
      <c r="A245" s="255" t="s">
        <v>331</v>
      </c>
      <c r="B245" s="152" t="s">
        <v>1733</v>
      </c>
      <c r="C245" s="190" t="s">
        <v>1734</v>
      </c>
      <c r="D245" s="190"/>
      <c r="E245" s="190"/>
      <c r="F245" s="190"/>
      <c r="G245" s="141"/>
      <c r="H245" s="141"/>
      <c r="I245" s="141"/>
      <c r="J245" s="141"/>
      <c r="K245" s="141"/>
      <c r="L245" s="141"/>
      <c r="M245" s="141"/>
      <c r="N245" s="141"/>
      <c r="O245" s="141"/>
      <c r="P245" s="291"/>
      <c r="Q245" s="141"/>
      <c r="R245" s="141"/>
      <c r="S245" s="141"/>
      <c r="T245" s="141"/>
      <c r="U245" s="141"/>
      <c r="V245" s="141"/>
      <c r="W245" s="141"/>
      <c r="X245" s="141"/>
      <c r="Y245" s="141"/>
      <c r="Z245" s="141"/>
      <c r="AA245" s="141"/>
      <c r="AB245" s="141"/>
      <c r="AC245" s="141"/>
      <c r="AD245" s="141"/>
      <c r="AE245" s="141"/>
      <c r="AF245" s="141"/>
      <c r="AG245" s="141"/>
      <c r="AH245" s="141"/>
      <c r="AI245" s="141"/>
      <c r="AJ245" s="141"/>
      <c r="AK245" s="141"/>
      <c r="AL245" s="141"/>
      <c r="AM245" s="141"/>
      <c r="AN245" s="141"/>
      <c r="AO245" s="292"/>
      <c r="AP245" s="292"/>
      <c r="AQ245" s="292"/>
      <c r="AR245" s="292"/>
      <c r="AS245" s="292"/>
      <c r="AT245" s="292"/>
      <c r="AU245" s="292"/>
      <c r="AV245" s="292"/>
      <c r="AW245" s="292"/>
      <c r="AX245" s="292"/>
    </row>
    <row r="246" ht="15.75" customHeight="1">
      <c r="A246" s="262"/>
      <c r="B246" s="263"/>
      <c r="C246" s="190" t="s">
        <v>55</v>
      </c>
      <c r="D246" s="190" t="s">
        <v>55</v>
      </c>
      <c r="E246" s="190" t="s">
        <v>55</v>
      </c>
      <c r="F246" s="190"/>
      <c r="G246" s="292"/>
      <c r="H246" s="292"/>
      <c r="I246" s="292"/>
      <c r="J246" s="292"/>
      <c r="K246" s="292"/>
      <c r="L246" s="292"/>
      <c r="M246" s="292"/>
      <c r="N246" s="292"/>
      <c r="O246" s="292"/>
      <c r="P246" s="291"/>
      <c r="Q246" s="292"/>
      <c r="R246" s="292"/>
      <c r="S246" s="292"/>
      <c r="T246" s="292"/>
      <c r="U246" s="292"/>
      <c r="V246" s="292"/>
      <c r="W246" s="292"/>
      <c r="X246" s="292"/>
      <c r="Y246" s="292"/>
      <c r="Z246" s="292"/>
      <c r="AA246" s="292"/>
      <c r="AB246" s="292"/>
      <c r="AC246" s="292"/>
      <c r="AD246" s="292"/>
      <c r="AE246" s="292"/>
      <c r="AF246" s="292"/>
      <c r="AG246" s="292"/>
      <c r="AH246" s="292"/>
      <c r="AI246" s="292"/>
      <c r="AJ246" s="292"/>
      <c r="AK246" s="292"/>
      <c r="AL246" s="292"/>
      <c r="AM246" s="292"/>
      <c r="AN246" s="292"/>
      <c r="AO246" s="292"/>
      <c r="AP246" s="292"/>
      <c r="AQ246" s="292"/>
      <c r="AR246" s="292"/>
      <c r="AS246" s="292"/>
      <c r="AT246" s="292"/>
      <c r="AU246" s="292"/>
      <c r="AV246" s="292"/>
      <c r="AW246" s="292"/>
      <c r="AX246" s="292"/>
    </row>
    <row r="247" ht="15.75" customHeight="1">
      <c r="A247" s="149" t="s">
        <v>256</v>
      </c>
      <c r="B247" s="148" t="s">
        <v>1899</v>
      </c>
      <c r="C247" s="190"/>
      <c r="D247" s="190"/>
      <c r="E247" s="190"/>
      <c r="F247" s="190"/>
      <c r="G247" s="128"/>
      <c r="H247" s="128"/>
      <c r="I247" s="128"/>
      <c r="J247" s="128"/>
      <c r="K247" s="128"/>
      <c r="L247" s="128"/>
      <c r="M247" s="128"/>
      <c r="N247" s="128"/>
      <c r="O247" s="128"/>
      <c r="P247" s="291"/>
      <c r="Q247" s="128"/>
      <c r="R247" s="128"/>
      <c r="S247" s="128"/>
      <c r="T247" s="149" t="s">
        <v>260</v>
      </c>
      <c r="U247" s="128"/>
      <c r="V247" s="128"/>
      <c r="W247" s="128"/>
      <c r="X247" s="128"/>
      <c r="Y247" s="128"/>
      <c r="Z247" s="128"/>
      <c r="AA247" s="128"/>
      <c r="AB247" s="128"/>
      <c r="AC247" s="128"/>
      <c r="AD247" s="128"/>
      <c r="AE247" s="128"/>
      <c r="AF247" s="128"/>
      <c r="AG247" s="128"/>
      <c r="AH247" s="128"/>
      <c r="AI247" s="128"/>
      <c r="AJ247" s="128"/>
      <c r="AK247" s="128"/>
      <c r="AL247" s="128"/>
      <c r="AM247" s="128"/>
      <c r="AN247" s="128"/>
      <c r="AO247" s="292"/>
      <c r="AP247" s="292"/>
      <c r="AQ247" s="292"/>
      <c r="AR247" s="292"/>
      <c r="AS247" s="292"/>
      <c r="AT247" s="292"/>
      <c r="AU247" s="292"/>
      <c r="AV247" s="292"/>
      <c r="AW247" s="292"/>
      <c r="AX247" s="292"/>
    </row>
    <row r="248" ht="15.75" customHeight="1">
      <c r="A248" s="238" t="s">
        <v>46</v>
      </c>
      <c r="B248" s="132" t="s">
        <v>1907</v>
      </c>
      <c r="C248" s="190" t="s">
        <v>1912</v>
      </c>
      <c r="D248" s="190" t="s">
        <v>1913</v>
      </c>
      <c r="E248" s="190" t="s">
        <v>1914</v>
      </c>
      <c r="F248" s="190"/>
      <c r="G248" s="293"/>
      <c r="H248" s="293"/>
      <c r="I248" s="128"/>
      <c r="J248" s="128"/>
      <c r="K248" s="128"/>
      <c r="L248" s="128"/>
      <c r="M248" s="128"/>
      <c r="N248" s="128"/>
      <c r="O248" s="128"/>
      <c r="P248" s="291"/>
      <c r="Q248" s="128"/>
      <c r="R248" s="128"/>
      <c r="S248" s="128"/>
      <c r="T248" s="128"/>
      <c r="U248" s="128"/>
      <c r="V248" s="128"/>
      <c r="W248" s="128"/>
      <c r="X248" s="128"/>
      <c r="Y248" s="128"/>
      <c r="Z248" s="128"/>
      <c r="AA248" s="128"/>
      <c r="AB248" s="128"/>
      <c r="AC248" s="128"/>
      <c r="AD248" s="128"/>
      <c r="AE248" s="128"/>
      <c r="AF248" s="128"/>
      <c r="AG248" s="128"/>
      <c r="AH248" s="128"/>
      <c r="AI248" s="128"/>
      <c r="AJ248" s="128"/>
      <c r="AK248" s="128"/>
      <c r="AL248" s="128"/>
      <c r="AM248" s="128"/>
      <c r="AN248" s="128"/>
      <c r="AO248" s="292"/>
      <c r="AP248" s="292"/>
      <c r="AQ248" s="292"/>
      <c r="AR248" s="292"/>
      <c r="AS248" s="292"/>
      <c r="AT248" s="292"/>
      <c r="AU248" s="292"/>
      <c r="AV248" s="292"/>
      <c r="AW248" s="292"/>
      <c r="AX248" s="292"/>
    </row>
    <row r="249" ht="15.75" customHeight="1">
      <c r="A249" s="199" t="s">
        <v>1916</v>
      </c>
      <c r="B249" s="147" t="s">
        <v>1918</v>
      </c>
      <c r="C249" s="190" t="s">
        <v>1923</v>
      </c>
      <c r="D249" s="190" t="s">
        <v>1924</v>
      </c>
      <c r="E249" s="190" t="s">
        <v>1925</v>
      </c>
      <c r="F249" s="190"/>
      <c r="G249" s="293"/>
      <c r="H249" s="293"/>
      <c r="I249" s="145"/>
      <c r="J249" s="146"/>
      <c r="K249" s="145"/>
      <c r="L249" s="145"/>
      <c r="M249" s="145"/>
      <c r="N249" s="145"/>
      <c r="O249" s="145"/>
      <c r="P249" s="291"/>
      <c r="Q249" s="145" t="s">
        <v>307</v>
      </c>
      <c r="R249" s="145"/>
      <c r="S249" s="145"/>
      <c r="T249" s="145"/>
      <c r="U249" s="145"/>
      <c r="V249" s="145"/>
      <c r="W249" s="145"/>
      <c r="X249" s="145"/>
      <c r="Y249" s="145"/>
      <c r="Z249" s="145"/>
      <c r="AA249" s="145"/>
      <c r="AB249" s="145"/>
      <c r="AC249" s="145"/>
      <c r="AD249" s="145"/>
      <c r="AE249" s="145"/>
      <c r="AF249" s="145"/>
      <c r="AG249" s="145"/>
      <c r="AH249" s="145"/>
      <c r="AI249" s="145"/>
      <c r="AJ249" s="145"/>
      <c r="AK249" s="145"/>
      <c r="AL249" s="145"/>
      <c r="AM249" s="145"/>
      <c r="AN249" s="145"/>
      <c r="AO249" s="292"/>
      <c r="AP249" s="292"/>
      <c r="AQ249" s="292"/>
      <c r="AR249" s="292"/>
      <c r="AS249" s="292"/>
      <c r="AT249" s="292"/>
      <c r="AU249" s="292"/>
      <c r="AV249" s="292"/>
      <c r="AW249" s="292"/>
      <c r="AX249" s="292"/>
    </row>
    <row r="250" ht="15.75" customHeight="1">
      <c r="A250" s="199" t="s">
        <v>1060</v>
      </c>
      <c r="B250" s="147" t="s">
        <v>1926</v>
      </c>
      <c r="C250" s="190" t="s">
        <v>1934</v>
      </c>
      <c r="D250" s="190" t="s">
        <v>1935</v>
      </c>
      <c r="E250" s="190" t="s">
        <v>1936</v>
      </c>
      <c r="F250" s="190"/>
      <c r="G250" s="293"/>
      <c r="H250" s="293"/>
      <c r="I250" s="145"/>
      <c r="J250" s="146"/>
      <c r="K250" s="145"/>
      <c r="L250" s="145"/>
      <c r="M250" s="145"/>
      <c r="N250" s="145"/>
      <c r="O250" s="145"/>
      <c r="P250" s="291"/>
      <c r="Q250" s="145" t="s">
        <v>307</v>
      </c>
      <c r="R250" s="145"/>
      <c r="S250" s="145"/>
      <c r="T250" s="145"/>
      <c r="U250" s="145"/>
      <c r="V250" s="145"/>
      <c r="W250" s="145"/>
      <c r="X250" s="145"/>
      <c r="Y250" s="145"/>
      <c r="Z250" s="145"/>
      <c r="AA250" s="145"/>
      <c r="AB250" s="145"/>
      <c r="AC250" s="145"/>
      <c r="AD250" s="145"/>
      <c r="AE250" s="145"/>
      <c r="AF250" s="145"/>
      <c r="AG250" s="145"/>
      <c r="AH250" s="145"/>
      <c r="AI250" s="145"/>
      <c r="AJ250" s="145"/>
      <c r="AK250" s="145"/>
      <c r="AL250" s="145"/>
      <c r="AM250" s="145"/>
      <c r="AN250" s="145"/>
      <c r="AO250" s="292"/>
      <c r="AP250" s="292"/>
      <c r="AQ250" s="292"/>
      <c r="AR250" s="292"/>
      <c r="AS250" s="292"/>
      <c r="AT250" s="292"/>
      <c r="AU250" s="292"/>
      <c r="AV250" s="292"/>
      <c r="AW250" s="292"/>
      <c r="AX250" s="292"/>
    </row>
    <row r="251" ht="15.75" customHeight="1">
      <c r="A251" s="199" t="s">
        <v>1937</v>
      </c>
      <c r="B251" s="147" t="s">
        <v>1938</v>
      </c>
      <c r="C251" s="190" t="s">
        <v>1942</v>
      </c>
      <c r="D251" s="190" t="s">
        <v>1943</v>
      </c>
      <c r="E251" s="190" t="s">
        <v>1944</v>
      </c>
      <c r="F251" s="190"/>
      <c r="G251" s="293"/>
      <c r="H251" s="293"/>
      <c r="I251" s="145"/>
      <c r="J251" s="146"/>
      <c r="K251" s="145"/>
      <c r="L251" s="145"/>
      <c r="M251" s="145"/>
      <c r="N251" s="145"/>
      <c r="O251" s="145" t="s">
        <v>3322</v>
      </c>
      <c r="P251" s="291"/>
      <c r="Q251" s="145" t="s">
        <v>307</v>
      </c>
      <c r="R251" s="145"/>
      <c r="S251" s="145"/>
      <c r="T251" s="145"/>
      <c r="U251" s="145"/>
      <c r="V251" s="145"/>
      <c r="W251" s="145"/>
      <c r="X251" s="145"/>
      <c r="Y251" s="145"/>
      <c r="Z251" s="145"/>
      <c r="AA251" s="145"/>
      <c r="AB251" s="145"/>
      <c r="AC251" s="145"/>
      <c r="AD251" s="128"/>
      <c r="AE251" s="128"/>
      <c r="AF251" s="128"/>
      <c r="AG251" s="128"/>
      <c r="AH251" s="128"/>
      <c r="AI251" s="128"/>
      <c r="AJ251" s="128"/>
      <c r="AK251" s="128"/>
      <c r="AL251" s="128"/>
      <c r="AM251" s="128"/>
      <c r="AN251" s="128"/>
      <c r="AO251" s="292"/>
      <c r="AP251" s="292"/>
      <c r="AQ251" s="292"/>
      <c r="AR251" s="292"/>
      <c r="AS251" s="292"/>
      <c r="AT251" s="292"/>
      <c r="AU251" s="292"/>
      <c r="AV251" s="292"/>
      <c r="AW251" s="292"/>
      <c r="AX251" s="292"/>
    </row>
    <row r="252" ht="15.75" customHeight="1">
      <c r="A252" s="257" t="s">
        <v>220</v>
      </c>
      <c r="B252" s="240" t="s">
        <v>1945</v>
      </c>
      <c r="C252" s="190" t="s">
        <v>1949</v>
      </c>
      <c r="D252" s="190" t="s">
        <v>1950</v>
      </c>
      <c r="E252" s="190" t="s">
        <v>1952</v>
      </c>
      <c r="F252" s="190"/>
      <c r="G252" s="293"/>
      <c r="H252" s="293"/>
      <c r="I252" s="219"/>
      <c r="J252" s="295"/>
      <c r="K252" s="219"/>
      <c r="L252" s="219"/>
      <c r="M252" s="219"/>
      <c r="N252" s="219"/>
      <c r="O252" s="219" t="s">
        <v>3338</v>
      </c>
      <c r="P252" s="291"/>
      <c r="Q252" s="219"/>
      <c r="R252" s="219"/>
      <c r="S252" s="219"/>
      <c r="T252" s="219"/>
      <c r="U252" s="219"/>
      <c r="V252" s="219"/>
      <c r="W252" s="219"/>
      <c r="X252" s="219"/>
      <c r="Y252" s="219"/>
      <c r="Z252" s="219"/>
      <c r="AA252" s="219"/>
      <c r="AB252" s="219"/>
      <c r="AC252" s="219"/>
      <c r="AD252" s="128"/>
      <c r="AE252" s="128"/>
      <c r="AF252" s="128"/>
      <c r="AG252" s="128"/>
      <c r="AH252" s="128"/>
      <c r="AI252" s="128"/>
      <c r="AJ252" s="128"/>
      <c r="AK252" s="128"/>
      <c r="AL252" s="128"/>
      <c r="AM252" s="128"/>
      <c r="AN252" s="128"/>
      <c r="AO252" s="292"/>
      <c r="AP252" s="292"/>
      <c r="AQ252" s="292"/>
      <c r="AR252" s="292"/>
      <c r="AS252" s="292"/>
      <c r="AT252" s="292"/>
      <c r="AU252" s="292"/>
      <c r="AV252" s="292"/>
      <c r="AW252" s="292"/>
      <c r="AX252" s="292"/>
    </row>
    <row r="253" ht="15.75" customHeight="1">
      <c r="A253" s="199" t="s">
        <v>1060</v>
      </c>
      <c r="B253" s="147" t="s">
        <v>1953</v>
      </c>
      <c r="C253" s="190" t="s">
        <v>1957</v>
      </c>
      <c r="D253" s="190" t="s">
        <v>1958</v>
      </c>
      <c r="E253" s="190" t="s">
        <v>1959</v>
      </c>
      <c r="F253" s="190"/>
      <c r="G253" s="293"/>
      <c r="H253" s="293"/>
      <c r="I253" s="145"/>
      <c r="J253" s="146"/>
      <c r="K253" s="145"/>
      <c r="L253" s="145"/>
      <c r="M253" s="145"/>
      <c r="N253" s="145"/>
      <c r="O253" s="145"/>
      <c r="P253" s="291"/>
      <c r="Q253" s="145" t="s">
        <v>307</v>
      </c>
      <c r="R253" s="145"/>
      <c r="S253" s="145"/>
      <c r="T253" s="145"/>
      <c r="U253" s="145"/>
      <c r="V253" s="145"/>
      <c r="W253" s="145"/>
      <c r="X253" s="145"/>
      <c r="Y253" s="145"/>
      <c r="Z253" s="145"/>
      <c r="AA253" s="145"/>
      <c r="AB253" s="145"/>
      <c r="AC253" s="145"/>
      <c r="AD253" s="145"/>
      <c r="AE253" s="145"/>
      <c r="AF253" s="145"/>
      <c r="AG253" s="145"/>
      <c r="AH253" s="145"/>
      <c r="AI253" s="145"/>
      <c r="AJ253" s="145"/>
      <c r="AK253" s="145"/>
      <c r="AL253" s="145"/>
      <c r="AM253" s="145"/>
      <c r="AN253" s="145"/>
      <c r="AO253" s="292"/>
      <c r="AP253" s="292"/>
      <c r="AQ253" s="292"/>
      <c r="AR253" s="292"/>
      <c r="AS253" s="292"/>
      <c r="AT253" s="292"/>
      <c r="AU253" s="292"/>
      <c r="AV253" s="292"/>
      <c r="AW253" s="292"/>
      <c r="AX253" s="292"/>
    </row>
    <row r="254" ht="15.75" customHeight="1">
      <c r="A254" s="199" t="s">
        <v>1937</v>
      </c>
      <c r="B254" s="147" t="s">
        <v>1960</v>
      </c>
      <c r="C254" s="190" t="s">
        <v>1964</v>
      </c>
      <c r="D254" s="190" t="s">
        <v>1965</v>
      </c>
      <c r="E254" s="190" t="s">
        <v>1966</v>
      </c>
      <c r="F254" s="190" t="s">
        <v>3364</v>
      </c>
      <c r="G254" s="293" t="s">
        <v>3365</v>
      </c>
      <c r="H254" s="293" t="s">
        <v>3366</v>
      </c>
      <c r="I254" s="145"/>
      <c r="J254" s="146"/>
      <c r="K254" s="145"/>
      <c r="L254" s="145"/>
      <c r="M254" s="145"/>
      <c r="N254" s="145"/>
      <c r="O254" s="145" t="s">
        <v>3370</v>
      </c>
      <c r="P254" s="291"/>
      <c r="Q254" s="145" t="s">
        <v>307</v>
      </c>
      <c r="R254" s="145"/>
      <c r="S254" s="145"/>
      <c r="T254" s="145"/>
      <c r="U254" s="145"/>
      <c r="V254" s="145"/>
      <c r="W254" s="145"/>
      <c r="X254" s="145"/>
      <c r="Y254" s="145"/>
      <c r="Z254" s="145"/>
      <c r="AA254" s="145"/>
      <c r="AB254" s="145"/>
      <c r="AC254" s="145"/>
      <c r="AD254" s="145"/>
      <c r="AE254" s="145"/>
      <c r="AF254" s="145"/>
      <c r="AG254" s="145"/>
      <c r="AH254" s="145"/>
      <c r="AI254" s="145"/>
      <c r="AJ254" s="145"/>
      <c r="AK254" s="145"/>
      <c r="AL254" s="145"/>
      <c r="AM254" s="145"/>
      <c r="AN254" s="145"/>
      <c r="AO254" s="292"/>
      <c r="AP254" s="292"/>
      <c r="AQ254" s="292"/>
      <c r="AR254" s="292"/>
      <c r="AS254" s="292"/>
      <c r="AT254" s="292"/>
      <c r="AU254" s="292"/>
      <c r="AV254" s="292"/>
      <c r="AW254" s="292"/>
      <c r="AX254" s="292"/>
    </row>
    <row r="255" ht="15.75" customHeight="1">
      <c r="A255" s="257" t="s">
        <v>220</v>
      </c>
      <c r="B255" s="240" t="s">
        <v>1967</v>
      </c>
      <c r="C255" s="190" t="s">
        <v>1972</v>
      </c>
      <c r="D255" s="190" t="s">
        <v>1962</v>
      </c>
      <c r="E255" s="190" t="s">
        <v>1974</v>
      </c>
      <c r="F255" s="190"/>
      <c r="G255" s="293"/>
      <c r="H255" s="293"/>
      <c r="I255" s="219"/>
      <c r="J255" s="295"/>
      <c r="K255" s="219"/>
      <c r="L255" s="219"/>
      <c r="M255" s="219"/>
      <c r="N255" s="219"/>
      <c r="O255" s="219" t="s">
        <v>3388</v>
      </c>
      <c r="P255" s="291"/>
      <c r="Q255" s="219" t="s">
        <v>307</v>
      </c>
      <c r="R255" s="219"/>
      <c r="S255" s="219"/>
      <c r="T255" s="219"/>
      <c r="U255" s="219"/>
      <c r="V255" s="219"/>
      <c r="W255" s="219"/>
      <c r="X255" s="219"/>
      <c r="Y255" s="219"/>
      <c r="Z255" s="219"/>
      <c r="AA255" s="219"/>
      <c r="AB255" s="219"/>
      <c r="AC255" s="219"/>
      <c r="AD255" s="219"/>
      <c r="AE255" s="219"/>
      <c r="AF255" s="219"/>
      <c r="AG255" s="219"/>
      <c r="AH255" s="219"/>
      <c r="AI255" s="219"/>
      <c r="AJ255" s="219"/>
      <c r="AK255" s="219"/>
      <c r="AL255" s="219"/>
      <c r="AM255" s="219"/>
      <c r="AN255" s="219"/>
      <c r="AO255" s="292"/>
      <c r="AP255" s="292"/>
      <c r="AQ255" s="292"/>
      <c r="AR255" s="292"/>
      <c r="AS255" s="292"/>
      <c r="AT255" s="292"/>
      <c r="AU255" s="292"/>
      <c r="AV255" s="292"/>
      <c r="AW255" s="292"/>
      <c r="AX255" s="292"/>
    </row>
    <row r="256" ht="15.75" customHeight="1">
      <c r="A256" s="199" t="s">
        <v>1060</v>
      </c>
      <c r="B256" s="147" t="s">
        <v>1975</v>
      </c>
      <c r="C256" s="190" t="s">
        <v>1982</v>
      </c>
      <c r="D256" s="190" t="s">
        <v>1983</v>
      </c>
      <c r="E256" s="190" t="s">
        <v>1984</v>
      </c>
      <c r="F256" s="190"/>
      <c r="G256" s="293"/>
      <c r="H256" s="293"/>
      <c r="I256" s="145"/>
      <c r="J256" s="146"/>
      <c r="K256" s="145"/>
      <c r="L256" s="145"/>
      <c r="M256" s="145"/>
      <c r="N256" s="145"/>
      <c r="O256" s="145" t="s">
        <v>3370</v>
      </c>
      <c r="P256" s="291"/>
      <c r="Q256" s="145" t="s">
        <v>307</v>
      </c>
      <c r="R256" s="145"/>
      <c r="S256" s="145"/>
      <c r="T256" s="145"/>
      <c r="U256" s="145"/>
      <c r="V256" s="145"/>
      <c r="W256" s="145"/>
      <c r="X256" s="145"/>
      <c r="Y256" s="145"/>
      <c r="Z256" s="145"/>
      <c r="AA256" s="145"/>
      <c r="AB256" s="145"/>
      <c r="AC256" s="145"/>
      <c r="AD256" s="145"/>
      <c r="AE256" s="145"/>
      <c r="AF256" s="145"/>
      <c r="AG256" s="145"/>
      <c r="AH256" s="145"/>
      <c r="AI256" s="145"/>
      <c r="AJ256" s="145"/>
      <c r="AK256" s="145"/>
      <c r="AL256" s="145"/>
      <c r="AM256" s="145"/>
      <c r="AN256" s="145"/>
      <c r="AO256" s="292"/>
      <c r="AP256" s="292"/>
      <c r="AQ256" s="292"/>
      <c r="AR256" s="292"/>
      <c r="AS256" s="292"/>
      <c r="AT256" s="292"/>
      <c r="AU256" s="292"/>
      <c r="AV256" s="292"/>
      <c r="AW256" s="292"/>
      <c r="AX256" s="292"/>
    </row>
    <row r="257" ht="15.75" customHeight="1">
      <c r="A257" s="238" t="s">
        <v>46</v>
      </c>
      <c r="B257" s="132" t="s">
        <v>1985</v>
      </c>
      <c r="C257" s="190" t="s">
        <v>1990</v>
      </c>
      <c r="D257" s="190" t="s">
        <v>1991</v>
      </c>
      <c r="E257" s="190" t="s">
        <v>1992</v>
      </c>
      <c r="F257" s="190"/>
      <c r="G257" s="293"/>
      <c r="H257" s="293"/>
      <c r="I257" s="128"/>
      <c r="J257" s="128"/>
      <c r="K257" s="128"/>
      <c r="L257" s="128"/>
      <c r="M257" s="128"/>
      <c r="N257" s="128"/>
      <c r="O257" s="128"/>
      <c r="P257" s="291"/>
      <c r="Q257" s="128"/>
      <c r="R257" s="128"/>
      <c r="S257" s="128"/>
      <c r="T257" s="128"/>
      <c r="U257" s="128"/>
      <c r="V257" s="128"/>
      <c r="W257" s="128"/>
      <c r="X257" s="128"/>
      <c r="Y257" s="128"/>
      <c r="Z257" s="128"/>
      <c r="AA257" s="128"/>
      <c r="AB257" s="128"/>
      <c r="AC257" s="128"/>
      <c r="AD257" s="128"/>
      <c r="AE257" s="128"/>
      <c r="AF257" s="128"/>
      <c r="AG257" s="128"/>
      <c r="AH257" s="128"/>
      <c r="AI257" s="128"/>
      <c r="AJ257" s="128"/>
      <c r="AK257" s="128"/>
      <c r="AL257" s="128"/>
      <c r="AM257" s="128"/>
      <c r="AN257" s="128"/>
      <c r="AO257" s="292"/>
      <c r="AP257" s="292"/>
      <c r="AQ257" s="292"/>
      <c r="AR257" s="292"/>
      <c r="AS257" s="292"/>
      <c r="AT257" s="292"/>
      <c r="AU257" s="292"/>
      <c r="AV257" s="292"/>
      <c r="AW257" s="292"/>
      <c r="AX257" s="292"/>
    </row>
    <row r="258" ht="15.75" customHeight="1">
      <c r="A258" s="258" t="s">
        <v>247</v>
      </c>
      <c r="B258" s="259" t="s">
        <v>1993</v>
      </c>
      <c r="C258" s="190" t="s">
        <v>2000</v>
      </c>
      <c r="D258" s="190" t="s">
        <v>2001</v>
      </c>
      <c r="E258" s="190" t="s">
        <v>2002</v>
      </c>
      <c r="F258" s="190"/>
      <c r="G258" s="293"/>
      <c r="H258" s="293"/>
      <c r="I258" s="303"/>
      <c r="J258" s="303"/>
      <c r="K258" s="304" t="s">
        <v>3420</v>
      </c>
      <c r="L258" s="304"/>
      <c r="M258" s="303"/>
      <c r="N258" s="303"/>
      <c r="O258" s="303"/>
      <c r="P258" s="291"/>
      <c r="Q258" s="303" t="s">
        <v>307</v>
      </c>
      <c r="R258" s="303"/>
      <c r="S258" s="303"/>
      <c r="T258" s="303"/>
      <c r="U258" s="303"/>
      <c r="V258" s="303"/>
      <c r="W258" s="303"/>
      <c r="X258" s="303"/>
      <c r="Y258" s="303"/>
      <c r="Z258" s="303"/>
      <c r="AA258" s="303"/>
      <c r="AB258" s="303"/>
      <c r="AC258" s="303"/>
      <c r="AD258" s="303"/>
      <c r="AE258" s="303"/>
      <c r="AF258" s="303"/>
      <c r="AG258" s="303"/>
      <c r="AH258" s="303"/>
      <c r="AI258" s="303"/>
      <c r="AJ258" s="303"/>
      <c r="AK258" s="303"/>
      <c r="AL258" s="303"/>
      <c r="AM258" s="303"/>
      <c r="AN258" s="303"/>
      <c r="AO258" s="292"/>
      <c r="AP258" s="292"/>
      <c r="AQ258" s="292"/>
      <c r="AR258" s="292"/>
      <c r="AS258" s="292"/>
      <c r="AT258" s="292"/>
      <c r="AU258" s="292"/>
      <c r="AV258" s="292"/>
      <c r="AW258" s="292"/>
      <c r="AX258" s="292"/>
    </row>
    <row r="259" ht="15.75" customHeight="1">
      <c r="A259" s="255" t="s">
        <v>278</v>
      </c>
      <c r="B259" s="143" t="s">
        <v>2003</v>
      </c>
      <c r="C259" s="190"/>
      <c r="D259" s="190"/>
      <c r="E259" s="190"/>
      <c r="F259" s="190"/>
      <c r="G259" s="141"/>
      <c r="H259" s="141"/>
      <c r="I259" s="141"/>
      <c r="J259" s="142" t="s">
        <v>987</v>
      </c>
      <c r="K259" s="211" t="s">
        <v>3433</v>
      </c>
      <c r="L259" s="141"/>
      <c r="M259" s="142"/>
      <c r="N259" s="142"/>
      <c r="O259" s="142"/>
      <c r="P259" s="291"/>
      <c r="Q259" s="141"/>
      <c r="R259" s="141"/>
      <c r="S259" s="141"/>
      <c r="T259" s="141"/>
      <c r="U259" s="141"/>
      <c r="V259" s="141"/>
      <c r="W259" s="141"/>
      <c r="X259" s="141"/>
      <c r="Y259" s="141"/>
      <c r="Z259" s="141"/>
      <c r="AA259" s="141"/>
      <c r="AB259" s="141"/>
      <c r="AC259" s="141"/>
      <c r="AD259" s="292"/>
      <c r="AE259" s="292"/>
      <c r="AF259" s="292"/>
      <c r="AG259" s="292"/>
      <c r="AH259" s="292"/>
      <c r="AI259" s="292"/>
      <c r="AJ259" s="292"/>
      <c r="AK259" s="292"/>
      <c r="AL259" s="292"/>
      <c r="AM259" s="292"/>
      <c r="AN259" s="292"/>
      <c r="AO259" s="292"/>
      <c r="AP259" s="292"/>
      <c r="AQ259" s="292"/>
      <c r="AR259" s="292"/>
      <c r="AS259" s="292"/>
      <c r="AT259" s="292"/>
      <c r="AU259" s="292"/>
      <c r="AV259" s="292"/>
      <c r="AW259" s="292"/>
      <c r="AX259" s="292"/>
    </row>
    <row r="260" ht="15.75" customHeight="1">
      <c r="A260" s="199" t="s">
        <v>2011</v>
      </c>
      <c r="B260" s="147" t="s">
        <v>2012</v>
      </c>
      <c r="C260" s="190" t="s">
        <v>2019</v>
      </c>
      <c r="D260" s="190" t="s">
        <v>2020</v>
      </c>
      <c r="E260" s="190" t="s">
        <v>2021</v>
      </c>
      <c r="F260" s="190"/>
      <c r="G260" s="293"/>
      <c r="H260" s="293"/>
      <c r="I260" s="145"/>
      <c r="J260" s="146" t="s">
        <v>5</v>
      </c>
      <c r="K260" s="145"/>
      <c r="L260" s="145"/>
      <c r="M260" s="145"/>
      <c r="N260" s="145"/>
      <c r="O260" s="145"/>
      <c r="P260" s="291"/>
      <c r="Q260" s="145"/>
      <c r="R260" s="145"/>
      <c r="S260" s="145"/>
      <c r="T260" s="145"/>
      <c r="U260" s="145"/>
      <c r="V260" s="145"/>
      <c r="W260" s="145"/>
      <c r="X260" s="145"/>
      <c r="Y260" s="145"/>
      <c r="Z260" s="145"/>
      <c r="AA260" s="145"/>
      <c r="AB260" s="145"/>
      <c r="AC260" s="145"/>
      <c r="AD260" s="292"/>
      <c r="AE260" s="292"/>
      <c r="AF260" s="292"/>
      <c r="AG260" s="292"/>
      <c r="AH260" s="292"/>
      <c r="AI260" s="292"/>
      <c r="AJ260" s="292"/>
      <c r="AK260" s="292"/>
      <c r="AL260" s="292"/>
      <c r="AM260" s="292"/>
      <c r="AN260" s="292"/>
      <c r="AO260" s="292"/>
      <c r="AP260" s="292"/>
      <c r="AQ260" s="292"/>
      <c r="AR260" s="292"/>
      <c r="AS260" s="292"/>
      <c r="AT260" s="292"/>
      <c r="AU260" s="292"/>
      <c r="AV260" s="292"/>
      <c r="AW260" s="292"/>
      <c r="AX260" s="292"/>
    </row>
    <row r="261" ht="15.75" customHeight="1">
      <c r="A261" s="199" t="s">
        <v>2011</v>
      </c>
      <c r="B261" s="147" t="s">
        <v>2022</v>
      </c>
      <c r="C261" s="190" t="s">
        <v>2028</v>
      </c>
      <c r="D261" s="190" t="s">
        <v>2029</v>
      </c>
      <c r="E261" s="190" t="s">
        <v>2031</v>
      </c>
      <c r="F261" s="190"/>
      <c r="G261" s="293"/>
      <c r="H261" s="293"/>
      <c r="I261" s="145"/>
      <c r="J261" s="146" t="s">
        <v>3474</v>
      </c>
      <c r="K261" s="145"/>
      <c r="L261" s="145"/>
      <c r="M261" s="145"/>
      <c r="N261" s="145"/>
      <c r="O261" s="145"/>
      <c r="P261" s="291"/>
      <c r="Q261" s="145" t="s">
        <v>307</v>
      </c>
      <c r="R261" s="145"/>
      <c r="S261" s="145"/>
      <c r="T261" s="145"/>
      <c r="U261" s="145"/>
      <c r="V261" s="145"/>
      <c r="W261" s="145"/>
      <c r="X261" s="145"/>
      <c r="Y261" s="145"/>
      <c r="Z261" s="145"/>
      <c r="AA261" s="145"/>
      <c r="AB261" s="145"/>
      <c r="AC261" s="145"/>
      <c r="AD261" s="292"/>
      <c r="AE261" s="292"/>
      <c r="AF261" s="292"/>
      <c r="AG261" s="292"/>
      <c r="AH261" s="292"/>
      <c r="AI261" s="292"/>
      <c r="AJ261" s="292"/>
      <c r="AK261" s="292"/>
      <c r="AL261" s="292"/>
      <c r="AM261" s="292"/>
      <c r="AN261" s="292"/>
      <c r="AO261" s="292"/>
      <c r="AP261" s="292"/>
      <c r="AQ261" s="292"/>
      <c r="AR261" s="292"/>
      <c r="AS261" s="292"/>
      <c r="AT261" s="292"/>
      <c r="AU261" s="292"/>
      <c r="AV261" s="292"/>
      <c r="AW261" s="292"/>
      <c r="AX261" s="292"/>
    </row>
    <row r="262" ht="15.75" customHeight="1">
      <c r="A262" s="199" t="s">
        <v>2011</v>
      </c>
      <c r="B262" s="147" t="s">
        <v>2033</v>
      </c>
      <c r="C262" s="190" t="s">
        <v>2037</v>
      </c>
      <c r="D262" s="190" t="s">
        <v>2038</v>
      </c>
      <c r="E262" s="190" t="s">
        <v>2039</v>
      </c>
      <c r="F262" s="190"/>
      <c r="G262" s="293"/>
      <c r="H262" s="293"/>
      <c r="I262" s="145"/>
      <c r="J262" s="146" t="s">
        <v>3474</v>
      </c>
      <c r="K262" s="145"/>
      <c r="L262" s="145"/>
      <c r="M262" s="145"/>
      <c r="N262" s="145"/>
      <c r="O262" s="145"/>
      <c r="P262" s="291"/>
      <c r="Q262" s="145" t="s">
        <v>307</v>
      </c>
      <c r="R262" s="145"/>
      <c r="S262" s="145"/>
      <c r="T262" s="145"/>
      <c r="U262" s="145"/>
      <c r="V262" s="145"/>
      <c r="W262" s="145"/>
      <c r="X262" s="145"/>
      <c r="Y262" s="145"/>
      <c r="Z262" s="145"/>
      <c r="AA262" s="145"/>
      <c r="AB262" s="145"/>
      <c r="AC262" s="145"/>
      <c r="AD262" s="292"/>
      <c r="AE262" s="292"/>
      <c r="AF262" s="292"/>
      <c r="AG262" s="292"/>
      <c r="AH262" s="292"/>
      <c r="AI262" s="292"/>
      <c r="AJ262" s="292"/>
      <c r="AK262" s="292"/>
      <c r="AL262" s="292"/>
      <c r="AM262" s="292"/>
      <c r="AN262" s="292"/>
      <c r="AO262" s="292"/>
      <c r="AP262" s="292"/>
      <c r="AQ262" s="292"/>
      <c r="AR262" s="292"/>
      <c r="AS262" s="292"/>
      <c r="AT262" s="292"/>
      <c r="AU262" s="292"/>
      <c r="AV262" s="292"/>
      <c r="AW262" s="292"/>
      <c r="AX262" s="292"/>
    </row>
    <row r="263" ht="15.75" customHeight="1">
      <c r="A263" s="199" t="s">
        <v>2011</v>
      </c>
      <c r="B263" s="147" t="s">
        <v>2040</v>
      </c>
      <c r="C263" s="190" t="s">
        <v>2046</v>
      </c>
      <c r="D263" s="190" t="s">
        <v>2046</v>
      </c>
      <c r="E263" s="190" t="s">
        <v>2047</v>
      </c>
      <c r="F263" s="190"/>
      <c r="G263" s="293"/>
      <c r="H263" s="293"/>
      <c r="I263" s="145"/>
      <c r="J263" s="146" t="s">
        <v>3474</v>
      </c>
      <c r="K263" s="145"/>
      <c r="L263" s="145"/>
      <c r="M263" s="145"/>
      <c r="N263" s="145"/>
      <c r="O263" s="145"/>
      <c r="P263" s="291"/>
      <c r="Q263" s="145" t="s">
        <v>307</v>
      </c>
      <c r="R263" s="145"/>
      <c r="S263" s="145"/>
      <c r="T263" s="145"/>
      <c r="U263" s="145"/>
      <c r="V263" s="145"/>
      <c r="W263" s="145"/>
      <c r="X263" s="145"/>
      <c r="Y263" s="145"/>
      <c r="Z263" s="145"/>
      <c r="AA263" s="145"/>
      <c r="AB263" s="145"/>
      <c r="AC263" s="145"/>
      <c r="AD263" s="292"/>
      <c r="AE263" s="292"/>
      <c r="AF263" s="292"/>
      <c r="AG263" s="292"/>
      <c r="AH263" s="292"/>
      <c r="AI263" s="292"/>
      <c r="AJ263" s="292"/>
      <c r="AK263" s="292"/>
      <c r="AL263" s="292"/>
      <c r="AM263" s="292"/>
      <c r="AN263" s="292"/>
      <c r="AO263" s="292"/>
      <c r="AP263" s="292"/>
      <c r="AQ263" s="292"/>
      <c r="AR263" s="292"/>
      <c r="AS263" s="292"/>
      <c r="AT263" s="292"/>
      <c r="AU263" s="292"/>
      <c r="AV263" s="292"/>
      <c r="AW263" s="292"/>
      <c r="AX263" s="292"/>
    </row>
    <row r="264" ht="15.75" customHeight="1">
      <c r="A264" s="199" t="s">
        <v>2011</v>
      </c>
      <c r="B264" s="147" t="s">
        <v>2049</v>
      </c>
      <c r="C264" s="190" t="s">
        <v>2056</v>
      </c>
      <c r="D264" s="190" t="s">
        <v>2057</v>
      </c>
      <c r="E264" s="190" t="s">
        <v>2058</v>
      </c>
      <c r="F264" s="190"/>
      <c r="G264" s="293"/>
      <c r="H264" s="293"/>
      <c r="I264" s="145"/>
      <c r="J264" s="146" t="s">
        <v>3474</v>
      </c>
      <c r="K264" s="145"/>
      <c r="L264" s="145"/>
      <c r="M264" s="145"/>
      <c r="N264" s="145"/>
      <c r="O264" s="145"/>
      <c r="P264" s="291"/>
      <c r="Q264" s="145" t="s">
        <v>307</v>
      </c>
      <c r="R264" s="145"/>
      <c r="S264" s="145"/>
      <c r="T264" s="145"/>
      <c r="U264" s="145"/>
      <c r="V264" s="145"/>
      <c r="W264" s="145"/>
      <c r="X264" s="145"/>
      <c r="Y264" s="145"/>
      <c r="Z264" s="145"/>
      <c r="AA264" s="145"/>
      <c r="AB264" s="145"/>
      <c r="AC264" s="145"/>
      <c r="AD264" s="292"/>
      <c r="AE264" s="292"/>
      <c r="AF264" s="292"/>
      <c r="AG264" s="292"/>
      <c r="AH264" s="292"/>
      <c r="AI264" s="292"/>
      <c r="AJ264" s="292"/>
      <c r="AK264" s="292"/>
      <c r="AL264" s="292"/>
      <c r="AM264" s="292"/>
      <c r="AN264" s="292"/>
      <c r="AO264" s="292"/>
      <c r="AP264" s="292"/>
      <c r="AQ264" s="292"/>
      <c r="AR264" s="292"/>
      <c r="AS264" s="292"/>
      <c r="AT264" s="292"/>
      <c r="AU264" s="292"/>
      <c r="AV264" s="292"/>
      <c r="AW264" s="292"/>
      <c r="AX264" s="292"/>
    </row>
    <row r="265" ht="15.75" customHeight="1">
      <c r="A265" s="199" t="s">
        <v>2011</v>
      </c>
      <c r="B265" s="147" t="s">
        <v>2059</v>
      </c>
      <c r="C265" s="190" t="s">
        <v>2065</v>
      </c>
      <c r="D265" s="190" t="s">
        <v>2066</v>
      </c>
      <c r="E265" s="190" t="s">
        <v>2067</v>
      </c>
      <c r="F265" s="190"/>
      <c r="G265" s="293"/>
      <c r="H265" s="293"/>
      <c r="I265" s="145"/>
      <c r="J265" s="146" t="s">
        <v>3474</v>
      </c>
      <c r="K265" s="145"/>
      <c r="L265" s="145"/>
      <c r="M265" s="145"/>
      <c r="N265" s="145"/>
      <c r="O265" s="145"/>
      <c r="P265" s="291"/>
      <c r="Q265" s="145" t="s">
        <v>307</v>
      </c>
      <c r="R265" s="145"/>
      <c r="S265" s="145"/>
      <c r="T265" s="145"/>
      <c r="U265" s="145"/>
      <c r="V265" s="145"/>
      <c r="W265" s="145"/>
      <c r="X265" s="145"/>
      <c r="Y265" s="145"/>
      <c r="Z265" s="145"/>
      <c r="AA265" s="145"/>
      <c r="AB265" s="145"/>
      <c r="AC265" s="145"/>
      <c r="AD265" s="292"/>
      <c r="AE265" s="292"/>
      <c r="AF265" s="292"/>
      <c r="AG265" s="292"/>
      <c r="AH265" s="292"/>
      <c r="AI265" s="292"/>
      <c r="AJ265" s="292"/>
      <c r="AK265" s="292"/>
      <c r="AL265" s="292"/>
      <c r="AM265" s="292"/>
      <c r="AN265" s="292"/>
      <c r="AO265" s="292"/>
      <c r="AP265" s="292"/>
      <c r="AQ265" s="292"/>
      <c r="AR265" s="292"/>
      <c r="AS265" s="292"/>
      <c r="AT265" s="292"/>
      <c r="AU265" s="292"/>
      <c r="AV265" s="292"/>
      <c r="AW265" s="292"/>
      <c r="AX265" s="292"/>
    </row>
    <row r="266" ht="15.75" customHeight="1">
      <c r="A266" s="199" t="s">
        <v>2011</v>
      </c>
      <c r="B266" s="147" t="s">
        <v>2068</v>
      </c>
      <c r="C266" s="190" t="s">
        <v>2076</v>
      </c>
      <c r="D266" s="190" t="s">
        <v>2077</v>
      </c>
      <c r="E266" s="190" t="s">
        <v>2078</v>
      </c>
      <c r="F266" s="190"/>
      <c r="G266" s="293"/>
      <c r="H266" s="293"/>
      <c r="I266" s="145"/>
      <c r="J266" s="146" t="s">
        <v>3474</v>
      </c>
      <c r="K266" s="145"/>
      <c r="L266" s="145"/>
      <c r="M266" s="145"/>
      <c r="N266" s="145"/>
      <c r="O266" s="145"/>
      <c r="P266" s="291"/>
      <c r="Q266" s="145" t="s">
        <v>307</v>
      </c>
      <c r="R266" s="145"/>
      <c r="S266" s="145"/>
      <c r="T266" s="145"/>
      <c r="U266" s="145"/>
      <c r="V266" s="145"/>
      <c r="W266" s="145"/>
      <c r="X266" s="145"/>
      <c r="Y266" s="145"/>
      <c r="Z266" s="145"/>
      <c r="AA266" s="145"/>
      <c r="AB266" s="145"/>
      <c r="AC266" s="145"/>
      <c r="AD266" s="292"/>
      <c r="AE266" s="292"/>
      <c r="AF266" s="292"/>
      <c r="AG266" s="292"/>
      <c r="AH266" s="292"/>
      <c r="AI266" s="292"/>
      <c r="AJ266" s="292"/>
      <c r="AK266" s="292"/>
      <c r="AL266" s="292"/>
      <c r="AM266" s="292"/>
      <c r="AN266" s="292"/>
      <c r="AO266" s="292"/>
      <c r="AP266" s="292"/>
      <c r="AQ266" s="292"/>
      <c r="AR266" s="292"/>
      <c r="AS266" s="292"/>
      <c r="AT266" s="292"/>
      <c r="AU266" s="292"/>
      <c r="AV266" s="292"/>
      <c r="AW266" s="292"/>
      <c r="AX266" s="292"/>
    </row>
    <row r="267" ht="15.75" customHeight="1">
      <c r="A267" s="199" t="s">
        <v>2011</v>
      </c>
      <c r="B267" s="147" t="s">
        <v>2079</v>
      </c>
      <c r="C267" s="190" t="s">
        <v>2086</v>
      </c>
      <c r="D267" s="190" t="s">
        <v>2087</v>
      </c>
      <c r="E267" s="190" t="s">
        <v>2088</v>
      </c>
      <c r="F267" s="190"/>
      <c r="G267" s="293"/>
      <c r="H267" s="293"/>
      <c r="I267" s="145"/>
      <c r="J267" s="146" t="s">
        <v>3474</v>
      </c>
      <c r="K267" s="145"/>
      <c r="L267" s="145"/>
      <c r="M267" s="145"/>
      <c r="N267" s="145"/>
      <c r="O267" s="145"/>
      <c r="P267" s="291"/>
      <c r="Q267" s="145" t="s">
        <v>307</v>
      </c>
      <c r="R267" s="145"/>
      <c r="S267" s="145"/>
      <c r="T267" s="145"/>
      <c r="U267" s="145"/>
      <c r="V267" s="145"/>
      <c r="W267" s="145"/>
      <c r="X267" s="145"/>
      <c r="Y267" s="145"/>
      <c r="Z267" s="145"/>
      <c r="AA267" s="145"/>
      <c r="AB267" s="145"/>
      <c r="AC267" s="145"/>
      <c r="AD267" s="292"/>
      <c r="AE267" s="292"/>
      <c r="AF267" s="292"/>
      <c r="AG267" s="292"/>
      <c r="AH267" s="292"/>
      <c r="AI267" s="292"/>
      <c r="AJ267" s="292"/>
      <c r="AK267" s="292"/>
      <c r="AL267" s="292"/>
      <c r="AM267" s="292"/>
      <c r="AN267" s="292"/>
      <c r="AO267" s="292"/>
      <c r="AP267" s="292"/>
      <c r="AQ267" s="292"/>
      <c r="AR267" s="292"/>
      <c r="AS267" s="292"/>
      <c r="AT267" s="292"/>
      <c r="AU267" s="292"/>
      <c r="AV267" s="292"/>
      <c r="AW267" s="292"/>
      <c r="AX267" s="292"/>
    </row>
    <row r="268" ht="15.75" customHeight="1">
      <c r="A268" s="255" t="s">
        <v>331</v>
      </c>
      <c r="B268" s="152" t="s">
        <v>2003</v>
      </c>
      <c r="C268" s="190"/>
      <c r="D268" s="190"/>
      <c r="E268" s="190"/>
      <c r="F268" s="190"/>
      <c r="G268" s="141"/>
      <c r="H268" s="141"/>
      <c r="I268" s="141"/>
      <c r="J268" s="141"/>
      <c r="K268" s="141"/>
      <c r="L268" s="141"/>
      <c r="M268" s="141"/>
      <c r="N268" s="141"/>
      <c r="O268" s="141"/>
      <c r="P268" s="291"/>
      <c r="Q268" s="141"/>
      <c r="R268" s="141"/>
      <c r="S268" s="141"/>
      <c r="T268" s="141"/>
      <c r="U268" s="141"/>
      <c r="V268" s="141"/>
      <c r="W268" s="141"/>
      <c r="X268" s="141"/>
      <c r="Y268" s="141"/>
      <c r="Z268" s="141"/>
      <c r="AA268" s="141"/>
      <c r="AB268" s="141"/>
      <c r="AC268" s="141"/>
      <c r="AD268" s="292"/>
      <c r="AE268" s="292"/>
      <c r="AF268" s="292"/>
      <c r="AG268" s="292"/>
      <c r="AH268" s="292"/>
      <c r="AI268" s="292"/>
      <c r="AJ268" s="292"/>
      <c r="AK268" s="292"/>
      <c r="AL268" s="292"/>
      <c r="AM268" s="292"/>
      <c r="AN268" s="292"/>
      <c r="AO268" s="292"/>
      <c r="AP268" s="292"/>
      <c r="AQ268" s="292"/>
      <c r="AR268" s="292"/>
      <c r="AS268" s="292"/>
      <c r="AT268" s="292"/>
      <c r="AU268" s="292"/>
      <c r="AV268" s="292"/>
      <c r="AW268" s="292"/>
      <c r="AX268" s="292"/>
    </row>
    <row r="269" ht="15.75" customHeight="1">
      <c r="A269" s="255" t="s">
        <v>278</v>
      </c>
      <c r="B269" s="143" t="s">
        <v>2096</v>
      </c>
      <c r="C269" s="190"/>
      <c r="D269" s="190"/>
      <c r="E269" s="190"/>
      <c r="F269" s="190"/>
      <c r="G269" s="141"/>
      <c r="H269" s="141"/>
      <c r="I269" s="141"/>
      <c r="J269" s="142" t="s">
        <v>987</v>
      </c>
      <c r="K269" s="141"/>
      <c r="L269" s="141"/>
      <c r="M269" s="142"/>
      <c r="N269" s="142"/>
      <c r="O269" s="142"/>
      <c r="P269" s="291"/>
      <c r="Q269" s="141"/>
      <c r="R269" s="141"/>
      <c r="S269" s="141"/>
      <c r="T269" s="141"/>
      <c r="U269" s="141"/>
      <c r="V269" s="141"/>
      <c r="W269" s="141"/>
      <c r="X269" s="141"/>
      <c r="Y269" s="141"/>
      <c r="Z269" s="141"/>
      <c r="AA269" s="141"/>
      <c r="AB269" s="141"/>
      <c r="AC269" s="141"/>
      <c r="AD269" s="141"/>
      <c r="AE269" s="141"/>
      <c r="AF269" s="292"/>
      <c r="AG269" s="292"/>
      <c r="AH269" s="292"/>
      <c r="AI269" s="292"/>
      <c r="AJ269" s="292"/>
      <c r="AK269" s="292"/>
      <c r="AL269" s="141"/>
      <c r="AM269" s="141"/>
      <c r="AN269" s="141"/>
      <c r="AO269" s="292"/>
      <c r="AP269" s="292"/>
      <c r="AQ269" s="292"/>
      <c r="AR269" s="292"/>
      <c r="AS269" s="292"/>
      <c r="AT269" s="292"/>
      <c r="AU269" s="292"/>
      <c r="AV269" s="292"/>
      <c r="AW269" s="292"/>
      <c r="AX269" s="292"/>
    </row>
    <row r="270" ht="15.75" customHeight="1">
      <c r="A270" s="199" t="s">
        <v>2100</v>
      </c>
      <c r="B270" s="147" t="s">
        <v>2102</v>
      </c>
      <c r="C270" s="190" t="s">
        <v>2109</v>
      </c>
      <c r="D270" s="190" t="s">
        <v>2110</v>
      </c>
      <c r="E270" s="190" t="s">
        <v>2111</v>
      </c>
      <c r="F270" s="190" t="s">
        <v>3588</v>
      </c>
      <c r="G270" s="293" t="s">
        <v>3589</v>
      </c>
      <c r="H270" s="293" t="s">
        <v>3590</v>
      </c>
      <c r="I270" s="145"/>
      <c r="J270" s="146" t="s">
        <v>5</v>
      </c>
      <c r="K270" s="145"/>
      <c r="L270" s="145"/>
      <c r="M270" s="145"/>
      <c r="N270" s="145"/>
      <c r="O270" s="145"/>
      <c r="P270" s="291"/>
      <c r="Q270" s="145"/>
      <c r="R270" s="145"/>
      <c r="S270" s="145"/>
      <c r="T270" s="145"/>
      <c r="U270" s="145"/>
      <c r="V270" s="145"/>
      <c r="W270" s="145"/>
      <c r="X270" s="145"/>
      <c r="Y270" s="145"/>
      <c r="Z270" s="145"/>
      <c r="AA270" s="145"/>
      <c r="AB270" s="145"/>
      <c r="AC270" s="145"/>
      <c r="AD270" s="292"/>
      <c r="AE270" s="292"/>
      <c r="AF270" s="292"/>
      <c r="AG270" s="292"/>
      <c r="AH270" s="292"/>
      <c r="AI270" s="292"/>
      <c r="AJ270" s="292"/>
      <c r="AK270" s="292"/>
      <c r="AL270" s="141"/>
      <c r="AM270" s="141"/>
      <c r="AN270" s="141"/>
      <c r="AO270" s="292"/>
      <c r="AP270" s="292"/>
      <c r="AQ270" s="292"/>
      <c r="AR270" s="292"/>
      <c r="AS270" s="292"/>
      <c r="AT270" s="292"/>
      <c r="AU270" s="292"/>
      <c r="AV270" s="292"/>
      <c r="AW270" s="292"/>
      <c r="AX270" s="292"/>
    </row>
    <row r="271" ht="15.75" customHeight="1">
      <c r="A271" s="199" t="s">
        <v>2100</v>
      </c>
      <c r="B271" s="147" t="s">
        <v>2112</v>
      </c>
      <c r="C271" s="190" t="s">
        <v>2117</v>
      </c>
      <c r="D271" s="190" t="s">
        <v>2118</v>
      </c>
      <c r="E271" s="190" t="s">
        <v>2119</v>
      </c>
      <c r="F271" s="190"/>
      <c r="G271" s="293"/>
      <c r="H271" s="293"/>
      <c r="I271" s="145"/>
      <c r="J271" s="146" t="s">
        <v>3474</v>
      </c>
      <c r="K271" s="145"/>
      <c r="L271" s="145"/>
      <c r="M271" s="145"/>
      <c r="N271" s="145"/>
      <c r="O271" s="145"/>
      <c r="P271" s="291"/>
      <c r="Q271" s="145" t="s">
        <v>307</v>
      </c>
      <c r="R271" s="145"/>
      <c r="S271" s="145"/>
      <c r="T271" s="145"/>
      <c r="U271" s="145"/>
      <c r="V271" s="145"/>
      <c r="W271" s="145"/>
      <c r="X271" s="145"/>
      <c r="Y271" s="145"/>
      <c r="Z271" s="145"/>
      <c r="AA271" s="145"/>
      <c r="AB271" s="145"/>
      <c r="AC271" s="145"/>
      <c r="AD271" s="292"/>
      <c r="AE271" s="292"/>
      <c r="AF271" s="292"/>
      <c r="AG271" s="292"/>
      <c r="AH271" s="292"/>
      <c r="AI271" s="292"/>
      <c r="AJ271" s="292"/>
      <c r="AK271" s="292"/>
      <c r="AL271" s="141"/>
      <c r="AM271" s="141"/>
      <c r="AN271" s="141"/>
      <c r="AO271" s="292"/>
      <c r="AP271" s="292"/>
      <c r="AQ271" s="292"/>
      <c r="AR271" s="292"/>
      <c r="AS271" s="292"/>
      <c r="AT271" s="292"/>
      <c r="AU271" s="292"/>
      <c r="AV271" s="292"/>
      <c r="AW271" s="292"/>
      <c r="AX271" s="292"/>
    </row>
    <row r="272" ht="15.75" customHeight="1">
      <c r="A272" s="199" t="s">
        <v>2100</v>
      </c>
      <c r="B272" s="147" t="s">
        <v>2120</v>
      </c>
      <c r="C272" s="190" t="s">
        <v>2125</v>
      </c>
      <c r="D272" s="190" t="s">
        <v>2126</v>
      </c>
      <c r="E272" s="190" t="s">
        <v>2127</v>
      </c>
      <c r="F272" s="190"/>
      <c r="G272" s="293"/>
      <c r="H272" s="293"/>
      <c r="I272" s="145"/>
      <c r="J272" s="146" t="s">
        <v>3474</v>
      </c>
      <c r="K272" s="145"/>
      <c r="L272" s="145"/>
      <c r="M272" s="145"/>
      <c r="N272" s="145"/>
      <c r="O272" s="145"/>
      <c r="P272" s="291"/>
      <c r="Q272" s="145" t="s">
        <v>307</v>
      </c>
      <c r="R272" s="145"/>
      <c r="S272" s="145"/>
      <c r="T272" s="145"/>
      <c r="U272" s="145"/>
      <c r="V272" s="145"/>
      <c r="W272" s="145"/>
      <c r="X272" s="145"/>
      <c r="Y272" s="145"/>
      <c r="Z272" s="145"/>
      <c r="AA272" s="145"/>
      <c r="AB272" s="145"/>
      <c r="AC272" s="145"/>
      <c r="AD272" s="292"/>
      <c r="AE272" s="292"/>
      <c r="AF272" s="292"/>
      <c r="AG272" s="292"/>
      <c r="AH272" s="292"/>
      <c r="AI272" s="292"/>
      <c r="AJ272" s="292"/>
      <c r="AK272" s="292"/>
      <c r="AL272" s="141"/>
      <c r="AM272" s="141"/>
      <c r="AN272" s="141"/>
      <c r="AO272" s="292"/>
      <c r="AP272" s="292"/>
      <c r="AQ272" s="292"/>
      <c r="AR272" s="292"/>
      <c r="AS272" s="292"/>
      <c r="AT272" s="292"/>
      <c r="AU272" s="292"/>
      <c r="AV272" s="292"/>
      <c r="AW272" s="292"/>
      <c r="AX272" s="292"/>
    </row>
    <row r="273" ht="15.75" customHeight="1">
      <c r="A273" s="255" t="s">
        <v>331</v>
      </c>
      <c r="B273" s="152" t="s">
        <v>2096</v>
      </c>
      <c r="C273" s="190"/>
      <c r="D273" s="190"/>
      <c r="E273" s="190"/>
      <c r="F273" s="190"/>
      <c r="G273" s="141"/>
      <c r="H273" s="141"/>
      <c r="I273" s="141"/>
      <c r="J273" s="141"/>
      <c r="K273" s="141"/>
      <c r="L273" s="141"/>
      <c r="M273" s="141"/>
      <c r="N273" s="141"/>
      <c r="O273" s="141"/>
      <c r="P273" s="291"/>
      <c r="Q273" s="141"/>
      <c r="R273" s="141"/>
      <c r="S273" s="141"/>
      <c r="T273" s="141"/>
      <c r="U273" s="141"/>
      <c r="V273" s="141"/>
      <c r="W273" s="141"/>
      <c r="X273" s="141"/>
      <c r="Y273" s="141"/>
      <c r="Z273" s="141"/>
      <c r="AA273" s="141"/>
      <c r="AB273" s="141"/>
      <c r="AC273" s="141"/>
      <c r="AD273" s="141"/>
      <c r="AE273" s="141"/>
      <c r="AF273" s="292"/>
      <c r="AG273" s="292"/>
      <c r="AH273" s="292"/>
      <c r="AI273" s="292"/>
      <c r="AJ273" s="292"/>
      <c r="AK273" s="292"/>
      <c r="AL273" s="141"/>
      <c r="AM273" s="141"/>
      <c r="AN273" s="141"/>
      <c r="AO273" s="292"/>
      <c r="AP273" s="292"/>
      <c r="AQ273" s="292"/>
      <c r="AR273" s="292"/>
      <c r="AS273" s="292"/>
      <c r="AT273" s="292"/>
      <c r="AU273" s="292"/>
      <c r="AV273" s="292"/>
      <c r="AW273" s="292"/>
      <c r="AX273" s="292"/>
    </row>
    <row r="274" ht="15.75" customHeight="1">
      <c r="A274" s="255" t="s">
        <v>278</v>
      </c>
      <c r="B274" s="143" t="s">
        <v>2131</v>
      </c>
      <c r="C274" s="190"/>
      <c r="D274" s="190"/>
      <c r="E274" s="190"/>
      <c r="F274" s="190"/>
      <c r="G274" s="141"/>
      <c r="H274" s="141"/>
      <c r="I274" s="141"/>
      <c r="J274" s="142" t="s">
        <v>987</v>
      </c>
      <c r="K274" s="141"/>
      <c r="L274" s="141"/>
      <c r="M274" s="142"/>
      <c r="N274" s="142"/>
      <c r="O274" s="142"/>
      <c r="P274" s="29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292"/>
      <c r="AP274" s="292"/>
      <c r="AQ274" s="292"/>
      <c r="AR274" s="292"/>
      <c r="AS274" s="292"/>
      <c r="AT274" s="292"/>
      <c r="AU274" s="292"/>
      <c r="AV274" s="292"/>
      <c r="AW274" s="292"/>
      <c r="AX274" s="292"/>
    </row>
    <row r="275" ht="15.75" customHeight="1">
      <c r="A275" s="199" t="s">
        <v>2139</v>
      </c>
      <c r="B275" s="147" t="s">
        <v>2140</v>
      </c>
      <c r="C275" s="190" t="s">
        <v>2145</v>
      </c>
      <c r="D275" s="190" t="s">
        <v>2146</v>
      </c>
      <c r="E275" s="190" t="s">
        <v>2147</v>
      </c>
      <c r="F275" s="190"/>
      <c r="G275" s="293"/>
      <c r="H275" s="293"/>
      <c r="I275" s="145"/>
      <c r="J275" s="146" t="s">
        <v>5</v>
      </c>
      <c r="K275" s="145"/>
      <c r="L275" s="145"/>
      <c r="M275" s="145"/>
      <c r="N275" s="145"/>
      <c r="O275" s="145"/>
      <c r="P275" s="291"/>
      <c r="Q275" s="145"/>
      <c r="R275" s="145"/>
      <c r="S275" s="145"/>
      <c r="T275" s="145"/>
      <c r="U275" s="145"/>
      <c r="V275" s="145"/>
      <c r="W275" s="145"/>
      <c r="X275" s="145"/>
      <c r="Y275" s="145"/>
      <c r="Z275" s="145"/>
      <c r="AA275" s="145"/>
      <c r="AB275" s="145"/>
      <c r="AC275" s="145"/>
      <c r="AD275" s="145"/>
      <c r="AE275" s="145"/>
      <c r="AF275" s="145"/>
      <c r="AG275" s="145"/>
      <c r="AH275" s="145"/>
      <c r="AI275" s="145"/>
      <c r="AJ275" s="145"/>
      <c r="AK275" s="145"/>
      <c r="AL275" s="145"/>
      <c r="AM275" s="145"/>
      <c r="AN275" s="145"/>
      <c r="AO275" s="292"/>
      <c r="AP275" s="292"/>
      <c r="AQ275" s="292"/>
      <c r="AR275" s="292"/>
      <c r="AS275" s="292"/>
      <c r="AT275" s="292"/>
      <c r="AU275" s="292"/>
      <c r="AV275" s="292"/>
      <c r="AW275" s="292"/>
      <c r="AX275" s="292"/>
    </row>
    <row r="276" ht="15.75" customHeight="1">
      <c r="A276" s="199" t="s">
        <v>2139</v>
      </c>
      <c r="B276" s="147" t="s">
        <v>2148</v>
      </c>
      <c r="C276" s="190" t="s">
        <v>2152</v>
      </c>
      <c r="D276" s="190" t="s">
        <v>2153</v>
      </c>
      <c r="E276" s="190" t="s">
        <v>2154</v>
      </c>
      <c r="F276" s="190"/>
      <c r="G276" s="293"/>
      <c r="H276" s="293"/>
      <c r="I276" s="145"/>
      <c r="J276" s="146" t="s">
        <v>3474</v>
      </c>
      <c r="K276" s="145"/>
      <c r="L276" s="145"/>
      <c r="M276" s="145"/>
      <c r="N276" s="145"/>
      <c r="O276" s="145"/>
      <c r="P276" s="291"/>
      <c r="Q276" s="145" t="s">
        <v>307</v>
      </c>
      <c r="R276" s="145"/>
      <c r="S276" s="145"/>
      <c r="T276" s="145"/>
      <c r="U276" s="145"/>
      <c r="V276" s="145"/>
      <c r="W276" s="145"/>
      <c r="X276" s="145"/>
      <c r="Y276" s="145"/>
      <c r="Z276" s="145"/>
      <c r="AA276" s="145"/>
      <c r="AB276" s="145"/>
      <c r="AC276" s="145"/>
      <c r="AD276" s="145"/>
      <c r="AE276" s="145"/>
      <c r="AF276" s="145"/>
      <c r="AG276" s="145"/>
      <c r="AH276" s="145"/>
      <c r="AI276" s="145"/>
      <c r="AJ276" s="145"/>
      <c r="AK276" s="145"/>
      <c r="AL276" s="145"/>
      <c r="AM276" s="145"/>
      <c r="AN276" s="145"/>
      <c r="AO276" s="292"/>
      <c r="AP276" s="292"/>
      <c r="AQ276" s="292"/>
      <c r="AR276" s="292"/>
      <c r="AS276" s="292"/>
      <c r="AT276" s="292"/>
      <c r="AU276" s="292"/>
      <c r="AV276" s="292"/>
      <c r="AW276" s="292"/>
      <c r="AX276" s="292"/>
    </row>
    <row r="277" ht="15.75" customHeight="1">
      <c r="A277" s="199" t="s">
        <v>2139</v>
      </c>
      <c r="B277" s="147" t="s">
        <v>2156</v>
      </c>
      <c r="C277" s="190" t="s">
        <v>2163</v>
      </c>
      <c r="D277" s="190" t="s">
        <v>2164</v>
      </c>
      <c r="E277" s="190" t="s">
        <v>2165</v>
      </c>
      <c r="F277" s="190"/>
      <c r="G277" s="293"/>
      <c r="H277" s="293"/>
      <c r="I277" s="145"/>
      <c r="J277" s="146" t="s">
        <v>3474</v>
      </c>
      <c r="K277" s="145"/>
      <c r="L277" s="145"/>
      <c r="M277" s="145"/>
      <c r="N277" s="145"/>
      <c r="O277" s="145"/>
      <c r="P277" s="291"/>
      <c r="Q277" s="145" t="s">
        <v>307</v>
      </c>
      <c r="R277" s="145"/>
      <c r="S277" s="145"/>
      <c r="T277" s="145"/>
      <c r="U277" s="145"/>
      <c r="V277" s="145"/>
      <c r="W277" s="145"/>
      <c r="X277" s="145"/>
      <c r="Y277" s="145"/>
      <c r="Z277" s="145"/>
      <c r="AA277" s="145"/>
      <c r="AB277" s="145"/>
      <c r="AC277" s="145"/>
      <c r="AD277" s="145"/>
      <c r="AE277" s="145"/>
      <c r="AF277" s="145"/>
      <c r="AG277" s="145"/>
      <c r="AH277" s="145"/>
      <c r="AI277" s="145"/>
      <c r="AJ277" s="145"/>
      <c r="AK277" s="145"/>
      <c r="AL277" s="145"/>
      <c r="AM277" s="145"/>
      <c r="AN277" s="145"/>
      <c r="AO277" s="292"/>
      <c r="AP277" s="292"/>
      <c r="AQ277" s="292"/>
      <c r="AR277" s="292"/>
      <c r="AS277" s="292"/>
      <c r="AT277" s="292"/>
      <c r="AU277" s="292"/>
      <c r="AV277" s="292"/>
      <c r="AW277" s="292"/>
      <c r="AX277" s="292"/>
    </row>
    <row r="278" ht="15.75" customHeight="1">
      <c r="A278" s="199" t="s">
        <v>2139</v>
      </c>
      <c r="B278" s="147" t="s">
        <v>2166</v>
      </c>
      <c r="C278" s="190" t="s">
        <v>2170</v>
      </c>
      <c r="D278" s="190" t="s">
        <v>2171</v>
      </c>
      <c r="E278" s="190" t="s">
        <v>2172</v>
      </c>
      <c r="F278" s="190"/>
      <c r="G278" s="293"/>
      <c r="H278" s="293"/>
      <c r="I278" s="145"/>
      <c r="J278" s="146" t="s">
        <v>3474</v>
      </c>
      <c r="K278" s="145"/>
      <c r="L278" s="145"/>
      <c r="M278" s="145"/>
      <c r="N278" s="145"/>
      <c r="O278" s="145"/>
      <c r="P278" s="291"/>
      <c r="Q278" s="145" t="s">
        <v>307</v>
      </c>
      <c r="R278" s="145"/>
      <c r="S278" s="145"/>
      <c r="T278" s="145"/>
      <c r="U278" s="145"/>
      <c r="V278" s="145"/>
      <c r="W278" s="145"/>
      <c r="X278" s="145"/>
      <c r="Y278" s="145"/>
      <c r="Z278" s="145"/>
      <c r="AA278" s="145"/>
      <c r="AB278" s="145"/>
      <c r="AC278" s="145"/>
      <c r="AD278" s="145"/>
      <c r="AE278" s="145"/>
      <c r="AF278" s="145"/>
      <c r="AG278" s="145"/>
      <c r="AH278" s="145"/>
      <c r="AI278" s="145"/>
      <c r="AJ278" s="145"/>
      <c r="AK278" s="145"/>
      <c r="AL278" s="145"/>
      <c r="AM278" s="145"/>
      <c r="AN278" s="145"/>
      <c r="AO278" s="292"/>
      <c r="AP278" s="292"/>
      <c r="AQ278" s="292"/>
      <c r="AR278" s="292"/>
      <c r="AS278" s="292"/>
      <c r="AT278" s="292"/>
      <c r="AU278" s="292"/>
      <c r="AV278" s="292"/>
      <c r="AW278" s="292"/>
      <c r="AX278" s="292"/>
    </row>
    <row r="279" ht="15.75" customHeight="1">
      <c r="A279" s="199" t="s">
        <v>2139</v>
      </c>
      <c r="B279" s="147" t="s">
        <v>2173</v>
      </c>
      <c r="C279" s="190" t="s">
        <v>2180</v>
      </c>
      <c r="D279" s="190" t="s">
        <v>2181</v>
      </c>
      <c r="E279" s="190" t="s">
        <v>2182</v>
      </c>
      <c r="F279" s="190"/>
      <c r="G279" s="293"/>
      <c r="H279" s="293"/>
      <c r="I279" s="145"/>
      <c r="J279" s="146" t="s">
        <v>3474</v>
      </c>
      <c r="K279" s="145"/>
      <c r="L279" s="145"/>
      <c r="M279" s="145"/>
      <c r="N279" s="145"/>
      <c r="O279" s="145"/>
      <c r="P279" s="291"/>
      <c r="Q279" s="145" t="s">
        <v>307</v>
      </c>
      <c r="R279" s="145"/>
      <c r="S279" s="145"/>
      <c r="T279" s="145"/>
      <c r="U279" s="145"/>
      <c r="V279" s="145"/>
      <c r="W279" s="145"/>
      <c r="X279" s="145"/>
      <c r="Y279" s="145"/>
      <c r="Z279" s="145"/>
      <c r="AA279" s="145"/>
      <c r="AB279" s="145"/>
      <c r="AC279" s="145"/>
      <c r="AD279" s="292"/>
      <c r="AE279" s="292"/>
      <c r="AF279" s="292"/>
      <c r="AG279" s="292"/>
      <c r="AH279" s="292"/>
      <c r="AI279" s="292"/>
      <c r="AJ279" s="292"/>
      <c r="AK279" s="292"/>
      <c r="AL279" s="145"/>
      <c r="AM279" s="145"/>
      <c r="AN279" s="145"/>
      <c r="AO279" s="292"/>
      <c r="AP279" s="292"/>
      <c r="AQ279" s="292"/>
      <c r="AR279" s="292"/>
      <c r="AS279" s="292"/>
      <c r="AT279" s="292"/>
      <c r="AU279" s="292"/>
      <c r="AV279" s="292"/>
      <c r="AW279" s="292"/>
      <c r="AX279" s="292"/>
    </row>
    <row r="280" ht="15.75" customHeight="1">
      <c r="A280" s="199" t="s">
        <v>2139</v>
      </c>
      <c r="B280" s="147" t="s">
        <v>2183</v>
      </c>
      <c r="C280" s="190" t="s">
        <v>2190</v>
      </c>
      <c r="D280" s="190" t="s">
        <v>2191</v>
      </c>
      <c r="E280" s="190" t="s">
        <v>2192</v>
      </c>
      <c r="F280" s="190"/>
      <c r="G280" s="293"/>
      <c r="H280" s="293"/>
      <c r="I280" s="145"/>
      <c r="J280" s="146" t="s">
        <v>3474</v>
      </c>
      <c r="K280" s="145"/>
      <c r="L280" s="145"/>
      <c r="M280" s="145"/>
      <c r="N280" s="145"/>
      <c r="O280" s="145"/>
      <c r="P280" s="291"/>
      <c r="Q280" s="145" t="s">
        <v>307</v>
      </c>
      <c r="R280" s="145"/>
      <c r="S280" s="145"/>
      <c r="T280" s="145"/>
      <c r="U280" s="145"/>
      <c r="V280" s="145"/>
      <c r="W280" s="145"/>
      <c r="X280" s="145"/>
      <c r="Y280" s="145"/>
      <c r="Z280" s="145"/>
      <c r="AA280" s="145"/>
      <c r="AB280" s="145"/>
      <c r="AC280" s="145"/>
      <c r="AD280" s="145"/>
      <c r="AE280" s="145"/>
      <c r="AF280" s="145"/>
      <c r="AG280" s="145"/>
      <c r="AH280" s="145"/>
      <c r="AI280" s="145"/>
      <c r="AJ280" s="145"/>
      <c r="AK280" s="145"/>
      <c r="AL280" s="145"/>
      <c r="AM280" s="145"/>
      <c r="AN280" s="145"/>
      <c r="AO280" s="292"/>
      <c r="AP280" s="292"/>
      <c r="AQ280" s="292"/>
      <c r="AR280" s="292"/>
      <c r="AS280" s="292"/>
      <c r="AT280" s="292"/>
      <c r="AU280" s="292"/>
      <c r="AV280" s="292"/>
      <c r="AW280" s="292"/>
      <c r="AX280" s="292"/>
    </row>
    <row r="281" ht="15.75" customHeight="1">
      <c r="A281" s="199" t="s">
        <v>2139</v>
      </c>
      <c r="B281" s="147" t="s">
        <v>2193</v>
      </c>
      <c r="C281" s="190" t="s">
        <v>2200</v>
      </c>
      <c r="D281" s="190" t="s">
        <v>2201</v>
      </c>
      <c r="E281" s="190" t="s">
        <v>2202</v>
      </c>
      <c r="F281" s="190"/>
      <c r="G281" s="293"/>
      <c r="H281" s="293"/>
      <c r="I281" s="145"/>
      <c r="J281" s="146" t="s">
        <v>3474</v>
      </c>
      <c r="K281" s="145"/>
      <c r="L281" s="145"/>
      <c r="M281" s="145"/>
      <c r="N281" s="145"/>
      <c r="O281" s="145"/>
      <c r="P281" s="291"/>
      <c r="Q281" s="145" t="s">
        <v>307</v>
      </c>
      <c r="R281" s="145"/>
      <c r="S281" s="145"/>
      <c r="T281" s="145"/>
      <c r="U281" s="145"/>
      <c r="V281" s="145"/>
      <c r="W281" s="145"/>
      <c r="X281" s="145"/>
      <c r="Y281" s="145"/>
      <c r="Z281" s="145"/>
      <c r="AA281" s="145"/>
      <c r="AB281" s="145"/>
      <c r="AC281" s="145"/>
      <c r="AD281" s="145"/>
      <c r="AE281" s="145"/>
      <c r="AF281" s="145"/>
      <c r="AG281" s="145"/>
      <c r="AH281" s="145"/>
      <c r="AI281" s="145"/>
      <c r="AJ281" s="145"/>
      <c r="AK281" s="145"/>
      <c r="AL281" s="145"/>
      <c r="AM281" s="145"/>
      <c r="AN281" s="145"/>
      <c r="AO281" s="292"/>
      <c r="AP281" s="292"/>
      <c r="AQ281" s="292"/>
      <c r="AR281" s="292"/>
      <c r="AS281" s="292"/>
      <c r="AT281" s="292"/>
      <c r="AU281" s="292"/>
      <c r="AV281" s="292"/>
      <c r="AW281" s="292"/>
      <c r="AX281" s="292"/>
    </row>
    <row r="282" ht="15.75" customHeight="1">
      <c r="A282" s="199" t="s">
        <v>2139</v>
      </c>
      <c r="B282" s="147" t="s">
        <v>2204</v>
      </c>
      <c r="C282" s="190" t="s">
        <v>2208</v>
      </c>
      <c r="D282" s="190" t="s">
        <v>2209</v>
      </c>
      <c r="E282" s="190" t="s">
        <v>2210</v>
      </c>
      <c r="F282" s="190"/>
      <c r="G282" s="293"/>
      <c r="H282" s="293"/>
      <c r="I282" s="145"/>
      <c r="J282" s="146" t="s">
        <v>3474</v>
      </c>
      <c r="K282" s="145"/>
      <c r="L282" s="145"/>
      <c r="M282" s="145"/>
      <c r="N282" s="145"/>
      <c r="O282" s="145"/>
      <c r="P282" s="291"/>
      <c r="Q282" s="145" t="s">
        <v>307</v>
      </c>
      <c r="R282" s="145"/>
      <c r="S282" s="145"/>
      <c r="T282" s="145"/>
      <c r="U282" s="145"/>
      <c r="V282" s="145"/>
      <c r="W282" s="145"/>
      <c r="X282" s="145"/>
      <c r="Y282" s="145"/>
      <c r="Z282" s="145"/>
      <c r="AA282" s="145"/>
      <c r="AB282" s="145"/>
      <c r="AC282" s="145"/>
      <c r="AD282" s="145"/>
      <c r="AE282" s="145"/>
      <c r="AF282" s="145"/>
      <c r="AG282" s="145"/>
      <c r="AH282" s="145"/>
      <c r="AI282" s="145"/>
      <c r="AJ282" s="145"/>
      <c r="AK282" s="145"/>
      <c r="AL282" s="145"/>
      <c r="AM282" s="145"/>
      <c r="AN282" s="145"/>
      <c r="AO282" s="292"/>
      <c r="AP282" s="292"/>
      <c r="AQ282" s="292"/>
      <c r="AR282" s="292"/>
      <c r="AS282" s="292"/>
      <c r="AT282" s="292"/>
      <c r="AU282" s="292"/>
      <c r="AV282" s="292"/>
      <c r="AW282" s="292"/>
      <c r="AX282" s="292"/>
    </row>
    <row r="283" ht="15.75" customHeight="1">
      <c r="A283" s="199" t="s">
        <v>2139</v>
      </c>
      <c r="B283" s="147" t="s">
        <v>2212</v>
      </c>
      <c r="C283" s="190" t="s">
        <v>2218</v>
      </c>
      <c r="D283" s="190" t="s">
        <v>2219</v>
      </c>
      <c r="E283" s="190" t="s">
        <v>2220</v>
      </c>
      <c r="F283" s="190"/>
      <c r="G283" s="293"/>
      <c r="H283" s="293"/>
      <c r="I283" s="145"/>
      <c r="J283" s="146" t="s">
        <v>3474</v>
      </c>
      <c r="K283" s="145"/>
      <c r="L283" s="145"/>
      <c r="M283" s="145"/>
      <c r="N283" s="145"/>
      <c r="O283" s="145" t="s">
        <v>3723</v>
      </c>
      <c r="P283" s="291"/>
      <c r="Q283" s="145" t="s">
        <v>307</v>
      </c>
      <c r="R283" s="145"/>
      <c r="S283" s="145"/>
      <c r="T283" s="145"/>
      <c r="U283" s="145"/>
      <c r="V283" s="145"/>
      <c r="W283" s="145"/>
      <c r="X283" s="145"/>
      <c r="Y283" s="145"/>
      <c r="Z283" s="145"/>
      <c r="AA283" s="145"/>
      <c r="AB283" s="145"/>
      <c r="AC283" s="145"/>
      <c r="AD283" s="145"/>
      <c r="AE283" s="145"/>
      <c r="AF283" s="145"/>
      <c r="AG283" s="145"/>
      <c r="AH283" s="145"/>
      <c r="AI283" s="145"/>
      <c r="AJ283" s="145"/>
      <c r="AK283" s="145"/>
      <c r="AL283" s="145"/>
      <c r="AM283" s="145"/>
      <c r="AN283" s="145"/>
      <c r="AO283" s="292"/>
      <c r="AP283" s="292"/>
      <c r="AQ283" s="292"/>
      <c r="AR283" s="292"/>
      <c r="AS283" s="292"/>
      <c r="AT283" s="292"/>
      <c r="AU283" s="292"/>
      <c r="AV283" s="292"/>
      <c r="AW283" s="292"/>
      <c r="AX283" s="292"/>
    </row>
    <row r="284" ht="15.75" customHeight="1">
      <c r="A284" s="199" t="s">
        <v>2139</v>
      </c>
      <c r="B284" s="147" t="s">
        <v>2221</v>
      </c>
      <c r="C284" s="190" t="s">
        <v>2226</v>
      </c>
      <c r="D284" s="190" t="s">
        <v>2228</v>
      </c>
      <c r="E284" s="190" t="s">
        <v>2229</v>
      </c>
      <c r="F284" s="190"/>
      <c r="G284" s="293"/>
      <c r="H284" s="293"/>
      <c r="I284" s="145"/>
      <c r="J284" s="146" t="s">
        <v>3474</v>
      </c>
      <c r="K284" s="145"/>
      <c r="L284" s="145"/>
      <c r="M284" s="145"/>
      <c r="N284" s="145"/>
      <c r="O284" s="145" t="s">
        <v>3723</v>
      </c>
      <c r="P284" s="291"/>
      <c r="Q284" s="145" t="s">
        <v>307</v>
      </c>
      <c r="R284" s="145"/>
      <c r="S284" s="145"/>
      <c r="T284" s="145"/>
      <c r="U284" s="145"/>
      <c r="V284" s="145"/>
      <c r="W284" s="145"/>
      <c r="X284" s="145"/>
      <c r="Y284" s="145"/>
      <c r="Z284" s="145"/>
      <c r="AA284" s="145"/>
      <c r="AB284" s="145"/>
      <c r="AC284" s="145"/>
      <c r="AD284" s="145"/>
      <c r="AE284" s="145"/>
      <c r="AF284" s="145"/>
      <c r="AG284" s="145"/>
      <c r="AH284" s="145"/>
      <c r="AI284" s="145"/>
      <c r="AJ284" s="145"/>
      <c r="AK284" s="145"/>
      <c r="AL284" s="145"/>
      <c r="AM284" s="145"/>
      <c r="AN284" s="145"/>
      <c r="AO284" s="292"/>
      <c r="AP284" s="292"/>
      <c r="AQ284" s="292"/>
      <c r="AR284" s="292"/>
      <c r="AS284" s="292"/>
      <c r="AT284" s="292"/>
      <c r="AU284" s="292"/>
      <c r="AV284" s="292"/>
      <c r="AW284" s="292"/>
      <c r="AX284" s="292"/>
    </row>
    <row r="285" ht="15.75" customHeight="1">
      <c r="A285" s="199" t="s">
        <v>2139</v>
      </c>
      <c r="B285" s="147" t="s">
        <v>2230</v>
      </c>
      <c r="C285" s="190" t="s">
        <v>2234</v>
      </c>
      <c r="D285" s="190" t="s">
        <v>2235</v>
      </c>
      <c r="E285" s="190" t="s">
        <v>2236</v>
      </c>
      <c r="F285" s="190"/>
      <c r="G285" s="293"/>
      <c r="H285" s="293"/>
      <c r="I285" s="145"/>
      <c r="J285" s="146" t="s">
        <v>3474</v>
      </c>
      <c r="K285" s="145"/>
      <c r="L285" s="145"/>
      <c r="M285" s="145"/>
      <c r="N285" s="145"/>
      <c r="O285" s="145"/>
      <c r="P285" s="291"/>
      <c r="Q285" s="145" t="s">
        <v>307</v>
      </c>
      <c r="R285" s="145"/>
      <c r="S285" s="145"/>
      <c r="T285" s="145"/>
      <c r="U285" s="145"/>
      <c r="V285" s="145"/>
      <c r="W285" s="145"/>
      <c r="X285" s="145"/>
      <c r="Y285" s="145"/>
      <c r="Z285" s="145"/>
      <c r="AA285" s="145"/>
      <c r="AB285" s="145"/>
      <c r="AC285" s="145"/>
      <c r="AD285" s="145"/>
      <c r="AE285" s="145"/>
      <c r="AF285" s="145"/>
      <c r="AG285" s="145"/>
      <c r="AH285" s="145"/>
      <c r="AI285" s="145"/>
      <c r="AJ285" s="145"/>
      <c r="AK285" s="145"/>
      <c r="AL285" s="145"/>
      <c r="AM285" s="145"/>
      <c r="AN285" s="145"/>
      <c r="AO285" s="292"/>
      <c r="AP285" s="292"/>
      <c r="AQ285" s="292"/>
      <c r="AR285" s="292"/>
      <c r="AS285" s="292"/>
      <c r="AT285" s="292"/>
      <c r="AU285" s="292"/>
      <c r="AV285" s="292"/>
      <c r="AW285" s="292"/>
      <c r="AX285" s="292"/>
    </row>
    <row r="286" ht="15.75" customHeight="1">
      <c r="A286" s="199" t="s">
        <v>2139</v>
      </c>
      <c r="B286" s="147" t="s">
        <v>2238</v>
      </c>
      <c r="C286" s="190" t="s">
        <v>2245</v>
      </c>
      <c r="D286" s="190" t="s">
        <v>2246</v>
      </c>
      <c r="E286" s="190" t="s">
        <v>2247</v>
      </c>
      <c r="F286" s="190"/>
      <c r="G286" s="293"/>
      <c r="H286" s="293"/>
      <c r="I286" s="145"/>
      <c r="J286" s="146" t="s">
        <v>3474</v>
      </c>
      <c r="K286" s="145"/>
      <c r="L286" s="145"/>
      <c r="M286" s="145"/>
      <c r="N286" s="145"/>
      <c r="O286" s="145"/>
      <c r="P286" s="291"/>
      <c r="Q286" s="145" t="s">
        <v>307</v>
      </c>
      <c r="R286" s="145"/>
      <c r="S286" s="145"/>
      <c r="T286" s="145"/>
      <c r="U286" s="145"/>
      <c r="V286" s="145"/>
      <c r="W286" s="145"/>
      <c r="X286" s="145"/>
      <c r="Y286" s="145"/>
      <c r="Z286" s="145"/>
      <c r="AA286" s="145"/>
      <c r="AB286" s="145"/>
      <c r="AC286" s="145"/>
      <c r="AD286" s="145"/>
      <c r="AE286" s="145"/>
      <c r="AF286" s="145"/>
      <c r="AG286" s="145"/>
      <c r="AH286" s="145"/>
      <c r="AI286" s="145"/>
      <c r="AJ286" s="145"/>
      <c r="AK286" s="145"/>
      <c r="AL286" s="145"/>
      <c r="AM286" s="145"/>
      <c r="AN286" s="145"/>
      <c r="AO286" s="292"/>
      <c r="AP286" s="292"/>
      <c r="AQ286" s="292"/>
      <c r="AR286" s="292"/>
      <c r="AS286" s="292"/>
      <c r="AT286" s="292"/>
      <c r="AU286" s="292"/>
      <c r="AV286" s="292"/>
      <c r="AW286" s="292"/>
      <c r="AX286" s="292"/>
    </row>
    <row r="287" ht="15.75" customHeight="1">
      <c r="A287" s="255" t="s">
        <v>331</v>
      </c>
      <c r="B287" s="152" t="s">
        <v>2131</v>
      </c>
      <c r="C287" s="190"/>
      <c r="D287" s="190"/>
      <c r="E287" s="190"/>
      <c r="F287" s="190"/>
      <c r="G287" s="141"/>
      <c r="H287" s="141"/>
      <c r="I287" s="141"/>
      <c r="J287" s="141"/>
      <c r="K287" s="141"/>
      <c r="L287" s="141"/>
      <c r="M287" s="141"/>
      <c r="N287" s="141"/>
      <c r="O287" s="141"/>
      <c r="P287" s="291"/>
      <c r="Q287" s="141"/>
      <c r="R287" s="141"/>
      <c r="S287" s="141"/>
      <c r="T287" s="141"/>
      <c r="U287" s="141"/>
      <c r="V287" s="141"/>
      <c r="W287" s="141"/>
      <c r="X287" s="141"/>
      <c r="Y287" s="141"/>
      <c r="Z287" s="141"/>
      <c r="AA287" s="141"/>
      <c r="AB287" s="141"/>
      <c r="AC287" s="141"/>
      <c r="AD287" s="141"/>
      <c r="AE287" s="141"/>
      <c r="AF287" s="141"/>
      <c r="AG287" s="141"/>
      <c r="AH287" s="141"/>
      <c r="AI287" s="141"/>
      <c r="AJ287" s="141"/>
      <c r="AK287" s="141"/>
      <c r="AL287" s="141"/>
      <c r="AM287" s="141"/>
      <c r="AN287" s="141"/>
      <c r="AO287" s="292"/>
      <c r="AP287" s="292"/>
      <c r="AQ287" s="292"/>
      <c r="AR287" s="292"/>
      <c r="AS287" s="292"/>
      <c r="AT287" s="292"/>
      <c r="AU287" s="292"/>
      <c r="AV287" s="292"/>
      <c r="AW287" s="292"/>
      <c r="AX287" s="292"/>
    </row>
    <row r="288" ht="15.75" customHeight="1">
      <c r="A288" s="258" t="s">
        <v>247</v>
      </c>
      <c r="B288" s="259" t="s">
        <v>2251</v>
      </c>
      <c r="C288" s="190" t="s">
        <v>2256</v>
      </c>
      <c r="D288" s="190" t="s">
        <v>2257</v>
      </c>
      <c r="E288" s="190" t="s">
        <v>2258</v>
      </c>
      <c r="F288" s="190" t="s">
        <v>1082</v>
      </c>
      <c r="G288" s="293" t="s">
        <v>3779</v>
      </c>
      <c r="H288" s="293" t="s">
        <v>3781</v>
      </c>
      <c r="I288" s="303"/>
      <c r="J288" s="319"/>
      <c r="K288" s="303" t="s">
        <v>3785</v>
      </c>
      <c r="L288" s="304"/>
      <c r="M288" s="303"/>
      <c r="N288" s="303"/>
      <c r="O288" s="303"/>
      <c r="P288" s="291"/>
      <c r="Q288" s="303" t="s">
        <v>307</v>
      </c>
      <c r="R288" s="303"/>
      <c r="S288" s="303"/>
      <c r="T288" s="303"/>
      <c r="U288" s="303"/>
      <c r="V288" s="303"/>
      <c r="W288" s="303"/>
      <c r="X288" s="303"/>
      <c r="Y288" s="303"/>
      <c r="Z288" s="303"/>
      <c r="AA288" s="303"/>
      <c r="AB288" s="303"/>
      <c r="AC288" s="303"/>
      <c r="AD288" s="292"/>
      <c r="AE288" s="292"/>
      <c r="AF288" s="292"/>
      <c r="AG288" s="292"/>
      <c r="AH288" s="292"/>
      <c r="AI288" s="292"/>
      <c r="AJ288" s="292"/>
      <c r="AK288" s="141"/>
      <c r="AL288" s="141"/>
      <c r="AM288" s="141"/>
      <c r="AN288" s="141"/>
      <c r="AO288" s="292"/>
      <c r="AP288" s="292"/>
      <c r="AQ288" s="292"/>
      <c r="AR288" s="292"/>
      <c r="AS288" s="292"/>
      <c r="AT288" s="292"/>
      <c r="AU288" s="292"/>
      <c r="AV288" s="292"/>
      <c r="AW288" s="292"/>
      <c r="AX288" s="292"/>
    </row>
    <row r="289" ht="15.75" customHeight="1">
      <c r="A289" s="149" t="s">
        <v>256</v>
      </c>
      <c r="B289" s="148" t="s">
        <v>2259</v>
      </c>
      <c r="C289" s="190"/>
      <c r="D289" s="190"/>
      <c r="E289" s="190"/>
      <c r="F289" s="190"/>
      <c r="G289" s="128"/>
      <c r="H289" s="128"/>
      <c r="I289" s="128"/>
      <c r="J289" s="128"/>
      <c r="K289" s="128"/>
      <c r="L289" s="128"/>
      <c r="M289" s="128"/>
      <c r="N289" s="128"/>
      <c r="O289" s="128"/>
      <c r="P289" s="291"/>
      <c r="Q289" s="128"/>
      <c r="R289" s="128"/>
      <c r="S289" s="128"/>
      <c r="T289" s="149" t="s">
        <v>260</v>
      </c>
      <c r="U289" s="128"/>
      <c r="V289" s="128"/>
      <c r="W289" s="128"/>
      <c r="X289" s="128"/>
      <c r="Y289" s="128"/>
      <c r="Z289" s="128"/>
      <c r="AA289" s="128"/>
      <c r="AB289" s="128"/>
      <c r="AC289" s="128"/>
      <c r="AD289" s="128"/>
      <c r="AE289" s="128"/>
      <c r="AF289" s="128"/>
      <c r="AG289" s="128"/>
      <c r="AH289" s="128"/>
      <c r="AI289" s="128"/>
      <c r="AJ289" s="128"/>
      <c r="AK289" s="128"/>
      <c r="AL289" s="128"/>
      <c r="AM289" s="128"/>
      <c r="AN289" s="128"/>
      <c r="AO289" s="292"/>
      <c r="AP289" s="292"/>
      <c r="AQ289" s="292"/>
      <c r="AR289" s="292"/>
      <c r="AS289" s="292"/>
      <c r="AT289" s="292"/>
      <c r="AU289" s="292"/>
      <c r="AV289" s="292"/>
      <c r="AW289" s="292"/>
      <c r="AX289" s="292"/>
    </row>
    <row r="290" ht="15.75" customHeight="1">
      <c r="A290" s="210" t="s">
        <v>112</v>
      </c>
      <c r="B290" s="277" t="s">
        <v>2267</v>
      </c>
      <c r="C290" s="190"/>
      <c r="D290" s="190"/>
      <c r="E290" s="190"/>
      <c r="F290" s="190"/>
      <c r="G290" s="141"/>
      <c r="H290" s="141"/>
      <c r="I290" s="141"/>
      <c r="J290" s="142"/>
      <c r="K290" s="141"/>
      <c r="L290" s="141"/>
      <c r="M290" s="141"/>
      <c r="N290" s="141"/>
      <c r="O290" s="142"/>
      <c r="P290" s="291"/>
      <c r="Q290" s="141"/>
      <c r="R290" s="141"/>
      <c r="S290" s="141"/>
      <c r="T290" s="210" t="s">
        <v>3827</v>
      </c>
      <c r="U290" s="141"/>
      <c r="V290" s="141"/>
      <c r="W290" s="141"/>
      <c r="X290" s="141"/>
      <c r="Y290" s="141"/>
      <c r="Z290" s="141"/>
      <c r="AA290" s="141"/>
      <c r="AB290" s="141"/>
      <c r="AC290" s="141"/>
      <c r="AD290" s="141"/>
      <c r="AE290" s="141"/>
      <c r="AF290" s="141"/>
      <c r="AG290" s="141"/>
      <c r="AH290" s="141"/>
      <c r="AI290" s="141"/>
      <c r="AJ290" s="141"/>
      <c r="AK290" s="141"/>
      <c r="AL290" s="141"/>
      <c r="AM290" s="141"/>
      <c r="AN290" s="141"/>
      <c r="AO290" s="292"/>
      <c r="AP290" s="292"/>
      <c r="AQ290" s="292"/>
      <c r="AR290" s="292"/>
      <c r="AS290" s="292"/>
      <c r="AT290" s="292"/>
      <c r="AU290" s="292"/>
      <c r="AV290" s="292"/>
      <c r="AW290" s="292"/>
      <c r="AX290" s="292"/>
    </row>
    <row r="291" ht="15.75" customHeight="1">
      <c r="A291" s="255"/>
      <c r="B291" s="143"/>
      <c r="C291" s="190"/>
      <c r="D291" s="190"/>
      <c r="E291" s="190"/>
      <c r="F291" s="190"/>
      <c r="G291" s="141"/>
      <c r="H291" s="141"/>
      <c r="I291" s="141"/>
      <c r="J291" s="142"/>
      <c r="K291" s="141"/>
      <c r="L291" s="141"/>
      <c r="M291" s="141"/>
      <c r="N291" s="141"/>
      <c r="O291" s="142"/>
      <c r="P291" s="291"/>
      <c r="Q291" s="141"/>
      <c r="R291" s="141"/>
      <c r="S291" s="141"/>
      <c r="T291" s="141"/>
      <c r="U291" s="141"/>
      <c r="V291" s="141"/>
      <c r="W291" s="141"/>
      <c r="X291" s="141"/>
      <c r="Y291" s="141"/>
      <c r="Z291" s="141"/>
      <c r="AA291" s="141"/>
      <c r="AB291" s="141"/>
      <c r="AC291" s="141"/>
      <c r="AD291" s="141"/>
      <c r="AE291" s="141"/>
      <c r="AF291" s="141"/>
      <c r="AG291" s="141"/>
      <c r="AH291" s="141"/>
      <c r="AI291" s="141"/>
      <c r="AJ291" s="141"/>
      <c r="AK291" s="141"/>
      <c r="AL291" s="141"/>
      <c r="AM291" s="141"/>
      <c r="AN291" s="141"/>
      <c r="AO291" s="292"/>
      <c r="AP291" s="292"/>
      <c r="AQ291" s="292"/>
      <c r="AR291" s="292"/>
      <c r="AS291" s="292"/>
      <c r="AT291" s="292"/>
      <c r="AU291" s="292"/>
      <c r="AV291" s="292"/>
      <c r="AW291" s="292"/>
      <c r="AX291" s="292"/>
    </row>
    <row r="292" ht="15.75" customHeight="1">
      <c r="A292" s="149" t="s">
        <v>256</v>
      </c>
      <c r="B292" s="148" t="s">
        <v>2276</v>
      </c>
      <c r="C292" s="190"/>
      <c r="D292" s="190"/>
      <c r="E292" s="190"/>
      <c r="F292" s="190"/>
      <c r="G292" s="128"/>
      <c r="H292" s="128"/>
      <c r="I292" s="128"/>
      <c r="J292" s="128"/>
      <c r="K292" s="128"/>
      <c r="L292" s="128"/>
      <c r="M292" s="128"/>
      <c r="N292" s="128"/>
      <c r="O292" s="128"/>
      <c r="P292" s="291"/>
      <c r="Q292" s="128"/>
      <c r="R292" s="128"/>
      <c r="S292" s="128"/>
      <c r="T292" s="149" t="s">
        <v>260</v>
      </c>
      <c r="U292" s="128"/>
      <c r="V292" s="128"/>
      <c r="W292" s="128"/>
      <c r="X292" s="128"/>
      <c r="Y292" s="128"/>
      <c r="Z292" s="128"/>
      <c r="AA292" s="128"/>
      <c r="AB292" s="128"/>
      <c r="AC292" s="128"/>
      <c r="AD292" s="128"/>
      <c r="AE292" s="128"/>
      <c r="AF292" s="128"/>
      <c r="AG292" s="128"/>
      <c r="AH292" s="128"/>
      <c r="AI292" s="128"/>
      <c r="AJ292" s="128"/>
      <c r="AK292" s="128"/>
      <c r="AL292" s="128"/>
      <c r="AM292" s="128"/>
      <c r="AN292" s="128"/>
      <c r="AO292" s="292"/>
      <c r="AP292" s="292"/>
      <c r="AQ292" s="292"/>
      <c r="AR292" s="292"/>
      <c r="AS292" s="292"/>
      <c r="AT292" s="292"/>
      <c r="AU292" s="292"/>
      <c r="AV292" s="292"/>
      <c r="AW292" s="292"/>
      <c r="AX292" s="292"/>
    </row>
    <row r="293" ht="15.75" customHeight="1">
      <c r="A293" s="238" t="s">
        <v>46</v>
      </c>
      <c r="B293" s="130" t="s">
        <v>2281</v>
      </c>
      <c r="C293" s="190" t="s">
        <v>2286</v>
      </c>
      <c r="D293" s="190" t="s">
        <v>2287</v>
      </c>
      <c r="E293" s="190" t="s">
        <v>2288</v>
      </c>
      <c r="F293" s="190"/>
      <c r="G293" s="293"/>
      <c r="H293" s="293"/>
      <c r="I293" s="128"/>
      <c r="J293" s="128"/>
      <c r="K293" s="128"/>
      <c r="L293" s="128"/>
      <c r="M293" s="128"/>
      <c r="N293" s="128"/>
      <c r="O293" s="128"/>
      <c r="P293" s="291"/>
      <c r="Q293" s="128"/>
      <c r="R293" s="128"/>
      <c r="S293" s="128"/>
      <c r="T293" s="128"/>
      <c r="U293" s="128"/>
      <c r="V293" s="128"/>
      <c r="W293" s="128"/>
      <c r="X293" s="128"/>
      <c r="Y293" s="128"/>
      <c r="Z293" s="128"/>
      <c r="AA293" s="128"/>
      <c r="AB293" s="128"/>
      <c r="AC293" s="128"/>
      <c r="AD293" s="128"/>
      <c r="AE293" s="128"/>
      <c r="AF293" s="128"/>
      <c r="AG293" s="128"/>
      <c r="AH293" s="128"/>
      <c r="AI293" s="128"/>
      <c r="AJ293" s="128"/>
      <c r="AK293" s="128"/>
      <c r="AL293" s="128"/>
      <c r="AM293" s="128"/>
      <c r="AN293" s="128"/>
      <c r="AO293" s="292"/>
      <c r="AP293" s="292"/>
      <c r="AQ293" s="292"/>
      <c r="AR293" s="292"/>
      <c r="AS293" s="292"/>
      <c r="AT293" s="292"/>
      <c r="AU293" s="292"/>
      <c r="AV293" s="292"/>
      <c r="AW293" s="292"/>
      <c r="AX293" s="292"/>
    </row>
    <row r="294" ht="15.75" customHeight="1">
      <c r="A294" s="199" t="s">
        <v>2011</v>
      </c>
      <c r="B294" s="147" t="s">
        <v>2289</v>
      </c>
      <c r="C294" s="190" t="s">
        <v>2293</v>
      </c>
      <c r="D294" s="190" t="s">
        <v>2294</v>
      </c>
      <c r="E294" s="190" t="s">
        <v>2295</v>
      </c>
      <c r="F294" s="190"/>
      <c r="G294" s="293"/>
      <c r="H294" s="293"/>
      <c r="I294" s="145"/>
      <c r="J294" s="146"/>
      <c r="K294" s="145"/>
      <c r="L294" s="145"/>
      <c r="M294" s="145"/>
      <c r="N294" s="145"/>
      <c r="O294" s="145"/>
      <c r="P294" s="291"/>
      <c r="Q294" s="145" t="s">
        <v>307</v>
      </c>
      <c r="R294" s="145"/>
      <c r="S294" s="145"/>
      <c r="T294" s="145"/>
      <c r="U294" s="145"/>
      <c r="V294" s="145"/>
      <c r="W294" s="145"/>
      <c r="X294" s="145"/>
      <c r="Y294" s="145"/>
      <c r="Z294" s="145"/>
      <c r="AA294" s="145"/>
      <c r="AB294" s="145"/>
      <c r="AC294" s="145"/>
      <c r="AD294" s="145"/>
      <c r="AE294" s="145"/>
      <c r="AF294" s="145"/>
      <c r="AG294" s="145"/>
      <c r="AH294" s="145"/>
      <c r="AI294" s="145"/>
      <c r="AJ294" s="145"/>
      <c r="AK294" s="145"/>
      <c r="AL294" s="145"/>
      <c r="AM294" s="145"/>
      <c r="AN294" s="145"/>
      <c r="AO294" s="292"/>
      <c r="AP294" s="292"/>
      <c r="AQ294" s="292"/>
      <c r="AR294" s="292"/>
      <c r="AS294" s="292"/>
      <c r="AT294" s="292"/>
      <c r="AU294" s="292"/>
      <c r="AV294" s="292"/>
      <c r="AW294" s="292"/>
      <c r="AX294" s="292"/>
    </row>
    <row r="295" ht="15.75" customHeight="1">
      <c r="A295" s="199" t="s">
        <v>2011</v>
      </c>
      <c r="B295" s="147" t="s">
        <v>2296</v>
      </c>
      <c r="C295" s="190" t="s">
        <v>2300</v>
      </c>
      <c r="D295" s="190" t="s">
        <v>2301</v>
      </c>
      <c r="E295" s="190" t="s">
        <v>2302</v>
      </c>
      <c r="F295" s="190"/>
      <c r="G295" s="293"/>
      <c r="H295" s="293"/>
      <c r="I295" s="145"/>
      <c r="J295" s="146"/>
      <c r="K295" s="145"/>
      <c r="L295" s="145"/>
      <c r="M295" s="145"/>
      <c r="N295" s="145"/>
      <c r="O295" s="145"/>
      <c r="P295" s="291"/>
      <c r="Q295" s="145" t="s">
        <v>307</v>
      </c>
      <c r="R295" s="145"/>
      <c r="S295" s="145"/>
      <c r="T295" s="145"/>
      <c r="U295" s="145"/>
      <c r="V295" s="145"/>
      <c r="W295" s="145"/>
      <c r="X295" s="145"/>
      <c r="Y295" s="145"/>
      <c r="Z295" s="145"/>
      <c r="AA295" s="145"/>
      <c r="AB295" s="145"/>
      <c r="AC295" s="145"/>
      <c r="AD295" s="145"/>
      <c r="AE295" s="145"/>
      <c r="AF295" s="145"/>
      <c r="AG295" s="145"/>
      <c r="AH295" s="145"/>
      <c r="AI295" s="145"/>
      <c r="AJ295" s="145"/>
      <c r="AK295" s="145"/>
      <c r="AL295" s="145"/>
      <c r="AM295" s="145"/>
      <c r="AN295" s="145"/>
      <c r="AO295" s="292"/>
      <c r="AP295" s="292"/>
      <c r="AQ295" s="292"/>
      <c r="AR295" s="292"/>
      <c r="AS295" s="292"/>
      <c r="AT295" s="292"/>
      <c r="AU295" s="292"/>
      <c r="AV295" s="292"/>
      <c r="AW295" s="292"/>
      <c r="AX295" s="292"/>
    </row>
    <row r="296" ht="15.75" customHeight="1">
      <c r="A296" s="255" t="s">
        <v>278</v>
      </c>
      <c r="B296" s="143" t="s">
        <v>2303</v>
      </c>
      <c r="C296" s="190"/>
      <c r="D296" s="190"/>
      <c r="E296" s="190"/>
      <c r="F296" s="190"/>
      <c r="G296" s="141"/>
      <c r="H296" s="141"/>
      <c r="I296" s="141"/>
      <c r="J296" s="142" t="s">
        <v>987</v>
      </c>
      <c r="K296" s="211" t="s">
        <v>3433</v>
      </c>
      <c r="L296" s="141"/>
      <c r="M296" s="142"/>
      <c r="N296" s="142"/>
      <c r="O296" s="142"/>
      <c r="P296" s="291"/>
      <c r="Q296" s="141"/>
      <c r="R296" s="141"/>
      <c r="S296" s="141"/>
      <c r="T296" s="141"/>
      <c r="U296" s="141"/>
      <c r="V296" s="141"/>
      <c r="W296" s="141"/>
      <c r="X296" s="141"/>
      <c r="Y296" s="141"/>
      <c r="Z296" s="141"/>
      <c r="AA296" s="141"/>
      <c r="AB296" s="141"/>
      <c r="AC296" s="141"/>
      <c r="AD296" s="128"/>
      <c r="AE296" s="128"/>
      <c r="AF296" s="128"/>
      <c r="AG296" s="128"/>
      <c r="AH296" s="128"/>
      <c r="AI296" s="128"/>
      <c r="AJ296" s="128"/>
      <c r="AK296" s="128"/>
      <c r="AL296" s="128"/>
      <c r="AM296" s="128"/>
      <c r="AN296" s="128"/>
      <c r="AO296" s="292"/>
      <c r="AP296" s="292"/>
      <c r="AQ296" s="292"/>
      <c r="AR296" s="292"/>
      <c r="AS296" s="292"/>
      <c r="AT296" s="292"/>
      <c r="AU296" s="292"/>
      <c r="AV296" s="292"/>
      <c r="AW296" s="292"/>
      <c r="AX296" s="292"/>
    </row>
    <row r="297" ht="15.75" customHeight="1">
      <c r="A297" s="199" t="s">
        <v>1060</v>
      </c>
      <c r="B297" s="147" t="s">
        <v>2308</v>
      </c>
      <c r="C297" s="190" t="s">
        <v>2313</v>
      </c>
      <c r="D297" s="190" t="s">
        <v>2314</v>
      </c>
      <c r="E297" s="190" t="s">
        <v>2315</v>
      </c>
      <c r="F297" s="190"/>
      <c r="G297" s="293"/>
      <c r="H297" s="293"/>
      <c r="I297" s="145"/>
      <c r="J297" s="146" t="s">
        <v>5</v>
      </c>
      <c r="K297" s="145"/>
      <c r="L297" s="145"/>
      <c r="M297" s="145"/>
      <c r="N297" s="145"/>
      <c r="O297" s="145"/>
      <c r="P297" s="291"/>
      <c r="Q297" s="145"/>
      <c r="R297" s="145"/>
      <c r="S297" s="145"/>
      <c r="T297" s="145"/>
      <c r="U297" s="145"/>
      <c r="V297" s="145"/>
      <c r="W297" s="145"/>
      <c r="X297" s="145"/>
      <c r="Y297" s="145"/>
      <c r="Z297" s="145"/>
      <c r="AA297" s="145"/>
      <c r="AB297" s="145"/>
      <c r="AC297" s="145"/>
      <c r="AD297" s="128"/>
      <c r="AE297" s="128"/>
      <c r="AF297" s="128"/>
      <c r="AG297" s="128"/>
      <c r="AH297" s="128"/>
      <c r="AI297" s="128"/>
      <c r="AJ297" s="128"/>
      <c r="AK297" s="128"/>
      <c r="AL297" s="128"/>
      <c r="AM297" s="128"/>
      <c r="AN297" s="128"/>
      <c r="AO297" s="292"/>
      <c r="AP297" s="292"/>
      <c r="AQ297" s="292"/>
      <c r="AR297" s="292"/>
      <c r="AS297" s="292"/>
      <c r="AT297" s="292"/>
      <c r="AU297" s="292"/>
      <c r="AV297" s="292"/>
      <c r="AW297" s="292"/>
      <c r="AX297" s="292"/>
    </row>
    <row r="298" ht="15.75" customHeight="1">
      <c r="A298" s="199" t="s">
        <v>1060</v>
      </c>
      <c r="B298" s="147" t="s">
        <v>2316</v>
      </c>
      <c r="C298" s="190" t="s">
        <v>2320</v>
      </c>
      <c r="D298" s="190" t="s">
        <v>2321</v>
      </c>
      <c r="E298" s="190" t="s">
        <v>2322</v>
      </c>
      <c r="F298" s="190"/>
      <c r="G298" s="293"/>
      <c r="H298" s="293"/>
      <c r="I298" s="145"/>
      <c r="J298" s="146" t="s">
        <v>3474</v>
      </c>
      <c r="K298" s="145"/>
      <c r="L298" s="145"/>
      <c r="M298" s="145"/>
      <c r="N298" s="145"/>
      <c r="O298" s="145"/>
      <c r="P298" s="291"/>
      <c r="Q298" s="145" t="s">
        <v>307</v>
      </c>
      <c r="R298" s="145"/>
      <c r="S298" s="145"/>
      <c r="T298" s="145"/>
      <c r="U298" s="145"/>
      <c r="V298" s="145"/>
      <c r="W298" s="145"/>
      <c r="X298" s="145"/>
      <c r="Y298" s="145"/>
      <c r="Z298" s="145"/>
      <c r="AA298" s="145"/>
      <c r="AB298" s="145"/>
      <c r="AC298" s="145"/>
      <c r="AD298" s="145"/>
      <c r="AE298" s="145"/>
      <c r="AF298" s="145"/>
      <c r="AG298" s="145"/>
      <c r="AH298" s="145"/>
      <c r="AI298" s="145"/>
      <c r="AJ298" s="145"/>
      <c r="AK298" s="145"/>
      <c r="AL298" s="145"/>
      <c r="AM298" s="145"/>
      <c r="AN298" s="145"/>
      <c r="AO298" s="292"/>
      <c r="AP298" s="292"/>
      <c r="AQ298" s="292"/>
      <c r="AR298" s="292"/>
      <c r="AS298" s="292"/>
      <c r="AT298" s="292"/>
      <c r="AU298" s="292"/>
      <c r="AV298" s="292"/>
      <c r="AW298" s="292"/>
      <c r="AX298" s="292"/>
    </row>
    <row r="299" ht="15.75" customHeight="1">
      <c r="A299" s="199" t="s">
        <v>1060</v>
      </c>
      <c r="B299" s="147" t="s">
        <v>2323</v>
      </c>
      <c r="C299" s="190" t="s">
        <v>2328</v>
      </c>
      <c r="D299" s="190" t="s">
        <v>2330</v>
      </c>
      <c r="E299" s="190" t="s">
        <v>2331</v>
      </c>
      <c r="F299" s="190"/>
      <c r="G299" s="293"/>
      <c r="H299" s="293"/>
      <c r="I299" s="145"/>
      <c r="J299" s="146" t="s">
        <v>3474</v>
      </c>
      <c r="K299" s="145"/>
      <c r="L299" s="145"/>
      <c r="M299" s="145"/>
      <c r="N299" s="145"/>
      <c r="O299" s="145"/>
      <c r="P299" s="291"/>
      <c r="Q299" s="145" t="s">
        <v>307</v>
      </c>
      <c r="R299" s="145"/>
      <c r="S299" s="145"/>
      <c r="T299" s="145"/>
      <c r="U299" s="145"/>
      <c r="V299" s="145"/>
      <c r="W299" s="145"/>
      <c r="X299" s="145"/>
      <c r="Y299" s="145"/>
      <c r="Z299" s="145"/>
      <c r="AA299" s="145"/>
      <c r="AB299" s="145"/>
      <c r="AC299" s="145"/>
      <c r="AD299" s="145"/>
      <c r="AE299" s="145"/>
      <c r="AF299" s="145"/>
      <c r="AG299" s="145"/>
      <c r="AH299" s="145"/>
      <c r="AI299" s="145"/>
      <c r="AJ299" s="145"/>
      <c r="AK299" s="145"/>
      <c r="AL299" s="145"/>
      <c r="AM299" s="145"/>
      <c r="AN299" s="145"/>
      <c r="AO299" s="292"/>
      <c r="AP299" s="292"/>
      <c r="AQ299" s="292"/>
      <c r="AR299" s="292"/>
      <c r="AS299" s="292"/>
      <c r="AT299" s="292"/>
      <c r="AU299" s="292"/>
      <c r="AV299" s="292"/>
      <c r="AW299" s="292"/>
      <c r="AX299" s="292"/>
    </row>
    <row r="300" ht="15.75" customHeight="1">
      <c r="A300" s="199" t="s">
        <v>1060</v>
      </c>
      <c r="B300" s="147" t="s">
        <v>2334</v>
      </c>
      <c r="C300" s="190" t="s">
        <v>2338</v>
      </c>
      <c r="D300" s="190" t="s">
        <v>2339</v>
      </c>
      <c r="E300" s="190" t="s">
        <v>2340</v>
      </c>
      <c r="F300" s="190"/>
      <c r="G300" s="293"/>
      <c r="H300" s="293"/>
      <c r="I300" s="145"/>
      <c r="J300" s="146" t="s">
        <v>3474</v>
      </c>
      <c r="K300" s="145"/>
      <c r="L300" s="145"/>
      <c r="M300" s="145"/>
      <c r="N300" s="145"/>
      <c r="O300" s="145"/>
      <c r="P300" s="291"/>
      <c r="Q300" s="145" t="s">
        <v>307</v>
      </c>
      <c r="R300" s="145"/>
      <c r="S300" s="145"/>
      <c r="T300" s="145"/>
      <c r="U300" s="145"/>
      <c r="V300" s="145"/>
      <c r="W300" s="145"/>
      <c r="X300" s="145"/>
      <c r="Y300" s="145"/>
      <c r="Z300" s="145"/>
      <c r="AA300" s="145"/>
      <c r="AB300" s="145"/>
      <c r="AC300" s="145"/>
      <c r="AD300" s="145"/>
      <c r="AE300" s="145"/>
      <c r="AF300" s="145"/>
      <c r="AG300" s="145"/>
      <c r="AH300" s="145"/>
      <c r="AI300" s="145"/>
      <c r="AJ300" s="145"/>
      <c r="AK300" s="145"/>
      <c r="AL300" s="145"/>
      <c r="AM300" s="145"/>
      <c r="AN300" s="145"/>
      <c r="AO300" s="292"/>
      <c r="AP300" s="292"/>
      <c r="AQ300" s="292"/>
      <c r="AR300" s="292"/>
      <c r="AS300" s="292"/>
      <c r="AT300" s="292"/>
      <c r="AU300" s="292"/>
      <c r="AV300" s="292"/>
      <c r="AW300" s="292"/>
      <c r="AX300" s="292"/>
    </row>
    <row r="301" ht="15.75" customHeight="1">
      <c r="A301" s="199" t="s">
        <v>1060</v>
      </c>
      <c r="B301" s="147" t="s">
        <v>2341</v>
      </c>
      <c r="C301" s="190" t="s">
        <v>2345</v>
      </c>
      <c r="D301" s="190" t="s">
        <v>2346</v>
      </c>
      <c r="E301" s="190" t="s">
        <v>2347</v>
      </c>
      <c r="F301" s="190"/>
      <c r="G301" s="293"/>
      <c r="H301" s="293"/>
      <c r="I301" s="145"/>
      <c r="J301" s="146" t="s">
        <v>3474</v>
      </c>
      <c r="K301" s="145"/>
      <c r="L301" s="145"/>
      <c r="M301" s="145"/>
      <c r="N301" s="145"/>
      <c r="O301" s="145"/>
      <c r="P301" s="291"/>
      <c r="Q301" s="145" t="s">
        <v>307</v>
      </c>
      <c r="R301" s="145"/>
      <c r="S301" s="145"/>
      <c r="T301" s="145"/>
      <c r="U301" s="145"/>
      <c r="V301" s="145"/>
      <c r="W301" s="145"/>
      <c r="X301" s="145"/>
      <c r="Y301" s="145"/>
      <c r="Z301" s="145"/>
      <c r="AA301" s="145"/>
      <c r="AB301" s="145"/>
      <c r="AC301" s="145"/>
      <c r="AD301" s="145"/>
      <c r="AE301" s="145"/>
      <c r="AF301" s="145"/>
      <c r="AG301" s="145"/>
      <c r="AH301" s="145"/>
      <c r="AI301" s="145"/>
      <c r="AJ301" s="145"/>
      <c r="AK301" s="145"/>
      <c r="AL301" s="145"/>
      <c r="AM301" s="145"/>
      <c r="AN301" s="145"/>
      <c r="AO301" s="292"/>
      <c r="AP301" s="292"/>
      <c r="AQ301" s="292"/>
      <c r="AR301" s="292"/>
      <c r="AS301" s="292"/>
      <c r="AT301" s="292"/>
      <c r="AU301" s="292"/>
      <c r="AV301" s="292"/>
      <c r="AW301" s="292"/>
      <c r="AX301" s="292"/>
    </row>
    <row r="302" ht="15.75" customHeight="1">
      <c r="A302" s="255" t="s">
        <v>331</v>
      </c>
      <c r="B302" s="152" t="s">
        <v>2303</v>
      </c>
      <c r="C302" s="190"/>
      <c r="D302" s="190"/>
      <c r="E302" s="190"/>
      <c r="F302" s="190"/>
      <c r="G302" s="141"/>
      <c r="H302" s="141"/>
      <c r="I302" s="141"/>
      <c r="J302" s="141"/>
      <c r="K302" s="141"/>
      <c r="L302" s="141"/>
      <c r="M302" s="141"/>
      <c r="N302" s="141"/>
      <c r="O302" s="141"/>
      <c r="P302" s="291"/>
      <c r="Q302" s="141"/>
      <c r="R302" s="141"/>
      <c r="S302" s="141"/>
      <c r="T302" s="141"/>
      <c r="U302" s="141"/>
      <c r="V302" s="141"/>
      <c r="W302" s="141"/>
      <c r="X302" s="141"/>
      <c r="Y302" s="141"/>
      <c r="Z302" s="141"/>
      <c r="AA302" s="141"/>
      <c r="AB302" s="141"/>
      <c r="AC302" s="141"/>
      <c r="AD302" s="219"/>
      <c r="AE302" s="219"/>
      <c r="AF302" s="219"/>
      <c r="AG302" s="219"/>
      <c r="AH302" s="219"/>
      <c r="AI302" s="219"/>
      <c r="AJ302" s="219"/>
      <c r="AK302" s="219"/>
      <c r="AL302" s="219"/>
      <c r="AM302" s="219"/>
      <c r="AN302" s="219"/>
      <c r="AO302" s="292"/>
      <c r="AP302" s="292"/>
      <c r="AQ302" s="292"/>
      <c r="AR302" s="292"/>
      <c r="AS302" s="292"/>
      <c r="AT302" s="292"/>
      <c r="AU302" s="292"/>
      <c r="AV302" s="292"/>
      <c r="AW302" s="292"/>
      <c r="AX302" s="292"/>
    </row>
    <row r="303" ht="15.75" customHeight="1">
      <c r="A303" s="255" t="s">
        <v>278</v>
      </c>
      <c r="B303" s="143" t="s">
        <v>2351</v>
      </c>
      <c r="C303" s="190"/>
      <c r="D303" s="190"/>
      <c r="E303" s="190"/>
      <c r="F303" s="190"/>
      <c r="G303" s="141"/>
      <c r="H303" s="141"/>
      <c r="I303" s="141"/>
      <c r="J303" s="142" t="s">
        <v>987</v>
      </c>
      <c r="K303" s="141"/>
      <c r="L303" s="141"/>
      <c r="M303" s="142"/>
      <c r="N303" s="142"/>
      <c r="O303" s="142" t="s">
        <v>3982</v>
      </c>
      <c r="P303" s="291"/>
      <c r="Q303" s="141"/>
      <c r="R303" s="141"/>
      <c r="S303" s="141"/>
      <c r="T303" s="141"/>
      <c r="U303" s="141"/>
      <c r="V303" s="141"/>
      <c r="W303" s="141"/>
      <c r="X303" s="141"/>
      <c r="Y303" s="141"/>
      <c r="Z303" s="141"/>
      <c r="AA303" s="141"/>
      <c r="AB303" s="141"/>
      <c r="AC303" s="141"/>
      <c r="AD303" s="141"/>
      <c r="AE303" s="141"/>
      <c r="AF303" s="141"/>
      <c r="AG303" s="141"/>
      <c r="AH303" s="141"/>
      <c r="AI303" s="141"/>
      <c r="AJ303" s="141"/>
      <c r="AK303" s="141"/>
      <c r="AL303" s="141"/>
      <c r="AM303" s="141"/>
      <c r="AN303" s="141"/>
      <c r="AO303" s="292"/>
      <c r="AP303" s="292"/>
      <c r="AQ303" s="292"/>
      <c r="AR303" s="292"/>
      <c r="AS303" s="292"/>
      <c r="AT303" s="292"/>
      <c r="AU303" s="292"/>
      <c r="AV303" s="292"/>
      <c r="AW303" s="292"/>
      <c r="AX303" s="292"/>
    </row>
    <row r="304" ht="15.75" customHeight="1">
      <c r="A304" s="238" t="s">
        <v>46</v>
      </c>
      <c r="B304" s="132" t="s">
        <v>2355</v>
      </c>
      <c r="C304" s="190" t="s">
        <v>2362</v>
      </c>
      <c r="D304" s="190" t="s">
        <v>2363</v>
      </c>
      <c r="E304" s="190" t="s">
        <v>2364</v>
      </c>
      <c r="F304" s="190"/>
      <c r="G304" s="293"/>
      <c r="H304" s="293"/>
      <c r="I304" s="128"/>
      <c r="J304" s="128" t="s">
        <v>5</v>
      </c>
      <c r="K304" s="128"/>
      <c r="L304" s="128"/>
      <c r="M304" s="128"/>
      <c r="N304" s="128"/>
      <c r="O304" s="128"/>
      <c r="P304" s="291"/>
      <c r="Q304" s="128"/>
      <c r="R304" s="128"/>
      <c r="S304" s="128"/>
      <c r="T304" s="128"/>
      <c r="U304" s="128"/>
      <c r="V304" s="128"/>
      <c r="W304" s="128"/>
      <c r="X304" s="128"/>
      <c r="Y304" s="128"/>
      <c r="Z304" s="128"/>
      <c r="AA304" s="128"/>
      <c r="AB304" s="128"/>
      <c r="AC304" s="128"/>
      <c r="AD304" s="219"/>
      <c r="AE304" s="219"/>
      <c r="AF304" s="219"/>
      <c r="AG304" s="219"/>
      <c r="AH304" s="219"/>
      <c r="AI304" s="219"/>
      <c r="AJ304" s="219"/>
      <c r="AK304" s="219"/>
      <c r="AL304" s="219"/>
      <c r="AM304" s="219"/>
      <c r="AN304" s="219"/>
      <c r="AO304" s="292"/>
      <c r="AP304" s="292"/>
      <c r="AQ304" s="292"/>
      <c r="AR304" s="292"/>
      <c r="AS304" s="292"/>
      <c r="AT304" s="292"/>
      <c r="AU304" s="292"/>
      <c r="AV304" s="292"/>
      <c r="AW304" s="292"/>
      <c r="AX304" s="292"/>
    </row>
    <row r="305" ht="15.75" customHeight="1">
      <c r="A305" s="257" t="s">
        <v>220</v>
      </c>
      <c r="B305" s="240" t="s">
        <v>2365</v>
      </c>
      <c r="C305" s="190" t="s">
        <v>2369</v>
      </c>
      <c r="D305" s="190" t="s">
        <v>2370</v>
      </c>
      <c r="E305" s="190" t="s">
        <v>2371</v>
      </c>
      <c r="F305" s="190" t="s">
        <v>3998</v>
      </c>
      <c r="G305" s="293" t="s">
        <v>4000</v>
      </c>
      <c r="H305" s="293" t="s">
        <v>4002</v>
      </c>
      <c r="I305" s="219"/>
      <c r="J305" s="295" t="s">
        <v>3474</v>
      </c>
      <c r="K305" s="219"/>
      <c r="L305" s="219"/>
      <c r="M305" s="219"/>
      <c r="N305" s="219"/>
      <c r="O305" s="219" t="s">
        <v>4003</v>
      </c>
      <c r="P305" s="291"/>
      <c r="Q305" s="219" t="s">
        <v>307</v>
      </c>
      <c r="R305" s="219"/>
      <c r="S305" s="219"/>
      <c r="T305" s="219"/>
      <c r="U305" s="219"/>
      <c r="V305" s="219"/>
      <c r="W305" s="219"/>
      <c r="X305" s="219"/>
      <c r="Y305" s="219"/>
      <c r="Z305" s="219"/>
      <c r="AA305" s="219"/>
      <c r="AB305" s="219"/>
      <c r="AC305" s="219"/>
      <c r="AD305" s="219"/>
      <c r="AE305" s="219"/>
      <c r="AF305" s="219"/>
      <c r="AG305" s="219"/>
      <c r="AH305" s="219"/>
      <c r="AI305" s="219"/>
      <c r="AJ305" s="219"/>
      <c r="AK305" s="219"/>
      <c r="AL305" s="219"/>
      <c r="AM305" s="219"/>
      <c r="AN305" s="219"/>
      <c r="AO305" s="292"/>
      <c r="AP305" s="292"/>
      <c r="AQ305" s="292"/>
      <c r="AR305" s="292"/>
      <c r="AS305" s="292"/>
      <c r="AT305" s="292"/>
      <c r="AU305" s="292"/>
      <c r="AV305" s="292"/>
      <c r="AW305" s="292"/>
      <c r="AX305" s="292"/>
    </row>
    <row r="306" ht="15.75" customHeight="1">
      <c r="A306" s="257" t="s">
        <v>220</v>
      </c>
      <c r="B306" s="240" t="s">
        <v>2372</v>
      </c>
      <c r="C306" s="190" t="s">
        <v>2376</v>
      </c>
      <c r="D306" s="190" t="s">
        <v>2377</v>
      </c>
      <c r="E306" s="190" t="s">
        <v>2379</v>
      </c>
      <c r="F306" s="190" t="s">
        <v>3998</v>
      </c>
      <c r="G306" s="293" t="s">
        <v>4000</v>
      </c>
      <c r="H306" s="293" t="s">
        <v>4002</v>
      </c>
      <c r="I306" s="219"/>
      <c r="J306" s="295" t="s">
        <v>3474</v>
      </c>
      <c r="K306" s="219"/>
      <c r="L306" s="219"/>
      <c r="M306" s="219"/>
      <c r="N306" s="219"/>
      <c r="O306" s="219" t="s">
        <v>4018</v>
      </c>
      <c r="P306" s="291"/>
      <c r="Q306" s="219" t="s">
        <v>307</v>
      </c>
      <c r="R306" s="219"/>
      <c r="S306" s="219"/>
      <c r="T306" s="219"/>
      <c r="U306" s="219"/>
      <c r="V306" s="219"/>
      <c r="W306" s="219"/>
      <c r="X306" s="219"/>
      <c r="Y306" s="219"/>
      <c r="Z306" s="219"/>
      <c r="AA306" s="219"/>
      <c r="AB306" s="219"/>
      <c r="AC306" s="219"/>
      <c r="AD306" s="219"/>
      <c r="AE306" s="219"/>
      <c r="AF306" s="219"/>
      <c r="AG306" s="219"/>
      <c r="AH306" s="219"/>
      <c r="AI306" s="219"/>
      <c r="AJ306" s="219"/>
      <c r="AK306" s="219"/>
      <c r="AL306" s="219"/>
      <c r="AM306" s="219"/>
      <c r="AN306" s="219"/>
      <c r="AO306" s="292"/>
      <c r="AP306" s="292"/>
      <c r="AQ306" s="292"/>
      <c r="AR306" s="292"/>
      <c r="AS306" s="292"/>
      <c r="AT306" s="292"/>
      <c r="AU306" s="292"/>
      <c r="AV306" s="292"/>
      <c r="AW306" s="292"/>
      <c r="AX306" s="292"/>
    </row>
    <row r="307">
      <c r="A307" s="279" t="s">
        <v>220</v>
      </c>
      <c r="B307" s="240" t="s">
        <v>2382</v>
      </c>
      <c r="C307" s="190" t="s">
        <v>2386</v>
      </c>
      <c r="D307" s="190" t="s">
        <v>2387</v>
      </c>
      <c r="E307" s="190" t="s">
        <v>2388</v>
      </c>
      <c r="F307" s="190" t="s">
        <v>3998</v>
      </c>
      <c r="G307" s="293" t="s">
        <v>4000</v>
      </c>
      <c r="H307" s="293" t="s">
        <v>4002</v>
      </c>
      <c r="I307" s="279"/>
      <c r="J307" s="322" t="s">
        <v>3474</v>
      </c>
      <c r="K307" s="279"/>
      <c r="L307" s="279"/>
      <c r="M307" s="279"/>
      <c r="N307" s="279"/>
      <c r="O307" s="279" t="s">
        <v>4031</v>
      </c>
      <c r="P307" s="291"/>
      <c r="Q307" s="279" t="s">
        <v>307</v>
      </c>
      <c r="R307" s="279"/>
      <c r="S307" s="279"/>
      <c r="T307" s="279"/>
      <c r="U307" s="279"/>
      <c r="V307" s="279"/>
      <c r="W307" s="279"/>
      <c r="X307" s="279"/>
      <c r="Y307" s="279"/>
      <c r="Z307" s="279"/>
      <c r="AA307" s="279"/>
      <c r="AB307" s="279"/>
      <c r="AC307" s="279"/>
      <c r="AD307" s="279"/>
      <c r="AE307" s="279"/>
      <c r="AF307" s="279"/>
      <c r="AG307" s="279"/>
      <c r="AH307" s="279"/>
      <c r="AI307" s="279"/>
      <c r="AJ307" s="279"/>
      <c r="AK307" s="279"/>
      <c r="AL307" s="279"/>
      <c r="AM307" s="279"/>
      <c r="AN307" s="279"/>
      <c r="AO307" s="323"/>
      <c r="AP307" s="323"/>
      <c r="AQ307" s="323"/>
      <c r="AR307" s="323"/>
      <c r="AS307" s="323"/>
      <c r="AT307" s="323"/>
      <c r="AU307" s="323"/>
      <c r="AV307" s="323"/>
      <c r="AW307" s="323"/>
      <c r="AX307" s="323"/>
    </row>
    <row r="308" ht="15.75" customHeight="1">
      <c r="A308" s="257" t="s">
        <v>220</v>
      </c>
      <c r="B308" s="240" t="s">
        <v>2389</v>
      </c>
      <c r="C308" s="190" t="s">
        <v>2396</v>
      </c>
      <c r="D308" s="190" t="s">
        <v>2397</v>
      </c>
      <c r="E308" s="190" t="s">
        <v>2398</v>
      </c>
      <c r="F308" s="190" t="s">
        <v>3998</v>
      </c>
      <c r="G308" s="293" t="s">
        <v>4000</v>
      </c>
      <c r="H308" s="293" t="s">
        <v>4002</v>
      </c>
      <c r="I308" s="219"/>
      <c r="J308" s="295" t="s">
        <v>3474</v>
      </c>
      <c r="K308" s="219"/>
      <c r="L308" s="219"/>
      <c r="M308" s="219"/>
      <c r="N308" s="219"/>
      <c r="O308" s="219" t="s">
        <v>4049</v>
      </c>
      <c r="P308" s="291"/>
      <c r="Q308" s="219" t="s">
        <v>307</v>
      </c>
      <c r="R308" s="219"/>
      <c r="S308" s="219"/>
      <c r="T308" s="219"/>
      <c r="U308" s="219"/>
      <c r="V308" s="219"/>
      <c r="W308" s="219"/>
      <c r="X308" s="219"/>
      <c r="Y308" s="219"/>
      <c r="Z308" s="219"/>
      <c r="AA308" s="219"/>
      <c r="AB308" s="219"/>
      <c r="AC308" s="219"/>
      <c r="AD308" s="219"/>
      <c r="AE308" s="219"/>
      <c r="AF308" s="219"/>
      <c r="AG308" s="219"/>
      <c r="AH308" s="219"/>
      <c r="AI308" s="219"/>
      <c r="AJ308" s="219"/>
      <c r="AK308" s="219"/>
      <c r="AL308" s="219"/>
      <c r="AM308" s="219"/>
      <c r="AN308" s="219"/>
      <c r="AO308" s="292"/>
      <c r="AP308" s="292"/>
      <c r="AQ308" s="292"/>
      <c r="AR308" s="292"/>
      <c r="AS308" s="292"/>
      <c r="AT308" s="292"/>
      <c r="AU308" s="292"/>
      <c r="AV308" s="292"/>
      <c r="AW308" s="292"/>
      <c r="AX308" s="292"/>
    </row>
    <row r="309" ht="15.75" customHeight="1">
      <c r="A309" s="255" t="s">
        <v>331</v>
      </c>
      <c r="B309" s="152" t="s">
        <v>2351</v>
      </c>
      <c r="C309" s="190"/>
      <c r="D309" s="190"/>
      <c r="E309" s="190"/>
      <c r="F309" s="190"/>
      <c r="G309" s="141"/>
      <c r="H309" s="141"/>
      <c r="I309" s="141"/>
      <c r="J309" s="141"/>
      <c r="K309" s="141"/>
      <c r="L309" s="141"/>
      <c r="M309" s="141"/>
      <c r="N309" s="141"/>
      <c r="O309" s="141"/>
      <c r="P309" s="291"/>
      <c r="Q309" s="141"/>
      <c r="R309" s="141"/>
      <c r="S309" s="141"/>
      <c r="T309" s="141"/>
      <c r="U309" s="141"/>
      <c r="V309" s="141"/>
      <c r="W309" s="141"/>
      <c r="X309" s="141"/>
      <c r="Y309" s="141"/>
      <c r="Z309" s="141"/>
      <c r="AA309" s="141"/>
      <c r="AB309" s="141"/>
      <c r="AC309" s="141"/>
      <c r="AD309" s="141"/>
      <c r="AE309" s="141"/>
      <c r="AF309" s="141"/>
      <c r="AG309" s="141"/>
      <c r="AH309" s="141"/>
      <c r="AI309" s="141"/>
      <c r="AJ309" s="141"/>
      <c r="AK309" s="141"/>
      <c r="AL309" s="141"/>
      <c r="AM309" s="141"/>
      <c r="AN309" s="141"/>
      <c r="AO309" s="292"/>
      <c r="AP309" s="292"/>
      <c r="AQ309" s="292"/>
      <c r="AR309" s="292"/>
      <c r="AS309" s="292"/>
      <c r="AT309" s="292"/>
      <c r="AU309" s="292"/>
      <c r="AV309" s="292"/>
      <c r="AW309" s="292"/>
      <c r="AX309" s="292"/>
    </row>
    <row r="310" ht="15.75" customHeight="1">
      <c r="A310" s="149" t="s">
        <v>256</v>
      </c>
      <c r="B310" s="148" t="s">
        <v>2401</v>
      </c>
      <c r="C310" s="190"/>
      <c r="D310" s="190"/>
      <c r="E310" s="190"/>
      <c r="F310" s="190"/>
      <c r="G310" s="128"/>
      <c r="H310" s="128"/>
      <c r="I310" s="128"/>
      <c r="J310" s="128"/>
      <c r="K310" s="128"/>
      <c r="L310" s="128"/>
      <c r="M310" s="128"/>
      <c r="N310" s="128"/>
      <c r="O310" s="128"/>
      <c r="P310" s="291"/>
      <c r="Q310" s="128"/>
      <c r="R310" s="128"/>
      <c r="S310" s="128"/>
      <c r="T310" s="149" t="s">
        <v>260</v>
      </c>
      <c r="U310" s="128"/>
      <c r="V310" s="128"/>
      <c r="W310" s="128"/>
      <c r="X310" s="128"/>
      <c r="Y310" s="128"/>
      <c r="Z310" s="128"/>
      <c r="AA310" s="128"/>
      <c r="AB310" s="128"/>
      <c r="AC310" s="128"/>
      <c r="AD310" s="128"/>
      <c r="AE310" s="128"/>
      <c r="AF310" s="128"/>
      <c r="AG310" s="128"/>
      <c r="AH310" s="128"/>
      <c r="AI310" s="128"/>
      <c r="AJ310" s="128"/>
      <c r="AK310" s="128"/>
      <c r="AL310" s="128"/>
      <c r="AM310" s="128"/>
      <c r="AN310" s="128"/>
      <c r="AO310" s="292"/>
      <c r="AP310" s="292"/>
      <c r="AQ310" s="292"/>
      <c r="AR310" s="292"/>
      <c r="AS310" s="292"/>
      <c r="AT310" s="292"/>
      <c r="AU310" s="292"/>
      <c r="AV310" s="292"/>
      <c r="AW310" s="292"/>
      <c r="AX310" s="292"/>
    </row>
    <row r="311" ht="15.75" customHeight="1">
      <c r="A311" s="210" t="s">
        <v>112</v>
      </c>
      <c r="B311" s="277" t="s">
        <v>2408</v>
      </c>
      <c r="C311" s="190"/>
      <c r="D311" s="190"/>
      <c r="E311" s="190"/>
      <c r="F311" s="190"/>
      <c r="G311" s="141"/>
      <c r="H311" s="141"/>
      <c r="I311" s="141"/>
      <c r="J311" s="142"/>
      <c r="K311" s="141"/>
      <c r="L311" s="141"/>
      <c r="M311" s="141"/>
      <c r="N311" s="141"/>
      <c r="O311" s="142"/>
      <c r="P311" s="291"/>
      <c r="Q311" s="141"/>
      <c r="R311" s="141"/>
      <c r="S311" s="141"/>
      <c r="T311" s="210" t="s">
        <v>4086</v>
      </c>
      <c r="U311" s="141"/>
      <c r="V311" s="141"/>
      <c r="W311" s="141"/>
      <c r="X311" s="141"/>
      <c r="Y311" s="141"/>
      <c r="Z311" s="141"/>
      <c r="AA311" s="141"/>
      <c r="AB311" s="141"/>
      <c r="AC311" s="141"/>
      <c r="AD311" s="141"/>
      <c r="AE311" s="141"/>
      <c r="AF311" s="141"/>
      <c r="AG311" s="141"/>
      <c r="AH311" s="141"/>
      <c r="AI311" s="141"/>
      <c r="AJ311" s="141"/>
      <c r="AK311" s="141"/>
      <c r="AL311" s="141"/>
      <c r="AM311" s="141"/>
      <c r="AN311" s="141"/>
      <c r="AO311" s="292"/>
      <c r="AP311" s="292"/>
      <c r="AQ311" s="292"/>
      <c r="AR311" s="292"/>
      <c r="AS311" s="292"/>
      <c r="AT311" s="292"/>
      <c r="AU311" s="292"/>
      <c r="AV311" s="292"/>
      <c r="AW311" s="292"/>
      <c r="AX311" s="292"/>
    </row>
    <row r="312" ht="15.75" customHeight="1">
      <c r="A312" s="262"/>
      <c r="B312" s="262"/>
      <c r="C312" s="190" t="s">
        <v>55</v>
      </c>
      <c r="D312" s="190" t="s">
        <v>55</v>
      </c>
      <c r="E312" s="190" t="s">
        <v>55</v>
      </c>
      <c r="F312" s="190"/>
      <c r="G312" s="292"/>
      <c r="H312" s="292"/>
      <c r="I312" s="292"/>
      <c r="J312" s="292"/>
      <c r="K312" s="292"/>
      <c r="L312" s="292"/>
      <c r="M312" s="292"/>
      <c r="N312" s="292"/>
      <c r="O312" s="292"/>
      <c r="P312" s="291"/>
      <c r="Q312" s="292"/>
      <c r="R312" s="292"/>
      <c r="S312" s="292"/>
      <c r="T312" s="292"/>
      <c r="U312" s="292"/>
      <c r="V312" s="292"/>
      <c r="W312" s="292"/>
      <c r="X312" s="292"/>
      <c r="Y312" s="292"/>
      <c r="Z312" s="292"/>
      <c r="AA312" s="292"/>
      <c r="AB312" s="292"/>
      <c r="AC312" s="292"/>
      <c r="AD312" s="292"/>
      <c r="AE312" s="292"/>
      <c r="AF312" s="292"/>
      <c r="AG312" s="292"/>
      <c r="AH312" s="292"/>
      <c r="AI312" s="292"/>
      <c r="AJ312" s="292"/>
      <c r="AK312" s="292"/>
      <c r="AL312" s="292"/>
      <c r="AM312" s="292"/>
      <c r="AN312" s="292"/>
      <c r="AO312" s="292"/>
      <c r="AP312" s="292"/>
      <c r="AQ312" s="292"/>
      <c r="AR312" s="292"/>
      <c r="AS312" s="292"/>
      <c r="AT312" s="292"/>
      <c r="AU312" s="292"/>
      <c r="AV312" s="292"/>
      <c r="AW312" s="292"/>
      <c r="AX312" s="292"/>
    </row>
    <row r="313" ht="15.75" customHeight="1">
      <c r="A313" s="255" t="s">
        <v>278</v>
      </c>
      <c r="B313" s="143" t="s">
        <v>2416</v>
      </c>
      <c r="C313" s="190" t="s">
        <v>2417</v>
      </c>
      <c r="D313" s="190" t="s">
        <v>2419</v>
      </c>
      <c r="E313" s="190" t="s">
        <v>2420</v>
      </c>
      <c r="F313" s="190"/>
      <c r="G313" s="141"/>
      <c r="H313" s="141"/>
      <c r="I313" s="141"/>
      <c r="J313" s="142"/>
      <c r="K313" s="141"/>
      <c r="L313" s="141"/>
      <c r="M313" s="142"/>
      <c r="N313" s="142"/>
      <c r="O313" s="142"/>
      <c r="P313" s="291"/>
      <c r="Q313" s="141"/>
      <c r="R313" s="141"/>
      <c r="S313" s="141"/>
      <c r="T313" s="141"/>
      <c r="U313" s="141"/>
      <c r="V313" s="141"/>
      <c r="W313" s="141"/>
      <c r="X313" s="141"/>
      <c r="Y313" s="141"/>
      <c r="Z313" s="141"/>
      <c r="AA313" s="141"/>
      <c r="AB313" s="141"/>
      <c r="AC313" s="141"/>
      <c r="AD313" s="141"/>
      <c r="AE313" s="141"/>
      <c r="AF313" s="141"/>
      <c r="AG313" s="141"/>
      <c r="AH313" s="141"/>
      <c r="AI313" s="141"/>
      <c r="AJ313" s="141"/>
      <c r="AK313" s="141"/>
      <c r="AL313" s="141"/>
      <c r="AM313" s="141"/>
      <c r="AN313" s="141"/>
      <c r="AO313" s="292"/>
      <c r="AP313" s="292"/>
      <c r="AQ313" s="292"/>
      <c r="AR313" s="292"/>
      <c r="AS313" s="292"/>
      <c r="AT313" s="292"/>
      <c r="AU313" s="292"/>
      <c r="AV313" s="292"/>
      <c r="AW313" s="292"/>
      <c r="AX313" s="292"/>
    </row>
    <row r="314" ht="15.75" customHeight="1">
      <c r="A314" s="280" t="s">
        <v>256</v>
      </c>
      <c r="B314" s="130" t="s">
        <v>2424</v>
      </c>
      <c r="C314" s="190"/>
      <c r="D314" s="190"/>
      <c r="E314" s="190"/>
      <c r="F314" s="190"/>
      <c r="G314" s="128"/>
      <c r="H314" s="128"/>
      <c r="I314" s="128"/>
      <c r="J314" s="128"/>
      <c r="K314" s="128"/>
      <c r="L314" s="128"/>
      <c r="M314" s="128"/>
      <c r="N314" s="128"/>
      <c r="O314" s="128"/>
      <c r="P314" s="291"/>
      <c r="Q314" s="128"/>
      <c r="R314" s="128"/>
      <c r="S314" s="128"/>
      <c r="T314" s="210" t="s">
        <v>260</v>
      </c>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292"/>
      <c r="AP314" s="292"/>
      <c r="AQ314" s="292"/>
      <c r="AR314" s="292"/>
      <c r="AS314" s="292"/>
      <c r="AT314" s="292"/>
      <c r="AU314" s="292"/>
      <c r="AV314" s="292"/>
      <c r="AW314" s="292"/>
      <c r="AX314" s="292"/>
    </row>
    <row r="315" ht="15.75" customHeight="1">
      <c r="A315" s="281" t="s">
        <v>46</v>
      </c>
      <c r="B315" s="132" t="s">
        <v>2426</v>
      </c>
      <c r="C315" s="190" t="s">
        <v>2432</v>
      </c>
      <c r="D315" s="190" t="s">
        <v>2433</v>
      </c>
      <c r="E315" s="190" t="s">
        <v>2434</v>
      </c>
      <c r="F315" s="190"/>
      <c r="G315" s="293"/>
      <c r="H315" s="293"/>
      <c r="I315" s="128"/>
      <c r="J315" s="128"/>
      <c r="K315" s="128"/>
      <c r="L315" s="128"/>
      <c r="M315" s="128"/>
      <c r="N315" s="128"/>
      <c r="O315" s="128"/>
      <c r="P315" s="291"/>
      <c r="Q315" s="128"/>
      <c r="R315" s="128"/>
      <c r="S315" s="128"/>
      <c r="T315" s="128"/>
      <c r="U315" s="128"/>
      <c r="V315" s="128"/>
      <c r="W315" s="128"/>
      <c r="X315" s="128"/>
      <c r="Y315" s="128"/>
      <c r="Z315" s="128"/>
      <c r="AA315" s="128"/>
      <c r="AB315" s="128"/>
      <c r="AC315" s="128"/>
      <c r="AD315" s="128"/>
      <c r="AE315" s="128"/>
      <c r="AF315" s="128"/>
      <c r="AG315" s="128"/>
      <c r="AH315" s="128"/>
      <c r="AI315" s="128"/>
      <c r="AJ315" s="128"/>
      <c r="AK315" s="128"/>
      <c r="AL315" s="128"/>
      <c r="AM315" s="128"/>
      <c r="AN315" s="128"/>
      <c r="AO315" s="292"/>
      <c r="AP315" s="292"/>
      <c r="AQ315" s="292"/>
      <c r="AR315" s="292"/>
      <c r="AS315" s="292"/>
      <c r="AT315" s="292"/>
      <c r="AU315" s="292"/>
      <c r="AV315" s="292"/>
      <c r="AW315" s="292"/>
      <c r="AX315" s="292"/>
    </row>
    <row r="316" ht="15.75" customHeight="1">
      <c r="A316" s="199" t="s">
        <v>1060</v>
      </c>
      <c r="B316" s="147" t="s">
        <v>2435</v>
      </c>
      <c r="C316" s="190" t="s">
        <v>2443</v>
      </c>
      <c r="D316" s="190" t="s">
        <v>2444</v>
      </c>
      <c r="E316" s="190" t="s">
        <v>2445</v>
      </c>
      <c r="F316" s="190"/>
      <c r="G316" s="293"/>
      <c r="H316" s="293"/>
      <c r="I316" s="145"/>
      <c r="J316" s="146"/>
      <c r="K316" s="145"/>
      <c r="L316" s="145"/>
      <c r="M316" s="145"/>
      <c r="N316" s="145"/>
      <c r="O316" s="145"/>
      <c r="P316" s="291"/>
      <c r="Q316" s="145" t="s">
        <v>307</v>
      </c>
      <c r="R316" s="145"/>
      <c r="S316" s="145"/>
      <c r="T316" s="145"/>
      <c r="U316" s="145"/>
      <c r="V316" s="145"/>
      <c r="W316" s="145"/>
      <c r="X316" s="145"/>
      <c r="Y316" s="145"/>
      <c r="Z316" s="145"/>
      <c r="AA316" s="145"/>
      <c r="AB316" s="145"/>
      <c r="AC316" s="145"/>
      <c r="AD316" s="145"/>
      <c r="AE316" s="145"/>
      <c r="AF316" s="145"/>
      <c r="AG316" s="145"/>
      <c r="AH316" s="145"/>
      <c r="AI316" s="145"/>
      <c r="AJ316" s="145"/>
      <c r="AK316" s="145"/>
      <c r="AL316" s="145"/>
      <c r="AM316" s="145"/>
      <c r="AN316" s="145"/>
      <c r="AO316" s="292"/>
      <c r="AP316" s="292"/>
      <c r="AQ316" s="292"/>
      <c r="AR316" s="292"/>
      <c r="AS316" s="292"/>
      <c r="AT316" s="292"/>
      <c r="AU316" s="292"/>
      <c r="AV316" s="292"/>
      <c r="AW316" s="292"/>
      <c r="AX316" s="292"/>
    </row>
    <row r="317" ht="15.75" customHeight="1">
      <c r="A317" s="258" t="s">
        <v>247</v>
      </c>
      <c r="B317" s="259" t="s">
        <v>2446</v>
      </c>
      <c r="C317" s="190" t="s">
        <v>2452</v>
      </c>
      <c r="D317" s="190" t="s">
        <v>2454</v>
      </c>
      <c r="E317" s="190" t="s">
        <v>2455</v>
      </c>
      <c r="F317" s="190"/>
      <c r="G317" s="293"/>
      <c r="H317" s="293"/>
      <c r="I317" s="303"/>
      <c r="J317" s="303"/>
      <c r="K317" s="304" t="s">
        <v>4159</v>
      </c>
      <c r="L317" s="304"/>
      <c r="M317" s="303"/>
      <c r="N317" s="303"/>
      <c r="O317" s="303" t="s">
        <v>4161</v>
      </c>
      <c r="P317" s="291"/>
      <c r="Q317" s="303" t="s">
        <v>307</v>
      </c>
      <c r="R317" s="303"/>
      <c r="S317" s="303"/>
      <c r="T317" s="303"/>
      <c r="U317" s="303"/>
      <c r="V317" s="303"/>
      <c r="W317" s="303"/>
      <c r="X317" s="303"/>
      <c r="Y317" s="303"/>
      <c r="Z317" s="303"/>
      <c r="AA317" s="303"/>
      <c r="AB317" s="303"/>
      <c r="AC317" s="303"/>
      <c r="AD317" s="303"/>
      <c r="AE317" s="303"/>
      <c r="AF317" s="303"/>
      <c r="AG317" s="303"/>
      <c r="AH317" s="303"/>
      <c r="AI317" s="303"/>
      <c r="AJ317" s="303"/>
      <c r="AK317" s="303"/>
      <c r="AL317" s="303"/>
      <c r="AM317" s="303"/>
      <c r="AN317" s="303"/>
      <c r="AO317" s="292"/>
      <c r="AP317" s="292"/>
      <c r="AQ317" s="292"/>
      <c r="AR317" s="292"/>
      <c r="AS317" s="292"/>
      <c r="AT317" s="292"/>
      <c r="AU317" s="292"/>
      <c r="AV317" s="292"/>
      <c r="AW317" s="292"/>
      <c r="AX317" s="292"/>
    </row>
    <row r="318" ht="15.75" customHeight="1">
      <c r="A318" s="199" t="s">
        <v>2456</v>
      </c>
      <c r="B318" s="147" t="s">
        <v>2457</v>
      </c>
      <c r="C318" s="190" t="s">
        <v>2461</v>
      </c>
      <c r="D318" s="190" t="s">
        <v>2463</v>
      </c>
      <c r="E318" s="190" t="s">
        <v>2464</v>
      </c>
      <c r="F318" s="190"/>
      <c r="G318" s="293"/>
      <c r="H318" s="293"/>
      <c r="I318" s="145"/>
      <c r="J318" s="146"/>
      <c r="K318" s="145"/>
      <c r="L318" s="145"/>
      <c r="M318" s="145"/>
      <c r="N318" s="145"/>
      <c r="O318" s="145"/>
      <c r="P318" s="291"/>
      <c r="Q318" s="145" t="s">
        <v>307</v>
      </c>
      <c r="R318" s="145"/>
      <c r="S318" s="145"/>
      <c r="T318" s="145"/>
      <c r="U318" s="145"/>
      <c r="V318" s="145"/>
      <c r="W318" s="145"/>
      <c r="X318" s="145"/>
      <c r="Y318" s="145"/>
      <c r="Z318" s="145"/>
      <c r="AA318" s="145"/>
      <c r="AB318" s="145"/>
      <c r="AC318" s="145"/>
      <c r="AD318" s="145"/>
      <c r="AE318" s="145"/>
      <c r="AF318" s="145"/>
      <c r="AG318" s="145"/>
      <c r="AH318" s="145"/>
      <c r="AI318" s="145"/>
      <c r="AJ318" s="145"/>
      <c r="AK318" s="145"/>
      <c r="AL318" s="145"/>
      <c r="AM318" s="145"/>
      <c r="AN318" s="145"/>
      <c r="AO318" s="292"/>
      <c r="AP318" s="292"/>
      <c r="AQ318" s="292"/>
      <c r="AR318" s="292"/>
      <c r="AS318" s="292"/>
      <c r="AT318" s="292"/>
      <c r="AU318" s="292"/>
      <c r="AV318" s="292"/>
      <c r="AW318" s="292"/>
      <c r="AX318" s="292"/>
    </row>
    <row r="319" ht="15.75" customHeight="1">
      <c r="A319" s="199" t="s">
        <v>1060</v>
      </c>
      <c r="B319" s="147" t="s">
        <v>2465</v>
      </c>
      <c r="C319" s="190" t="s">
        <v>2472</v>
      </c>
      <c r="D319" s="190" t="s">
        <v>2473</v>
      </c>
      <c r="E319" s="190" t="s">
        <v>2474</v>
      </c>
      <c r="F319" s="190"/>
      <c r="G319" s="293"/>
      <c r="H319" s="293"/>
      <c r="I319" s="145"/>
      <c r="J319" s="146"/>
      <c r="K319" s="145"/>
      <c r="L319" s="145"/>
      <c r="M319" s="145"/>
      <c r="N319" s="145"/>
      <c r="O319" s="145" t="s">
        <v>4178</v>
      </c>
      <c r="P319" s="291"/>
      <c r="Q319" s="145" t="s">
        <v>307</v>
      </c>
      <c r="R319" s="145"/>
      <c r="S319" s="145"/>
      <c r="T319" s="145"/>
      <c r="U319" s="145"/>
      <c r="V319" s="145"/>
      <c r="W319" s="145"/>
      <c r="X319" s="145"/>
      <c r="Y319" s="145"/>
      <c r="Z319" s="145"/>
      <c r="AA319" s="145"/>
      <c r="AB319" s="145"/>
      <c r="AC319" s="145"/>
      <c r="AD319" s="145"/>
      <c r="AE319" s="145"/>
      <c r="AF319" s="145"/>
      <c r="AG319" s="145"/>
      <c r="AH319" s="145"/>
      <c r="AI319" s="145"/>
      <c r="AJ319" s="145"/>
      <c r="AK319" s="145"/>
      <c r="AL319" s="145"/>
      <c r="AM319" s="145"/>
      <c r="AN319" s="145"/>
      <c r="AO319" s="292"/>
      <c r="AP319" s="292"/>
      <c r="AQ319" s="292"/>
      <c r="AR319" s="292"/>
      <c r="AS319" s="292"/>
      <c r="AT319" s="292"/>
      <c r="AU319" s="292"/>
      <c r="AV319" s="292"/>
      <c r="AW319" s="292"/>
      <c r="AX319" s="292"/>
    </row>
    <row r="320" ht="15.75" customHeight="1">
      <c r="A320" s="199" t="s">
        <v>1779</v>
      </c>
      <c r="B320" s="147" t="s">
        <v>2475</v>
      </c>
      <c r="C320" s="190" t="s">
        <v>2479</v>
      </c>
      <c r="D320" s="190" t="s">
        <v>2480</v>
      </c>
      <c r="E320" s="190" t="s">
        <v>2481</v>
      </c>
      <c r="F320" s="190"/>
      <c r="G320" s="293"/>
      <c r="H320" s="293"/>
      <c r="I320" s="145"/>
      <c r="J320" s="146"/>
      <c r="K320" s="145"/>
      <c r="L320" s="145"/>
      <c r="M320" s="145"/>
      <c r="N320" s="145"/>
      <c r="O320" s="145" t="s">
        <v>4196</v>
      </c>
      <c r="P320" s="291"/>
      <c r="Q320" s="145" t="s">
        <v>307</v>
      </c>
      <c r="R320" s="145"/>
      <c r="S320" s="145"/>
      <c r="T320" s="145"/>
      <c r="U320" s="145"/>
      <c r="V320" s="145"/>
      <c r="W320" s="145"/>
      <c r="X320" s="145"/>
      <c r="Y320" s="145"/>
      <c r="Z320" s="145"/>
      <c r="AA320" s="145"/>
      <c r="AB320" s="145"/>
      <c r="AC320" s="145"/>
      <c r="AD320" s="145"/>
      <c r="AE320" s="145"/>
      <c r="AF320" s="145"/>
      <c r="AG320" s="145"/>
      <c r="AH320" s="145"/>
      <c r="AI320" s="145"/>
      <c r="AJ320" s="145"/>
      <c r="AK320" s="145"/>
      <c r="AL320" s="145"/>
      <c r="AM320" s="145"/>
      <c r="AN320" s="145"/>
      <c r="AO320" s="292"/>
      <c r="AP320" s="292"/>
      <c r="AQ320" s="292"/>
      <c r="AR320" s="292"/>
      <c r="AS320" s="292"/>
      <c r="AT320" s="292"/>
      <c r="AU320" s="292"/>
      <c r="AV320" s="292"/>
      <c r="AW320" s="292"/>
      <c r="AX320" s="292"/>
    </row>
    <row r="321" ht="15.75" customHeight="1">
      <c r="A321" s="149" t="s">
        <v>2482</v>
      </c>
      <c r="B321" s="147" t="s">
        <v>2483</v>
      </c>
      <c r="C321" s="190" t="s">
        <v>2488</v>
      </c>
      <c r="D321" s="190" t="s">
        <v>2489</v>
      </c>
      <c r="E321" s="190" t="s">
        <v>2490</v>
      </c>
      <c r="F321" s="190"/>
      <c r="G321" s="293"/>
      <c r="H321" s="293"/>
      <c r="I321" s="145"/>
      <c r="J321" s="146"/>
      <c r="K321" s="145"/>
      <c r="L321" s="145"/>
      <c r="M321" s="145"/>
      <c r="N321" s="145"/>
      <c r="O321" s="145" t="s">
        <v>4217</v>
      </c>
      <c r="P321" s="291"/>
      <c r="Q321" s="145" t="s">
        <v>307</v>
      </c>
      <c r="R321" s="145"/>
      <c r="S321" s="145"/>
      <c r="T321" s="145"/>
      <c r="U321" s="145"/>
      <c r="V321" s="145"/>
      <c r="W321" s="145"/>
      <c r="X321" s="145"/>
      <c r="Y321" s="149" t="s">
        <v>1448</v>
      </c>
      <c r="Z321" s="145"/>
      <c r="AA321" s="145"/>
      <c r="AB321" s="145"/>
      <c r="AC321" s="145"/>
      <c r="AD321" s="145"/>
      <c r="AE321" s="145"/>
      <c r="AF321" s="145"/>
      <c r="AG321" s="145"/>
      <c r="AH321" s="145"/>
      <c r="AI321" s="145"/>
      <c r="AJ321" s="145"/>
      <c r="AK321" s="145"/>
      <c r="AL321" s="145"/>
      <c r="AM321" s="145"/>
      <c r="AN321" s="145"/>
      <c r="AO321" s="292"/>
      <c r="AP321" s="292"/>
      <c r="AQ321" s="292"/>
      <c r="AR321" s="292"/>
      <c r="AS321" s="292"/>
      <c r="AT321" s="292"/>
      <c r="AU321" s="292"/>
      <c r="AV321" s="292"/>
      <c r="AW321" s="292"/>
      <c r="AX321" s="292"/>
    </row>
    <row r="322" ht="15.75" customHeight="1">
      <c r="A322" s="257" t="s">
        <v>220</v>
      </c>
      <c r="B322" s="240" t="s">
        <v>2491</v>
      </c>
      <c r="C322" s="190" t="s">
        <v>2495</v>
      </c>
      <c r="D322" s="190" t="s">
        <v>2496</v>
      </c>
      <c r="E322" s="190" t="s">
        <v>2497</v>
      </c>
      <c r="F322" s="190"/>
      <c r="G322" s="293"/>
      <c r="H322" s="293"/>
      <c r="I322" s="219"/>
      <c r="J322" s="295"/>
      <c r="K322" s="219"/>
      <c r="L322" s="219"/>
      <c r="M322" s="219"/>
      <c r="N322" s="219"/>
      <c r="O322" s="219" t="s">
        <v>4224</v>
      </c>
      <c r="P322" s="291"/>
      <c r="Q322" s="324" t="s">
        <v>307</v>
      </c>
      <c r="R322" s="219"/>
      <c r="S322" s="219"/>
      <c r="T322" s="219"/>
      <c r="U322" s="219"/>
      <c r="V322" s="219"/>
      <c r="W322" s="219"/>
      <c r="X322" s="219"/>
      <c r="Y322" s="219"/>
      <c r="Z322" s="219"/>
      <c r="AA322" s="219"/>
      <c r="AB322" s="219"/>
      <c r="AC322" s="219"/>
      <c r="AD322" s="219"/>
      <c r="AE322" s="219"/>
      <c r="AF322" s="219"/>
      <c r="AG322" s="219"/>
      <c r="AH322" s="219"/>
      <c r="AI322" s="219"/>
      <c r="AJ322" s="219"/>
      <c r="AK322" s="219"/>
      <c r="AL322" s="219"/>
      <c r="AM322" s="219"/>
      <c r="AN322" s="219"/>
      <c r="AO322" s="292"/>
      <c r="AP322" s="292"/>
      <c r="AQ322" s="292"/>
      <c r="AR322" s="292"/>
      <c r="AS322" s="292"/>
      <c r="AT322" s="292"/>
      <c r="AU322" s="292"/>
      <c r="AV322" s="292"/>
      <c r="AW322" s="292"/>
      <c r="AX322" s="292"/>
    </row>
    <row r="323" ht="15.75" customHeight="1">
      <c r="A323" s="199" t="s">
        <v>1814</v>
      </c>
      <c r="B323" s="147" t="s">
        <v>2498</v>
      </c>
      <c r="C323" s="190" t="s">
        <v>2503</v>
      </c>
      <c r="D323" s="190" t="s">
        <v>2504</v>
      </c>
      <c r="E323" s="190" t="s">
        <v>2505</v>
      </c>
      <c r="F323" s="190"/>
      <c r="G323" s="293"/>
      <c r="H323" s="293"/>
      <c r="I323" s="145"/>
      <c r="J323" s="146" t="s">
        <v>4240</v>
      </c>
      <c r="K323" s="145"/>
      <c r="L323" s="145"/>
      <c r="M323" s="145"/>
      <c r="N323" s="145"/>
      <c r="O323" s="149" t="s">
        <v>4245</v>
      </c>
      <c r="P323" s="291"/>
      <c r="Q323" s="149" t="s">
        <v>307</v>
      </c>
      <c r="R323" s="145"/>
      <c r="S323" s="145"/>
      <c r="T323" s="145"/>
      <c r="U323" s="145"/>
      <c r="V323" s="145"/>
      <c r="W323" s="145"/>
      <c r="X323" s="145"/>
      <c r="Y323" s="145"/>
      <c r="Z323" s="145"/>
      <c r="AA323" s="145"/>
      <c r="AB323" s="145"/>
      <c r="AC323" s="145"/>
      <c r="AD323" s="145"/>
      <c r="AE323" s="145"/>
      <c r="AF323" s="145"/>
      <c r="AG323" s="145"/>
      <c r="AH323" s="145"/>
      <c r="AI323" s="145"/>
      <c r="AJ323" s="145"/>
      <c r="AK323" s="145"/>
      <c r="AL323" s="145"/>
      <c r="AM323" s="145"/>
      <c r="AN323" s="145"/>
      <c r="AO323" s="292"/>
      <c r="AP323" s="292"/>
      <c r="AQ323" s="292"/>
      <c r="AR323" s="292"/>
      <c r="AS323" s="292"/>
      <c r="AT323" s="292"/>
      <c r="AU323" s="292"/>
      <c r="AV323" s="292"/>
      <c r="AW323" s="292"/>
      <c r="AX323" s="292"/>
    </row>
    <row r="324" ht="15.75" customHeight="1">
      <c r="A324" s="257" t="s">
        <v>220</v>
      </c>
      <c r="B324" s="217" t="s">
        <v>2506</v>
      </c>
      <c r="C324" s="190" t="s">
        <v>2514</v>
      </c>
      <c r="D324" s="190" t="s">
        <v>2515</v>
      </c>
      <c r="E324" s="190" t="s">
        <v>2516</v>
      </c>
      <c r="F324" s="190"/>
      <c r="G324" s="293"/>
      <c r="H324" s="293"/>
      <c r="I324" s="219"/>
      <c r="J324" s="295"/>
      <c r="K324" s="219"/>
      <c r="L324" s="219"/>
      <c r="M324" s="219"/>
      <c r="N324" s="219"/>
      <c r="O324" s="324" t="s">
        <v>4256</v>
      </c>
      <c r="P324" s="291"/>
      <c r="Q324" s="324" t="s">
        <v>307</v>
      </c>
      <c r="R324" s="219"/>
      <c r="S324" s="219"/>
      <c r="T324" s="219"/>
      <c r="U324" s="219"/>
      <c r="V324" s="219"/>
      <c r="W324" s="219"/>
      <c r="X324" s="219"/>
      <c r="Y324" s="219"/>
      <c r="Z324" s="219"/>
      <c r="AA324" s="219"/>
      <c r="AB324" s="219"/>
      <c r="AC324" s="219"/>
      <c r="AD324" s="219"/>
      <c r="AE324" s="219"/>
      <c r="AF324" s="219"/>
      <c r="AG324" s="219"/>
      <c r="AH324" s="219"/>
      <c r="AI324" s="219"/>
      <c r="AJ324" s="219"/>
      <c r="AK324" s="219"/>
      <c r="AL324" s="219"/>
      <c r="AM324" s="219"/>
      <c r="AN324" s="219"/>
      <c r="AO324" s="292"/>
      <c r="AP324" s="292"/>
      <c r="AQ324" s="292"/>
      <c r="AR324" s="292"/>
      <c r="AS324" s="292"/>
      <c r="AT324" s="292"/>
      <c r="AU324" s="292"/>
      <c r="AV324" s="292"/>
      <c r="AW324" s="292"/>
      <c r="AX324" s="292"/>
    </row>
    <row r="325" ht="15.75" customHeight="1">
      <c r="A325" s="257" t="s">
        <v>2456</v>
      </c>
      <c r="B325" s="217" t="s">
        <v>2517</v>
      </c>
      <c r="C325" s="190" t="s">
        <v>2521</v>
      </c>
      <c r="D325" s="190" t="s">
        <v>2522</v>
      </c>
      <c r="E325" s="190" t="s">
        <v>2524</v>
      </c>
      <c r="F325" s="190" t="s">
        <v>4273</v>
      </c>
      <c r="G325" s="293" t="s">
        <v>4275</v>
      </c>
      <c r="H325" s="293" t="s">
        <v>4277</v>
      </c>
      <c r="I325" s="219"/>
      <c r="J325" s="295"/>
      <c r="K325" s="219"/>
      <c r="L325" s="219"/>
      <c r="M325" s="219"/>
      <c r="N325" s="219"/>
      <c r="O325" s="324" t="s">
        <v>4178</v>
      </c>
      <c r="P325" s="291"/>
      <c r="Q325" s="324" t="s">
        <v>307</v>
      </c>
      <c r="R325" s="219"/>
      <c r="S325" s="219"/>
      <c r="T325" s="219"/>
      <c r="U325" s="219"/>
      <c r="V325" s="219"/>
      <c r="W325" s="219"/>
      <c r="X325" s="219"/>
      <c r="Y325" s="219"/>
      <c r="Z325" s="219"/>
      <c r="AA325" s="219"/>
      <c r="AB325" s="219"/>
      <c r="AC325" s="219"/>
      <c r="AD325" s="219"/>
      <c r="AE325" s="219"/>
      <c r="AF325" s="219"/>
      <c r="AG325" s="219"/>
      <c r="AH325" s="219"/>
      <c r="AI325" s="219"/>
      <c r="AJ325" s="219"/>
      <c r="AK325" s="219"/>
      <c r="AL325" s="219"/>
      <c r="AM325" s="219"/>
      <c r="AN325" s="219"/>
      <c r="AO325" s="292"/>
      <c r="AP325" s="292"/>
      <c r="AQ325" s="292"/>
      <c r="AR325" s="292"/>
      <c r="AS325" s="292"/>
      <c r="AT325" s="292"/>
      <c r="AU325" s="292"/>
      <c r="AV325" s="292"/>
      <c r="AW325" s="292"/>
      <c r="AX325" s="292"/>
    </row>
    <row r="326" ht="15.75" customHeight="1">
      <c r="A326" s="258" t="s">
        <v>247</v>
      </c>
      <c r="B326" s="259" t="s">
        <v>2527</v>
      </c>
      <c r="C326" s="190" t="s">
        <v>2532</v>
      </c>
      <c r="D326" s="190" t="s">
        <v>2533</v>
      </c>
      <c r="E326" s="190" t="s">
        <v>2534</v>
      </c>
      <c r="F326" s="190" t="s">
        <v>4299</v>
      </c>
      <c r="G326" s="293" t="s">
        <v>4301</v>
      </c>
      <c r="H326" s="293" t="s">
        <v>4303</v>
      </c>
      <c r="I326" s="303"/>
      <c r="J326" s="303"/>
      <c r="K326" s="304" t="s">
        <v>4304</v>
      </c>
      <c r="L326" s="304"/>
      <c r="M326" s="303"/>
      <c r="N326" s="303"/>
      <c r="O326" s="303" t="s">
        <v>4178</v>
      </c>
      <c r="P326" s="291"/>
      <c r="Q326" s="303" t="s">
        <v>307</v>
      </c>
      <c r="R326" s="303"/>
      <c r="S326" s="303"/>
      <c r="T326" s="303"/>
      <c r="U326" s="303"/>
      <c r="V326" s="303"/>
      <c r="W326" s="303"/>
      <c r="X326" s="303"/>
      <c r="Y326" s="303"/>
      <c r="Z326" s="303"/>
      <c r="AA326" s="303"/>
      <c r="AB326" s="303"/>
      <c r="AC326" s="303"/>
      <c r="AD326" s="303"/>
      <c r="AE326" s="303"/>
      <c r="AF326" s="303"/>
      <c r="AG326" s="303"/>
      <c r="AH326" s="303"/>
      <c r="AI326" s="303"/>
      <c r="AJ326" s="303"/>
      <c r="AK326" s="303"/>
      <c r="AL326" s="303"/>
      <c r="AM326" s="303"/>
      <c r="AN326" s="303"/>
      <c r="AO326" s="292"/>
      <c r="AP326" s="292"/>
      <c r="AQ326" s="292"/>
      <c r="AR326" s="292"/>
      <c r="AS326" s="292"/>
      <c r="AT326" s="292"/>
      <c r="AU326" s="292"/>
      <c r="AV326" s="292"/>
      <c r="AW326" s="292"/>
      <c r="AX326" s="292"/>
    </row>
    <row r="327" ht="15.75" customHeight="1">
      <c r="A327" s="258" t="s">
        <v>247</v>
      </c>
      <c r="B327" s="259" t="s">
        <v>2535</v>
      </c>
      <c r="C327" s="190" t="s">
        <v>2542</v>
      </c>
      <c r="D327" s="190" t="s">
        <v>2544</v>
      </c>
      <c r="E327" s="190" t="s">
        <v>2545</v>
      </c>
      <c r="F327" s="190" t="s">
        <v>4299</v>
      </c>
      <c r="G327" s="293" t="s">
        <v>4301</v>
      </c>
      <c r="H327" s="293" t="s">
        <v>4303</v>
      </c>
      <c r="I327" s="303"/>
      <c r="J327" s="303"/>
      <c r="K327" s="304" t="s">
        <v>4304</v>
      </c>
      <c r="L327" s="304"/>
      <c r="M327" s="303"/>
      <c r="N327" s="303"/>
      <c r="O327" s="303" t="s">
        <v>4178</v>
      </c>
      <c r="P327" s="291"/>
      <c r="Q327" s="303" t="s">
        <v>307</v>
      </c>
      <c r="R327" s="303"/>
      <c r="S327" s="303"/>
      <c r="T327" s="303"/>
      <c r="U327" s="303"/>
      <c r="V327" s="303"/>
      <c r="W327" s="303"/>
      <c r="X327" s="303"/>
      <c r="Y327" s="303"/>
      <c r="Z327" s="303"/>
      <c r="AA327" s="303"/>
      <c r="AB327" s="303"/>
      <c r="AC327" s="303"/>
      <c r="AD327" s="303"/>
      <c r="AE327" s="303"/>
      <c r="AF327" s="303"/>
      <c r="AG327" s="303"/>
      <c r="AH327" s="303"/>
      <c r="AI327" s="303"/>
      <c r="AJ327" s="303"/>
      <c r="AK327" s="303"/>
      <c r="AL327" s="303"/>
      <c r="AM327" s="303"/>
      <c r="AN327" s="303"/>
      <c r="AO327" s="292"/>
      <c r="AP327" s="292"/>
      <c r="AQ327" s="292"/>
      <c r="AR327" s="292"/>
      <c r="AS327" s="292"/>
      <c r="AT327" s="292"/>
      <c r="AU327" s="292"/>
      <c r="AV327" s="292"/>
      <c r="AW327" s="292"/>
      <c r="AX327" s="292"/>
    </row>
    <row r="328" ht="15.75" customHeight="1">
      <c r="A328" s="199" t="s">
        <v>1060</v>
      </c>
      <c r="B328" s="147" t="s">
        <v>2546</v>
      </c>
      <c r="C328" s="190" t="s">
        <v>2550</v>
      </c>
      <c r="D328" s="190" t="s">
        <v>2551</v>
      </c>
      <c r="E328" s="190" t="s">
        <v>2552</v>
      </c>
      <c r="F328" s="190"/>
      <c r="G328" s="293"/>
      <c r="H328" s="293"/>
      <c r="I328" s="145"/>
      <c r="J328" s="146"/>
      <c r="K328" s="145"/>
      <c r="L328" s="145"/>
      <c r="M328" s="145"/>
      <c r="N328" s="145"/>
      <c r="O328" s="145" t="s">
        <v>4341</v>
      </c>
      <c r="P328" s="291"/>
      <c r="Q328" s="145" t="s">
        <v>307</v>
      </c>
      <c r="R328" s="145"/>
      <c r="S328" s="145"/>
      <c r="T328" s="145"/>
      <c r="U328" s="145"/>
      <c r="V328" s="145"/>
      <c r="W328" s="145"/>
      <c r="X328" s="145"/>
      <c r="Y328" s="145"/>
      <c r="Z328" s="145"/>
      <c r="AA328" s="145"/>
      <c r="AB328" s="145"/>
      <c r="AC328" s="145"/>
      <c r="AD328" s="145"/>
      <c r="AE328" s="145"/>
      <c r="AF328" s="145"/>
      <c r="AG328" s="145"/>
      <c r="AH328" s="145"/>
      <c r="AI328" s="145"/>
      <c r="AJ328" s="145"/>
      <c r="AK328" s="145"/>
      <c r="AL328" s="145"/>
      <c r="AM328" s="145"/>
      <c r="AN328" s="145"/>
      <c r="AO328" s="292"/>
      <c r="AP328" s="292"/>
      <c r="AQ328" s="292"/>
      <c r="AR328" s="292"/>
      <c r="AS328" s="292"/>
      <c r="AT328" s="292"/>
      <c r="AU328" s="292"/>
      <c r="AV328" s="292"/>
      <c r="AW328" s="292"/>
      <c r="AX328" s="292"/>
    </row>
    <row r="329" ht="15.75" customHeight="1">
      <c r="A329" s="199" t="s">
        <v>1060</v>
      </c>
      <c r="B329" s="147" t="s">
        <v>2553</v>
      </c>
      <c r="C329" s="190" t="s">
        <v>2561</v>
      </c>
      <c r="D329" s="190" t="s">
        <v>2562</v>
      </c>
      <c r="E329" s="190" t="s">
        <v>2563</v>
      </c>
      <c r="F329" s="190"/>
      <c r="G329" s="293"/>
      <c r="H329" s="293"/>
      <c r="I329" s="145"/>
      <c r="J329" s="146"/>
      <c r="K329" s="145"/>
      <c r="L329" s="145"/>
      <c r="M329" s="145"/>
      <c r="N329" s="145"/>
      <c r="O329" s="145" t="s">
        <v>4178</v>
      </c>
      <c r="P329" s="291"/>
      <c r="Q329" s="145" t="s">
        <v>307</v>
      </c>
      <c r="R329" s="145"/>
      <c r="S329" s="145"/>
      <c r="T329" s="145"/>
      <c r="U329" s="145"/>
      <c r="V329" s="145"/>
      <c r="W329" s="145"/>
      <c r="X329" s="145"/>
      <c r="Y329" s="145"/>
      <c r="Z329" s="145"/>
      <c r="AA329" s="145"/>
      <c r="AB329" s="145"/>
      <c r="AC329" s="145"/>
      <c r="AD329" s="145"/>
      <c r="AE329" s="145"/>
      <c r="AF329" s="145"/>
      <c r="AG329" s="145"/>
      <c r="AH329" s="145"/>
      <c r="AI329" s="145"/>
      <c r="AJ329" s="145"/>
      <c r="AK329" s="145"/>
      <c r="AL329" s="145"/>
      <c r="AM329" s="145"/>
      <c r="AN329" s="145"/>
      <c r="AO329" s="292"/>
      <c r="AP329" s="292"/>
      <c r="AQ329" s="292"/>
      <c r="AR329" s="292"/>
      <c r="AS329" s="292"/>
      <c r="AT329" s="292"/>
      <c r="AU329" s="292"/>
      <c r="AV329" s="292"/>
      <c r="AW329" s="292"/>
      <c r="AX329" s="292"/>
    </row>
    <row r="330" ht="15.75" customHeight="1">
      <c r="A330" s="258" t="s">
        <v>247</v>
      </c>
      <c r="B330" s="259" t="s">
        <v>2564</v>
      </c>
      <c r="C330" s="190" t="s">
        <v>2570</v>
      </c>
      <c r="D330" s="190" t="s">
        <v>2572</v>
      </c>
      <c r="E330" s="190" t="s">
        <v>2573</v>
      </c>
      <c r="F330" s="190" t="s">
        <v>4299</v>
      </c>
      <c r="G330" s="293" t="s">
        <v>4301</v>
      </c>
      <c r="H330" s="293" t="s">
        <v>4303</v>
      </c>
      <c r="I330" s="303"/>
      <c r="J330" s="303"/>
      <c r="K330" s="304" t="s">
        <v>4159</v>
      </c>
      <c r="L330" s="304"/>
      <c r="M330" s="303"/>
      <c r="N330" s="303"/>
      <c r="O330" s="303" t="s">
        <v>4341</v>
      </c>
      <c r="P330" s="291"/>
      <c r="Q330" s="303" t="s">
        <v>307</v>
      </c>
      <c r="R330" s="303"/>
      <c r="S330" s="303"/>
      <c r="T330" s="303"/>
      <c r="U330" s="303"/>
      <c r="V330" s="303"/>
      <c r="W330" s="303"/>
      <c r="X330" s="303"/>
      <c r="Y330" s="303"/>
      <c r="Z330" s="303"/>
      <c r="AA330" s="303"/>
      <c r="AB330" s="303"/>
      <c r="AC330" s="303"/>
      <c r="AD330" s="303"/>
      <c r="AE330" s="303"/>
      <c r="AF330" s="303"/>
      <c r="AG330" s="303"/>
      <c r="AH330" s="303"/>
      <c r="AI330" s="303"/>
      <c r="AJ330" s="303"/>
      <c r="AK330" s="303"/>
      <c r="AL330" s="303"/>
      <c r="AM330" s="303"/>
      <c r="AN330" s="303"/>
      <c r="AO330" s="292"/>
      <c r="AP330" s="292"/>
      <c r="AQ330" s="292"/>
      <c r="AR330" s="292"/>
      <c r="AS330" s="292"/>
      <c r="AT330" s="292"/>
      <c r="AU330" s="292"/>
      <c r="AV330" s="292"/>
      <c r="AW330" s="292"/>
      <c r="AX330" s="292"/>
    </row>
    <row r="331" ht="15.75" customHeight="1">
      <c r="A331" s="199" t="s">
        <v>2574</v>
      </c>
      <c r="B331" s="147" t="s">
        <v>2575</v>
      </c>
      <c r="C331" s="190" t="s">
        <v>2580</v>
      </c>
      <c r="D331" s="190" t="s">
        <v>2581</v>
      </c>
      <c r="E331" s="190" t="s">
        <v>2582</v>
      </c>
      <c r="F331" s="190"/>
      <c r="G331" s="293"/>
      <c r="H331" s="293"/>
      <c r="I331" s="145"/>
      <c r="J331" s="146"/>
      <c r="K331" s="145"/>
      <c r="L331" s="145"/>
      <c r="M331" s="145"/>
      <c r="N331" s="145"/>
      <c r="O331" s="145" t="s">
        <v>4394</v>
      </c>
      <c r="P331" s="291"/>
      <c r="Q331" s="145" t="s">
        <v>307</v>
      </c>
      <c r="R331" s="145"/>
      <c r="S331" s="145"/>
      <c r="T331" s="145"/>
      <c r="U331" s="145"/>
      <c r="V331" s="145"/>
      <c r="W331" s="145"/>
      <c r="X331" s="145"/>
      <c r="Y331" s="145"/>
      <c r="Z331" s="145"/>
      <c r="AA331" s="145"/>
      <c r="AB331" s="145"/>
      <c r="AC331" s="145"/>
      <c r="AD331" s="145"/>
      <c r="AE331" s="145"/>
      <c r="AF331" s="145"/>
      <c r="AG331" s="145"/>
      <c r="AH331" s="145"/>
      <c r="AI331" s="145"/>
      <c r="AJ331" s="145"/>
      <c r="AK331" s="145"/>
      <c r="AL331" s="145"/>
      <c r="AM331" s="145"/>
      <c r="AN331" s="145"/>
      <c r="AO331" s="292"/>
      <c r="AP331" s="292"/>
      <c r="AQ331" s="292"/>
      <c r="AR331" s="292"/>
      <c r="AS331" s="292"/>
      <c r="AT331" s="292"/>
      <c r="AU331" s="292"/>
      <c r="AV331" s="292"/>
      <c r="AW331" s="292"/>
      <c r="AX331" s="292"/>
    </row>
    <row r="332" ht="15.75" customHeight="1">
      <c r="A332" s="199" t="s">
        <v>1060</v>
      </c>
      <c r="B332" s="147" t="s">
        <v>2583</v>
      </c>
      <c r="C332" s="190" t="s">
        <v>2588</v>
      </c>
      <c r="D332" s="190" t="s">
        <v>2589</v>
      </c>
      <c r="E332" s="190" t="s">
        <v>2590</v>
      </c>
      <c r="F332" s="190" t="s">
        <v>4408</v>
      </c>
      <c r="G332" s="293"/>
      <c r="H332" s="293"/>
      <c r="I332" s="145"/>
      <c r="J332" s="146"/>
      <c r="K332" s="145"/>
      <c r="L332" s="145"/>
      <c r="M332" s="145"/>
      <c r="N332" s="145"/>
      <c r="O332" s="145"/>
      <c r="P332" s="291"/>
      <c r="Q332" s="145" t="s">
        <v>307</v>
      </c>
      <c r="R332" s="145"/>
      <c r="S332" s="145"/>
      <c r="T332" s="145"/>
      <c r="U332" s="145"/>
      <c r="V332" s="145"/>
      <c r="W332" s="145"/>
      <c r="X332" s="145"/>
      <c r="Y332" s="145"/>
      <c r="Z332" s="145"/>
      <c r="AA332" s="145"/>
      <c r="AB332" s="145"/>
      <c r="AC332" s="145"/>
      <c r="AD332" s="145"/>
      <c r="AE332" s="145"/>
      <c r="AF332" s="145"/>
      <c r="AG332" s="145"/>
      <c r="AH332" s="145"/>
      <c r="AI332" s="145"/>
      <c r="AJ332" s="145"/>
      <c r="AK332" s="145"/>
      <c r="AL332" s="145"/>
      <c r="AM332" s="145"/>
      <c r="AN332" s="145"/>
      <c r="AO332" s="292"/>
      <c r="AP332" s="292"/>
      <c r="AQ332" s="292"/>
      <c r="AR332" s="292"/>
      <c r="AS332" s="292"/>
      <c r="AT332" s="292"/>
      <c r="AU332" s="292"/>
      <c r="AV332" s="292"/>
      <c r="AW332" s="292"/>
      <c r="AX332" s="292"/>
    </row>
    <row r="333" ht="15.75" customHeight="1">
      <c r="A333" s="199" t="s">
        <v>1060</v>
      </c>
      <c r="B333" s="148" t="s">
        <v>2591</v>
      </c>
      <c r="C333" s="190" t="s">
        <v>2592</v>
      </c>
      <c r="D333" s="190" t="s">
        <v>2595</v>
      </c>
      <c r="E333" s="190" t="s">
        <v>2596</v>
      </c>
      <c r="F333" s="282"/>
      <c r="G333" s="293"/>
      <c r="H333" s="293"/>
      <c r="I333" s="128"/>
      <c r="J333" s="128"/>
      <c r="K333" s="128"/>
      <c r="L333" s="128"/>
      <c r="M333" s="128"/>
      <c r="N333" s="128"/>
      <c r="O333" s="326" t="s">
        <v>4441</v>
      </c>
      <c r="P333" s="291"/>
      <c r="Q333" s="326" t="s">
        <v>307</v>
      </c>
      <c r="R333" s="128"/>
      <c r="S333" s="128"/>
      <c r="T333" s="128"/>
      <c r="U333" s="128"/>
      <c r="V333" s="128"/>
      <c r="W333" s="128"/>
      <c r="X333" s="128"/>
      <c r="Y333" s="128"/>
      <c r="Z333" s="128"/>
      <c r="AA333" s="128"/>
      <c r="AB333" s="128"/>
      <c r="AC333" s="128"/>
      <c r="AD333" s="128"/>
      <c r="AE333" s="128"/>
      <c r="AF333" s="128"/>
      <c r="AG333" s="128"/>
      <c r="AH333" s="128"/>
      <c r="AI333" s="128"/>
      <c r="AJ333" s="128"/>
      <c r="AK333" s="128"/>
      <c r="AL333" s="128"/>
      <c r="AM333" s="128"/>
      <c r="AN333" s="128"/>
      <c r="AO333" s="292"/>
      <c r="AP333" s="292"/>
      <c r="AQ333" s="292"/>
      <c r="AR333" s="292"/>
      <c r="AS333" s="292"/>
      <c r="AT333" s="292"/>
      <c r="AU333" s="292"/>
      <c r="AV333" s="292"/>
      <c r="AW333" s="292"/>
      <c r="AX333" s="292"/>
    </row>
    <row r="335" ht="15.75" customHeight="1">
      <c r="A335" s="238" t="s">
        <v>46</v>
      </c>
      <c r="B335" s="132" t="s">
        <v>2601</v>
      </c>
      <c r="C335" s="190" t="s">
        <v>2602</v>
      </c>
      <c r="D335" s="190" t="s">
        <v>2603</v>
      </c>
      <c r="E335" s="190" t="s">
        <v>2604</v>
      </c>
      <c r="F335" s="190" t="s">
        <v>4458</v>
      </c>
      <c r="G335" s="293" t="s">
        <v>4460</v>
      </c>
      <c r="H335" s="293" t="s">
        <v>4462</v>
      </c>
      <c r="I335" s="128"/>
      <c r="J335" s="128"/>
      <c r="K335" s="128"/>
      <c r="L335" s="128"/>
      <c r="M335" s="128"/>
      <c r="N335" s="128"/>
      <c r="O335" s="326" t="s">
        <v>4466</v>
      </c>
      <c r="P335" s="291"/>
      <c r="Q335" s="128"/>
      <c r="R335" s="128"/>
      <c r="S335" s="128"/>
      <c r="T335" s="128"/>
      <c r="U335" s="128"/>
      <c r="V335" s="128"/>
      <c r="W335" s="128"/>
      <c r="X335" s="128"/>
      <c r="Y335" s="128"/>
      <c r="Z335" s="128"/>
      <c r="AA335" s="128"/>
      <c r="AB335" s="128"/>
      <c r="AC335" s="128"/>
      <c r="AD335" s="128"/>
      <c r="AE335" s="128"/>
      <c r="AF335" s="128"/>
      <c r="AG335" s="128"/>
      <c r="AH335" s="128"/>
      <c r="AI335" s="128"/>
      <c r="AJ335" s="128"/>
      <c r="AK335" s="128"/>
      <c r="AL335" s="128"/>
      <c r="AM335" s="128"/>
      <c r="AN335" s="128"/>
      <c r="AO335" s="292"/>
      <c r="AP335" s="292"/>
      <c r="AQ335" s="292"/>
      <c r="AR335" s="292"/>
      <c r="AS335" s="292"/>
      <c r="AT335" s="292"/>
      <c r="AU335" s="292"/>
      <c r="AV335" s="292"/>
      <c r="AW335" s="292"/>
      <c r="AX335" s="292"/>
    </row>
    <row r="336" ht="15.75" customHeight="1">
      <c r="A336" s="199" t="s">
        <v>1792</v>
      </c>
      <c r="B336" s="147" t="s">
        <v>2609</v>
      </c>
      <c r="C336" s="190" t="s">
        <v>2610</v>
      </c>
      <c r="D336" s="190" t="s">
        <v>2611</v>
      </c>
      <c r="E336" s="190" t="s">
        <v>2612</v>
      </c>
      <c r="F336" s="190" t="s">
        <v>3364</v>
      </c>
      <c r="G336" s="293" t="s">
        <v>3365</v>
      </c>
      <c r="H336" s="293" t="s">
        <v>3366</v>
      </c>
      <c r="I336" s="145"/>
      <c r="J336" s="146"/>
      <c r="K336" s="145"/>
      <c r="L336" s="145"/>
      <c r="M336" s="145"/>
      <c r="N336" s="145"/>
      <c r="O336" s="326" t="s">
        <v>4466</v>
      </c>
      <c r="P336" s="291"/>
      <c r="Q336" s="145" t="s">
        <v>307</v>
      </c>
      <c r="R336" s="145"/>
      <c r="S336" s="145"/>
      <c r="T336" s="145"/>
      <c r="U336" s="145"/>
      <c r="V336" s="145"/>
      <c r="W336" s="145"/>
      <c r="X336" s="145"/>
      <c r="Y336" s="145"/>
      <c r="Z336" s="145"/>
      <c r="AA336" s="145"/>
      <c r="AB336" s="145"/>
      <c r="AC336" s="145"/>
      <c r="AD336" s="145"/>
      <c r="AE336" s="145"/>
      <c r="AF336" s="145"/>
      <c r="AG336" s="145"/>
      <c r="AH336" s="145"/>
      <c r="AI336" s="145"/>
      <c r="AJ336" s="145"/>
      <c r="AK336" s="145"/>
      <c r="AL336" s="145"/>
      <c r="AM336" s="145"/>
      <c r="AN336" s="145"/>
      <c r="AO336" s="292"/>
      <c r="AP336" s="292"/>
      <c r="AQ336" s="292"/>
      <c r="AR336" s="292"/>
      <c r="AS336" s="292"/>
      <c r="AT336" s="292"/>
      <c r="AU336" s="292"/>
      <c r="AV336" s="292"/>
      <c r="AW336" s="292"/>
      <c r="AX336" s="292"/>
    </row>
    <row r="337" ht="15.75" customHeight="1">
      <c r="A337" s="199" t="s">
        <v>1779</v>
      </c>
      <c r="B337" s="147" t="s">
        <v>2613</v>
      </c>
      <c r="C337" s="190" t="s">
        <v>2615</v>
      </c>
      <c r="D337" s="190" t="s">
        <v>2616</v>
      </c>
      <c r="E337" s="190" t="s">
        <v>2617</v>
      </c>
      <c r="F337" s="190"/>
      <c r="G337" s="293"/>
      <c r="H337" s="293"/>
      <c r="I337" s="145"/>
      <c r="J337" s="146"/>
      <c r="K337" s="145"/>
      <c r="L337" s="145"/>
      <c r="M337" s="145"/>
      <c r="N337" s="145"/>
      <c r="O337" s="145" t="s">
        <v>4502</v>
      </c>
      <c r="P337" s="291"/>
      <c r="Q337" s="145" t="s">
        <v>307</v>
      </c>
      <c r="R337" s="145"/>
      <c r="S337" s="145"/>
      <c r="T337" s="145"/>
      <c r="U337" s="145"/>
      <c r="V337" s="145"/>
      <c r="W337" s="145"/>
      <c r="X337" s="145"/>
      <c r="Y337" s="145"/>
      <c r="Z337" s="145"/>
      <c r="AA337" s="145"/>
      <c r="AB337" s="145"/>
      <c r="AC337" s="145"/>
      <c r="AD337" s="145"/>
      <c r="AE337" s="145"/>
      <c r="AF337" s="145"/>
      <c r="AG337" s="145"/>
      <c r="AH337" s="145"/>
      <c r="AI337" s="145"/>
      <c r="AJ337" s="145"/>
      <c r="AK337" s="145"/>
      <c r="AL337" s="145"/>
      <c r="AM337" s="145"/>
      <c r="AN337" s="145"/>
      <c r="AO337" s="292"/>
      <c r="AP337" s="292"/>
      <c r="AQ337" s="292"/>
      <c r="AR337" s="292"/>
      <c r="AS337" s="292"/>
      <c r="AT337" s="292"/>
      <c r="AU337" s="292"/>
      <c r="AV337" s="292"/>
      <c r="AW337" s="292"/>
      <c r="AX337" s="292"/>
    </row>
    <row r="338" ht="15.75" customHeight="1">
      <c r="A338" s="199" t="s">
        <v>1814</v>
      </c>
      <c r="B338" s="147" t="s">
        <v>2621</v>
      </c>
      <c r="C338" s="190" t="s">
        <v>2622</v>
      </c>
      <c r="D338" s="190" t="s">
        <v>2623</v>
      </c>
      <c r="E338" s="190" t="s">
        <v>2624</v>
      </c>
      <c r="F338" s="190"/>
      <c r="G338" s="293"/>
      <c r="H338" s="293"/>
      <c r="I338" s="145"/>
      <c r="J338" s="146" t="s">
        <v>4517</v>
      </c>
      <c r="K338" s="145"/>
      <c r="L338" s="145"/>
      <c r="M338" s="145"/>
      <c r="N338" s="145"/>
      <c r="O338" s="149" t="s">
        <v>4522</v>
      </c>
      <c r="P338" s="291"/>
      <c r="Q338" s="145" t="s">
        <v>307</v>
      </c>
      <c r="R338" s="145"/>
      <c r="S338" s="145"/>
      <c r="T338" s="145"/>
      <c r="U338" s="145"/>
      <c r="V338" s="145"/>
      <c r="W338" s="145"/>
      <c r="X338" s="145"/>
      <c r="Y338" s="145"/>
      <c r="Z338" s="145"/>
      <c r="AA338" s="145"/>
      <c r="AB338" s="145"/>
      <c r="AC338" s="145"/>
      <c r="AD338" s="145"/>
      <c r="AE338" s="145"/>
      <c r="AF338" s="145"/>
      <c r="AG338" s="145"/>
      <c r="AH338" s="145"/>
      <c r="AI338" s="145"/>
      <c r="AJ338" s="145"/>
      <c r="AK338" s="145"/>
      <c r="AL338" s="145"/>
      <c r="AM338" s="145"/>
      <c r="AN338" s="145"/>
      <c r="AO338" s="292"/>
      <c r="AP338" s="292"/>
      <c r="AQ338" s="292"/>
      <c r="AR338" s="292"/>
      <c r="AS338" s="292"/>
      <c r="AT338" s="292"/>
      <c r="AU338" s="292"/>
      <c r="AV338" s="292"/>
      <c r="AW338" s="292"/>
      <c r="AX338" s="292"/>
    </row>
    <row r="339" ht="15.75" customHeight="1">
      <c r="A339" s="199" t="s">
        <v>1060</v>
      </c>
      <c r="B339" s="147" t="s">
        <v>2625</v>
      </c>
      <c r="C339" s="190" t="s">
        <v>2626</v>
      </c>
      <c r="D339" s="190" t="s">
        <v>2627</v>
      </c>
      <c r="E339" s="190" t="s">
        <v>2628</v>
      </c>
      <c r="F339" s="190"/>
      <c r="G339" s="293"/>
      <c r="H339" s="293"/>
      <c r="I339" s="145"/>
      <c r="J339" s="146"/>
      <c r="K339" s="145"/>
      <c r="L339" s="145"/>
      <c r="M339" s="145"/>
      <c r="N339" s="145"/>
      <c r="O339" s="145"/>
      <c r="P339" s="291"/>
      <c r="Q339" s="145" t="s">
        <v>307</v>
      </c>
      <c r="R339" s="145"/>
      <c r="S339" s="145"/>
      <c r="T339" s="145"/>
      <c r="U339" s="145"/>
      <c r="V339" s="145"/>
      <c r="W339" s="145"/>
      <c r="X339" s="145"/>
      <c r="Y339" s="145"/>
      <c r="Z339" s="145"/>
      <c r="AA339" s="145"/>
      <c r="AB339" s="145"/>
      <c r="AC339" s="145"/>
      <c r="AD339" s="292"/>
      <c r="AE339" s="292"/>
      <c r="AF339" s="292"/>
      <c r="AG339" s="292"/>
      <c r="AH339" s="292"/>
      <c r="AI339" s="292"/>
      <c r="AJ339" s="292"/>
      <c r="AK339" s="292"/>
      <c r="AL339" s="292"/>
      <c r="AM339" s="292"/>
      <c r="AN339" s="292"/>
      <c r="AO339" s="292"/>
      <c r="AP339" s="292"/>
      <c r="AQ339" s="292"/>
      <c r="AR339" s="292"/>
      <c r="AS339" s="292"/>
      <c r="AT339" s="292"/>
      <c r="AU339" s="292"/>
      <c r="AV339" s="292"/>
      <c r="AW339" s="292"/>
      <c r="AX339" s="292"/>
    </row>
    <row r="340" ht="15.75" customHeight="1">
      <c r="A340" s="199" t="s">
        <v>1060</v>
      </c>
      <c r="B340" s="147" t="s">
        <v>2632</v>
      </c>
      <c r="C340" s="190" t="s">
        <v>2633</v>
      </c>
      <c r="D340" s="190" t="s">
        <v>2634</v>
      </c>
      <c r="E340" s="190" t="s">
        <v>2635</v>
      </c>
      <c r="F340" s="190"/>
      <c r="G340" s="293"/>
      <c r="H340" s="293"/>
      <c r="I340" s="145"/>
      <c r="J340" s="146"/>
      <c r="K340" s="145"/>
      <c r="L340" s="145"/>
      <c r="M340" s="145"/>
      <c r="N340" s="145"/>
      <c r="O340" s="145"/>
      <c r="P340" s="291"/>
      <c r="Q340" s="145" t="s">
        <v>307</v>
      </c>
      <c r="R340" s="145"/>
      <c r="S340" s="145"/>
      <c r="T340" s="145"/>
      <c r="U340" s="145"/>
      <c r="V340" s="145"/>
      <c r="W340" s="145"/>
      <c r="X340" s="145"/>
      <c r="Y340" s="145"/>
      <c r="Z340" s="145"/>
      <c r="AA340" s="145"/>
      <c r="AB340" s="145"/>
      <c r="AC340" s="145"/>
      <c r="AD340" s="292"/>
      <c r="AE340" s="292"/>
      <c r="AF340" s="292"/>
      <c r="AG340" s="292"/>
      <c r="AH340" s="292"/>
      <c r="AI340" s="292"/>
      <c r="AJ340" s="292"/>
      <c r="AK340" s="292"/>
      <c r="AL340" s="292"/>
      <c r="AM340" s="292"/>
      <c r="AN340" s="292"/>
      <c r="AO340" s="292"/>
      <c r="AP340" s="292"/>
      <c r="AQ340" s="292"/>
      <c r="AR340" s="292"/>
      <c r="AS340" s="292"/>
      <c r="AT340" s="292"/>
      <c r="AU340" s="292"/>
      <c r="AV340" s="292"/>
      <c r="AW340" s="292"/>
      <c r="AX340" s="292"/>
    </row>
    <row r="341" ht="15.75" customHeight="1">
      <c r="A341" s="283" t="s">
        <v>2456</v>
      </c>
      <c r="B341" s="147" t="s">
        <v>2640</v>
      </c>
      <c r="C341" s="190" t="s">
        <v>2641</v>
      </c>
      <c r="D341" s="190" t="s">
        <v>2642</v>
      </c>
      <c r="E341" s="190" t="s">
        <v>2643</v>
      </c>
      <c r="F341" s="190"/>
      <c r="G341" s="293"/>
      <c r="H341" s="293"/>
      <c r="I341" s="145"/>
      <c r="J341" s="146"/>
      <c r="K341" s="145"/>
      <c r="L341" s="145"/>
      <c r="M341" s="145"/>
      <c r="N341" s="145"/>
      <c r="O341" s="145"/>
      <c r="P341" s="291"/>
      <c r="Q341" s="145" t="s">
        <v>307</v>
      </c>
      <c r="R341" s="145"/>
      <c r="S341" s="145"/>
      <c r="T341" s="145"/>
      <c r="U341" s="145"/>
      <c r="V341" s="145"/>
      <c r="W341" s="145"/>
      <c r="X341" s="145"/>
      <c r="Y341" s="145"/>
      <c r="Z341" s="145"/>
      <c r="AA341" s="145"/>
      <c r="AB341" s="145"/>
      <c r="AC341" s="145"/>
      <c r="AD341" s="141"/>
      <c r="AE341" s="141"/>
      <c r="AF341" s="141"/>
      <c r="AG341" s="141"/>
      <c r="AH341" s="141"/>
      <c r="AI341" s="141"/>
      <c r="AJ341" s="141"/>
      <c r="AK341" s="141"/>
      <c r="AL341" s="141"/>
      <c r="AM341" s="141"/>
      <c r="AN341" s="141"/>
      <c r="AO341" s="292"/>
      <c r="AP341" s="292"/>
      <c r="AQ341" s="292"/>
      <c r="AR341" s="292"/>
      <c r="AS341" s="292"/>
      <c r="AT341" s="292"/>
      <c r="AU341" s="292"/>
      <c r="AV341" s="292"/>
      <c r="AW341" s="292"/>
      <c r="AX341" s="292"/>
    </row>
    <row r="342" ht="15.75" customHeight="1">
      <c r="A342" s="210" t="s">
        <v>256</v>
      </c>
      <c r="B342" s="284" t="s">
        <v>2648</v>
      </c>
      <c r="C342" s="190"/>
      <c r="D342" s="190"/>
      <c r="E342" s="190"/>
      <c r="F342" s="190"/>
      <c r="G342" s="141"/>
      <c r="H342" s="141"/>
      <c r="I342" s="141"/>
      <c r="J342" s="142"/>
      <c r="K342" s="141"/>
      <c r="L342" s="141"/>
      <c r="M342" s="142"/>
      <c r="N342" s="142"/>
      <c r="O342" s="142"/>
      <c r="P342" s="291"/>
      <c r="Q342" s="141"/>
      <c r="R342" s="141"/>
      <c r="S342" s="141"/>
      <c r="T342" s="210" t="s">
        <v>260</v>
      </c>
      <c r="U342" s="141"/>
      <c r="V342" s="141"/>
      <c r="W342" s="141"/>
      <c r="X342" s="141"/>
      <c r="Y342" s="141"/>
      <c r="Z342" s="141"/>
      <c r="AA342" s="141"/>
      <c r="AB342" s="141"/>
      <c r="AC342" s="141"/>
      <c r="AD342" s="141"/>
      <c r="AE342" s="141"/>
      <c r="AF342" s="141"/>
      <c r="AG342" s="141"/>
      <c r="AH342" s="141"/>
      <c r="AI342" s="141"/>
      <c r="AJ342" s="141"/>
      <c r="AK342" s="141"/>
      <c r="AL342" s="141"/>
      <c r="AM342" s="141"/>
      <c r="AN342" s="141"/>
      <c r="AO342" s="292"/>
      <c r="AP342" s="292"/>
      <c r="AQ342" s="292"/>
      <c r="AR342" s="292"/>
      <c r="AS342" s="292"/>
      <c r="AT342" s="292"/>
      <c r="AU342" s="292"/>
      <c r="AV342" s="292"/>
      <c r="AW342" s="292"/>
      <c r="AX342" s="292"/>
    </row>
    <row r="343" ht="15.75" customHeight="1">
      <c r="A343" s="210" t="s">
        <v>112</v>
      </c>
      <c r="B343" s="277" t="s">
        <v>2652</v>
      </c>
      <c r="C343" s="190"/>
      <c r="D343" s="190"/>
      <c r="E343" s="190"/>
      <c r="F343" s="190"/>
      <c r="G343" s="141"/>
      <c r="H343" s="141"/>
      <c r="I343" s="141"/>
      <c r="J343" s="142"/>
      <c r="K343" s="141"/>
      <c r="L343" s="141"/>
      <c r="M343" s="142"/>
      <c r="N343" s="142"/>
      <c r="O343" s="142"/>
      <c r="P343" s="291"/>
      <c r="Q343" s="141"/>
      <c r="R343" s="141"/>
      <c r="S343" s="141"/>
      <c r="T343" s="210" t="s">
        <v>4623</v>
      </c>
      <c r="U343" s="141"/>
      <c r="V343" s="141"/>
      <c r="W343" s="141"/>
      <c r="X343" s="141"/>
      <c r="Y343" s="141"/>
      <c r="Z343" s="141"/>
      <c r="AA343" s="141"/>
      <c r="AB343" s="141"/>
      <c r="AC343" s="141"/>
      <c r="AD343" s="141"/>
      <c r="AE343" s="141"/>
      <c r="AF343" s="141"/>
      <c r="AG343" s="141"/>
      <c r="AH343" s="141"/>
      <c r="AI343" s="141"/>
      <c r="AJ343" s="141"/>
      <c r="AK343" s="141"/>
      <c r="AL343" s="141"/>
      <c r="AM343" s="141"/>
      <c r="AN343" s="141"/>
      <c r="AO343" s="292"/>
      <c r="AP343" s="292"/>
      <c r="AQ343" s="292"/>
      <c r="AR343" s="292"/>
      <c r="AS343" s="292"/>
      <c r="AT343" s="292"/>
      <c r="AU343" s="292"/>
      <c r="AV343" s="292"/>
      <c r="AW343" s="292"/>
      <c r="AX343" s="292"/>
    </row>
    <row r="344" ht="15.75" customHeight="1">
      <c r="A344" s="255" t="s">
        <v>278</v>
      </c>
      <c r="B344" s="143" t="s">
        <v>2653</v>
      </c>
      <c r="C344" s="190"/>
      <c r="D344" s="190"/>
      <c r="E344" s="190"/>
      <c r="F344" s="190"/>
      <c r="G344" s="141"/>
      <c r="H344" s="141"/>
      <c r="I344" s="141"/>
      <c r="J344" s="142" t="s">
        <v>987</v>
      </c>
      <c r="K344" s="141"/>
      <c r="L344" s="141"/>
      <c r="M344" s="142"/>
      <c r="N344" s="142"/>
      <c r="O344" s="142"/>
      <c r="P344" s="291"/>
      <c r="Q344" s="141"/>
      <c r="R344" s="141"/>
      <c r="S344" s="141"/>
      <c r="T344" s="141"/>
      <c r="U344" s="141"/>
      <c r="V344" s="141"/>
      <c r="W344" s="141"/>
      <c r="X344" s="141"/>
      <c r="Y344" s="141"/>
      <c r="Z344" s="141"/>
      <c r="AA344" s="141"/>
      <c r="AB344" s="141"/>
      <c r="AC344" s="141"/>
      <c r="AD344" s="141"/>
      <c r="AE344" s="141"/>
      <c r="AF344" s="141"/>
      <c r="AG344" s="141"/>
      <c r="AH344" s="141"/>
      <c r="AI344" s="141"/>
      <c r="AJ344" s="141"/>
      <c r="AK344" s="141"/>
      <c r="AL344" s="141"/>
      <c r="AM344" s="141"/>
      <c r="AN344" s="141"/>
      <c r="AO344" s="292"/>
      <c r="AP344" s="292"/>
      <c r="AQ344" s="292"/>
      <c r="AR344" s="292"/>
      <c r="AS344" s="292"/>
      <c r="AT344" s="292"/>
      <c r="AU344" s="292"/>
      <c r="AV344" s="292"/>
      <c r="AW344" s="292"/>
      <c r="AX344" s="292"/>
    </row>
    <row r="345" ht="15.75" customHeight="1">
      <c r="A345" s="280" t="s">
        <v>256</v>
      </c>
      <c r="B345" s="130" t="s">
        <v>2658</v>
      </c>
      <c r="C345" s="190"/>
      <c r="D345" s="190"/>
      <c r="E345" s="190"/>
      <c r="F345" s="190"/>
      <c r="G345" s="128"/>
      <c r="H345" s="128"/>
      <c r="I345" s="128"/>
      <c r="J345" s="128"/>
      <c r="K345" s="128"/>
      <c r="L345" s="128"/>
      <c r="M345" s="128"/>
      <c r="N345" s="128"/>
      <c r="O345" s="128"/>
      <c r="P345" s="291"/>
      <c r="Q345" s="128"/>
      <c r="R345" s="128"/>
      <c r="S345" s="128"/>
      <c r="T345" s="210" t="s">
        <v>260</v>
      </c>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292"/>
      <c r="AP345" s="292"/>
      <c r="AQ345" s="292"/>
      <c r="AR345" s="292"/>
      <c r="AS345" s="292"/>
      <c r="AT345" s="292"/>
      <c r="AU345" s="292"/>
      <c r="AV345" s="292"/>
      <c r="AW345" s="292"/>
      <c r="AX345" s="292"/>
    </row>
    <row r="346" ht="15.75" customHeight="1">
      <c r="A346" s="238" t="s">
        <v>46</v>
      </c>
      <c r="B346" s="132" t="s">
        <v>2662</v>
      </c>
      <c r="C346" s="190" t="s">
        <v>2663</v>
      </c>
      <c r="D346" s="190" t="s">
        <v>2664</v>
      </c>
      <c r="E346" s="190" t="s">
        <v>2665</v>
      </c>
      <c r="F346" s="190"/>
      <c r="G346" s="293"/>
      <c r="H346" s="293"/>
      <c r="I346" s="128"/>
      <c r="J346" s="128" t="s">
        <v>5</v>
      </c>
      <c r="K346" s="128"/>
      <c r="L346" s="128"/>
      <c r="M346" s="128"/>
      <c r="N346" s="128"/>
      <c r="O346" s="128"/>
      <c r="P346" s="291"/>
      <c r="Q346" s="128"/>
      <c r="R346" s="128"/>
      <c r="S346" s="128"/>
      <c r="T346" s="128"/>
      <c r="U346" s="128"/>
      <c r="V346" s="128"/>
      <c r="W346" s="128"/>
      <c r="X346" s="128"/>
      <c r="Y346" s="128"/>
      <c r="Z346" s="128"/>
      <c r="AA346" s="128"/>
      <c r="AB346" s="128"/>
      <c r="AC346" s="128"/>
      <c r="AD346" s="128"/>
      <c r="AE346" s="128"/>
      <c r="AF346" s="128"/>
      <c r="AG346" s="128"/>
      <c r="AH346" s="128"/>
      <c r="AI346" s="128"/>
      <c r="AJ346" s="128"/>
      <c r="AK346" s="128"/>
      <c r="AL346" s="128"/>
      <c r="AM346" s="128"/>
      <c r="AN346" s="128"/>
      <c r="AO346" s="292"/>
      <c r="AP346" s="292"/>
      <c r="AQ346" s="292"/>
      <c r="AR346" s="292"/>
      <c r="AS346" s="292"/>
      <c r="AT346" s="292"/>
      <c r="AU346" s="292"/>
      <c r="AV346" s="292"/>
      <c r="AW346" s="292"/>
      <c r="AX346" s="292"/>
    </row>
    <row r="347">
      <c r="A347" s="285" t="s">
        <v>247</v>
      </c>
      <c r="B347" s="259" t="s">
        <v>2666</v>
      </c>
      <c r="C347" s="190" t="s">
        <v>2667</v>
      </c>
      <c r="D347" s="190" t="s">
        <v>2668</v>
      </c>
      <c r="E347" s="190" t="s">
        <v>2669</v>
      </c>
      <c r="F347" s="190"/>
      <c r="G347" s="293"/>
      <c r="H347" s="293"/>
      <c r="I347" s="285"/>
      <c r="J347" s="285" t="s">
        <v>3474</v>
      </c>
      <c r="K347" s="328" t="s">
        <v>4159</v>
      </c>
      <c r="L347" s="328"/>
      <c r="M347" s="285"/>
      <c r="N347" s="285"/>
      <c r="O347" s="285"/>
      <c r="P347" s="291"/>
      <c r="Q347" s="285" t="s">
        <v>307</v>
      </c>
      <c r="R347" s="285"/>
      <c r="S347" s="285"/>
      <c r="T347" s="285"/>
      <c r="U347" s="285"/>
      <c r="V347" s="285"/>
      <c r="W347" s="285"/>
      <c r="X347" s="285"/>
      <c r="Y347" s="285"/>
      <c r="Z347" s="285"/>
      <c r="AA347" s="285"/>
      <c r="AB347" s="285"/>
      <c r="AC347" s="285"/>
      <c r="AD347" s="285"/>
      <c r="AE347" s="285"/>
      <c r="AF347" s="285"/>
      <c r="AG347" s="285"/>
      <c r="AH347" s="285"/>
      <c r="AI347" s="285"/>
      <c r="AJ347" s="285"/>
      <c r="AK347" s="285"/>
      <c r="AL347" s="285"/>
      <c r="AM347" s="285"/>
      <c r="AN347" s="285"/>
      <c r="AO347" s="323"/>
      <c r="AP347" s="323"/>
      <c r="AQ347" s="323"/>
      <c r="AR347" s="323"/>
      <c r="AS347" s="323"/>
      <c r="AT347" s="323"/>
      <c r="AU347" s="323"/>
      <c r="AV347" s="323"/>
      <c r="AW347" s="323"/>
      <c r="AX347" s="323"/>
    </row>
    <row r="348" ht="15.75" customHeight="1">
      <c r="A348" s="258" t="s">
        <v>247</v>
      </c>
      <c r="B348" s="259" t="s">
        <v>2671</v>
      </c>
      <c r="C348" s="190" t="s">
        <v>2672</v>
      </c>
      <c r="D348" s="190" t="s">
        <v>2674</v>
      </c>
      <c r="E348" s="190" t="s">
        <v>2675</v>
      </c>
      <c r="F348" s="190"/>
      <c r="G348" s="293"/>
      <c r="H348" s="293"/>
      <c r="I348" s="303"/>
      <c r="J348" s="303" t="s">
        <v>3474</v>
      </c>
      <c r="K348" s="304"/>
      <c r="L348" s="304"/>
      <c r="M348" s="303"/>
      <c r="N348" s="303"/>
      <c r="O348" s="303"/>
      <c r="P348" s="291"/>
      <c r="Q348" s="303" t="s">
        <v>307</v>
      </c>
      <c r="R348" s="303"/>
      <c r="S348" s="303"/>
      <c r="T348" s="303"/>
      <c r="U348" s="303"/>
      <c r="V348" s="303"/>
      <c r="W348" s="303"/>
      <c r="X348" s="303"/>
      <c r="Y348" s="303"/>
      <c r="Z348" s="303"/>
      <c r="AA348" s="303"/>
      <c r="AB348" s="303"/>
      <c r="AC348" s="303"/>
      <c r="AD348" s="303"/>
      <c r="AE348" s="303"/>
      <c r="AF348" s="303"/>
      <c r="AG348" s="303"/>
      <c r="AH348" s="303"/>
      <c r="AI348" s="303"/>
      <c r="AJ348" s="303"/>
      <c r="AK348" s="303"/>
      <c r="AL348" s="303"/>
      <c r="AM348" s="303"/>
      <c r="AN348" s="303"/>
      <c r="AO348" s="292"/>
      <c r="AP348" s="292"/>
      <c r="AQ348" s="292"/>
      <c r="AR348" s="292"/>
      <c r="AS348" s="292"/>
      <c r="AT348" s="292"/>
      <c r="AU348" s="292"/>
      <c r="AV348" s="292"/>
      <c r="AW348" s="292"/>
      <c r="AX348" s="292"/>
    </row>
    <row r="349" ht="15.75" customHeight="1">
      <c r="A349" s="258" t="s">
        <v>247</v>
      </c>
      <c r="B349" s="259" t="s">
        <v>2676</v>
      </c>
      <c r="C349" s="190" t="s">
        <v>2677</v>
      </c>
      <c r="D349" s="190" t="s">
        <v>2678</v>
      </c>
      <c r="E349" s="190" t="s">
        <v>2679</v>
      </c>
      <c r="F349" s="190"/>
      <c r="G349" s="293"/>
      <c r="H349" s="293"/>
      <c r="I349" s="303"/>
      <c r="J349" s="303" t="s">
        <v>3474</v>
      </c>
      <c r="K349" s="304" t="s">
        <v>4159</v>
      </c>
      <c r="L349" s="304"/>
      <c r="M349" s="303"/>
      <c r="N349" s="303"/>
      <c r="O349" s="303"/>
      <c r="P349" s="291" t="s">
        <v>307</v>
      </c>
      <c r="Q349" s="303" t="s">
        <v>307</v>
      </c>
      <c r="R349" s="303"/>
      <c r="S349" s="303"/>
      <c r="T349" s="303"/>
      <c r="U349" s="303"/>
      <c r="V349" s="303"/>
      <c r="W349" s="303"/>
      <c r="X349" s="303"/>
      <c r="Y349" s="303"/>
      <c r="Z349" s="303"/>
      <c r="AA349" s="303"/>
      <c r="AB349" s="303"/>
      <c r="AC349" s="303"/>
      <c r="AD349" s="303"/>
      <c r="AE349" s="303"/>
      <c r="AF349" s="303"/>
      <c r="AG349" s="303"/>
      <c r="AH349" s="303"/>
      <c r="AI349" s="303"/>
      <c r="AJ349" s="303"/>
      <c r="AK349" s="303"/>
      <c r="AL349" s="303"/>
      <c r="AM349" s="303"/>
      <c r="AN349" s="303"/>
      <c r="AO349" s="292"/>
      <c r="AP349" s="292"/>
      <c r="AQ349" s="292"/>
      <c r="AR349" s="292"/>
      <c r="AS349" s="292"/>
      <c r="AT349" s="292"/>
      <c r="AU349" s="292"/>
      <c r="AV349" s="292"/>
      <c r="AW349" s="292"/>
      <c r="AX349" s="292"/>
    </row>
    <row r="350" ht="15.75" customHeight="1">
      <c r="A350" s="258" t="s">
        <v>247</v>
      </c>
      <c r="B350" s="259" t="s">
        <v>2680</v>
      </c>
      <c r="C350" s="190" t="s">
        <v>2681</v>
      </c>
      <c r="D350" s="190" t="s">
        <v>2682</v>
      </c>
      <c r="E350" s="190" t="s">
        <v>2683</v>
      </c>
      <c r="F350" s="190"/>
      <c r="G350" s="293"/>
      <c r="H350" s="293"/>
      <c r="I350" s="303"/>
      <c r="J350" s="303" t="s">
        <v>3474</v>
      </c>
      <c r="K350" s="304"/>
      <c r="L350" s="304"/>
      <c r="M350" s="303"/>
      <c r="N350" s="303"/>
      <c r="O350" s="303"/>
      <c r="P350" s="291"/>
      <c r="Q350" s="303"/>
      <c r="R350" s="303"/>
      <c r="S350" s="303"/>
      <c r="T350" s="303"/>
      <c r="U350" s="303"/>
      <c r="V350" s="303"/>
      <c r="W350" s="303"/>
      <c r="X350" s="303"/>
      <c r="Y350" s="303"/>
      <c r="Z350" s="303"/>
      <c r="AA350" s="303"/>
      <c r="AB350" s="303"/>
      <c r="AC350" s="303"/>
      <c r="AD350" s="303"/>
      <c r="AE350" s="303"/>
      <c r="AF350" s="303"/>
      <c r="AG350" s="303"/>
      <c r="AH350" s="303"/>
      <c r="AI350" s="303"/>
      <c r="AJ350" s="303"/>
      <c r="AK350" s="303"/>
      <c r="AL350" s="303"/>
      <c r="AM350" s="303"/>
      <c r="AN350" s="303"/>
      <c r="AO350" s="292"/>
      <c r="AP350" s="292"/>
      <c r="AQ350" s="292"/>
      <c r="AR350" s="292"/>
      <c r="AS350" s="292"/>
      <c r="AT350" s="292"/>
      <c r="AU350" s="292"/>
      <c r="AV350" s="292"/>
      <c r="AW350" s="292"/>
      <c r="AX350" s="292"/>
    </row>
    <row r="351" ht="15.75" customHeight="1">
      <c r="A351" s="258" t="s">
        <v>247</v>
      </c>
      <c r="B351" s="259" t="s">
        <v>2686</v>
      </c>
      <c r="C351" s="190" t="s">
        <v>2687</v>
      </c>
      <c r="D351" s="190" t="s">
        <v>2688</v>
      </c>
      <c r="E351" s="190" t="s">
        <v>2689</v>
      </c>
      <c r="F351" s="190"/>
      <c r="G351" s="293"/>
      <c r="H351" s="293"/>
      <c r="I351" s="303"/>
      <c r="J351" s="303" t="s">
        <v>3474</v>
      </c>
      <c r="K351" s="304" t="s">
        <v>4159</v>
      </c>
      <c r="L351" s="304"/>
      <c r="M351" s="303"/>
      <c r="N351" s="303"/>
      <c r="O351" s="303"/>
      <c r="P351" s="291" t="s">
        <v>307</v>
      </c>
      <c r="Q351" s="303" t="s">
        <v>307</v>
      </c>
      <c r="R351" s="303"/>
      <c r="S351" s="303"/>
      <c r="T351" s="303"/>
      <c r="U351" s="303"/>
      <c r="V351" s="303"/>
      <c r="W351" s="303"/>
      <c r="X351" s="303"/>
      <c r="Y351" s="303"/>
      <c r="Z351" s="303"/>
      <c r="AA351" s="303"/>
      <c r="AB351" s="303"/>
      <c r="AC351" s="303"/>
      <c r="AD351" s="303"/>
      <c r="AE351" s="303"/>
      <c r="AF351" s="303"/>
      <c r="AG351" s="303"/>
      <c r="AH351" s="303"/>
      <c r="AI351" s="303"/>
      <c r="AJ351" s="303"/>
      <c r="AK351" s="303"/>
      <c r="AL351" s="303"/>
      <c r="AM351" s="303"/>
      <c r="AN351" s="303"/>
      <c r="AO351" s="292"/>
      <c r="AP351" s="292"/>
      <c r="AQ351" s="292"/>
      <c r="AR351" s="292"/>
      <c r="AS351" s="292"/>
      <c r="AT351" s="292"/>
      <c r="AU351" s="292"/>
      <c r="AV351" s="292"/>
      <c r="AW351" s="292"/>
      <c r="AX351" s="292"/>
    </row>
    <row r="352" ht="15.75" customHeight="1">
      <c r="A352" s="255" t="s">
        <v>331</v>
      </c>
      <c r="B352" s="152" t="s">
        <v>2653</v>
      </c>
      <c r="C352" s="190"/>
      <c r="D352" s="190"/>
      <c r="E352" s="190"/>
      <c r="F352" s="190"/>
      <c r="G352" s="141"/>
      <c r="H352" s="141"/>
      <c r="I352" s="141"/>
      <c r="J352" s="141"/>
      <c r="K352" s="141"/>
      <c r="L352" s="141"/>
      <c r="M352" s="141"/>
      <c r="N352" s="141"/>
      <c r="O352" s="141"/>
      <c r="P352" s="291"/>
      <c r="Q352" s="141"/>
      <c r="R352" s="141"/>
      <c r="S352" s="141"/>
      <c r="T352" s="141"/>
      <c r="U352" s="141"/>
      <c r="V352" s="141"/>
      <c r="W352" s="141"/>
      <c r="X352" s="141"/>
      <c r="Y352" s="141"/>
      <c r="Z352" s="141"/>
      <c r="AA352" s="141"/>
      <c r="AB352" s="141"/>
      <c r="AC352" s="141"/>
      <c r="AD352" s="141"/>
      <c r="AE352" s="141"/>
      <c r="AF352" s="141"/>
      <c r="AG352" s="141"/>
      <c r="AH352" s="141"/>
      <c r="AI352" s="141"/>
      <c r="AJ352" s="141"/>
      <c r="AK352" s="141"/>
      <c r="AL352" s="141"/>
      <c r="AM352" s="141"/>
      <c r="AN352" s="141"/>
      <c r="AO352" s="292"/>
      <c r="AP352" s="292"/>
      <c r="AQ352" s="292"/>
      <c r="AR352" s="292"/>
      <c r="AS352" s="292"/>
      <c r="AT352" s="292"/>
      <c r="AU352" s="292"/>
      <c r="AV352" s="292"/>
      <c r="AW352" s="292"/>
      <c r="AX352" s="292"/>
    </row>
    <row r="353" ht="15.75" customHeight="1">
      <c r="A353" s="255" t="s">
        <v>278</v>
      </c>
      <c r="B353" s="143" t="s">
        <v>2691</v>
      </c>
      <c r="C353" s="190"/>
      <c r="D353" s="190"/>
      <c r="E353" s="190"/>
      <c r="F353" s="190"/>
      <c r="G353" s="141"/>
      <c r="H353" s="141"/>
      <c r="I353" s="141"/>
      <c r="J353" s="142" t="s">
        <v>987</v>
      </c>
      <c r="K353" s="141"/>
      <c r="L353" s="141"/>
      <c r="M353" s="142"/>
      <c r="N353" s="142"/>
      <c r="O353" s="142"/>
      <c r="P353" s="291"/>
      <c r="Q353" s="141"/>
      <c r="R353" s="141"/>
      <c r="S353" s="141"/>
      <c r="T353" s="141"/>
      <c r="U353" s="141"/>
      <c r="V353" s="141"/>
      <c r="W353" s="141"/>
      <c r="X353" s="141"/>
      <c r="Y353" s="141"/>
      <c r="Z353" s="141"/>
      <c r="AA353" s="141"/>
      <c r="AB353" s="141"/>
      <c r="AC353" s="141"/>
      <c r="AD353" s="141"/>
      <c r="AE353" s="141"/>
      <c r="AF353" s="141"/>
      <c r="AG353" s="141"/>
      <c r="AH353" s="141"/>
      <c r="AI353" s="141"/>
      <c r="AJ353" s="141"/>
      <c r="AK353" s="141"/>
      <c r="AL353" s="141"/>
      <c r="AM353" s="141"/>
      <c r="AN353" s="141"/>
      <c r="AO353" s="292"/>
      <c r="AP353" s="292"/>
      <c r="AQ353" s="292"/>
      <c r="AR353" s="292"/>
      <c r="AS353" s="292"/>
      <c r="AT353" s="292"/>
      <c r="AU353" s="292"/>
      <c r="AV353" s="292"/>
      <c r="AW353" s="292"/>
      <c r="AX353" s="292"/>
    </row>
    <row r="354" ht="15.75" customHeight="1">
      <c r="A354" s="199" t="s">
        <v>2456</v>
      </c>
      <c r="B354" s="147" t="s">
        <v>2694</v>
      </c>
      <c r="C354" s="190" t="s">
        <v>2695</v>
      </c>
      <c r="D354" s="190" t="s">
        <v>2696</v>
      </c>
      <c r="E354" s="190" t="s">
        <v>2697</v>
      </c>
      <c r="F354" s="190"/>
      <c r="G354" s="293"/>
      <c r="H354" s="293"/>
      <c r="I354" s="145"/>
      <c r="J354" s="146" t="s">
        <v>5</v>
      </c>
      <c r="K354" s="145"/>
      <c r="L354" s="145"/>
      <c r="M354" s="145"/>
      <c r="N354" s="145"/>
      <c r="O354" s="145"/>
      <c r="P354" s="291"/>
      <c r="Q354" s="145"/>
      <c r="R354" s="145"/>
      <c r="S354" s="145"/>
      <c r="T354" s="145"/>
      <c r="U354" s="145"/>
      <c r="V354" s="145"/>
      <c r="W354" s="145"/>
      <c r="X354" s="145"/>
      <c r="Y354" s="145"/>
      <c r="Z354" s="145"/>
      <c r="AA354" s="145"/>
      <c r="AB354" s="145"/>
      <c r="AC354" s="145"/>
      <c r="AD354" s="145"/>
      <c r="AE354" s="145"/>
      <c r="AF354" s="145"/>
      <c r="AG354" s="145"/>
      <c r="AH354" s="145"/>
      <c r="AI354" s="145"/>
      <c r="AJ354" s="145"/>
      <c r="AK354" s="145"/>
      <c r="AL354" s="145"/>
      <c r="AM354" s="145"/>
      <c r="AN354" s="145"/>
      <c r="AO354" s="292"/>
      <c r="AP354" s="292"/>
      <c r="AQ354" s="292"/>
      <c r="AR354" s="292"/>
      <c r="AS354" s="292"/>
      <c r="AT354" s="292"/>
      <c r="AU354" s="292"/>
      <c r="AV354" s="292"/>
      <c r="AW354" s="292"/>
      <c r="AX354" s="292"/>
    </row>
    <row r="355" ht="15.75" customHeight="1">
      <c r="A355" s="199" t="s">
        <v>2456</v>
      </c>
      <c r="B355" s="147" t="s">
        <v>2698</v>
      </c>
      <c r="C355" s="190" t="s">
        <v>2699</v>
      </c>
      <c r="D355" s="190" t="s">
        <v>2700</v>
      </c>
      <c r="E355" s="190" t="s">
        <v>2701</v>
      </c>
      <c r="F355" s="190"/>
      <c r="G355" s="293"/>
      <c r="H355" s="293"/>
      <c r="I355" s="145"/>
      <c r="J355" s="146" t="s">
        <v>3474</v>
      </c>
      <c r="K355" s="145"/>
      <c r="L355" s="145"/>
      <c r="M355" s="145"/>
      <c r="N355" s="145"/>
      <c r="O355" s="145"/>
      <c r="P355" s="291"/>
      <c r="Q355" s="145" t="s">
        <v>307</v>
      </c>
      <c r="R355" s="145"/>
      <c r="S355" s="145"/>
      <c r="T355" s="145"/>
      <c r="U355" s="145"/>
      <c r="V355" s="145"/>
      <c r="W355" s="145"/>
      <c r="X355" s="145"/>
      <c r="Y355" s="145"/>
      <c r="Z355" s="145"/>
      <c r="AA355" s="145"/>
      <c r="AB355" s="145"/>
      <c r="AC355" s="145"/>
      <c r="AD355" s="145"/>
      <c r="AE355" s="145"/>
      <c r="AF355" s="145"/>
      <c r="AG355" s="145"/>
      <c r="AH355" s="145"/>
      <c r="AI355" s="145"/>
      <c r="AJ355" s="145"/>
      <c r="AK355" s="145"/>
      <c r="AL355" s="145"/>
      <c r="AM355" s="145"/>
      <c r="AN355" s="145"/>
      <c r="AO355" s="292"/>
      <c r="AP355" s="292"/>
      <c r="AQ355" s="292"/>
      <c r="AR355" s="292"/>
      <c r="AS355" s="292"/>
      <c r="AT355" s="292"/>
      <c r="AU355" s="292"/>
      <c r="AV355" s="292"/>
      <c r="AW355" s="292"/>
      <c r="AX355" s="292"/>
    </row>
    <row r="356" ht="15.75" customHeight="1">
      <c r="A356" s="199" t="s">
        <v>2456</v>
      </c>
      <c r="B356" s="147" t="s">
        <v>2705</v>
      </c>
      <c r="C356" s="190" t="s">
        <v>2706</v>
      </c>
      <c r="D356" s="190" t="s">
        <v>2707</v>
      </c>
      <c r="E356" s="190" t="s">
        <v>2708</v>
      </c>
      <c r="F356" s="190"/>
      <c r="G356" s="293"/>
      <c r="H356" s="293"/>
      <c r="I356" s="145"/>
      <c r="J356" s="146" t="s">
        <v>3474</v>
      </c>
      <c r="K356" s="145"/>
      <c r="L356" s="145"/>
      <c r="M356" s="145"/>
      <c r="N356" s="145"/>
      <c r="O356" s="145"/>
      <c r="P356" s="291"/>
      <c r="Q356" s="145" t="s">
        <v>307</v>
      </c>
      <c r="R356" s="145"/>
      <c r="S356" s="145"/>
      <c r="T356" s="145"/>
      <c r="U356" s="145"/>
      <c r="V356" s="145"/>
      <c r="W356" s="145"/>
      <c r="X356" s="145"/>
      <c r="Y356" s="145"/>
      <c r="Z356" s="145"/>
      <c r="AA356" s="145"/>
      <c r="AB356" s="145"/>
      <c r="AC356" s="145"/>
      <c r="AD356" s="145"/>
      <c r="AE356" s="145"/>
      <c r="AF356" s="145"/>
      <c r="AG356" s="145"/>
      <c r="AH356" s="145"/>
      <c r="AI356" s="145"/>
      <c r="AJ356" s="145"/>
      <c r="AK356" s="145"/>
      <c r="AL356" s="145"/>
      <c r="AM356" s="145"/>
      <c r="AN356" s="145"/>
      <c r="AO356" s="292"/>
      <c r="AP356" s="292"/>
      <c r="AQ356" s="292"/>
      <c r="AR356" s="292"/>
      <c r="AS356" s="292"/>
      <c r="AT356" s="292"/>
      <c r="AU356" s="292"/>
      <c r="AV356" s="292"/>
      <c r="AW356" s="292"/>
      <c r="AX356" s="292"/>
    </row>
    <row r="357" ht="15.75" customHeight="1">
      <c r="A357" s="199" t="s">
        <v>2456</v>
      </c>
      <c r="B357" s="147" t="s">
        <v>2709</v>
      </c>
      <c r="C357" s="190" t="s">
        <v>2710</v>
      </c>
      <c r="D357" s="190" t="s">
        <v>2711</v>
      </c>
      <c r="E357" s="190" t="s">
        <v>2712</v>
      </c>
      <c r="F357" s="190"/>
      <c r="G357" s="293"/>
      <c r="H357" s="293"/>
      <c r="I357" s="145"/>
      <c r="J357" s="146" t="s">
        <v>3474</v>
      </c>
      <c r="K357" s="145"/>
      <c r="L357" s="145"/>
      <c r="M357" s="145"/>
      <c r="N357" s="145"/>
      <c r="O357" s="145"/>
      <c r="P357" s="291"/>
      <c r="Q357" s="145" t="s">
        <v>307</v>
      </c>
      <c r="R357" s="145"/>
      <c r="S357" s="145"/>
      <c r="T357" s="145"/>
      <c r="U357" s="145"/>
      <c r="V357" s="145"/>
      <c r="W357" s="145"/>
      <c r="X357" s="145"/>
      <c r="Y357" s="145"/>
      <c r="Z357" s="145"/>
      <c r="AA357" s="145"/>
      <c r="AB357" s="145"/>
      <c r="AC357" s="145"/>
      <c r="AD357" s="145"/>
      <c r="AE357" s="145"/>
      <c r="AF357" s="145"/>
      <c r="AG357" s="145"/>
      <c r="AH357" s="145"/>
      <c r="AI357" s="145"/>
      <c r="AJ357" s="145"/>
      <c r="AK357" s="145"/>
      <c r="AL357" s="145"/>
      <c r="AM357" s="145"/>
      <c r="AN357" s="145"/>
      <c r="AO357" s="292"/>
      <c r="AP357" s="292"/>
      <c r="AQ357" s="292"/>
      <c r="AR357" s="292"/>
      <c r="AS357" s="292"/>
      <c r="AT357" s="292"/>
      <c r="AU357" s="292"/>
      <c r="AV357" s="292"/>
      <c r="AW357" s="292"/>
      <c r="AX357" s="292"/>
    </row>
    <row r="358" ht="15.75" customHeight="1">
      <c r="A358" s="255" t="s">
        <v>331</v>
      </c>
      <c r="B358" s="152" t="s">
        <v>2691</v>
      </c>
      <c r="C358" s="190"/>
      <c r="D358" s="190"/>
      <c r="E358" s="190"/>
      <c r="F358" s="190"/>
      <c r="G358" s="141"/>
      <c r="H358" s="141"/>
      <c r="I358" s="141"/>
      <c r="J358" s="141"/>
      <c r="K358" s="141"/>
      <c r="L358" s="141"/>
      <c r="M358" s="141"/>
      <c r="N358" s="141"/>
      <c r="O358" s="141"/>
      <c r="P358" s="291"/>
      <c r="Q358" s="141"/>
      <c r="R358" s="141"/>
      <c r="S358" s="141"/>
      <c r="T358" s="141"/>
      <c r="U358" s="141"/>
      <c r="V358" s="141"/>
      <c r="W358" s="141"/>
      <c r="X358" s="141"/>
      <c r="Y358" s="141"/>
      <c r="Z358" s="141"/>
      <c r="AA358" s="141"/>
      <c r="AB358" s="141"/>
      <c r="AC358" s="141"/>
      <c r="AD358" s="141"/>
      <c r="AE358" s="141"/>
      <c r="AF358" s="141"/>
      <c r="AG358" s="141"/>
      <c r="AH358" s="141"/>
      <c r="AI358" s="141"/>
      <c r="AJ358" s="141"/>
      <c r="AK358" s="141"/>
      <c r="AL358" s="141"/>
      <c r="AM358" s="141"/>
      <c r="AN358" s="141"/>
      <c r="AO358" s="292"/>
      <c r="AP358" s="292"/>
      <c r="AQ358" s="292"/>
      <c r="AR358" s="292"/>
      <c r="AS358" s="292"/>
      <c r="AT358" s="292"/>
      <c r="AU358" s="292"/>
      <c r="AV358" s="292"/>
      <c r="AW358" s="292"/>
      <c r="AX358" s="292"/>
    </row>
    <row r="359" ht="15.75" customHeight="1">
      <c r="A359" s="238" t="s">
        <v>46</v>
      </c>
      <c r="B359" s="132" t="s">
        <v>2717</v>
      </c>
      <c r="C359" s="190" t="s">
        <v>2718</v>
      </c>
      <c r="D359" s="190" t="s">
        <v>2719</v>
      </c>
      <c r="E359" s="190" t="s">
        <v>2720</v>
      </c>
      <c r="F359" s="190"/>
      <c r="G359" s="293"/>
      <c r="H359" s="293"/>
      <c r="I359" s="128"/>
      <c r="J359" s="128"/>
      <c r="K359" s="128"/>
      <c r="L359" s="128"/>
      <c r="M359" s="128"/>
      <c r="N359" s="128"/>
      <c r="O359" s="128"/>
      <c r="P359" s="291"/>
      <c r="Q359" s="128"/>
      <c r="R359" s="128"/>
      <c r="S359" s="128"/>
      <c r="T359" s="128"/>
      <c r="U359" s="128"/>
      <c r="V359" s="128"/>
      <c r="W359" s="128"/>
      <c r="X359" s="128"/>
      <c r="Y359" s="128"/>
      <c r="Z359" s="128"/>
      <c r="AA359" s="128"/>
      <c r="AB359" s="128"/>
      <c r="AC359" s="128"/>
      <c r="AD359" s="128"/>
      <c r="AE359" s="128"/>
      <c r="AF359" s="128"/>
      <c r="AG359" s="128"/>
      <c r="AH359" s="128"/>
      <c r="AI359" s="128"/>
      <c r="AJ359" s="128"/>
      <c r="AK359" s="128"/>
      <c r="AL359" s="128"/>
      <c r="AM359" s="128"/>
      <c r="AN359" s="128"/>
      <c r="AO359" s="292"/>
      <c r="AP359" s="292"/>
      <c r="AQ359" s="292"/>
      <c r="AR359" s="292"/>
      <c r="AS359" s="292"/>
      <c r="AT359" s="292"/>
      <c r="AU359" s="292"/>
      <c r="AV359" s="292"/>
      <c r="AW359" s="292"/>
      <c r="AX359" s="292"/>
    </row>
    <row r="360" ht="15.75" customHeight="1">
      <c r="A360" s="286" t="s">
        <v>2456</v>
      </c>
      <c r="B360" s="287" t="s">
        <v>2723</v>
      </c>
      <c r="C360" s="190" t="s">
        <v>2727</v>
      </c>
      <c r="D360" s="190" t="s">
        <v>2728</v>
      </c>
      <c r="E360" s="190" t="s">
        <v>2730</v>
      </c>
      <c r="F360" s="190"/>
      <c r="G360" s="329"/>
      <c r="H360" s="329"/>
      <c r="I360" s="330"/>
      <c r="J360" s="331"/>
      <c r="K360" s="330"/>
      <c r="L360" s="330"/>
      <c r="M360" s="330"/>
      <c r="N360" s="330"/>
      <c r="O360" s="330"/>
      <c r="P360" s="291"/>
      <c r="Q360" s="145" t="s">
        <v>307</v>
      </c>
      <c r="R360" s="330"/>
      <c r="S360" s="330"/>
      <c r="T360" s="330"/>
      <c r="U360" s="330"/>
      <c r="V360" s="330"/>
      <c r="W360" s="330"/>
      <c r="X360" s="330"/>
      <c r="Y360" s="330"/>
      <c r="Z360" s="330"/>
      <c r="AA360" s="330"/>
      <c r="AB360" s="330"/>
      <c r="AC360" s="330"/>
      <c r="AD360" s="330"/>
      <c r="AE360" s="330"/>
      <c r="AF360" s="330"/>
      <c r="AG360" s="330"/>
      <c r="AH360" s="330"/>
      <c r="AI360" s="330"/>
      <c r="AJ360" s="330"/>
      <c r="AK360" s="330"/>
      <c r="AL360" s="330"/>
      <c r="AM360" s="330"/>
      <c r="AN360" s="330"/>
      <c r="AO360" s="332"/>
      <c r="AP360" s="332"/>
      <c r="AQ360" s="332"/>
      <c r="AR360" s="332"/>
      <c r="AS360" s="332"/>
      <c r="AT360" s="332"/>
      <c r="AU360" s="332"/>
      <c r="AV360" s="332"/>
      <c r="AW360" s="332"/>
      <c r="AX360" s="332"/>
    </row>
    <row r="361" ht="15.75" customHeight="1">
      <c r="A361" s="199" t="s">
        <v>2731</v>
      </c>
      <c r="B361" s="147" t="s">
        <v>2732</v>
      </c>
      <c r="C361" s="190" t="s">
        <v>2736</v>
      </c>
      <c r="D361" s="190" t="s">
        <v>2737</v>
      </c>
      <c r="E361" s="190" t="s">
        <v>2738</v>
      </c>
      <c r="F361" s="190" t="s">
        <v>3364</v>
      </c>
      <c r="G361" s="293" t="s">
        <v>3365</v>
      </c>
      <c r="H361" s="293" t="s">
        <v>3366</v>
      </c>
      <c r="I361" s="145"/>
      <c r="J361" s="146"/>
      <c r="K361" s="145" t="s">
        <v>4890</v>
      </c>
      <c r="L361" s="145"/>
      <c r="M361" s="145"/>
      <c r="N361" s="145"/>
      <c r="O361" s="145"/>
      <c r="P361" s="291"/>
      <c r="Q361" s="145" t="s">
        <v>307</v>
      </c>
      <c r="R361" s="145"/>
      <c r="S361" s="145"/>
      <c r="T361" s="145"/>
      <c r="U361" s="145"/>
      <c r="V361" s="145"/>
      <c r="W361" s="145"/>
      <c r="X361" s="145"/>
      <c r="Y361" s="145"/>
      <c r="Z361" s="145"/>
      <c r="AA361" s="145"/>
      <c r="AB361" s="145"/>
      <c r="AC361" s="145"/>
      <c r="AD361" s="145"/>
      <c r="AE361" s="145"/>
      <c r="AF361" s="145"/>
      <c r="AG361" s="145"/>
      <c r="AH361" s="145"/>
      <c r="AI361" s="145"/>
      <c r="AJ361" s="145"/>
      <c r="AK361" s="145"/>
      <c r="AL361" s="145"/>
      <c r="AM361" s="145"/>
      <c r="AN361" s="145"/>
      <c r="AO361" s="292"/>
      <c r="AP361" s="292"/>
      <c r="AQ361" s="292"/>
      <c r="AR361" s="292"/>
      <c r="AS361" s="292"/>
      <c r="AT361" s="292"/>
      <c r="AU361" s="292"/>
      <c r="AV361" s="292"/>
      <c r="AW361" s="292"/>
      <c r="AX361" s="292"/>
    </row>
    <row r="362" ht="15.75" customHeight="1">
      <c r="A362" s="199" t="s">
        <v>2731</v>
      </c>
      <c r="B362" s="147" t="s">
        <v>2739</v>
      </c>
      <c r="C362" s="190" t="s">
        <v>2745</v>
      </c>
      <c r="D362" s="190" t="s">
        <v>2746</v>
      </c>
      <c r="E362" s="190" t="s">
        <v>2747</v>
      </c>
      <c r="F362" s="190" t="s">
        <v>3364</v>
      </c>
      <c r="G362" s="293" t="s">
        <v>3365</v>
      </c>
      <c r="H362" s="293" t="s">
        <v>3366</v>
      </c>
      <c r="I362" s="145"/>
      <c r="J362" s="146"/>
      <c r="K362" s="145" t="s">
        <v>4890</v>
      </c>
      <c r="L362" s="145"/>
      <c r="M362" s="145"/>
      <c r="N362" s="145"/>
      <c r="O362" s="145"/>
      <c r="P362" s="291"/>
      <c r="Q362" s="145" t="s">
        <v>307</v>
      </c>
      <c r="R362" s="145"/>
      <c r="S362" s="145"/>
      <c r="T362" s="145"/>
      <c r="U362" s="145"/>
      <c r="V362" s="145"/>
      <c r="W362" s="145"/>
      <c r="X362" s="145"/>
      <c r="Y362" s="145"/>
      <c r="Z362" s="145"/>
      <c r="AA362" s="145"/>
      <c r="AB362" s="145"/>
      <c r="AC362" s="145"/>
      <c r="AD362" s="145"/>
      <c r="AE362" s="145"/>
      <c r="AF362" s="145"/>
      <c r="AG362" s="145"/>
      <c r="AH362" s="145"/>
      <c r="AI362" s="145"/>
      <c r="AJ362" s="145"/>
      <c r="AK362" s="145"/>
      <c r="AL362" s="145"/>
      <c r="AM362" s="145"/>
      <c r="AN362" s="145"/>
      <c r="AO362" s="292"/>
      <c r="AP362" s="292"/>
      <c r="AQ362" s="292"/>
      <c r="AR362" s="292"/>
      <c r="AS362" s="292"/>
      <c r="AT362" s="292"/>
      <c r="AU362" s="292"/>
      <c r="AV362" s="292"/>
      <c r="AW362" s="292"/>
      <c r="AX362" s="292"/>
    </row>
    <row r="363" ht="15.75" customHeight="1">
      <c r="A363" s="258" t="s">
        <v>247</v>
      </c>
      <c r="B363" s="259" t="s">
        <v>2748</v>
      </c>
      <c r="C363" s="190" t="s">
        <v>2752</v>
      </c>
      <c r="D363" s="190" t="s">
        <v>2753</v>
      </c>
      <c r="E363" s="190" t="s">
        <v>2754</v>
      </c>
      <c r="F363" s="190"/>
      <c r="G363" s="293"/>
      <c r="H363" s="293"/>
      <c r="I363" s="303"/>
      <c r="J363" s="303"/>
      <c r="K363" s="304" t="s">
        <v>4924</v>
      </c>
      <c r="L363" s="304"/>
      <c r="M363" s="303"/>
      <c r="N363" s="303"/>
      <c r="O363" s="303"/>
      <c r="P363" s="291"/>
      <c r="Q363" s="303" t="s">
        <v>307</v>
      </c>
      <c r="R363" s="303"/>
      <c r="S363" s="303"/>
      <c r="T363" s="303"/>
      <c r="U363" s="303"/>
      <c r="V363" s="303"/>
      <c r="W363" s="303"/>
      <c r="X363" s="303"/>
      <c r="Y363" s="303"/>
      <c r="Z363" s="303"/>
      <c r="AA363" s="303"/>
      <c r="AB363" s="303"/>
      <c r="AC363" s="303"/>
      <c r="AD363" s="303"/>
      <c r="AE363" s="303"/>
      <c r="AF363" s="303"/>
      <c r="AG363" s="303"/>
      <c r="AH363" s="303"/>
      <c r="AI363" s="303"/>
      <c r="AJ363" s="303"/>
      <c r="AK363" s="303"/>
      <c r="AL363" s="303"/>
      <c r="AM363" s="303"/>
      <c r="AN363" s="303"/>
      <c r="AO363" s="292"/>
      <c r="AP363" s="292"/>
      <c r="AQ363" s="292"/>
      <c r="AR363" s="292"/>
      <c r="AS363" s="292"/>
      <c r="AT363" s="292"/>
      <c r="AU363" s="292"/>
      <c r="AV363" s="292"/>
      <c r="AW363" s="292"/>
      <c r="AX363" s="292"/>
    </row>
    <row r="364" ht="15.75" customHeight="1">
      <c r="A364" s="199" t="s">
        <v>2756</v>
      </c>
      <c r="B364" s="147" t="s">
        <v>2757</v>
      </c>
      <c r="C364" s="190" t="s">
        <v>2761</v>
      </c>
      <c r="D364" s="190" t="s">
        <v>2762</v>
      </c>
      <c r="E364" s="190" t="s">
        <v>2763</v>
      </c>
      <c r="F364" s="190" t="s">
        <v>3364</v>
      </c>
      <c r="G364" s="293" t="s">
        <v>3365</v>
      </c>
      <c r="H364" s="293" t="s">
        <v>3366</v>
      </c>
      <c r="I364" s="145"/>
      <c r="J364" s="146"/>
      <c r="K364" s="145" t="s">
        <v>4890</v>
      </c>
      <c r="L364" s="145"/>
      <c r="M364" s="145"/>
      <c r="N364" s="145"/>
      <c r="O364" s="145"/>
      <c r="P364" s="291"/>
      <c r="Q364" s="145" t="s">
        <v>307</v>
      </c>
      <c r="R364" s="145"/>
      <c r="S364" s="145"/>
      <c r="T364" s="145"/>
      <c r="U364" s="145"/>
      <c r="V364" s="145"/>
      <c r="W364" s="145"/>
      <c r="X364" s="145"/>
      <c r="Y364" s="145"/>
      <c r="Z364" s="145"/>
      <c r="AA364" s="145"/>
      <c r="AB364" s="145"/>
      <c r="AC364" s="145"/>
      <c r="AD364" s="145"/>
      <c r="AE364" s="145"/>
      <c r="AF364" s="145"/>
      <c r="AG364" s="145"/>
      <c r="AH364" s="145"/>
      <c r="AI364" s="145"/>
      <c r="AJ364" s="145"/>
      <c r="AK364" s="145"/>
      <c r="AL364" s="145"/>
      <c r="AM364" s="145"/>
      <c r="AN364" s="145"/>
      <c r="AO364" s="292"/>
      <c r="AP364" s="292"/>
      <c r="AQ364" s="292"/>
      <c r="AR364" s="292"/>
      <c r="AS364" s="292"/>
      <c r="AT364" s="292"/>
      <c r="AU364" s="292"/>
      <c r="AV364" s="292"/>
      <c r="AW364" s="292"/>
      <c r="AX364" s="292"/>
    </row>
    <row r="365" ht="15.75" customHeight="1">
      <c r="A365" s="255"/>
      <c r="B365" s="152"/>
      <c r="C365" s="190"/>
      <c r="D365" s="190"/>
      <c r="E365" s="190"/>
      <c r="F365" s="190"/>
      <c r="G365" s="141"/>
      <c r="H365" s="141"/>
      <c r="I365" s="141"/>
      <c r="J365" s="141"/>
      <c r="K365" s="141"/>
      <c r="L365" s="141"/>
      <c r="M365" s="141"/>
      <c r="N365" s="141"/>
      <c r="O365" s="141"/>
      <c r="P365" s="291"/>
      <c r="Q365" s="141"/>
      <c r="R365" s="141"/>
      <c r="S365" s="141"/>
      <c r="T365" s="141"/>
      <c r="U365" s="141"/>
      <c r="V365" s="141"/>
      <c r="W365" s="141"/>
      <c r="X365" s="141"/>
      <c r="Y365" s="141"/>
      <c r="Z365" s="141"/>
      <c r="AA365" s="141"/>
      <c r="AB365" s="141"/>
      <c r="AC365" s="141"/>
      <c r="AD365" s="141"/>
      <c r="AE365" s="141"/>
      <c r="AF365" s="141"/>
      <c r="AG365" s="141"/>
      <c r="AH365" s="141"/>
      <c r="AI365" s="141"/>
      <c r="AJ365" s="141"/>
      <c r="AK365" s="141"/>
      <c r="AL365" s="141"/>
      <c r="AM365" s="141"/>
      <c r="AN365" s="141"/>
      <c r="AO365" s="292"/>
      <c r="AP365" s="292"/>
      <c r="AQ365" s="292"/>
      <c r="AR365" s="292"/>
      <c r="AS365" s="292"/>
      <c r="AT365" s="292"/>
      <c r="AU365" s="292"/>
      <c r="AV365" s="292"/>
      <c r="AW365" s="292"/>
      <c r="AX365" s="292"/>
    </row>
    <row r="366" ht="15.75" customHeight="1">
      <c r="A366" s="199" t="s">
        <v>2768</v>
      </c>
      <c r="B366" s="148" t="s">
        <v>2769</v>
      </c>
      <c r="C366" s="190" t="s">
        <v>2773</v>
      </c>
      <c r="D366" s="190" t="s">
        <v>2775</v>
      </c>
      <c r="E366" s="190" t="s">
        <v>2776</v>
      </c>
      <c r="F366" s="190"/>
      <c r="G366" s="293"/>
      <c r="H366" s="293"/>
      <c r="I366" s="145"/>
      <c r="J366" s="146"/>
      <c r="K366" s="145"/>
      <c r="L366" s="145"/>
      <c r="M366" s="145"/>
      <c r="N366" s="145"/>
      <c r="O366" s="145"/>
      <c r="P366" s="291"/>
      <c r="Q366" s="149" t="s">
        <v>307</v>
      </c>
      <c r="R366" s="145"/>
      <c r="S366" s="145"/>
      <c r="T366" s="145"/>
      <c r="U366" s="145"/>
      <c r="V366" s="145"/>
      <c r="W366" s="145"/>
      <c r="X366" s="145"/>
      <c r="Y366" s="145"/>
      <c r="Z366" s="145"/>
      <c r="AA366" s="145"/>
      <c r="AB366" s="145"/>
      <c r="AC366" s="145"/>
      <c r="AD366" s="128"/>
      <c r="AE366" s="128"/>
      <c r="AF366" s="128"/>
      <c r="AG366" s="128"/>
      <c r="AH366" s="128"/>
      <c r="AI366" s="128"/>
      <c r="AJ366" s="128"/>
      <c r="AK366" s="128"/>
      <c r="AL366" s="128"/>
      <c r="AM366" s="128"/>
      <c r="AN366" s="128"/>
      <c r="AO366" s="292"/>
      <c r="AP366" s="292"/>
      <c r="AQ366" s="292"/>
      <c r="AR366" s="292"/>
      <c r="AS366" s="292"/>
      <c r="AT366" s="292"/>
      <c r="AU366" s="292"/>
      <c r="AV366" s="292"/>
      <c r="AW366" s="292"/>
      <c r="AX366" s="292"/>
    </row>
    <row r="367" ht="15.75" customHeight="1">
      <c r="A367" s="149" t="s">
        <v>2777</v>
      </c>
      <c r="B367" s="148" t="s">
        <v>2778</v>
      </c>
      <c r="C367" s="190" t="s">
        <v>2784</v>
      </c>
      <c r="D367" s="190" t="s">
        <v>2785</v>
      </c>
      <c r="E367" s="190" t="s">
        <v>2786</v>
      </c>
      <c r="F367" s="190"/>
      <c r="G367" s="293"/>
      <c r="H367" s="293"/>
      <c r="I367" s="145"/>
      <c r="J367" s="146"/>
      <c r="K367" s="145"/>
      <c r="L367" s="145"/>
      <c r="M367" s="145"/>
      <c r="N367" s="145"/>
      <c r="O367" s="149" t="s">
        <v>4987</v>
      </c>
      <c r="P367" s="291"/>
      <c r="Q367" s="149" t="s">
        <v>307</v>
      </c>
      <c r="R367" s="145"/>
      <c r="S367" s="145"/>
      <c r="T367" s="145"/>
      <c r="U367" s="145"/>
      <c r="V367" s="145"/>
      <c r="W367" s="145"/>
      <c r="X367" s="145"/>
      <c r="Y367" s="145"/>
      <c r="Z367" s="145"/>
      <c r="AA367" s="145"/>
      <c r="AB367" s="145"/>
      <c r="AC367" s="145"/>
      <c r="AD367" s="128"/>
      <c r="AE367" s="128"/>
      <c r="AF367" s="128"/>
      <c r="AG367" s="128"/>
      <c r="AH367" s="128"/>
      <c r="AI367" s="128"/>
      <c r="AJ367" s="128"/>
      <c r="AK367" s="128"/>
      <c r="AL367" s="128"/>
      <c r="AM367" s="128"/>
      <c r="AN367" s="128"/>
      <c r="AO367" s="292"/>
      <c r="AP367" s="292"/>
      <c r="AQ367" s="292"/>
      <c r="AR367" s="292"/>
      <c r="AS367" s="292"/>
      <c r="AT367" s="292"/>
      <c r="AU367" s="292"/>
      <c r="AV367" s="292"/>
      <c r="AW367" s="292"/>
      <c r="AX367" s="292"/>
    </row>
    <row r="368" ht="15.75" customHeight="1">
      <c r="A368" s="255" t="s">
        <v>331</v>
      </c>
      <c r="B368" s="152" t="s">
        <v>2416</v>
      </c>
      <c r="C368" s="190" t="s">
        <v>2417</v>
      </c>
      <c r="D368" s="190" t="s">
        <v>2419</v>
      </c>
      <c r="E368" s="190" t="s">
        <v>2420</v>
      </c>
      <c r="F368" s="190"/>
      <c r="G368" s="141"/>
      <c r="H368" s="141"/>
      <c r="I368" s="141"/>
      <c r="J368" s="141"/>
      <c r="K368" s="141"/>
      <c r="L368" s="141"/>
      <c r="M368" s="141"/>
      <c r="N368" s="141"/>
      <c r="O368" s="141"/>
      <c r="P368" s="291"/>
      <c r="Q368" s="141"/>
      <c r="R368" s="141"/>
      <c r="S368" s="141"/>
      <c r="T368" s="141"/>
      <c r="U368" s="141"/>
      <c r="V368" s="141"/>
      <c r="W368" s="141"/>
      <c r="X368" s="141"/>
      <c r="Y368" s="141"/>
      <c r="Z368" s="141"/>
      <c r="AA368" s="141"/>
      <c r="AB368" s="141"/>
      <c r="AC368" s="141"/>
      <c r="AD368" s="141"/>
      <c r="AE368" s="141"/>
      <c r="AF368" s="141"/>
      <c r="AG368" s="141"/>
      <c r="AH368" s="141"/>
      <c r="AI368" s="141"/>
      <c r="AJ368" s="141"/>
      <c r="AK368" s="141"/>
      <c r="AL368" s="141"/>
      <c r="AM368" s="141"/>
      <c r="AN368" s="141"/>
      <c r="AO368" s="292"/>
      <c r="AP368" s="292"/>
      <c r="AQ368" s="292"/>
      <c r="AR368" s="292"/>
      <c r="AS368" s="292"/>
      <c r="AT368" s="292"/>
      <c r="AU368" s="292"/>
      <c r="AV368" s="292"/>
      <c r="AW368" s="292"/>
      <c r="AX368" s="292"/>
    </row>
    <row r="369" ht="15.75" customHeight="1">
      <c r="A369" s="201"/>
      <c r="B369" s="202" t="s">
        <v>55</v>
      </c>
      <c r="C369" s="190"/>
      <c r="D369" s="190"/>
      <c r="E369" s="190"/>
      <c r="F369" s="190"/>
      <c r="G369" s="66"/>
      <c r="H369" s="66"/>
      <c r="I369" s="66"/>
      <c r="J369" s="66"/>
      <c r="K369" s="66"/>
      <c r="L369" s="66"/>
      <c r="M369" s="66"/>
      <c r="N369" s="66"/>
      <c r="O369" s="66"/>
      <c r="P369" s="291"/>
      <c r="Q369" s="66"/>
      <c r="R369" s="66"/>
      <c r="S369" s="66"/>
      <c r="T369" s="67"/>
      <c r="U369" s="66"/>
      <c r="V369" s="66"/>
      <c r="W369" s="66"/>
      <c r="X369" s="66"/>
      <c r="Y369" s="66"/>
      <c r="Z369" s="66"/>
      <c r="AA369" s="66"/>
      <c r="AB369" s="66"/>
      <c r="AC369" s="66"/>
      <c r="AD369" s="292"/>
      <c r="AE369" s="292"/>
      <c r="AF369" s="292"/>
      <c r="AG369" s="292"/>
      <c r="AH369" s="292"/>
      <c r="AI369" s="292"/>
      <c r="AJ369" s="292"/>
      <c r="AK369" s="292"/>
      <c r="AL369" s="292"/>
      <c r="AM369" s="292"/>
      <c r="AN369" s="292"/>
      <c r="AO369" s="292"/>
      <c r="AP369" s="292"/>
      <c r="AQ369" s="292"/>
      <c r="AR369" s="292"/>
      <c r="AS369" s="292"/>
      <c r="AT369" s="292"/>
      <c r="AU369" s="292"/>
      <c r="AV369" s="292"/>
      <c r="AW369" s="292"/>
      <c r="AX369" s="292"/>
    </row>
    <row r="370" ht="15.75" customHeight="1">
      <c r="A370" s="199" t="s">
        <v>2794</v>
      </c>
      <c r="B370" s="147" t="s">
        <v>2796</v>
      </c>
      <c r="C370" s="190" t="s">
        <v>2801</v>
      </c>
      <c r="D370" s="190" t="s">
        <v>2802</v>
      </c>
      <c r="E370" s="190" t="s">
        <v>2803</v>
      </c>
      <c r="F370" s="190"/>
      <c r="G370" s="293"/>
      <c r="H370" s="293"/>
      <c r="I370" s="145"/>
      <c r="J370" s="146"/>
      <c r="K370" s="145"/>
      <c r="L370" s="145"/>
      <c r="M370" s="145"/>
      <c r="N370" s="145"/>
      <c r="O370" s="145"/>
      <c r="P370" s="291"/>
      <c r="Q370" s="145" t="s">
        <v>307</v>
      </c>
      <c r="R370" s="145"/>
      <c r="S370" s="145"/>
      <c r="T370" s="145"/>
      <c r="U370" s="145"/>
      <c r="V370" s="145"/>
      <c r="W370" s="145"/>
      <c r="X370" s="145"/>
      <c r="Y370" s="145"/>
      <c r="Z370" s="145"/>
      <c r="AA370" s="145"/>
      <c r="AB370" s="145"/>
      <c r="AC370" s="145"/>
      <c r="AD370" s="303"/>
      <c r="AE370" s="303"/>
      <c r="AF370" s="303"/>
      <c r="AG370" s="303"/>
      <c r="AH370" s="303"/>
      <c r="AI370" s="303"/>
      <c r="AJ370" s="303"/>
      <c r="AK370" s="303"/>
      <c r="AL370" s="303"/>
      <c r="AM370" s="303"/>
      <c r="AN370" s="303"/>
      <c r="AO370" s="292"/>
      <c r="AP370" s="292"/>
      <c r="AQ370" s="292"/>
      <c r="AR370" s="292"/>
      <c r="AS370" s="292"/>
      <c r="AT370" s="292"/>
      <c r="AU370" s="292"/>
      <c r="AV370" s="292"/>
      <c r="AW370" s="292"/>
      <c r="AX370" s="292"/>
    </row>
    <row r="371" ht="15.75" customHeight="1">
      <c r="A371" s="199" t="s">
        <v>2804</v>
      </c>
      <c r="B371" s="147" t="s">
        <v>2805</v>
      </c>
      <c r="C371" s="190" t="s">
        <v>2809</v>
      </c>
      <c r="D371" s="190" t="s">
        <v>2810</v>
      </c>
      <c r="E371" s="190" t="s">
        <v>2811</v>
      </c>
      <c r="F371" s="190"/>
      <c r="G371" s="293"/>
      <c r="H371" s="293"/>
      <c r="I371" s="145"/>
      <c r="J371" s="146"/>
      <c r="K371" s="145"/>
      <c r="L371" s="145"/>
      <c r="M371" s="145"/>
      <c r="N371" s="145"/>
      <c r="O371" s="145" t="s">
        <v>5052</v>
      </c>
      <c r="P371" s="291"/>
      <c r="Q371" s="145" t="s">
        <v>307</v>
      </c>
      <c r="R371" s="145"/>
      <c r="S371" s="145"/>
      <c r="T371" s="145"/>
      <c r="U371" s="145"/>
      <c r="V371" s="145"/>
      <c r="W371" s="145"/>
      <c r="X371" s="145"/>
      <c r="Y371" s="145"/>
      <c r="Z371" s="145"/>
      <c r="AA371" s="145"/>
      <c r="AB371" s="145"/>
      <c r="AC371" s="145"/>
      <c r="AD371" s="303"/>
      <c r="AE371" s="303"/>
      <c r="AF371" s="303"/>
      <c r="AG371" s="303"/>
      <c r="AH371" s="303"/>
      <c r="AI371" s="303"/>
      <c r="AJ371" s="303"/>
      <c r="AK371" s="303"/>
      <c r="AL371" s="303"/>
      <c r="AM371" s="303"/>
      <c r="AN371" s="303"/>
      <c r="AO371" s="292"/>
      <c r="AP371" s="292"/>
      <c r="AQ371" s="292"/>
      <c r="AR371" s="292"/>
      <c r="AS371" s="292"/>
      <c r="AT371" s="292"/>
      <c r="AU371" s="292"/>
      <c r="AV371" s="292"/>
      <c r="AW371" s="292"/>
      <c r="AX371" s="292"/>
    </row>
    <row r="372" ht="15.75" customHeight="1">
      <c r="A372" s="210" t="s">
        <v>256</v>
      </c>
      <c r="B372" s="289" t="s">
        <v>2813</v>
      </c>
      <c r="C372" s="190"/>
      <c r="D372" s="190"/>
      <c r="E372" s="190"/>
      <c r="F372" s="190"/>
      <c r="G372" s="141"/>
      <c r="H372" s="141"/>
      <c r="I372" s="141"/>
      <c r="J372" s="142"/>
      <c r="K372" s="141"/>
      <c r="L372" s="141"/>
      <c r="M372" s="142"/>
      <c r="N372" s="142"/>
      <c r="O372" s="142"/>
      <c r="P372" s="291"/>
      <c r="Q372" s="141"/>
      <c r="R372" s="141"/>
      <c r="S372" s="141"/>
      <c r="T372" s="210" t="s">
        <v>260</v>
      </c>
      <c r="U372" s="141"/>
      <c r="V372" s="141"/>
      <c r="W372" s="141"/>
      <c r="X372" s="141"/>
      <c r="Y372" s="141"/>
      <c r="Z372" s="141"/>
      <c r="AA372" s="141"/>
      <c r="AB372" s="141"/>
      <c r="AC372" s="141"/>
      <c r="AD372" s="141"/>
      <c r="AE372" s="141"/>
      <c r="AF372" s="141"/>
      <c r="AG372" s="141"/>
      <c r="AH372" s="141"/>
      <c r="AI372" s="141"/>
      <c r="AJ372" s="141"/>
      <c r="AK372" s="141"/>
      <c r="AL372" s="141"/>
      <c r="AM372" s="141"/>
      <c r="AN372" s="141"/>
      <c r="AO372" s="292"/>
      <c r="AP372" s="292"/>
      <c r="AQ372" s="292"/>
      <c r="AR372" s="292"/>
      <c r="AS372" s="292"/>
      <c r="AT372" s="292"/>
      <c r="AU372" s="292"/>
      <c r="AV372" s="292"/>
      <c r="AW372" s="292"/>
      <c r="AX372" s="292"/>
    </row>
    <row r="373" ht="15.75" customHeight="1">
      <c r="A373" s="210" t="s">
        <v>112</v>
      </c>
      <c r="B373" s="277" t="s">
        <v>2818</v>
      </c>
      <c r="C373" s="190"/>
      <c r="D373" s="190"/>
      <c r="E373" s="190"/>
      <c r="F373" s="190"/>
      <c r="G373" s="141"/>
      <c r="H373" s="141"/>
      <c r="I373" s="141"/>
      <c r="J373" s="142"/>
      <c r="K373" s="141"/>
      <c r="L373" s="141"/>
      <c r="M373" s="142"/>
      <c r="N373" s="142"/>
      <c r="O373" s="142"/>
      <c r="P373" s="291"/>
      <c r="Q373" s="141"/>
      <c r="R373" s="141"/>
      <c r="S373" s="141"/>
      <c r="T373" s="210" t="s">
        <v>5093</v>
      </c>
      <c r="U373" s="141"/>
      <c r="V373" s="141"/>
      <c r="W373" s="141"/>
      <c r="X373" s="141"/>
      <c r="Y373" s="141"/>
      <c r="Z373" s="141"/>
      <c r="AA373" s="141"/>
      <c r="AB373" s="141"/>
      <c r="AC373" s="141"/>
      <c r="AD373" s="141"/>
      <c r="AE373" s="141"/>
      <c r="AF373" s="141"/>
      <c r="AG373" s="141"/>
      <c r="AH373" s="141"/>
      <c r="AI373" s="141"/>
      <c r="AJ373" s="141"/>
      <c r="AK373" s="141"/>
      <c r="AL373" s="141"/>
      <c r="AM373" s="141"/>
      <c r="AN373" s="141"/>
      <c r="AO373" s="292"/>
      <c r="AP373" s="292"/>
      <c r="AQ373" s="292"/>
      <c r="AR373" s="292"/>
      <c r="AS373" s="292"/>
      <c r="AT373" s="292"/>
      <c r="AU373" s="292"/>
      <c r="AV373" s="292"/>
      <c r="AW373" s="292"/>
      <c r="AX373" s="292"/>
    </row>
    <row r="374" ht="15.75" customHeight="1">
      <c r="A374" s="262"/>
      <c r="B374" s="263"/>
      <c r="C374" s="190"/>
      <c r="D374" s="190"/>
      <c r="E374" s="190"/>
      <c r="F374" s="190"/>
      <c r="G374" s="292"/>
      <c r="H374" s="292"/>
      <c r="I374" s="292"/>
      <c r="J374" s="292"/>
      <c r="K374" s="292"/>
      <c r="L374" s="292"/>
      <c r="M374" s="292"/>
      <c r="N374" s="292"/>
      <c r="O374" s="292"/>
      <c r="P374" s="291"/>
      <c r="Q374" s="292"/>
      <c r="R374" s="292"/>
      <c r="S374" s="292"/>
      <c r="T374" s="292"/>
      <c r="U374" s="292"/>
      <c r="V374" s="292"/>
      <c r="W374" s="292"/>
      <c r="X374" s="292"/>
      <c r="Y374" s="292"/>
      <c r="Z374" s="292"/>
      <c r="AA374" s="292"/>
      <c r="AB374" s="292"/>
      <c r="AC374" s="292"/>
      <c r="AD374" s="292"/>
      <c r="AE374" s="292"/>
      <c r="AF374" s="292"/>
      <c r="AG374" s="292"/>
      <c r="AH374" s="292"/>
      <c r="AI374" s="292"/>
      <c r="AJ374" s="292"/>
      <c r="AK374" s="292"/>
      <c r="AL374" s="292"/>
      <c r="AM374" s="292"/>
      <c r="AN374" s="292"/>
      <c r="AO374" s="292"/>
      <c r="AP374" s="292"/>
      <c r="AQ374" s="292"/>
      <c r="AR374" s="292"/>
      <c r="AS374" s="292"/>
      <c r="AT374" s="292"/>
      <c r="AU374" s="292"/>
      <c r="AV374" s="292"/>
      <c r="AW374" s="292"/>
      <c r="AX374" s="292"/>
    </row>
    <row r="375" ht="15.75" customHeight="1">
      <c r="A375" s="255" t="s">
        <v>278</v>
      </c>
      <c r="B375" s="143" t="s">
        <v>2824</v>
      </c>
      <c r="C375" s="190" t="s">
        <v>2825</v>
      </c>
      <c r="D375" s="190"/>
      <c r="E375" s="190"/>
      <c r="F375" s="190"/>
      <c r="G375" s="141"/>
      <c r="H375" s="141"/>
      <c r="I375" s="141"/>
      <c r="J375" s="142"/>
      <c r="K375" s="141"/>
      <c r="L375" s="141"/>
      <c r="M375" s="142"/>
      <c r="N375" s="142"/>
      <c r="O375" s="142"/>
      <c r="P375" s="291"/>
      <c r="Q375" s="141"/>
      <c r="R375" s="141"/>
      <c r="S375" s="141"/>
      <c r="T375" s="141"/>
      <c r="U375" s="141"/>
      <c r="V375" s="141"/>
      <c r="W375" s="141"/>
      <c r="X375" s="141"/>
      <c r="Y375" s="141"/>
      <c r="Z375" s="141"/>
      <c r="AA375" s="141"/>
      <c r="AB375" s="141"/>
      <c r="AC375" s="141"/>
      <c r="AD375" s="292"/>
      <c r="AE375" s="292"/>
      <c r="AF375" s="292"/>
      <c r="AG375" s="292"/>
      <c r="AH375" s="292"/>
      <c r="AI375" s="292"/>
      <c r="AJ375" s="292"/>
      <c r="AK375" s="292"/>
      <c r="AL375" s="292"/>
      <c r="AM375" s="292"/>
      <c r="AN375" s="292"/>
      <c r="AO375" s="292"/>
      <c r="AP375" s="292"/>
      <c r="AQ375" s="292"/>
      <c r="AR375" s="292"/>
      <c r="AS375" s="292"/>
      <c r="AT375" s="292"/>
      <c r="AU375" s="292"/>
      <c r="AV375" s="292"/>
      <c r="AW375" s="292"/>
      <c r="AX375" s="292"/>
    </row>
    <row r="376" ht="15.75" customHeight="1">
      <c r="A376" s="210" t="s">
        <v>256</v>
      </c>
      <c r="B376" s="210" t="s">
        <v>2827</v>
      </c>
      <c r="C376" s="190"/>
      <c r="D376" s="190"/>
      <c r="E376" s="190"/>
      <c r="F376" s="190"/>
      <c r="G376" s="141"/>
      <c r="H376" s="141"/>
      <c r="I376" s="141"/>
      <c r="J376" s="142"/>
      <c r="K376" s="141"/>
      <c r="L376" s="141"/>
      <c r="M376" s="142"/>
      <c r="N376" s="142"/>
      <c r="O376" s="142"/>
      <c r="P376" s="291"/>
      <c r="Q376" s="141"/>
      <c r="R376" s="141"/>
      <c r="S376" s="141"/>
      <c r="T376" s="335" t="s">
        <v>260</v>
      </c>
      <c r="U376" s="141"/>
      <c r="V376" s="141"/>
      <c r="W376" s="141"/>
      <c r="X376" s="141"/>
      <c r="Y376" s="141"/>
      <c r="Z376" s="141"/>
      <c r="AA376" s="141"/>
      <c r="AB376" s="141"/>
      <c r="AC376" s="141"/>
      <c r="AD376" s="292"/>
      <c r="AE376" s="292"/>
      <c r="AF376" s="292"/>
      <c r="AG376" s="292"/>
      <c r="AH376" s="292"/>
      <c r="AI376" s="292"/>
      <c r="AJ376" s="292"/>
      <c r="AK376" s="292"/>
      <c r="AL376" s="292"/>
      <c r="AM376" s="292"/>
      <c r="AN376" s="292"/>
      <c r="AO376" s="292"/>
      <c r="AP376" s="292"/>
      <c r="AQ376" s="292"/>
      <c r="AR376" s="292"/>
      <c r="AS376" s="292"/>
      <c r="AT376" s="292"/>
      <c r="AU376" s="292"/>
      <c r="AV376" s="292"/>
      <c r="AW376" s="292"/>
      <c r="AX376" s="292"/>
    </row>
    <row r="377" ht="15.75" customHeight="1">
      <c r="A377" s="238" t="s">
        <v>46</v>
      </c>
      <c r="B377" s="132" t="s">
        <v>2829</v>
      </c>
      <c r="C377" s="190" t="s">
        <v>2835</v>
      </c>
      <c r="D377" s="190" t="s">
        <v>2836</v>
      </c>
      <c r="E377" s="190" t="s">
        <v>2837</v>
      </c>
      <c r="F377" s="190"/>
      <c r="G377" s="293"/>
      <c r="H377" s="293"/>
      <c r="I377" s="128"/>
      <c r="J377" s="128"/>
      <c r="K377" s="128"/>
      <c r="L377" s="128"/>
      <c r="M377" s="128"/>
      <c r="N377" s="128"/>
      <c r="O377" s="128"/>
      <c r="P377" s="291"/>
      <c r="Q377" s="128"/>
      <c r="R377" s="128"/>
      <c r="S377" s="128"/>
      <c r="T377" s="128"/>
      <c r="U377" s="128"/>
      <c r="V377" s="128"/>
      <c r="W377" s="128"/>
      <c r="X377" s="128"/>
      <c r="Y377" s="128"/>
      <c r="Z377" s="128"/>
      <c r="AA377" s="128"/>
      <c r="AB377" s="128"/>
      <c r="AC377" s="128"/>
      <c r="AD377" s="292"/>
      <c r="AE377" s="292"/>
      <c r="AF377" s="292"/>
      <c r="AG377" s="292"/>
      <c r="AH377" s="292"/>
      <c r="AI377" s="292"/>
      <c r="AJ377" s="292"/>
      <c r="AK377" s="292"/>
      <c r="AL377" s="292"/>
      <c r="AM377" s="292"/>
      <c r="AN377" s="292"/>
      <c r="AO377" s="292"/>
      <c r="AP377" s="292"/>
      <c r="AQ377" s="292"/>
      <c r="AR377" s="292"/>
      <c r="AS377" s="292"/>
      <c r="AT377" s="292"/>
      <c r="AU377" s="292"/>
      <c r="AV377" s="292"/>
      <c r="AW377" s="292"/>
      <c r="AX377" s="292"/>
    </row>
    <row r="378" ht="15.75" customHeight="1">
      <c r="A378" s="199" t="s">
        <v>2011</v>
      </c>
      <c r="B378" s="147" t="s">
        <v>2838</v>
      </c>
      <c r="C378" s="190" t="s">
        <v>2842</v>
      </c>
      <c r="D378" s="190" t="s">
        <v>2843</v>
      </c>
      <c r="E378" s="190" t="s">
        <v>2844</v>
      </c>
      <c r="F378" s="190"/>
      <c r="G378" s="293"/>
      <c r="H378" s="293"/>
      <c r="I378" s="145"/>
      <c r="J378" s="146"/>
      <c r="K378" s="145"/>
      <c r="L378" s="145"/>
      <c r="M378" s="145"/>
      <c r="N378" s="145"/>
      <c r="O378" s="145"/>
      <c r="P378" s="291"/>
      <c r="Q378" s="145" t="s">
        <v>307</v>
      </c>
      <c r="R378" s="145"/>
      <c r="S378" s="145"/>
      <c r="T378" s="145"/>
      <c r="U378" s="145"/>
      <c r="V378" s="145"/>
      <c r="W378" s="145"/>
      <c r="X378" s="145"/>
      <c r="Y378" s="145"/>
      <c r="Z378" s="145"/>
      <c r="AA378" s="145"/>
      <c r="AB378" s="145"/>
      <c r="AC378" s="145"/>
      <c r="AD378" s="292"/>
      <c r="AE378" s="292"/>
      <c r="AF378" s="292"/>
      <c r="AG378" s="292"/>
      <c r="AH378" s="292"/>
      <c r="AI378" s="292"/>
      <c r="AJ378" s="292"/>
      <c r="AK378" s="292"/>
      <c r="AL378" s="292"/>
      <c r="AM378" s="292"/>
      <c r="AN378" s="292"/>
      <c r="AO378" s="292"/>
      <c r="AP378" s="292"/>
      <c r="AQ378" s="292"/>
      <c r="AR378" s="292"/>
      <c r="AS378" s="292"/>
      <c r="AT378" s="292"/>
      <c r="AU378" s="292"/>
      <c r="AV378" s="292"/>
      <c r="AW378" s="292"/>
      <c r="AX378" s="292"/>
    </row>
    <row r="379" ht="15.75" customHeight="1">
      <c r="A379" s="255" t="s">
        <v>278</v>
      </c>
      <c r="B379" s="277" t="s">
        <v>2845</v>
      </c>
      <c r="C379" s="190"/>
      <c r="D379" s="190"/>
      <c r="E379" s="190"/>
      <c r="F379" s="190"/>
      <c r="G379" s="293"/>
      <c r="H379" s="293"/>
      <c r="I379" s="128"/>
      <c r="J379" s="337" t="s">
        <v>987</v>
      </c>
      <c r="K379" s="128"/>
      <c r="L379" s="128"/>
      <c r="M379" s="128"/>
      <c r="N379" s="128"/>
      <c r="O379" s="128"/>
      <c r="P379" s="291"/>
      <c r="Q379" s="128"/>
      <c r="R379" s="128"/>
      <c r="S379" s="128"/>
      <c r="T379" s="128"/>
      <c r="U379" s="128"/>
      <c r="V379" s="128"/>
      <c r="W379" s="128"/>
      <c r="X379" s="128"/>
      <c r="Y379" s="128"/>
      <c r="Z379" s="128"/>
      <c r="AA379" s="128"/>
      <c r="AB379" s="128"/>
      <c r="AC379" s="128"/>
      <c r="AD379" s="292"/>
      <c r="AE379" s="292"/>
      <c r="AF379" s="292"/>
      <c r="AG379" s="292"/>
      <c r="AH379" s="292"/>
      <c r="AI379" s="292"/>
      <c r="AJ379" s="292"/>
      <c r="AK379" s="292"/>
      <c r="AL379" s="292"/>
      <c r="AM379" s="292"/>
      <c r="AN379" s="292"/>
      <c r="AO379" s="292"/>
      <c r="AP379" s="292"/>
      <c r="AQ379" s="292"/>
      <c r="AR379" s="292"/>
      <c r="AS379" s="292"/>
      <c r="AT379" s="292"/>
      <c r="AU379" s="292"/>
      <c r="AV379" s="292"/>
      <c r="AW379" s="292"/>
      <c r="AX379" s="292"/>
    </row>
    <row r="380" ht="15.75" customHeight="1">
      <c r="A380" s="199" t="s">
        <v>2855</v>
      </c>
      <c r="B380" s="132" t="s">
        <v>2848</v>
      </c>
      <c r="C380" s="190" t="s">
        <v>2852</v>
      </c>
      <c r="D380" s="190" t="s">
        <v>2853</v>
      </c>
      <c r="E380" s="190" t="s">
        <v>2854</v>
      </c>
      <c r="F380" s="190"/>
      <c r="G380" s="293"/>
      <c r="H380" s="293"/>
      <c r="I380" s="128"/>
      <c r="J380" s="340" t="s">
        <v>5</v>
      </c>
      <c r="K380" s="128"/>
      <c r="L380" s="128"/>
      <c r="M380" s="128"/>
      <c r="N380" s="128"/>
      <c r="O380" s="128"/>
      <c r="P380" s="291"/>
      <c r="Q380" s="128"/>
      <c r="R380" s="128"/>
      <c r="S380" s="128"/>
      <c r="T380" s="128"/>
      <c r="U380" s="128"/>
      <c r="V380" s="128"/>
      <c r="W380" s="128"/>
      <c r="X380" s="128"/>
      <c r="Y380" s="128"/>
      <c r="Z380" s="128"/>
      <c r="AA380" s="128"/>
      <c r="AB380" s="128"/>
      <c r="AC380" s="128"/>
      <c r="AD380" s="292"/>
      <c r="AE380" s="292"/>
      <c r="AF380" s="292"/>
      <c r="AG380" s="292"/>
      <c r="AH380" s="292"/>
      <c r="AI380" s="292"/>
      <c r="AJ380" s="292"/>
      <c r="AK380" s="292"/>
      <c r="AL380" s="292"/>
      <c r="AM380" s="292"/>
      <c r="AN380" s="292"/>
      <c r="AO380" s="292"/>
      <c r="AP380" s="292"/>
      <c r="AQ380" s="292"/>
      <c r="AR380" s="292"/>
      <c r="AS380" s="292"/>
      <c r="AT380" s="292"/>
      <c r="AU380" s="292"/>
      <c r="AV380" s="292"/>
      <c r="AW380" s="292"/>
      <c r="AX380" s="292"/>
    </row>
    <row r="381" ht="15.75" customHeight="1">
      <c r="A381" s="199" t="s">
        <v>2855</v>
      </c>
      <c r="B381" s="147" t="s">
        <v>2856</v>
      </c>
      <c r="C381" s="190" t="s">
        <v>2861</v>
      </c>
      <c r="D381" s="190" t="s">
        <v>2862</v>
      </c>
      <c r="E381" s="190" t="s">
        <v>2863</v>
      </c>
      <c r="F381" s="190"/>
      <c r="G381" s="293"/>
      <c r="H381" s="293"/>
      <c r="I381" s="145"/>
      <c r="J381" s="340" t="s">
        <v>3474</v>
      </c>
      <c r="K381" s="145"/>
      <c r="L381" s="145"/>
      <c r="M381" s="145"/>
      <c r="N381" s="145"/>
      <c r="O381" s="145"/>
      <c r="P381" s="291"/>
      <c r="Q381" s="145" t="s">
        <v>307</v>
      </c>
      <c r="R381" s="145"/>
      <c r="S381" s="145"/>
      <c r="T381" s="145"/>
      <c r="U381" s="145"/>
      <c r="V381" s="145"/>
      <c r="W381" s="145"/>
      <c r="X381" s="145"/>
      <c r="Y381" s="145"/>
      <c r="Z381" s="145"/>
      <c r="AA381" s="145"/>
      <c r="AB381" s="145"/>
      <c r="AC381" s="145"/>
      <c r="AD381" s="292"/>
      <c r="AE381" s="292"/>
      <c r="AF381" s="292"/>
      <c r="AG381" s="292"/>
      <c r="AH381" s="292"/>
      <c r="AI381" s="292"/>
      <c r="AJ381" s="292"/>
      <c r="AK381" s="292"/>
      <c r="AL381" s="292"/>
      <c r="AM381" s="292"/>
      <c r="AN381" s="292"/>
      <c r="AO381" s="292"/>
      <c r="AP381" s="292"/>
      <c r="AQ381" s="292"/>
      <c r="AR381" s="292"/>
      <c r="AS381" s="292"/>
      <c r="AT381" s="292"/>
      <c r="AU381" s="292"/>
      <c r="AV381" s="292"/>
      <c r="AW381" s="292"/>
      <c r="AX381" s="292"/>
    </row>
    <row r="382" ht="15.75" customHeight="1">
      <c r="A382" s="199" t="s">
        <v>2855</v>
      </c>
      <c r="B382" s="147" t="s">
        <v>2864</v>
      </c>
      <c r="C382" s="190" t="s">
        <v>2868</v>
      </c>
      <c r="D382" s="190" t="s">
        <v>2869</v>
      </c>
      <c r="E382" s="190" t="s">
        <v>2870</v>
      </c>
      <c r="F382" s="190"/>
      <c r="G382" s="293"/>
      <c r="H382" s="293"/>
      <c r="I382" s="145"/>
      <c r="J382" s="340" t="s">
        <v>3474</v>
      </c>
      <c r="K382" s="145"/>
      <c r="L382" s="145"/>
      <c r="M382" s="145"/>
      <c r="N382" s="145"/>
      <c r="O382" s="145"/>
      <c r="P382" s="291"/>
      <c r="Q382" s="145" t="s">
        <v>307</v>
      </c>
      <c r="R382" s="145"/>
      <c r="S382" s="145"/>
      <c r="T382" s="145"/>
      <c r="U382" s="145"/>
      <c r="V382" s="145"/>
      <c r="W382" s="145"/>
      <c r="X382" s="145"/>
      <c r="Y382" s="145"/>
      <c r="Z382" s="145"/>
      <c r="AA382" s="145"/>
      <c r="AB382" s="145"/>
      <c r="AC382" s="145"/>
      <c r="AD382" s="292"/>
      <c r="AE382" s="292"/>
      <c r="AF382" s="292"/>
      <c r="AG382" s="292"/>
      <c r="AH382" s="292"/>
      <c r="AI382" s="292"/>
      <c r="AJ382" s="292"/>
      <c r="AK382" s="292"/>
      <c r="AL382" s="292"/>
      <c r="AM382" s="292"/>
      <c r="AN382" s="292"/>
      <c r="AO382" s="292"/>
      <c r="AP382" s="292"/>
      <c r="AQ382" s="292"/>
      <c r="AR382" s="292"/>
      <c r="AS382" s="292"/>
      <c r="AT382" s="292"/>
      <c r="AU382" s="292"/>
      <c r="AV382" s="292"/>
      <c r="AW382" s="292"/>
      <c r="AX382" s="292"/>
    </row>
    <row r="383" ht="15.75" customHeight="1">
      <c r="A383" s="199" t="s">
        <v>2855</v>
      </c>
      <c r="B383" s="147" t="s">
        <v>2872</v>
      </c>
      <c r="C383" s="190" t="s">
        <v>2877</v>
      </c>
      <c r="D383" s="190" t="s">
        <v>2878</v>
      </c>
      <c r="E383" s="190" t="s">
        <v>2879</v>
      </c>
      <c r="F383" s="190"/>
      <c r="G383" s="293"/>
      <c r="H383" s="293"/>
      <c r="I383" s="145"/>
      <c r="J383" s="340" t="s">
        <v>3474</v>
      </c>
      <c r="K383" s="145"/>
      <c r="L383" s="145"/>
      <c r="M383" s="145"/>
      <c r="N383" s="145"/>
      <c r="O383" s="145"/>
      <c r="P383" s="291"/>
      <c r="Q383" s="145" t="s">
        <v>307</v>
      </c>
      <c r="R383" s="145"/>
      <c r="S383" s="145"/>
      <c r="T383" s="145"/>
      <c r="U383" s="145"/>
      <c r="V383" s="145"/>
      <c r="W383" s="145"/>
      <c r="X383" s="145"/>
      <c r="Y383" s="145"/>
      <c r="Z383" s="145"/>
      <c r="AA383" s="145"/>
      <c r="AB383" s="145"/>
      <c r="AC383" s="145"/>
      <c r="AD383" s="292"/>
      <c r="AE383" s="292"/>
      <c r="AF383" s="292"/>
      <c r="AG383" s="292"/>
      <c r="AH383" s="292"/>
      <c r="AI383" s="292"/>
      <c r="AJ383" s="292"/>
      <c r="AK383" s="292"/>
      <c r="AL383" s="292"/>
      <c r="AM383" s="292"/>
      <c r="AN383" s="292"/>
      <c r="AO383" s="292"/>
      <c r="AP383" s="292"/>
      <c r="AQ383" s="292"/>
      <c r="AR383" s="292"/>
      <c r="AS383" s="292"/>
      <c r="AT383" s="292"/>
      <c r="AU383" s="292"/>
      <c r="AV383" s="292"/>
      <c r="AW383" s="292"/>
      <c r="AX383" s="292"/>
    </row>
    <row r="384" ht="15.75" customHeight="1">
      <c r="A384" s="199" t="s">
        <v>2855</v>
      </c>
      <c r="B384" s="147" t="s">
        <v>2880</v>
      </c>
      <c r="C384" s="190" t="s">
        <v>2886</v>
      </c>
      <c r="D384" s="190" t="s">
        <v>2887</v>
      </c>
      <c r="E384" s="190" t="s">
        <v>2888</v>
      </c>
      <c r="F384" s="190"/>
      <c r="G384" s="293"/>
      <c r="H384" s="293"/>
      <c r="I384" s="145"/>
      <c r="J384" s="340" t="s">
        <v>3474</v>
      </c>
      <c r="K384" s="145"/>
      <c r="L384" s="145"/>
      <c r="M384" s="145"/>
      <c r="N384" s="145"/>
      <c r="O384" s="145"/>
      <c r="P384" s="291"/>
      <c r="Q384" s="145" t="s">
        <v>307</v>
      </c>
      <c r="R384" s="145"/>
      <c r="S384" s="145"/>
      <c r="T384" s="145"/>
      <c r="U384" s="145"/>
      <c r="V384" s="145"/>
      <c r="W384" s="145"/>
      <c r="X384" s="145"/>
      <c r="Y384" s="145"/>
      <c r="Z384" s="145"/>
      <c r="AA384" s="145"/>
      <c r="AB384" s="145"/>
      <c r="AC384" s="145"/>
      <c r="AD384" s="292"/>
      <c r="AE384" s="292"/>
      <c r="AF384" s="292"/>
      <c r="AG384" s="292"/>
      <c r="AH384" s="292"/>
      <c r="AI384" s="292"/>
      <c r="AJ384" s="292"/>
      <c r="AK384" s="292"/>
      <c r="AL384" s="292"/>
      <c r="AM384" s="292"/>
      <c r="AN384" s="292"/>
      <c r="AO384" s="292"/>
      <c r="AP384" s="292"/>
      <c r="AQ384" s="292"/>
      <c r="AR384" s="292"/>
      <c r="AS384" s="292"/>
      <c r="AT384" s="292"/>
      <c r="AU384" s="292"/>
      <c r="AV384" s="292"/>
      <c r="AW384" s="292"/>
      <c r="AX384" s="292"/>
    </row>
    <row r="385" ht="15.75" customHeight="1">
      <c r="A385" s="199" t="s">
        <v>2855</v>
      </c>
      <c r="B385" s="147" t="s">
        <v>2889</v>
      </c>
      <c r="C385" s="190" t="s">
        <v>2893</v>
      </c>
      <c r="D385" s="190" t="s">
        <v>2894</v>
      </c>
      <c r="E385" s="190" t="s">
        <v>2895</v>
      </c>
      <c r="F385" s="190"/>
      <c r="G385" s="293"/>
      <c r="H385" s="293"/>
      <c r="I385" s="145"/>
      <c r="J385" s="340" t="s">
        <v>3474</v>
      </c>
      <c r="K385" s="145"/>
      <c r="L385" s="145"/>
      <c r="M385" s="145"/>
      <c r="N385" s="145"/>
      <c r="O385" s="145"/>
      <c r="P385" s="291"/>
      <c r="Q385" s="145" t="s">
        <v>307</v>
      </c>
      <c r="R385" s="145"/>
      <c r="S385" s="145"/>
      <c r="T385" s="145"/>
      <c r="U385" s="145"/>
      <c r="V385" s="145"/>
      <c r="W385" s="145"/>
      <c r="X385" s="145"/>
      <c r="Y385" s="145"/>
      <c r="Z385" s="145"/>
      <c r="AA385" s="145"/>
      <c r="AB385" s="145"/>
      <c r="AC385" s="145"/>
      <c r="AD385" s="292"/>
      <c r="AE385" s="292"/>
      <c r="AF385" s="292"/>
      <c r="AG385" s="292"/>
      <c r="AH385" s="292"/>
      <c r="AI385" s="292"/>
      <c r="AJ385" s="292"/>
      <c r="AK385" s="292"/>
      <c r="AL385" s="292"/>
      <c r="AM385" s="292"/>
      <c r="AN385" s="292"/>
      <c r="AO385" s="292"/>
      <c r="AP385" s="292"/>
      <c r="AQ385" s="292"/>
      <c r="AR385" s="292"/>
      <c r="AS385" s="292"/>
      <c r="AT385" s="292"/>
      <c r="AU385" s="292"/>
      <c r="AV385" s="292"/>
      <c r="AW385" s="292"/>
      <c r="AX385" s="292"/>
    </row>
    <row r="386" ht="15.75" customHeight="1">
      <c r="A386" s="199" t="s">
        <v>2855</v>
      </c>
      <c r="B386" s="147" t="s">
        <v>2897</v>
      </c>
      <c r="C386" s="190" t="s">
        <v>2901</v>
      </c>
      <c r="D386" s="190" t="s">
        <v>2902</v>
      </c>
      <c r="E386" s="190" t="s">
        <v>2903</v>
      </c>
      <c r="F386" s="190"/>
      <c r="G386" s="293"/>
      <c r="H386" s="293"/>
      <c r="I386" s="145"/>
      <c r="J386" s="340" t="s">
        <v>3474</v>
      </c>
      <c r="K386" s="145"/>
      <c r="L386" s="145"/>
      <c r="M386" s="145"/>
      <c r="N386" s="145"/>
      <c r="O386" s="145"/>
      <c r="P386" s="291"/>
      <c r="Q386" s="145" t="s">
        <v>307</v>
      </c>
      <c r="R386" s="145"/>
      <c r="S386" s="145"/>
      <c r="T386" s="145"/>
      <c r="U386" s="145"/>
      <c r="V386" s="145"/>
      <c r="W386" s="145"/>
      <c r="X386" s="145"/>
      <c r="Y386" s="145"/>
      <c r="Z386" s="145"/>
      <c r="AA386" s="145"/>
      <c r="AB386" s="145"/>
      <c r="AC386" s="145"/>
      <c r="AD386" s="292"/>
      <c r="AE386" s="292"/>
      <c r="AF386" s="292"/>
      <c r="AG386" s="292"/>
      <c r="AH386" s="292"/>
      <c r="AI386" s="292"/>
      <c r="AJ386" s="292"/>
      <c r="AK386" s="292"/>
      <c r="AL386" s="292"/>
      <c r="AM386" s="292"/>
      <c r="AN386" s="292"/>
      <c r="AO386" s="292"/>
      <c r="AP386" s="292"/>
      <c r="AQ386" s="292"/>
      <c r="AR386" s="292"/>
      <c r="AS386" s="292"/>
      <c r="AT386" s="292"/>
      <c r="AU386" s="292"/>
      <c r="AV386" s="292"/>
      <c r="AW386" s="292"/>
      <c r="AX386" s="292"/>
    </row>
    <row r="387" ht="15.75" customHeight="1">
      <c r="A387" s="199" t="s">
        <v>2855</v>
      </c>
      <c r="B387" s="147" t="s">
        <v>2904</v>
      </c>
      <c r="C387" s="190" t="s">
        <v>2908</v>
      </c>
      <c r="D387" s="190" t="s">
        <v>2909</v>
      </c>
      <c r="E387" s="190" t="s">
        <v>2910</v>
      </c>
      <c r="F387" s="190"/>
      <c r="G387" s="293"/>
      <c r="H387" s="293"/>
      <c r="I387" s="145"/>
      <c r="J387" s="340" t="s">
        <v>3474</v>
      </c>
      <c r="K387" s="145"/>
      <c r="L387" s="145"/>
      <c r="M387" s="145"/>
      <c r="N387" s="145"/>
      <c r="O387" s="145"/>
      <c r="P387" s="291"/>
      <c r="Q387" s="145" t="s">
        <v>307</v>
      </c>
      <c r="R387" s="145"/>
      <c r="S387" s="145"/>
      <c r="T387" s="145"/>
      <c r="U387" s="145"/>
      <c r="V387" s="145"/>
      <c r="W387" s="145"/>
      <c r="X387" s="145"/>
      <c r="Y387" s="145"/>
      <c r="Z387" s="145"/>
      <c r="AA387" s="145"/>
      <c r="AB387" s="145"/>
      <c r="AC387" s="145"/>
      <c r="AD387" s="292"/>
      <c r="AE387" s="292"/>
      <c r="AF387" s="292"/>
      <c r="AG387" s="292"/>
      <c r="AH387" s="292"/>
      <c r="AI387" s="292"/>
      <c r="AJ387" s="292"/>
      <c r="AK387" s="292"/>
      <c r="AL387" s="292"/>
      <c r="AM387" s="292"/>
      <c r="AN387" s="292"/>
      <c r="AO387" s="292"/>
      <c r="AP387" s="292"/>
      <c r="AQ387" s="292"/>
      <c r="AR387" s="292"/>
      <c r="AS387" s="292"/>
      <c r="AT387" s="292"/>
      <c r="AU387" s="292"/>
      <c r="AV387" s="292"/>
      <c r="AW387" s="292"/>
      <c r="AX387" s="292"/>
    </row>
    <row r="388" ht="15.75" customHeight="1">
      <c r="A388" s="255" t="s">
        <v>331</v>
      </c>
      <c r="B388" s="277" t="s">
        <v>2845</v>
      </c>
      <c r="C388" s="190"/>
      <c r="D388" s="190"/>
      <c r="E388" s="190"/>
      <c r="F388" s="190"/>
      <c r="G388" s="141"/>
      <c r="H388" s="141"/>
      <c r="I388" s="141"/>
      <c r="J388" s="141"/>
      <c r="K388" s="141"/>
      <c r="L388" s="141"/>
      <c r="M388" s="141"/>
      <c r="N388" s="141"/>
      <c r="O388" s="141"/>
      <c r="P388" s="291"/>
      <c r="Q388" s="141"/>
      <c r="R388" s="141"/>
      <c r="S388" s="141"/>
      <c r="T388" s="141"/>
      <c r="U388" s="141"/>
      <c r="V388" s="141"/>
      <c r="W388" s="141"/>
      <c r="X388" s="141"/>
      <c r="Y388" s="141"/>
      <c r="Z388" s="141"/>
      <c r="AA388" s="141"/>
      <c r="AB388" s="141"/>
      <c r="AC388" s="141"/>
      <c r="AD388" s="292"/>
      <c r="AE388" s="292"/>
      <c r="AF388" s="292"/>
      <c r="AG388" s="292"/>
      <c r="AH388" s="292"/>
      <c r="AI388" s="292"/>
      <c r="AJ388" s="292"/>
      <c r="AK388" s="292"/>
      <c r="AL388" s="292"/>
      <c r="AM388" s="292"/>
      <c r="AN388" s="292"/>
      <c r="AO388" s="292"/>
      <c r="AP388" s="292"/>
      <c r="AQ388" s="292"/>
      <c r="AR388" s="292"/>
      <c r="AS388" s="292"/>
      <c r="AT388" s="292"/>
      <c r="AU388" s="292"/>
      <c r="AV388" s="292"/>
      <c r="AW388" s="292"/>
      <c r="AX388" s="292"/>
    </row>
    <row r="389" ht="15.75" customHeight="1">
      <c r="A389" s="255" t="s">
        <v>331</v>
      </c>
      <c r="B389" s="152" t="s">
        <v>2824</v>
      </c>
      <c r="C389" s="190" t="s">
        <v>2825</v>
      </c>
      <c r="D389" s="190"/>
      <c r="E389" s="190"/>
      <c r="F389" s="190"/>
      <c r="G389" s="141"/>
      <c r="H389" s="141"/>
      <c r="I389" s="141"/>
      <c r="J389" s="141"/>
      <c r="K389" s="141"/>
      <c r="L389" s="141"/>
      <c r="M389" s="141"/>
      <c r="N389" s="141"/>
      <c r="O389" s="141"/>
      <c r="P389" s="291"/>
      <c r="Q389" s="141"/>
      <c r="R389" s="141"/>
      <c r="S389" s="141"/>
      <c r="T389" s="141"/>
      <c r="U389" s="141"/>
      <c r="V389" s="141"/>
      <c r="W389" s="141"/>
      <c r="X389" s="141"/>
      <c r="Y389" s="141"/>
      <c r="Z389" s="141"/>
      <c r="AA389" s="141"/>
      <c r="AB389" s="141"/>
      <c r="AC389" s="141"/>
      <c r="AD389" s="292"/>
      <c r="AE389" s="292"/>
      <c r="AF389" s="292"/>
      <c r="AG389" s="292"/>
      <c r="AH389" s="292"/>
      <c r="AI389" s="292"/>
      <c r="AJ389" s="292"/>
      <c r="AK389" s="292"/>
      <c r="AL389" s="292"/>
      <c r="AM389" s="292"/>
      <c r="AN389" s="292"/>
      <c r="AO389" s="292"/>
      <c r="AP389" s="292"/>
      <c r="AQ389" s="292"/>
      <c r="AR389" s="292"/>
      <c r="AS389" s="292"/>
      <c r="AT389" s="292"/>
      <c r="AU389" s="292"/>
      <c r="AV389" s="292"/>
      <c r="AW389" s="292"/>
      <c r="AX389" s="292"/>
    </row>
    <row r="390" ht="15.75" customHeight="1">
      <c r="A390" s="262"/>
      <c r="B390" s="263"/>
      <c r="C390" s="190" t="s">
        <v>55</v>
      </c>
      <c r="D390" s="190" t="s">
        <v>55</v>
      </c>
      <c r="E390" s="190" t="s">
        <v>55</v>
      </c>
      <c r="F390" s="190"/>
      <c r="G390" s="292"/>
      <c r="H390" s="292"/>
      <c r="I390" s="292"/>
      <c r="J390" s="292"/>
      <c r="K390" s="292"/>
      <c r="L390" s="292"/>
      <c r="M390" s="292"/>
      <c r="N390" s="292"/>
      <c r="O390" s="292"/>
      <c r="P390" s="291"/>
      <c r="Q390" s="292"/>
      <c r="R390" s="292"/>
      <c r="S390" s="292"/>
      <c r="T390" s="292"/>
      <c r="U390" s="292"/>
      <c r="V390" s="292"/>
      <c r="W390" s="292"/>
      <c r="X390" s="292"/>
      <c r="Y390" s="292"/>
      <c r="Z390" s="292"/>
      <c r="AA390" s="292"/>
      <c r="AB390" s="292"/>
      <c r="AC390" s="292"/>
      <c r="AD390" s="292"/>
      <c r="AE390" s="292"/>
      <c r="AF390" s="292"/>
      <c r="AG390" s="292"/>
      <c r="AH390" s="292"/>
      <c r="AI390" s="292"/>
      <c r="AJ390" s="292"/>
      <c r="AK390" s="292"/>
      <c r="AL390" s="292"/>
      <c r="AM390" s="292"/>
      <c r="AN390" s="292"/>
      <c r="AO390" s="292"/>
      <c r="AP390" s="292"/>
      <c r="AQ390" s="292"/>
      <c r="AR390" s="292"/>
      <c r="AS390" s="292"/>
      <c r="AT390" s="292"/>
      <c r="AU390" s="292"/>
      <c r="AV390" s="292"/>
      <c r="AW390" s="292"/>
      <c r="AX390" s="292"/>
    </row>
    <row r="391" ht="15.75" customHeight="1">
      <c r="A391" s="255" t="s">
        <v>278</v>
      </c>
      <c r="B391" s="143" t="s">
        <v>2913</v>
      </c>
      <c r="C391" s="190" t="s">
        <v>2914</v>
      </c>
      <c r="D391" s="190"/>
      <c r="E391" s="190"/>
      <c r="F391" s="190"/>
      <c r="G391" s="141"/>
      <c r="H391" s="141"/>
      <c r="I391" s="141"/>
      <c r="J391" s="341"/>
      <c r="K391" s="141"/>
      <c r="L391" s="141"/>
      <c r="M391" s="142"/>
      <c r="N391" s="142"/>
      <c r="O391" s="142"/>
      <c r="P391" s="291"/>
      <c r="Q391" s="141"/>
      <c r="R391" s="141"/>
      <c r="S391" s="141"/>
      <c r="T391" s="141"/>
      <c r="U391" s="141"/>
      <c r="V391" s="141"/>
      <c r="W391" s="141"/>
      <c r="X391" s="141"/>
      <c r="Y391" s="141"/>
      <c r="Z391" s="141"/>
      <c r="AA391" s="141"/>
      <c r="AB391" s="141"/>
      <c r="AC391" s="141"/>
      <c r="AD391" s="292"/>
      <c r="AE391" s="292"/>
      <c r="AF391" s="292"/>
      <c r="AG391" s="292"/>
      <c r="AH391" s="292"/>
      <c r="AI391" s="292"/>
      <c r="AJ391" s="292"/>
      <c r="AK391" s="292"/>
      <c r="AL391" s="292"/>
      <c r="AM391" s="292"/>
      <c r="AN391" s="292"/>
      <c r="AO391" s="292"/>
      <c r="AP391" s="292"/>
      <c r="AQ391" s="292"/>
      <c r="AR391" s="292"/>
      <c r="AS391" s="292"/>
      <c r="AT391" s="292"/>
      <c r="AU391" s="292"/>
      <c r="AV391" s="292"/>
      <c r="AW391" s="292"/>
      <c r="AX391" s="292"/>
    </row>
    <row r="392" ht="15.75" customHeight="1">
      <c r="A392" s="255" t="s">
        <v>278</v>
      </c>
      <c r="B392" s="277" t="s">
        <v>2919</v>
      </c>
      <c r="C392" s="190"/>
      <c r="D392" s="190"/>
      <c r="E392" s="190"/>
      <c r="F392" s="190"/>
      <c r="G392" s="293"/>
      <c r="H392" s="293"/>
      <c r="I392" s="128"/>
      <c r="J392" s="337" t="s">
        <v>987</v>
      </c>
      <c r="K392" s="128"/>
      <c r="L392" s="128"/>
      <c r="M392" s="128"/>
      <c r="N392" s="128"/>
      <c r="O392" s="128"/>
      <c r="P392" s="291"/>
      <c r="Q392" s="128"/>
      <c r="R392" s="128"/>
      <c r="S392" s="128"/>
      <c r="T392" s="128"/>
      <c r="U392" s="128"/>
      <c r="V392" s="128"/>
      <c r="W392" s="128"/>
      <c r="X392" s="128"/>
      <c r="Y392" s="128"/>
      <c r="Z392" s="128"/>
      <c r="AA392" s="128"/>
      <c r="AB392" s="128"/>
      <c r="AC392" s="128"/>
      <c r="AD392" s="292"/>
      <c r="AE392" s="292"/>
      <c r="AF392" s="292"/>
      <c r="AG392" s="292"/>
      <c r="AH392" s="292"/>
      <c r="AI392" s="292"/>
      <c r="AJ392" s="292"/>
      <c r="AK392" s="292"/>
      <c r="AL392" s="292"/>
      <c r="AM392" s="292"/>
      <c r="AN392" s="292"/>
      <c r="AO392" s="292"/>
      <c r="AP392" s="292"/>
      <c r="AQ392" s="292"/>
      <c r="AR392" s="292"/>
      <c r="AS392" s="292"/>
      <c r="AT392" s="292"/>
      <c r="AU392" s="292"/>
      <c r="AV392" s="292"/>
      <c r="AW392" s="292"/>
      <c r="AX392" s="292"/>
    </row>
    <row r="393" ht="15.75" customHeight="1">
      <c r="A393" s="290" t="s">
        <v>2011</v>
      </c>
      <c r="B393" s="132" t="s">
        <v>2923</v>
      </c>
      <c r="C393" s="190" t="s">
        <v>2927</v>
      </c>
      <c r="D393" s="190" t="s">
        <v>2929</v>
      </c>
      <c r="E393" s="190" t="s">
        <v>2930</v>
      </c>
      <c r="F393" s="190"/>
      <c r="G393" s="293"/>
      <c r="H393" s="293"/>
      <c r="I393" s="128"/>
      <c r="J393" s="340" t="s">
        <v>5</v>
      </c>
      <c r="K393" s="128"/>
      <c r="L393" s="128"/>
      <c r="M393" s="128"/>
      <c r="N393" s="128"/>
      <c r="O393" s="128"/>
      <c r="P393" s="291"/>
      <c r="Q393" s="128"/>
      <c r="R393" s="128"/>
      <c r="S393" s="128"/>
      <c r="T393" s="128"/>
      <c r="U393" s="128"/>
      <c r="V393" s="128"/>
      <c r="W393" s="128"/>
      <c r="X393" s="128"/>
      <c r="Y393" s="128"/>
      <c r="Z393" s="128"/>
      <c r="AA393" s="128"/>
      <c r="AB393" s="128"/>
      <c r="AC393" s="128"/>
      <c r="AD393" s="292"/>
      <c r="AE393" s="292"/>
      <c r="AF393" s="292"/>
      <c r="AG393" s="292"/>
      <c r="AH393" s="292"/>
      <c r="AI393" s="292"/>
      <c r="AJ393" s="292"/>
      <c r="AK393" s="292"/>
      <c r="AL393" s="292"/>
      <c r="AM393" s="292"/>
      <c r="AN393" s="292"/>
      <c r="AO393" s="292"/>
      <c r="AP393" s="292"/>
      <c r="AQ393" s="292"/>
      <c r="AR393" s="292"/>
      <c r="AS393" s="292"/>
      <c r="AT393" s="292"/>
      <c r="AU393" s="292"/>
      <c r="AV393" s="292"/>
      <c r="AW393" s="292"/>
      <c r="AX393" s="292"/>
    </row>
    <row r="394" ht="15.75" customHeight="1">
      <c r="A394" s="290" t="s">
        <v>2011</v>
      </c>
      <c r="B394" s="147" t="s">
        <v>2931</v>
      </c>
      <c r="C394" s="190" t="s">
        <v>2935</v>
      </c>
      <c r="D394" s="190" t="s">
        <v>2937</v>
      </c>
      <c r="E394" s="190" t="s">
        <v>2938</v>
      </c>
      <c r="F394" s="190"/>
      <c r="G394" s="293"/>
      <c r="H394" s="293"/>
      <c r="I394" s="145"/>
      <c r="J394" s="340" t="s">
        <v>3474</v>
      </c>
      <c r="K394" s="145"/>
      <c r="L394" s="145"/>
      <c r="M394" s="145"/>
      <c r="N394" s="145"/>
      <c r="O394" s="145"/>
      <c r="P394" s="291"/>
      <c r="Q394" s="145" t="s">
        <v>307</v>
      </c>
      <c r="R394" s="145"/>
      <c r="S394" s="145"/>
      <c r="T394" s="145"/>
      <c r="U394" s="145"/>
      <c r="V394" s="145"/>
      <c r="W394" s="145"/>
      <c r="X394" s="145"/>
      <c r="Y394" s="145"/>
      <c r="Z394" s="145"/>
      <c r="AA394" s="145"/>
      <c r="AB394" s="145"/>
      <c r="AC394" s="145"/>
      <c r="AD394" s="292"/>
      <c r="AE394" s="292"/>
      <c r="AF394" s="292"/>
      <c r="AG394" s="292"/>
      <c r="AH394" s="292"/>
      <c r="AI394" s="292"/>
      <c r="AJ394" s="292"/>
      <c r="AK394" s="292"/>
      <c r="AL394" s="292"/>
      <c r="AM394" s="292"/>
      <c r="AN394" s="292"/>
      <c r="AO394" s="292"/>
      <c r="AP394" s="292"/>
      <c r="AQ394" s="292"/>
      <c r="AR394" s="292"/>
      <c r="AS394" s="292"/>
      <c r="AT394" s="292"/>
      <c r="AU394" s="292"/>
      <c r="AV394" s="292"/>
      <c r="AW394" s="292"/>
      <c r="AX394" s="292"/>
    </row>
    <row r="395" ht="15.75" customHeight="1">
      <c r="A395" s="290" t="s">
        <v>2011</v>
      </c>
      <c r="B395" s="147" t="s">
        <v>2939</v>
      </c>
      <c r="C395" s="190" t="s">
        <v>2943</v>
      </c>
      <c r="D395" s="190" t="s">
        <v>2944</v>
      </c>
      <c r="E395" s="190" t="s">
        <v>2945</v>
      </c>
      <c r="F395" s="190"/>
      <c r="G395" s="293"/>
      <c r="H395" s="293"/>
      <c r="I395" s="145"/>
      <c r="J395" s="340" t="s">
        <v>3474</v>
      </c>
      <c r="K395" s="145"/>
      <c r="L395" s="145"/>
      <c r="M395" s="145"/>
      <c r="N395" s="145"/>
      <c r="O395" s="145"/>
      <c r="P395" s="291"/>
      <c r="Q395" s="145" t="s">
        <v>307</v>
      </c>
      <c r="R395" s="145"/>
      <c r="S395" s="145"/>
      <c r="T395" s="145"/>
      <c r="U395" s="145"/>
      <c r="V395" s="145"/>
      <c r="W395" s="145"/>
      <c r="X395" s="145"/>
      <c r="Y395" s="145"/>
      <c r="Z395" s="145"/>
      <c r="AA395" s="145"/>
      <c r="AB395" s="145"/>
      <c r="AC395" s="145"/>
      <c r="AD395" s="292"/>
      <c r="AE395" s="292"/>
      <c r="AF395" s="292"/>
      <c r="AG395" s="292"/>
      <c r="AH395" s="292"/>
      <c r="AI395" s="292"/>
      <c r="AJ395" s="292"/>
      <c r="AK395" s="292"/>
      <c r="AL395" s="292"/>
      <c r="AM395" s="292"/>
      <c r="AN395" s="292"/>
      <c r="AO395" s="292"/>
      <c r="AP395" s="292"/>
      <c r="AQ395" s="292"/>
      <c r="AR395" s="292"/>
      <c r="AS395" s="292"/>
      <c r="AT395" s="292"/>
      <c r="AU395" s="292"/>
      <c r="AV395" s="292"/>
      <c r="AW395" s="292"/>
      <c r="AX395" s="292"/>
    </row>
    <row r="396" ht="15.75" customHeight="1">
      <c r="A396" s="290" t="s">
        <v>2011</v>
      </c>
      <c r="B396" s="147" t="s">
        <v>2946</v>
      </c>
      <c r="C396" s="190" t="s">
        <v>2951</v>
      </c>
      <c r="D396" s="190" t="s">
        <v>2952</v>
      </c>
      <c r="E396" s="190" t="s">
        <v>2953</v>
      </c>
      <c r="F396" s="190"/>
      <c r="G396" s="293"/>
      <c r="H396" s="293"/>
      <c r="I396" s="145"/>
      <c r="J396" s="340" t="s">
        <v>3474</v>
      </c>
      <c r="K396" s="145"/>
      <c r="L396" s="145"/>
      <c r="M396" s="145"/>
      <c r="N396" s="145"/>
      <c r="O396" s="145"/>
      <c r="P396" s="291"/>
      <c r="Q396" s="145" t="s">
        <v>307</v>
      </c>
      <c r="R396" s="145"/>
      <c r="S396" s="145"/>
      <c r="T396" s="145"/>
      <c r="U396" s="145"/>
      <c r="V396" s="145"/>
      <c r="W396" s="145"/>
      <c r="X396" s="145"/>
      <c r="Y396" s="145"/>
      <c r="Z396" s="145"/>
      <c r="AA396" s="145"/>
      <c r="AB396" s="145"/>
      <c r="AC396" s="145"/>
      <c r="AD396" s="292"/>
      <c r="AE396" s="292"/>
      <c r="AF396" s="292"/>
      <c r="AG396" s="292"/>
      <c r="AH396" s="292"/>
      <c r="AI396" s="292"/>
      <c r="AJ396" s="292"/>
      <c r="AK396" s="292"/>
      <c r="AL396" s="292"/>
      <c r="AM396" s="292"/>
      <c r="AN396" s="292"/>
      <c r="AO396" s="292"/>
      <c r="AP396" s="292"/>
      <c r="AQ396" s="292"/>
      <c r="AR396" s="292"/>
      <c r="AS396" s="292"/>
      <c r="AT396" s="292"/>
      <c r="AU396" s="292"/>
      <c r="AV396" s="292"/>
      <c r="AW396" s="292"/>
      <c r="AX396" s="292"/>
    </row>
    <row r="397" ht="15.75" customHeight="1">
      <c r="A397" s="290" t="s">
        <v>2011</v>
      </c>
      <c r="B397" s="147" t="s">
        <v>2954</v>
      </c>
      <c r="C397" s="190" t="s">
        <v>2958</v>
      </c>
      <c r="D397" s="190" t="s">
        <v>2959</v>
      </c>
      <c r="E397" s="190" t="s">
        <v>2960</v>
      </c>
      <c r="F397" s="190"/>
      <c r="G397" s="293"/>
      <c r="H397" s="293"/>
      <c r="I397" s="145"/>
      <c r="J397" s="340" t="s">
        <v>3474</v>
      </c>
      <c r="K397" s="145"/>
      <c r="L397" s="145"/>
      <c r="M397" s="145"/>
      <c r="N397" s="145"/>
      <c r="O397" s="145"/>
      <c r="P397" s="291"/>
      <c r="Q397" s="145" t="s">
        <v>307</v>
      </c>
      <c r="R397" s="145"/>
      <c r="S397" s="145"/>
      <c r="T397" s="145"/>
      <c r="U397" s="145"/>
      <c r="V397" s="145"/>
      <c r="W397" s="145"/>
      <c r="X397" s="145"/>
      <c r="Y397" s="145"/>
      <c r="Z397" s="145"/>
      <c r="AA397" s="145"/>
      <c r="AB397" s="145"/>
      <c r="AC397" s="145"/>
      <c r="AD397" s="292"/>
      <c r="AE397" s="292"/>
      <c r="AF397" s="292"/>
      <c r="AG397" s="292"/>
      <c r="AH397" s="292"/>
      <c r="AI397" s="292"/>
      <c r="AJ397" s="292"/>
      <c r="AK397" s="292"/>
      <c r="AL397" s="292"/>
      <c r="AM397" s="292"/>
      <c r="AN397" s="292"/>
      <c r="AO397" s="292"/>
      <c r="AP397" s="292"/>
      <c r="AQ397" s="292"/>
      <c r="AR397" s="292"/>
      <c r="AS397" s="292"/>
      <c r="AT397" s="292"/>
      <c r="AU397" s="292"/>
      <c r="AV397" s="292"/>
      <c r="AW397" s="292"/>
      <c r="AX397" s="292"/>
    </row>
    <row r="398" ht="15.75" customHeight="1">
      <c r="A398" s="290" t="s">
        <v>2011</v>
      </c>
      <c r="B398" s="147" t="s">
        <v>2961</v>
      </c>
      <c r="C398" s="190" t="s">
        <v>2965</v>
      </c>
      <c r="D398" s="190" t="s">
        <v>2967</v>
      </c>
      <c r="E398" s="190" t="s">
        <v>2968</v>
      </c>
      <c r="F398" s="190"/>
      <c r="G398" s="293"/>
      <c r="H398" s="293"/>
      <c r="I398" s="145"/>
      <c r="J398" s="340" t="s">
        <v>3474</v>
      </c>
      <c r="K398" s="145"/>
      <c r="L398" s="145"/>
      <c r="M398" s="145"/>
      <c r="N398" s="145"/>
      <c r="O398" s="145"/>
      <c r="P398" s="291"/>
      <c r="Q398" s="145" t="s">
        <v>307</v>
      </c>
      <c r="R398" s="145"/>
      <c r="S398" s="145"/>
      <c r="T398" s="145"/>
      <c r="U398" s="145"/>
      <c r="V398" s="145"/>
      <c r="W398" s="145"/>
      <c r="X398" s="145"/>
      <c r="Y398" s="145"/>
      <c r="Z398" s="145"/>
      <c r="AA398" s="145"/>
      <c r="AB398" s="145"/>
      <c r="AC398" s="145"/>
      <c r="AD398" s="292"/>
      <c r="AE398" s="292"/>
      <c r="AF398" s="292"/>
      <c r="AG398" s="292"/>
      <c r="AH398" s="292"/>
      <c r="AI398" s="292"/>
      <c r="AJ398" s="292"/>
      <c r="AK398" s="292"/>
      <c r="AL398" s="292"/>
      <c r="AM398" s="292"/>
      <c r="AN398" s="292"/>
      <c r="AO398" s="292"/>
      <c r="AP398" s="292"/>
      <c r="AQ398" s="292"/>
      <c r="AR398" s="292"/>
      <c r="AS398" s="292"/>
      <c r="AT398" s="292"/>
      <c r="AU398" s="292"/>
      <c r="AV398" s="292"/>
      <c r="AW398" s="292"/>
      <c r="AX398" s="292"/>
    </row>
    <row r="399" ht="15.75" customHeight="1">
      <c r="A399" s="255" t="s">
        <v>331</v>
      </c>
      <c r="B399" s="277" t="s">
        <v>2919</v>
      </c>
      <c r="C399" s="190"/>
      <c r="D399" s="190"/>
      <c r="E399" s="190"/>
      <c r="F399" s="190"/>
      <c r="G399" s="293"/>
      <c r="H399" s="293"/>
      <c r="I399" s="145"/>
      <c r="J399" s="340"/>
      <c r="K399" s="145"/>
      <c r="L399" s="145"/>
      <c r="M399" s="145"/>
      <c r="N399" s="145"/>
      <c r="O399" s="145"/>
      <c r="P399" s="291"/>
      <c r="Q399" s="145"/>
      <c r="R399" s="145"/>
      <c r="S399" s="145"/>
      <c r="T399" s="145"/>
      <c r="U399" s="145"/>
      <c r="V399" s="145"/>
      <c r="W399" s="145"/>
      <c r="X399" s="145"/>
      <c r="Y399" s="145"/>
      <c r="Z399" s="145"/>
      <c r="AA399" s="145"/>
      <c r="AB399" s="145"/>
      <c r="AC399" s="145"/>
      <c r="AD399" s="292"/>
      <c r="AE399" s="292"/>
      <c r="AF399" s="292"/>
      <c r="AG399" s="292"/>
      <c r="AH399" s="292"/>
      <c r="AI399" s="292"/>
      <c r="AJ399" s="292"/>
      <c r="AK399" s="292"/>
      <c r="AL399" s="292"/>
      <c r="AM399" s="292"/>
      <c r="AN399" s="292"/>
      <c r="AO399" s="292"/>
      <c r="AP399" s="292"/>
      <c r="AQ399" s="292"/>
      <c r="AR399" s="292"/>
      <c r="AS399" s="292"/>
      <c r="AT399" s="292"/>
      <c r="AU399" s="292"/>
      <c r="AV399" s="292"/>
      <c r="AW399" s="292"/>
      <c r="AX399" s="292"/>
    </row>
    <row r="400" ht="15.75" customHeight="1">
      <c r="A400" s="290" t="s">
        <v>1060</v>
      </c>
      <c r="B400" s="147" t="s">
        <v>2971</v>
      </c>
      <c r="C400" s="190" t="s">
        <v>2976</v>
      </c>
      <c r="D400" s="190" t="s">
        <v>2977</v>
      </c>
      <c r="E400" s="190" t="s">
        <v>2978</v>
      </c>
      <c r="F400" s="190"/>
      <c r="G400" s="293"/>
      <c r="H400" s="293"/>
      <c r="I400" s="145"/>
      <c r="J400" s="340"/>
      <c r="K400" s="145"/>
      <c r="L400" s="145"/>
      <c r="M400" s="145"/>
      <c r="N400" s="145"/>
      <c r="O400" s="145"/>
      <c r="P400" s="291"/>
      <c r="Q400" s="145" t="s">
        <v>307</v>
      </c>
      <c r="R400" s="145"/>
      <c r="S400" s="145"/>
      <c r="T400" s="145"/>
      <c r="U400" s="145"/>
      <c r="V400" s="145"/>
      <c r="W400" s="145"/>
      <c r="X400" s="145"/>
      <c r="Y400" s="145"/>
      <c r="Z400" s="145"/>
      <c r="AA400" s="145"/>
      <c r="AB400" s="145"/>
      <c r="AC400" s="145"/>
      <c r="AD400" s="292"/>
      <c r="AE400" s="292"/>
      <c r="AF400" s="292"/>
      <c r="AG400" s="292"/>
      <c r="AH400" s="292"/>
      <c r="AI400" s="292"/>
      <c r="AJ400" s="292"/>
      <c r="AK400" s="292"/>
      <c r="AL400" s="292"/>
      <c r="AM400" s="292"/>
      <c r="AN400" s="292"/>
      <c r="AO400" s="292"/>
      <c r="AP400" s="292"/>
      <c r="AQ400" s="292"/>
      <c r="AR400" s="292"/>
      <c r="AS400" s="292"/>
      <c r="AT400" s="292"/>
      <c r="AU400" s="292"/>
      <c r="AV400" s="292"/>
      <c r="AW400" s="292"/>
      <c r="AX400" s="292"/>
    </row>
    <row r="401" ht="15.75" customHeight="1">
      <c r="A401" s="290" t="s">
        <v>1060</v>
      </c>
      <c r="B401" s="147" t="s">
        <v>2979</v>
      </c>
      <c r="C401" s="190" t="s">
        <v>2983</v>
      </c>
      <c r="D401" s="190" t="s">
        <v>2984</v>
      </c>
      <c r="E401" s="190" t="s">
        <v>2985</v>
      </c>
      <c r="F401" s="190"/>
      <c r="G401" s="293"/>
      <c r="H401" s="293"/>
      <c r="I401" s="145"/>
      <c r="J401" s="340"/>
      <c r="K401" s="145"/>
      <c r="L401" s="145"/>
      <c r="M401" s="145"/>
      <c r="N401" s="145"/>
      <c r="O401" s="145" t="s">
        <v>5609</v>
      </c>
      <c r="P401" s="291"/>
      <c r="Q401" s="145" t="s">
        <v>307</v>
      </c>
      <c r="R401" s="145"/>
      <c r="S401" s="145"/>
      <c r="T401" s="145"/>
      <c r="U401" s="145"/>
      <c r="V401" s="145"/>
      <c r="W401" s="145"/>
      <c r="X401" s="145"/>
      <c r="Y401" s="145"/>
      <c r="Z401" s="145"/>
      <c r="AA401" s="145"/>
      <c r="AB401" s="145"/>
      <c r="AC401" s="145"/>
      <c r="AD401" s="292"/>
      <c r="AE401" s="292"/>
      <c r="AF401" s="292"/>
      <c r="AG401" s="292"/>
      <c r="AH401" s="292"/>
      <c r="AI401" s="292"/>
      <c r="AJ401" s="292"/>
      <c r="AK401" s="292"/>
      <c r="AL401" s="292"/>
      <c r="AM401" s="292"/>
      <c r="AN401" s="292"/>
      <c r="AO401" s="292"/>
      <c r="AP401" s="292"/>
      <c r="AQ401" s="292"/>
      <c r="AR401" s="292"/>
      <c r="AS401" s="292"/>
      <c r="AT401" s="292"/>
      <c r="AU401" s="292"/>
      <c r="AV401" s="292"/>
      <c r="AW401" s="292"/>
      <c r="AX401" s="292"/>
    </row>
    <row r="402" ht="15.75" customHeight="1">
      <c r="A402" s="210" t="s">
        <v>256</v>
      </c>
      <c r="B402" s="210" t="s">
        <v>2986</v>
      </c>
      <c r="C402" s="190"/>
      <c r="D402" s="190"/>
      <c r="E402" s="190"/>
      <c r="F402" s="190"/>
      <c r="G402" s="141"/>
      <c r="H402" s="141"/>
      <c r="I402" s="141"/>
      <c r="J402" s="142"/>
      <c r="K402" s="141"/>
      <c r="L402" s="141"/>
      <c r="M402" s="142"/>
      <c r="N402" s="142"/>
      <c r="O402" s="142"/>
      <c r="P402" s="291"/>
      <c r="Q402" s="141"/>
      <c r="R402" s="141"/>
      <c r="S402" s="141"/>
      <c r="T402" s="335" t="s">
        <v>260</v>
      </c>
      <c r="U402" s="141"/>
      <c r="V402" s="141"/>
      <c r="W402" s="141"/>
      <c r="X402" s="141"/>
      <c r="Y402" s="141"/>
      <c r="Z402" s="141"/>
      <c r="AA402" s="141"/>
      <c r="AB402" s="141"/>
      <c r="AC402" s="141"/>
      <c r="AD402" s="292"/>
      <c r="AE402" s="292"/>
      <c r="AF402" s="292"/>
      <c r="AG402" s="292"/>
      <c r="AH402" s="292"/>
      <c r="AI402" s="292"/>
      <c r="AJ402" s="292"/>
      <c r="AK402" s="292"/>
      <c r="AL402" s="292"/>
      <c r="AM402" s="292"/>
      <c r="AN402" s="292"/>
      <c r="AO402" s="292"/>
      <c r="AP402" s="292"/>
      <c r="AQ402" s="292"/>
      <c r="AR402" s="292"/>
      <c r="AS402" s="292"/>
      <c r="AT402" s="292"/>
      <c r="AU402" s="292"/>
      <c r="AV402" s="292"/>
      <c r="AW402" s="292"/>
      <c r="AX402" s="292"/>
    </row>
    <row r="403" ht="15.75" customHeight="1">
      <c r="A403" s="210" t="s">
        <v>112</v>
      </c>
      <c r="B403" s="261" t="s">
        <v>2988</v>
      </c>
      <c r="C403" s="190"/>
      <c r="D403" s="190"/>
      <c r="E403" s="190"/>
      <c r="F403" s="190"/>
      <c r="G403" s="141"/>
      <c r="H403" s="141"/>
      <c r="I403" s="141"/>
      <c r="J403" s="141"/>
      <c r="K403" s="141"/>
      <c r="L403" s="141"/>
      <c r="M403" s="141"/>
      <c r="N403" s="141"/>
      <c r="O403" s="141"/>
      <c r="P403" s="291"/>
      <c r="Q403" s="141"/>
      <c r="R403" s="141"/>
      <c r="S403" s="141"/>
      <c r="T403" s="210" t="s">
        <v>5650</v>
      </c>
      <c r="U403" s="141"/>
      <c r="V403" s="141"/>
      <c r="W403" s="141"/>
      <c r="X403" s="141"/>
      <c r="Y403" s="141"/>
      <c r="Z403" s="141"/>
      <c r="AA403" s="141"/>
      <c r="AB403" s="141"/>
      <c r="AC403" s="141"/>
      <c r="AD403" s="292"/>
      <c r="AE403" s="292"/>
      <c r="AF403" s="292"/>
      <c r="AG403" s="292"/>
      <c r="AH403" s="292"/>
      <c r="AI403" s="292"/>
      <c r="AJ403" s="292"/>
      <c r="AK403" s="292"/>
      <c r="AL403" s="292"/>
      <c r="AM403" s="292"/>
      <c r="AN403" s="292"/>
      <c r="AO403" s="292"/>
      <c r="AP403" s="292"/>
      <c r="AQ403" s="292"/>
      <c r="AR403" s="292"/>
      <c r="AS403" s="292"/>
      <c r="AT403" s="292"/>
      <c r="AU403" s="292"/>
      <c r="AV403" s="292"/>
      <c r="AW403" s="292"/>
      <c r="AX403" s="292"/>
    </row>
    <row r="404" ht="15.75" customHeight="1">
      <c r="A404" s="255" t="s">
        <v>331</v>
      </c>
      <c r="B404" s="152" t="s">
        <v>2913</v>
      </c>
      <c r="C404" s="190" t="s">
        <v>2914</v>
      </c>
      <c r="D404" s="190"/>
      <c r="E404" s="190"/>
      <c r="F404" s="190"/>
      <c r="G404" s="141"/>
      <c r="H404" s="141"/>
      <c r="I404" s="141"/>
      <c r="J404" s="141"/>
      <c r="K404" s="141"/>
      <c r="L404" s="141"/>
      <c r="M404" s="141"/>
      <c r="N404" s="141"/>
      <c r="O404" s="141"/>
      <c r="P404" s="291"/>
      <c r="Q404" s="141"/>
      <c r="R404" s="141"/>
      <c r="S404" s="141"/>
      <c r="T404" s="141"/>
      <c r="U404" s="141"/>
      <c r="V404" s="141"/>
      <c r="W404" s="141"/>
      <c r="X404" s="141"/>
      <c r="Y404" s="141"/>
      <c r="Z404" s="141"/>
      <c r="AA404" s="141"/>
      <c r="AB404" s="141"/>
      <c r="AC404" s="141"/>
      <c r="AD404" s="292"/>
      <c r="AE404" s="292"/>
      <c r="AF404" s="292"/>
      <c r="AG404" s="292"/>
      <c r="AH404" s="292"/>
      <c r="AI404" s="292"/>
      <c r="AJ404" s="292"/>
      <c r="AK404" s="292"/>
      <c r="AL404" s="292"/>
      <c r="AM404" s="292"/>
      <c r="AN404" s="292"/>
      <c r="AO404" s="292"/>
      <c r="AP404" s="292"/>
      <c r="AQ404" s="292"/>
      <c r="AR404" s="292"/>
      <c r="AS404" s="292"/>
      <c r="AT404" s="292"/>
      <c r="AU404" s="292"/>
      <c r="AV404" s="292"/>
      <c r="AW404" s="292"/>
      <c r="AX404" s="292"/>
    </row>
    <row r="405" ht="15.75" customHeight="1">
      <c r="A405" s="262"/>
      <c r="B405" s="263"/>
      <c r="C405" s="190" t="s">
        <v>55</v>
      </c>
      <c r="D405" s="190" t="s">
        <v>55</v>
      </c>
      <c r="E405" s="190" t="s">
        <v>55</v>
      </c>
      <c r="F405" s="190"/>
      <c r="G405" s="292"/>
      <c r="H405" s="292"/>
      <c r="I405" s="292"/>
      <c r="J405" s="292"/>
      <c r="K405" s="292"/>
      <c r="L405" s="292"/>
      <c r="M405" s="292"/>
      <c r="N405" s="292"/>
      <c r="O405" s="292"/>
      <c r="P405" s="291"/>
      <c r="Q405" s="292"/>
      <c r="R405" s="292"/>
      <c r="S405" s="292"/>
      <c r="T405" s="292"/>
      <c r="U405" s="292"/>
      <c r="V405" s="292"/>
      <c r="W405" s="292"/>
      <c r="X405" s="292"/>
      <c r="Y405" s="292"/>
      <c r="Z405" s="292"/>
      <c r="AA405" s="292"/>
      <c r="AB405" s="292"/>
      <c r="AC405" s="292"/>
      <c r="AD405" s="292"/>
      <c r="AE405" s="292"/>
      <c r="AF405" s="292"/>
      <c r="AG405" s="292"/>
      <c r="AH405" s="292"/>
      <c r="AI405" s="292"/>
      <c r="AJ405" s="292"/>
      <c r="AK405" s="292"/>
      <c r="AL405" s="292"/>
      <c r="AM405" s="292"/>
      <c r="AN405" s="292"/>
      <c r="AO405" s="292"/>
      <c r="AP405" s="292"/>
      <c r="AQ405" s="292"/>
      <c r="AR405" s="292"/>
      <c r="AS405" s="292"/>
      <c r="AT405" s="292"/>
      <c r="AU405" s="292"/>
      <c r="AV405" s="292"/>
      <c r="AW405" s="292"/>
      <c r="AX405" s="292"/>
    </row>
    <row r="406" ht="15.75" customHeight="1">
      <c r="A406" s="255" t="s">
        <v>278</v>
      </c>
      <c r="B406" s="143" t="s">
        <v>2997</v>
      </c>
      <c r="C406" s="190" t="s">
        <v>2998</v>
      </c>
      <c r="D406" s="190"/>
      <c r="E406" s="190"/>
      <c r="F406" s="190"/>
      <c r="G406" s="141"/>
      <c r="H406" s="141"/>
      <c r="I406" s="141"/>
      <c r="J406" s="142"/>
      <c r="K406" s="141"/>
      <c r="L406" s="141"/>
      <c r="M406" s="142"/>
      <c r="N406" s="142"/>
      <c r="O406" s="142"/>
      <c r="P406" s="291"/>
      <c r="Q406" s="141"/>
      <c r="R406" s="141"/>
      <c r="S406" s="141"/>
      <c r="T406" s="141"/>
      <c r="U406" s="141"/>
      <c r="V406" s="141"/>
      <c r="W406" s="141"/>
      <c r="X406" s="141"/>
      <c r="Y406" s="141"/>
      <c r="Z406" s="141"/>
      <c r="AA406" s="141"/>
      <c r="AB406" s="141"/>
      <c r="AC406" s="141"/>
      <c r="AD406" s="292"/>
      <c r="AE406" s="292"/>
      <c r="AF406" s="292"/>
      <c r="AG406" s="292"/>
      <c r="AH406" s="292"/>
      <c r="AI406" s="292"/>
      <c r="AJ406" s="292"/>
      <c r="AK406" s="292"/>
      <c r="AL406" s="292"/>
      <c r="AM406" s="292"/>
      <c r="AN406" s="292"/>
      <c r="AO406" s="292"/>
      <c r="AP406" s="292"/>
      <c r="AQ406" s="292"/>
      <c r="AR406" s="292"/>
      <c r="AS406" s="292"/>
      <c r="AT406" s="292"/>
      <c r="AU406" s="292"/>
      <c r="AV406" s="292"/>
      <c r="AW406" s="292"/>
      <c r="AX406" s="292"/>
    </row>
    <row r="407" ht="15.75" customHeight="1">
      <c r="A407" s="210" t="s">
        <v>256</v>
      </c>
      <c r="B407" s="294" t="s">
        <v>2999</v>
      </c>
      <c r="C407" s="190"/>
      <c r="D407" s="190"/>
      <c r="E407" s="190"/>
      <c r="F407" s="190"/>
      <c r="G407" s="141"/>
      <c r="H407" s="141"/>
      <c r="I407" s="141"/>
      <c r="J407" s="142"/>
      <c r="K407" s="141"/>
      <c r="L407" s="141"/>
      <c r="M407" s="142"/>
      <c r="N407" s="142"/>
      <c r="O407" s="142"/>
      <c r="P407" s="291"/>
      <c r="Q407" s="141"/>
      <c r="R407" s="141"/>
      <c r="S407" s="141"/>
      <c r="T407" s="335" t="s">
        <v>260</v>
      </c>
      <c r="U407" s="141"/>
      <c r="V407" s="141"/>
      <c r="W407" s="141"/>
      <c r="X407" s="141"/>
      <c r="Y407" s="141"/>
      <c r="Z407" s="141"/>
      <c r="AA407" s="141"/>
      <c r="AB407" s="141"/>
      <c r="AC407" s="141"/>
      <c r="AD407" s="292"/>
      <c r="AE407" s="292"/>
      <c r="AF407" s="292"/>
      <c r="AG407" s="292"/>
      <c r="AH407" s="292"/>
      <c r="AI407" s="292"/>
      <c r="AJ407" s="292"/>
      <c r="AK407" s="292"/>
      <c r="AL407" s="292"/>
      <c r="AM407" s="292"/>
      <c r="AN407" s="292"/>
      <c r="AO407" s="292"/>
      <c r="AP407" s="292"/>
      <c r="AQ407" s="292"/>
      <c r="AR407" s="292"/>
      <c r="AS407" s="292"/>
      <c r="AT407" s="292"/>
      <c r="AU407" s="292"/>
      <c r="AV407" s="292"/>
      <c r="AW407" s="292"/>
      <c r="AX407" s="292"/>
    </row>
    <row r="408" ht="15.75" customHeight="1">
      <c r="A408" s="238" t="s">
        <v>46</v>
      </c>
      <c r="B408" s="132" t="s">
        <v>3004</v>
      </c>
      <c r="C408" s="190" t="s">
        <v>3008</v>
      </c>
      <c r="D408" s="190" t="s">
        <v>3009</v>
      </c>
      <c r="E408" s="190" t="s">
        <v>3010</v>
      </c>
      <c r="F408" s="190"/>
      <c r="G408" s="293"/>
      <c r="H408" s="293"/>
      <c r="I408" s="128"/>
      <c r="J408" s="128"/>
      <c r="K408" s="128"/>
      <c r="L408" s="128"/>
      <c r="M408" s="128"/>
      <c r="N408" s="128"/>
      <c r="O408" s="128"/>
      <c r="P408" s="291"/>
      <c r="Q408" s="128"/>
      <c r="R408" s="128"/>
      <c r="S408" s="128"/>
      <c r="T408" s="128"/>
      <c r="U408" s="128"/>
      <c r="V408" s="128"/>
      <c r="W408" s="128"/>
      <c r="X408" s="128"/>
      <c r="Y408" s="128"/>
      <c r="Z408" s="128"/>
      <c r="AA408" s="128"/>
      <c r="AB408" s="128"/>
      <c r="AC408" s="128"/>
      <c r="AD408" s="292"/>
      <c r="AE408" s="292"/>
      <c r="AF408" s="292"/>
      <c r="AG408" s="292"/>
      <c r="AH408" s="292"/>
      <c r="AI408" s="292"/>
      <c r="AJ408" s="292"/>
      <c r="AK408" s="292"/>
      <c r="AL408" s="292"/>
      <c r="AM408" s="292"/>
      <c r="AN408" s="292"/>
      <c r="AO408" s="292"/>
      <c r="AP408" s="292"/>
      <c r="AQ408" s="292"/>
      <c r="AR408" s="292"/>
      <c r="AS408" s="292"/>
      <c r="AT408" s="292"/>
      <c r="AU408" s="292"/>
      <c r="AV408" s="292"/>
      <c r="AW408" s="292"/>
      <c r="AX408" s="292"/>
    </row>
    <row r="409" ht="15.75" customHeight="1">
      <c r="A409" s="238" t="s">
        <v>46</v>
      </c>
      <c r="B409" s="132" t="s">
        <v>3012</v>
      </c>
      <c r="C409" s="190" t="s">
        <v>3016</v>
      </c>
      <c r="D409" s="190" t="s">
        <v>3017</v>
      </c>
      <c r="E409" s="190" t="s">
        <v>3018</v>
      </c>
      <c r="F409" s="190"/>
      <c r="G409" s="293"/>
      <c r="H409" s="293"/>
      <c r="I409" s="128"/>
      <c r="J409" s="128"/>
      <c r="K409" s="128"/>
      <c r="L409" s="128"/>
      <c r="M409" s="128"/>
      <c r="N409" s="128"/>
      <c r="O409" s="128"/>
      <c r="P409" s="291"/>
      <c r="Q409" s="128"/>
      <c r="R409" s="128"/>
      <c r="S409" s="128"/>
      <c r="T409" s="128"/>
      <c r="U409" s="128"/>
      <c r="V409" s="128"/>
      <c r="W409" s="128"/>
      <c r="X409" s="128"/>
      <c r="Y409" s="128"/>
      <c r="Z409" s="128"/>
      <c r="AA409" s="128"/>
      <c r="AB409" s="128"/>
      <c r="AC409" s="128"/>
      <c r="AD409" s="292"/>
      <c r="AE409" s="292"/>
      <c r="AF409" s="292"/>
      <c r="AG409" s="292"/>
      <c r="AH409" s="292"/>
      <c r="AI409" s="292"/>
      <c r="AJ409" s="292"/>
      <c r="AK409" s="292"/>
      <c r="AL409" s="292"/>
      <c r="AM409" s="292"/>
      <c r="AN409" s="292"/>
      <c r="AO409" s="292"/>
      <c r="AP409" s="292"/>
      <c r="AQ409" s="292"/>
      <c r="AR409" s="292"/>
      <c r="AS409" s="292"/>
      <c r="AT409" s="292"/>
      <c r="AU409" s="292"/>
      <c r="AV409" s="292"/>
      <c r="AW409" s="292"/>
      <c r="AX409" s="292"/>
    </row>
    <row r="410" ht="15.75" customHeight="1">
      <c r="A410" s="258" t="s">
        <v>247</v>
      </c>
      <c r="B410" s="259" t="s">
        <v>3019</v>
      </c>
      <c r="C410" s="190" t="s">
        <v>3024</v>
      </c>
      <c r="D410" s="190" t="s">
        <v>3025</v>
      </c>
      <c r="E410" s="190" t="s">
        <v>3026</v>
      </c>
      <c r="F410" s="190" t="s">
        <v>5740</v>
      </c>
      <c r="G410" s="293" t="s">
        <v>5742</v>
      </c>
      <c r="H410" s="293" t="s">
        <v>5744</v>
      </c>
      <c r="I410" s="303"/>
      <c r="J410" s="303"/>
      <c r="K410" s="304" t="s">
        <v>3785</v>
      </c>
      <c r="L410" s="304"/>
      <c r="M410" s="303"/>
      <c r="N410" s="303"/>
      <c r="O410" s="303"/>
      <c r="P410" s="291"/>
      <c r="Q410" s="303" t="s">
        <v>307</v>
      </c>
      <c r="R410" s="303"/>
      <c r="S410" s="303"/>
      <c r="T410" s="303"/>
      <c r="U410" s="303"/>
      <c r="V410" s="303"/>
      <c r="W410" s="303"/>
      <c r="X410" s="303"/>
      <c r="Y410" s="303"/>
      <c r="Z410" s="303"/>
      <c r="AA410" s="303"/>
      <c r="AB410" s="303"/>
      <c r="AC410" s="303"/>
      <c r="AD410" s="292"/>
      <c r="AE410" s="292"/>
      <c r="AF410" s="292"/>
      <c r="AG410" s="292"/>
      <c r="AH410" s="292"/>
      <c r="AI410" s="292"/>
      <c r="AJ410" s="292"/>
      <c r="AK410" s="292"/>
      <c r="AL410" s="292"/>
      <c r="AM410" s="292"/>
      <c r="AN410" s="292"/>
      <c r="AO410" s="292"/>
      <c r="AP410" s="292"/>
      <c r="AQ410" s="292"/>
      <c r="AR410" s="292"/>
      <c r="AS410" s="292"/>
      <c r="AT410" s="292"/>
      <c r="AU410" s="292"/>
      <c r="AV410" s="292"/>
      <c r="AW410" s="292"/>
      <c r="AX410" s="292"/>
    </row>
    <row r="411" ht="15.75" customHeight="1">
      <c r="A411" s="258" t="s">
        <v>247</v>
      </c>
      <c r="B411" s="259" t="s">
        <v>3027</v>
      </c>
      <c r="C411" s="190" t="s">
        <v>3031</v>
      </c>
      <c r="D411" s="190" t="s">
        <v>3032</v>
      </c>
      <c r="E411" s="190" t="s">
        <v>3033</v>
      </c>
      <c r="F411" s="190" t="s">
        <v>5740</v>
      </c>
      <c r="G411" s="293" t="s">
        <v>5742</v>
      </c>
      <c r="H411" s="293" t="s">
        <v>5744</v>
      </c>
      <c r="I411" s="303"/>
      <c r="J411" s="303"/>
      <c r="K411" s="304" t="s">
        <v>3785</v>
      </c>
      <c r="L411" s="304"/>
      <c r="M411" s="303"/>
      <c r="N411" s="303"/>
      <c r="O411" s="303"/>
      <c r="P411" s="291"/>
      <c r="Q411" s="303" t="s">
        <v>307</v>
      </c>
      <c r="R411" s="303"/>
      <c r="S411" s="303"/>
      <c r="T411" s="303"/>
      <c r="U411" s="303"/>
      <c r="V411" s="303"/>
      <c r="W411" s="303"/>
      <c r="X411" s="303"/>
      <c r="Y411" s="303"/>
      <c r="Z411" s="303"/>
      <c r="AA411" s="303"/>
      <c r="AB411" s="303"/>
      <c r="AC411" s="303"/>
      <c r="AD411" s="292"/>
      <c r="AE411" s="292"/>
      <c r="AF411" s="292"/>
      <c r="AG411" s="292"/>
      <c r="AH411" s="292"/>
      <c r="AI411" s="292"/>
      <c r="AJ411" s="292"/>
      <c r="AK411" s="292"/>
      <c r="AL411" s="292"/>
      <c r="AM411" s="292"/>
      <c r="AN411" s="292"/>
      <c r="AO411" s="292"/>
      <c r="AP411" s="292"/>
      <c r="AQ411" s="292"/>
      <c r="AR411" s="292"/>
      <c r="AS411" s="292"/>
      <c r="AT411" s="292"/>
      <c r="AU411" s="292"/>
      <c r="AV411" s="292"/>
      <c r="AW411" s="292"/>
      <c r="AX411" s="292"/>
    </row>
    <row r="412" ht="15.75" customHeight="1">
      <c r="A412" s="258" t="s">
        <v>247</v>
      </c>
      <c r="B412" s="259" t="s">
        <v>3035</v>
      </c>
      <c r="C412" s="190" t="s">
        <v>3039</v>
      </c>
      <c r="D412" s="190" t="s">
        <v>3040</v>
      </c>
      <c r="E412" s="190" t="s">
        <v>3041</v>
      </c>
      <c r="F412" s="190" t="s">
        <v>5740</v>
      </c>
      <c r="G412" s="293" t="s">
        <v>5742</v>
      </c>
      <c r="H412" s="293" t="s">
        <v>5744</v>
      </c>
      <c r="I412" s="303"/>
      <c r="J412" s="303"/>
      <c r="K412" s="304" t="s">
        <v>3785</v>
      </c>
      <c r="L412" s="304"/>
      <c r="M412" s="303"/>
      <c r="N412" s="303"/>
      <c r="O412" s="303"/>
      <c r="P412" s="291"/>
      <c r="Q412" s="303" t="s">
        <v>307</v>
      </c>
      <c r="R412" s="303"/>
      <c r="S412" s="303"/>
      <c r="T412" s="303"/>
      <c r="U412" s="303"/>
      <c r="V412" s="303"/>
      <c r="W412" s="303"/>
      <c r="X412" s="303"/>
      <c r="Y412" s="303"/>
      <c r="Z412" s="303"/>
      <c r="AA412" s="303"/>
      <c r="AB412" s="303"/>
      <c r="AC412" s="303"/>
      <c r="AD412" s="292"/>
      <c r="AE412" s="292"/>
      <c r="AF412" s="292"/>
      <c r="AG412" s="292"/>
      <c r="AH412" s="292"/>
      <c r="AI412" s="292"/>
      <c r="AJ412" s="292"/>
      <c r="AK412" s="292"/>
      <c r="AL412" s="292"/>
      <c r="AM412" s="292"/>
      <c r="AN412" s="292"/>
      <c r="AO412" s="292"/>
      <c r="AP412" s="292"/>
      <c r="AQ412" s="292"/>
      <c r="AR412" s="292"/>
      <c r="AS412" s="292"/>
      <c r="AT412" s="292"/>
      <c r="AU412" s="292"/>
      <c r="AV412" s="292"/>
      <c r="AW412" s="292"/>
      <c r="AX412" s="292"/>
    </row>
    <row r="413" ht="15.75" customHeight="1">
      <c r="A413" s="258" t="s">
        <v>247</v>
      </c>
      <c r="B413" s="259" t="s">
        <v>3042</v>
      </c>
      <c r="C413" s="190" t="s">
        <v>3048</v>
      </c>
      <c r="D413" s="190" t="s">
        <v>3049</v>
      </c>
      <c r="E413" s="190" t="s">
        <v>3050</v>
      </c>
      <c r="F413" s="190" t="s">
        <v>5740</v>
      </c>
      <c r="G413" s="293" t="s">
        <v>5742</v>
      </c>
      <c r="H413" s="293" t="s">
        <v>5744</v>
      </c>
      <c r="I413" s="303"/>
      <c r="J413" s="303"/>
      <c r="K413" s="304" t="s">
        <v>3785</v>
      </c>
      <c r="L413" s="304"/>
      <c r="M413" s="303"/>
      <c r="N413" s="303"/>
      <c r="O413" s="303"/>
      <c r="P413" s="291"/>
      <c r="Q413" s="303" t="s">
        <v>307</v>
      </c>
      <c r="R413" s="303"/>
      <c r="S413" s="303"/>
      <c r="T413" s="303"/>
      <c r="U413" s="303"/>
      <c r="V413" s="303"/>
      <c r="W413" s="303"/>
      <c r="X413" s="303"/>
      <c r="Y413" s="303"/>
      <c r="Z413" s="303"/>
      <c r="AA413" s="303"/>
      <c r="AB413" s="303"/>
      <c r="AC413" s="303"/>
      <c r="AD413" s="292"/>
      <c r="AE413" s="292"/>
      <c r="AF413" s="292"/>
      <c r="AG413" s="292"/>
      <c r="AH413" s="292"/>
      <c r="AI413" s="292"/>
      <c r="AJ413" s="292"/>
      <c r="AK413" s="292"/>
      <c r="AL413" s="292"/>
      <c r="AM413" s="292"/>
      <c r="AN413" s="292"/>
      <c r="AO413" s="292"/>
      <c r="AP413" s="292"/>
      <c r="AQ413" s="292"/>
      <c r="AR413" s="292"/>
      <c r="AS413" s="292"/>
      <c r="AT413" s="292"/>
      <c r="AU413" s="292"/>
      <c r="AV413" s="292"/>
      <c r="AW413" s="292"/>
      <c r="AX413" s="292"/>
    </row>
    <row r="414" ht="15.75" customHeight="1">
      <c r="A414" s="199" t="s">
        <v>1060</v>
      </c>
      <c r="B414" s="147" t="s">
        <v>3051</v>
      </c>
      <c r="C414" s="190" t="s">
        <v>3056</v>
      </c>
      <c r="D414" s="190" t="s">
        <v>3057</v>
      </c>
      <c r="E414" s="190" t="s">
        <v>3058</v>
      </c>
      <c r="F414" s="190"/>
      <c r="G414" s="293"/>
      <c r="H414" s="293"/>
      <c r="I414" s="145"/>
      <c r="J414" s="146"/>
      <c r="K414" s="145"/>
      <c r="L414" s="145"/>
      <c r="M414" s="145"/>
      <c r="N414" s="145"/>
      <c r="O414" s="145"/>
      <c r="P414" s="291"/>
      <c r="Q414" s="145" t="s">
        <v>307</v>
      </c>
      <c r="R414" s="145"/>
      <c r="S414" s="145"/>
      <c r="T414" s="145"/>
      <c r="U414" s="145"/>
      <c r="V414" s="145"/>
      <c r="W414" s="145"/>
      <c r="X414" s="145"/>
      <c r="Y414" s="145"/>
      <c r="Z414" s="145"/>
      <c r="AA414" s="145"/>
      <c r="AB414" s="145"/>
      <c r="AC414" s="145"/>
      <c r="AD414" s="292"/>
      <c r="AE414" s="292"/>
      <c r="AF414" s="292"/>
      <c r="AG414" s="292"/>
      <c r="AH414" s="292"/>
      <c r="AI414" s="292"/>
      <c r="AJ414" s="292"/>
      <c r="AK414" s="292"/>
      <c r="AL414" s="292"/>
      <c r="AM414" s="292"/>
      <c r="AN414" s="292"/>
      <c r="AO414" s="292"/>
      <c r="AP414" s="292"/>
      <c r="AQ414" s="292"/>
      <c r="AR414" s="292"/>
      <c r="AS414" s="292"/>
      <c r="AT414" s="292"/>
      <c r="AU414" s="292"/>
      <c r="AV414" s="292"/>
      <c r="AW414" s="292"/>
      <c r="AX414" s="292"/>
    </row>
    <row r="415" ht="15.75" customHeight="1">
      <c r="A415" s="199" t="s">
        <v>1060</v>
      </c>
      <c r="B415" s="147" t="s">
        <v>3059</v>
      </c>
      <c r="C415" s="190" t="s">
        <v>3064</v>
      </c>
      <c r="D415" s="190" t="s">
        <v>3065</v>
      </c>
      <c r="E415" s="190" t="s">
        <v>3066</v>
      </c>
      <c r="F415" s="190"/>
      <c r="G415" s="293"/>
      <c r="H415" s="293"/>
      <c r="I415" s="145"/>
      <c r="J415" s="146"/>
      <c r="K415" s="145"/>
      <c r="L415" s="145"/>
      <c r="M415" s="145"/>
      <c r="N415" s="145"/>
      <c r="O415" s="145"/>
      <c r="P415" s="291"/>
      <c r="Q415" s="145" t="s">
        <v>307</v>
      </c>
      <c r="R415" s="145"/>
      <c r="S415" s="145"/>
      <c r="T415" s="145"/>
      <c r="U415" s="145"/>
      <c r="V415" s="145"/>
      <c r="W415" s="145"/>
      <c r="X415" s="145"/>
      <c r="Y415" s="145"/>
      <c r="Z415" s="145"/>
      <c r="AA415" s="145"/>
      <c r="AB415" s="145"/>
      <c r="AC415" s="145"/>
      <c r="AD415" s="292"/>
      <c r="AE415" s="292"/>
      <c r="AF415" s="292"/>
      <c r="AG415" s="292"/>
      <c r="AH415" s="292"/>
      <c r="AI415" s="292"/>
      <c r="AJ415" s="292"/>
      <c r="AK415" s="292"/>
      <c r="AL415" s="292"/>
      <c r="AM415" s="292"/>
      <c r="AN415" s="292"/>
      <c r="AO415" s="292"/>
      <c r="AP415" s="292"/>
      <c r="AQ415" s="292"/>
      <c r="AR415" s="292"/>
      <c r="AS415" s="292"/>
      <c r="AT415" s="292"/>
      <c r="AU415" s="292"/>
      <c r="AV415" s="292"/>
      <c r="AW415" s="292"/>
      <c r="AX415" s="292"/>
    </row>
    <row r="416" ht="15.75" customHeight="1">
      <c r="A416" s="199" t="s">
        <v>1060</v>
      </c>
      <c r="B416" s="147" t="s">
        <v>3067</v>
      </c>
      <c r="C416" s="190" t="s">
        <v>3072</v>
      </c>
      <c r="D416" s="190" t="s">
        <v>3073</v>
      </c>
      <c r="E416" s="190" t="s">
        <v>3074</v>
      </c>
      <c r="F416" s="190"/>
      <c r="G416" s="293"/>
      <c r="H416" s="293"/>
      <c r="I416" s="145"/>
      <c r="J416" s="146"/>
      <c r="K416" s="145"/>
      <c r="L416" s="145"/>
      <c r="M416" s="145"/>
      <c r="N416" s="145"/>
      <c r="O416" s="145"/>
      <c r="P416" s="291"/>
      <c r="Q416" s="145" t="s">
        <v>307</v>
      </c>
      <c r="R416" s="145"/>
      <c r="S416" s="145"/>
      <c r="T416" s="145"/>
      <c r="U416" s="145"/>
      <c r="V416" s="145"/>
      <c r="W416" s="145"/>
      <c r="X416" s="145"/>
      <c r="Y416" s="145"/>
      <c r="Z416" s="145"/>
      <c r="AA416" s="145"/>
      <c r="AB416" s="145"/>
      <c r="AC416" s="145"/>
      <c r="AD416" s="292"/>
      <c r="AE416" s="292"/>
      <c r="AF416" s="292"/>
      <c r="AG416" s="292"/>
      <c r="AH416" s="292"/>
      <c r="AI416" s="292"/>
      <c r="AJ416" s="292"/>
      <c r="AK416" s="292"/>
      <c r="AL416" s="292"/>
      <c r="AM416" s="292"/>
      <c r="AN416" s="292"/>
      <c r="AO416" s="292"/>
      <c r="AP416" s="292"/>
      <c r="AQ416" s="292"/>
      <c r="AR416" s="292"/>
      <c r="AS416" s="292"/>
      <c r="AT416" s="292"/>
      <c r="AU416" s="292"/>
      <c r="AV416" s="292"/>
      <c r="AW416" s="292"/>
      <c r="AX416" s="292"/>
    </row>
    <row r="417" ht="15.75" customHeight="1">
      <c r="A417" s="199" t="s">
        <v>1060</v>
      </c>
      <c r="B417" s="147" t="s">
        <v>3075</v>
      </c>
      <c r="C417" s="190" t="s">
        <v>3079</v>
      </c>
      <c r="D417" s="190" t="s">
        <v>3080</v>
      </c>
      <c r="E417" s="190" t="s">
        <v>3081</v>
      </c>
      <c r="F417" s="190"/>
      <c r="G417" s="293"/>
      <c r="H417" s="293"/>
      <c r="I417" s="145"/>
      <c r="J417" s="146"/>
      <c r="K417" s="145"/>
      <c r="L417" s="145"/>
      <c r="M417" s="145"/>
      <c r="N417" s="145"/>
      <c r="O417" s="145"/>
      <c r="P417" s="291"/>
      <c r="Q417" s="145" t="s">
        <v>307</v>
      </c>
      <c r="R417" s="145"/>
      <c r="S417" s="145"/>
      <c r="T417" s="145"/>
      <c r="U417" s="145"/>
      <c r="V417" s="145"/>
      <c r="W417" s="145"/>
      <c r="X417" s="145"/>
      <c r="Y417" s="145"/>
      <c r="Z417" s="145"/>
      <c r="AA417" s="145"/>
      <c r="AB417" s="145"/>
      <c r="AC417" s="145"/>
      <c r="AD417" s="292"/>
      <c r="AE417" s="292"/>
      <c r="AF417" s="292"/>
      <c r="AG417" s="292"/>
      <c r="AH417" s="292"/>
      <c r="AI417" s="292"/>
      <c r="AJ417" s="292"/>
      <c r="AK417" s="292"/>
      <c r="AL417" s="292"/>
      <c r="AM417" s="292"/>
      <c r="AN417" s="292"/>
      <c r="AO417" s="292"/>
      <c r="AP417" s="292"/>
      <c r="AQ417" s="292"/>
      <c r="AR417" s="292"/>
      <c r="AS417" s="292"/>
      <c r="AT417" s="292"/>
      <c r="AU417" s="292"/>
      <c r="AV417" s="292"/>
      <c r="AW417" s="292"/>
      <c r="AX417" s="292"/>
    </row>
    <row r="418" ht="15.75" customHeight="1">
      <c r="A418" s="199" t="s">
        <v>3082</v>
      </c>
      <c r="B418" s="147" t="s">
        <v>3083</v>
      </c>
      <c r="C418" s="190" t="s">
        <v>3088</v>
      </c>
      <c r="D418" s="190" t="s">
        <v>3089</v>
      </c>
      <c r="E418" s="190" t="s">
        <v>3090</v>
      </c>
      <c r="F418" s="190"/>
      <c r="G418" s="293"/>
      <c r="H418" s="293"/>
      <c r="I418" s="145"/>
      <c r="J418" s="146"/>
      <c r="K418" s="145"/>
      <c r="L418" s="145"/>
      <c r="M418" s="145"/>
      <c r="N418" s="145"/>
      <c r="O418" s="145"/>
      <c r="P418" s="291"/>
      <c r="Q418" s="145" t="s">
        <v>307</v>
      </c>
      <c r="R418" s="145"/>
      <c r="S418" s="145"/>
      <c r="T418" s="145"/>
      <c r="U418" s="145"/>
      <c r="V418" s="145"/>
      <c r="W418" s="145"/>
      <c r="X418" s="145"/>
      <c r="Y418" s="145"/>
      <c r="Z418" s="145"/>
      <c r="AA418" s="145"/>
      <c r="AB418" s="145"/>
      <c r="AC418" s="145"/>
      <c r="AD418" s="292"/>
      <c r="AE418" s="292"/>
      <c r="AF418" s="292"/>
      <c r="AG418" s="292"/>
      <c r="AH418" s="292"/>
      <c r="AI418" s="292"/>
      <c r="AJ418" s="292"/>
      <c r="AK418" s="292"/>
      <c r="AL418" s="292"/>
      <c r="AM418" s="292"/>
      <c r="AN418" s="292"/>
      <c r="AO418" s="292"/>
      <c r="AP418" s="292"/>
      <c r="AQ418" s="292"/>
      <c r="AR418" s="292"/>
      <c r="AS418" s="292"/>
      <c r="AT418" s="292"/>
      <c r="AU418" s="292"/>
      <c r="AV418" s="292"/>
      <c r="AW418" s="292"/>
      <c r="AX418" s="292"/>
    </row>
    <row r="419" ht="15.75" customHeight="1">
      <c r="A419" s="199" t="s">
        <v>3091</v>
      </c>
      <c r="B419" s="147" t="s">
        <v>3092</v>
      </c>
      <c r="C419" s="190" t="s">
        <v>3096</v>
      </c>
      <c r="D419" s="190" t="s">
        <v>3097</v>
      </c>
      <c r="E419" s="190" t="s">
        <v>3098</v>
      </c>
      <c r="F419" s="190" t="s">
        <v>5841</v>
      </c>
      <c r="G419" s="293" t="s">
        <v>5844</v>
      </c>
      <c r="H419" s="293" t="s">
        <v>5845</v>
      </c>
      <c r="I419" s="145"/>
      <c r="J419" s="146"/>
      <c r="K419" s="145"/>
      <c r="L419" s="145"/>
      <c r="M419" s="145"/>
      <c r="N419" s="145"/>
      <c r="O419" s="145"/>
      <c r="P419" s="291"/>
      <c r="Q419" s="145" t="s">
        <v>307</v>
      </c>
      <c r="R419" s="145"/>
      <c r="S419" s="145"/>
      <c r="T419" s="145"/>
      <c r="U419" s="145"/>
      <c r="V419" s="145"/>
      <c r="W419" s="145"/>
      <c r="X419" s="145"/>
      <c r="Y419" s="145"/>
      <c r="Z419" s="145"/>
      <c r="AA419" s="145"/>
      <c r="AB419" s="145"/>
      <c r="AC419" s="145"/>
      <c r="AD419" s="292"/>
      <c r="AE419" s="292"/>
      <c r="AF419" s="292"/>
      <c r="AG419" s="292"/>
      <c r="AH419" s="292"/>
      <c r="AI419" s="292"/>
      <c r="AJ419" s="292"/>
      <c r="AK419" s="292"/>
      <c r="AL419" s="292"/>
      <c r="AM419" s="292"/>
      <c r="AN419" s="292"/>
      <c r="AO419" s="292"/>
      <c r="AP419" s="292"/>
      <c r="AQ419" s="292"/>
      <c r="AR419" s="292"/>
      <c r="AS419" s="292"/>
      <c r="AT419" s="292"/>
      <c r="AU419" s="292"/>
      <c r="AV419" s="292"/>
      <c r="AW419" s="292"/>
      <c r="AX419" s="292"/>
    </row>
    <row r="420" ht="15.75" customHeight="1">
      <c r="A420" s="199" t="s">
        <v>3091</v>
      </c>
      <c r="B420" s="147" t="s">
        <v>3099</v>
      </c>
      <c r="C420" s="190" t="s">
        <v>3105</v>
      </c>
      <c r="D420" s="190" t="s">
        <v>3106</v>
      </c>
      <c r="E420" s="190" t="s">
        <v>3107</v>
      </c>
      <c r="F420" s="190" t="s">
        <v>5841</v>
      </c>
      <c r="G420" s="293" t="s">
        <v>5844</v>
      </c>
      <c r="H420" s="293" t="s">
        <v>5845</v>
      </c>
      <c r="I420" s="145"/>
      <c r="J420" s="146"/>
      <c r="K420" s="145"/>
      <c r="L420" s="145"/>
      <c r="M420" s="145"/>
      <c r="N420" s="145"/>
      <c r="O420" s="145"/>
      <c r="P420" s="291"/>
      <c r="Q420" s="145" t="s">
        <v>307</v>
      </c>
      <c r="R420" s="145"/>
      <c r="S420" s="145"/>
      <c r="T420" s="145"/>
      <c r="U420" s="145"/>
      <c r="V420" s="145"/>
      <c r="W420" s="145"/>
      <c r="X420" s="145"/>
      <c r="Y420" s="145"/>
      <c r="Z420" s="145"/>
      <c r="AA420" s="145"/>
      <c r="AB420" s="145"/>
      <c r="AC420" s="145"/>
      <c r="AD420" s="292"/>
      <c r="AE420" s="292"/>
      <c r="AF420" s="292"/>
      <c r="AG420" s="292"/>
      <c r="AH420" s="292"/>
      <c r="AI420" s="292"/>
      <c r="AJ420" s="292"/>
      <c r="AK420" s="292"/>
      <c r="AL420" s="292"/>
      <c r="AM420" s="292"/>
      <c r="AN420" s="292"/>
      <c r="AO420" s="292"/>
      <c r="AP420" s="292"/>
      <c r="AQ420" s="292"/>
      <c r="AR420" s="292"/>
      <c r="AS420" s="292"/>
      <c r="AT420" s="292"/>
      <c r="AU420" s="292"/>
      <c r="AV420" s="292"/>
      <c r="AW420" s="292"/>
      <c r="AX420" s="292"/>
    </row>
    <row r="421" ht="15.75" customHeight="1">
      <c r="A421" s="210" t="s">
        <v>256</v>
      </c>
      <c r="B421" s="210" t="s">
        <v>3108</v>
      </c>
      <c r="C421" s="190"/>
      <c r="D421" s="190"/>
      <c r="E421" s="190"/>
      <c r="F421" s="190"/>
      <c r="G421" s="141"/>
      <c r="H421" s="141"/>
      <c r="I421" s="141"/>
      <c r="J421" s="142"/>
      <c r="K421" s="141"/>
      <c r="L421" s="141"/>
      <c r="M421" s="142"/>
      <c r="N421" s="142"/>
      <c r="O421" s="142"/>
      <c r="P421" s="291"/>
      <c r="Q421" s="141"/>
      <c r="R421" s="141"/>
      <c r="S421" s="141"/>
      <c r="T421" s="335" t="s">
        <v>260</v>
      </c>
      <c r="U421" s="141"/>
      <c r="V421" s="141"/>
      <c r="W421" s="141"/>
      <c r="X421" s="141"/>
      <c r="Y421" s="141"/>
      <c r="Z421" s="141"/>
      <c r="AA421" s="141"/>
      <c r="AB421" s="141"/>
      <c r="AC421" s="141"/>
      <c r="AD421" s="292"/>
      <c r="AE421" s="292"/>
      <c r="AF421" s="292"/>
      <c r="AG421" s="292"/>
      <c r="AH421" s="292"/>
      <c r="AI421" s="292"/>
      <c r="AJ421" s="292"/>
      <c r="AK421" s="292"/>
      <c r="AL421" s="292"/>
      <c r="AM421" s="292"/>
      <c r="AN421" s="292"/>
      <c r="AO421" s="292"/>
      <c r="AP421" s="292"/>
      <c r="AQ421" s="292"/>
      <c r="AR421" s="292"/>
      <c r="AS421" s="292"/>
      <c r="AT421" s="292"/>
      <c r="AU421" s="292"/>
      <c r="AV421" s="292"/>
      <c r="AW421" s="292"/>
      <c r="AX421" s="292"/>
    </row>
    <row r="422" ht="15.75" customHeight="1">
      <c r="A422" s="221" t="s">
        <v>112</v>
      </c>
      <c r="B422" s="261" t="s">
        <v>3112</v>
      </c>
      <c r="C422" s="190"/>
      <c r="D422" s="190"/>
      <c r="E422" s="190"/>
      <c r="F422" s="190"/>
      <c r="G422" s="141"/>
      <c r="H422" s="141"/>
      <c r="I422" s="141"/>
      <c r="J422" s="141"/>
      <c r="K422" s="141"/>
      <c r="L422" s="141"/>
      <c r="M422" s="141"/>
      <c r="N422" s="141"/>
      <c r="O422" s="141"/>
      <c r="P422" s="291"/>
      <c r="Q422" s="141"/>
      <c r="R422" s="141"/>
      <c r="S422" s="141"/>
      <c r="T422" s="296" t="s">
        <v>5896</v>
      </c>
      <c r="U422" s="141"/>
      <c r="V422" s="141"/>
      <c r="W422" s="141"/>
      <c r="X422" s="141"/>
      <c r="Y422" s="141"/>
      <c r="Z422" s="141"/>
      <c r="AA422" s="141"/>
      <c r="AB422" s="141"/>
      <c r="AC422" s="141"/>
      <c r="AD422" s="292"/>
      <c r="AE422" s="292"/>
      <c r="AF422" s="292"/>
      <c r="AG422" s="292"/>
      <c r="AH422" s="292"/>
      <c r="AI422" s="292"/>
      <c r="AJ422" s="292"/>
      <c r="AK422" s="292"/>
      <c r="AL422" s="292"/>
      <c r="AM422" s="292"/>
      <c r="AN422" s="292"/>
      <c r="AO422" s="292"/>
      <c r="AP422" s="292"/>
      <c r="AQ422" s="292"/>
      <c r="AR422" s="292"/>
      <c r="AS422" s="292"/>
      <c r="AT422" s="292"/>
      <c r="AU422" s="292"/>
      <c r="AV422" s="292"/>
      <c r="AW422" s="292"/>
      <c r="AX422" s="292"/>
    </row>
    <row r="423" ht="15.75" customHeight="1">
      <c r="A423" s="255" t="s">
        <v>331</v>
      </c>
      <c r="B423" s="152" t="s">
        <v>2997</v>
      </c>
      <c r="C423" s="190" t="s">
        <v>2998</v>
      </c>
      <c r="D423" s="190"/>
      <c r="E423" s="190"/>
      <c r="F423" s="190"/>
      <c r="G423" s="141"/>
      <c r="H423" s="141"/>
      <c r="I423" s="141"/>
      <c r="J423" s="141"/>
      <c r="K423" s="141"/>
      <c r="L423" s="141"/>
      <c r="M423" s="141"/>
      <c r="N423" s="141"/>
      <c r="O423" s="141"/>
      <c r="P423" s="291"/>
      <c r="Q423" s="141"/>
      <c r="R423" s="141"/>
      <c r="S423" s="141"/>
      <c r="T423" s="141"/>
      <c r="U423" s="141"/>
      <c r="V423" s="141"/>
      <c r="W423" s="141"/>
      <c r="X423" s="141"/>
      <c r="Y423" s="141"/>
      <c r="Z423" s="141"/>
      <c r="AA423" s="141"/>
      <c r="AB423" s="141"/>
      <c r="AC423" s="141"/>
      <c r="AD423" s="292"/>
      <c r="AE423" s="292"/>
      <c r="AF423" s="292"/>
      <c r="AG423" s="292"/>
      <c r="AH423" s="292"/>
      <c r="AI423" s="292"/>
      <c r="AJ423" s="292"/>
      <c r="AK423" s="292"/>
      <c r="AL423" s="292"/>
      <c r="AM423" s="292"/>
      <c r="AN423" s="292"/>
      <c r="AO423" s="292"/>
      <c r="AP423" s="292"/>
      <c r="AQ423" s="292"/>
      <c r="AR423" s="292"/>
      <c r="AS423" s="292"/>
      <c r="AT423" s="292"/>
      <c r="AU423" s="292"/>
      <c r="AV423" s="292"/>
      <c r="AW423" s="292"/>
      <c r="AX423" s="292"/>
    </row>
    <row r="424" ht="15.75" customHeight="1">
      <c r="A424" s="255" t="s">
        <v>331</v>
      </c>
      <c r="B424" s="152" t="s">
        <v>1713</v>
      </c>
      <c r="C424" s="190" t="s">
        <v>1714</v>
      </c>
      <c r="D424" s="190"/>
      <c r="E424" s="190"/>
      <c r="F424" s="190"/>
      <c r="G424" s="141"/>
      <c r="H424" s="141"/>
      <c r="I424" s="141"/>
      <c r="J424" s="141"/>
      <c r="K424" s="141"/>
      <c r="L424" s="141"/>
      <c r="M424" s="141"/>
      <c r="N424" s="141"/>
      <c r="O424" s="141"/>
      <c r="P424" s="291"/>
      <c r="Q424" s="141"/>
      <c r="R424" s="141"/>
      <c r="S424" s="141"/>
      <c r="T424" s="141"/>
      <c r="U424" s="141"/>
      <c r="V424" s="141"/>
      <c r="W424" s="141"/>
      <c r="X424" s="141"/>
      <c r="Y424" s="141"/>
      <c r="Z424" s="141"/>
      <c r="AA424" s="141"/>
      <c r="AB424" s="141"/>
      <c r="AC424" s="141"/>
      <c r="AD424" s="292"/>
      <c r="AE424" s="292"/>
      <c r="AF424" s="292"/>
      <c r="AG424" s="292"/>
      <c r="AH424" s="292"/>
      <c r="AI424" s="292"/>
      <c r="AJ424" s="292"/>
      <c r="AK424" s="292"/>
      <c r="AL424" s="292"/>
      <c r="AM424" s="292"/>
      <c r="AN424" s="292"/>
      <c r="AO424" s="292"/>
      <c r="AP424" s="292"/>
      <c r="AQ424" s="292"/>
      <c r="AR424" s="292"/>
      <c r="AS424" s="292"/>
      <c r="AT424" s="292"/>
      <c r="AU424" s="292"/>
      <c r="AV424" s="292"/>
      <c r="AW424" s="292"/>
      <c r="AX424" s="292"/>
    </row>
    <row r="425" ht="15.75" customHeight="1">
      <c r="A425" s="197" t="s">
        <v>256</v>
      </c>
      <c r="B425" s="225" t="s">
        <v>3121</v>
      </c>
      <c r="C425" s="190"/>
      <c r="D425" s="190"/>
      <c r="E425" s="190"/>
      <c r="F425" s="190"/>
      <c r="G425" s="348"/>
      <c r="H425" s="348"/>
      <c r="I425" s="348"/>
      <c r="J425" s="348"/>
      <c r="K425" s="348"/>
      <c r="L425" s="348"/>
      <c r="M425" s="348"/>
      <c r="N425" s="348"/>
      <c r="O425" s="348"/>
      <c r="P425" s="291"/>
      <c r="Q425" s="348"/>
      <c r="R425" s="348"/>
      <c r="S425" s="348"/>
      <c r="T425" s="335" t="s">
        <v>260</v>
      </c>
      <c r="U425" s="348"/>
      <c r="V425" s="348"/>
      <c r="W425" s="348"/>
      <c r="X425" s="348"/>
      <c r="Y425" s="348"/>
      <c r="Z425" s="348"/>
      <c r="AA425" s="348"/>
      <c r="AB425" s="348"/>
      <c r="AC425" s="348"/>
      <c r="AD425" s="349"/>
      <c r="AE425" s="349"/>
      <c r="AF425" s="349"/>
      <c r="AG425" s="349"/>
      <c r="AH425" s="349"/>
      <c r="AI425" s="349"/>
      <c r="AJ425" s="349"/>
      <c r="AK425" s="349"/>
      <c r="AL425" s="349"/>
      <c r="AM425" s="349"/>
      <c r="AN425" s="349"/>
      <c r="AO425" s="349"/>
      <c r="AP425" s="349"/>
      <c r="AQ425" s="349"/>
      <c r="AR425" s="349"/>
      <c r="AS425" s="349"/>
      <c r="AT425" s="349"/>
      <c r="AU425" s="349"/>
      <c r="AV425" s="349"/>
      <c r="AW425" s="349"/>
      <c r="AX425" s="349"/>
    </row>
    <row r="426" ht="15.75" customHeight="1">
      <c r="A426" s="221" t="s">
        <v>112</v>
      </c>
      <c r="B426" s="296" t="s">
        <v>3126</v>
      </c>
      <c r="C426" s="190"/>
      <c r="D426" s="190"/>
      <c r="E426" s="190"/>
      <c r="F426" s="190"/>
      <c r="G426" s="348"/>
      <c r="H426" s="348"/>
      <c r="I426" s="348"/>
      <c r="J426" s="348"/>
      <c r="K426" s="348"/>
      <c r="L426" s="348"/>
      <c r="M426" s="348"/>
      <c r="N426" s="348"/>
      <c r="O426" s="308"/>
      <c r="P426" s="291"/>
      <c r="Q426" s="348"/>
      <c r="R426" s="348"/>
      <c r="S426" s="348"/>
      <c r="T426" s="296" t="s">
        <v>5931</v>
      </c>
      <c r="U426" s="348"/>
      <c r="V426" s="348"/>
      <c r="W426" s="348"/>
      <c r="X426" s="348"/>
      <c r="Y426" s="348"/>
      <c r="Z426" s="348"/>
      <c r="AA426" s="348"/>
      <c r="AB426" s="348"/>
      <c r="AC426" s="348"/>
      <c r="AD426" s="349"/>
      <c r="AE426" s="349"/>
      <c r="AF426" s="349"/>
      <c r="AG426" s="349"/>
      <c r="AH426" s="349"/>
      <c r="AI426" s="349"/>
      <c r="AJ426" s="349"/>
      <c r="AK426" s="349"/>
      <c r="AL426" s="349"/>
      <c r="AM426" s="349"/>
      <c r="AN426" s="349"/>
      <c r="AO426" s="349"/>
      <c r="AP426" s="349"/>
      <c r="AQ426" s="349"/>
      <c r="AR426" s="349"/>
      <c r="AS426" s="349"/>
      <c r="AT426" s="349"/>
      <c r="AU426" s="349"/>
      <c r="AV426" s="349"/>
      <c r="AW426" s="349"/>
      <c r="AX426" s="349"/>
    </row>
    <row r="427" ht="15.75" customHeight="1">
      <c r="A427" s="262"/>
      <c r="B427" s="263"/>
      <c r="C427" s="190"/>
      <c r="D427" s="190"/>
      <c r="E427" s="190"/>
      <c r="F427" s="190"/>
      <c r="G427" s="292"/>
      <c r="H427" s="292"/>
      <c r="I427" s="292"/>
      <c r="J427" s="292"/>
      <c r="K427" s="292"/>
      <c r="L427" s="292"/>
      <c r="M427" s="292"/>
      <c r="N427" s="292"/>
      <c r="O427" s="292"/>
      <c r="P427" s="291"/>
      <c r="Q427" s="292"/>
      <c r="R427" s="292"/>
      <c r="S427" s="292"/>
      <c r="T427" s="292"/>
      <c r="U427" s="292"/>
      <c r="V427" s="292"/>
      <c r="W427" s="292"/>
      <c r="X427" s="292"/>
      <c r="Y427" s="292"/>
      <c r="Z427" s="292"/>
      <c r="AA427" s="292"/>
      <c r="AB427" s="292"/>
      <c r="AC427" s="292"/>
      <c r="AD427" s="292"/>
      <c r="AE427" s="292"/>
      <c r="AF427" s="292"/>
      <c r="AG427" s="292"/>
      <c r="AH427" s="292"/>
      <c r="AI427" s="292"/>
      <c r="AJ427" s="292"/>
      <c r="AK427" s="292"/>
      <c r="AL427" s="292"/>
      <c r="AM427" s="292"/>
      <c r="AN427" s="292"/>
      <c r="AO427" s="292"/>
      <c r="AP427" s="292"/>
      <c r="AQ427" s="292"/>
      <c r="AR427" s="292"/>
      <c r="AS427" s="292"/>
      <c r="AT427" s="292"/>
      <c r="AU427" s="292"/>
      <c r="AV427" s="292"/>
      <c r="AW427" s="292"/>
      <c r="AX427" s="292"/>
    </row>
    <row r="428" ht="15.75" customHeight="1">
      <c r="A428" s="194"/>
      <c r="B428" s="194"/>
      <c r="C428" s="190"/>
      <c r="D428" s="190"/>
      <c r="E428" s="190"/>
      <c r="F428" s="190"/>
      <c r="G428" s="189"/>
      <c r="H428" s="189"/>
      <c r="I428" s="189"/>
      <c r="J428" s="189"/>
      <c r="K428" s="189"/>
      <c r="L428" s="189"/>
      <c r="M428" s="189"/>
      <c r="N428" s="189"/>
      <c r="O428" s="194"/>
      <c r="P428" s="291"/>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c r="AL428" s="189"/>
      <c r="AM428" s="189"/>
      <c r="AN428" s="189"/>
      <c r="AO428" s="189"/>
      <c r="AP428" s="189"/>
      <c r="AQ428" s="189"/>
      <c r="AR428" s="189"/>
      <c r="AS428" s="189"/>
      <c r="AT428" s="189"/>
      <c r="AU428" s="189"/>
      <c r="AV428" s="189"/>
      <c r="AW428" s="189"/>
      <c r="AX428" s="189"/>
    </row>
    <row r="429" ht="15.75" customHeight="1">
      <c r="A429" s="221" t="s">
        <v>256</v>
      </c>
      <c r="B429" s="198" t="s">
        <v>5186</v>
      </c>
      <c r="C429" s="190"/>
      <c r="D429" s="190"/>
      <c r="E429" s="190"/>
      <c r="F429" s="190"/>
      <c r="G429" s="348"/>
      <c r="H429" s="348"/>
      <c r="I429" s="348"/>
      <c r="J429" s="348"/>
      <c r="K429" s="348"/>
      <c r="L429" s="348"/>
      <c r="M429" s="348"/>
      <c r="N429" s="348"/>
      <c r="O429" s="348"/>
      <c r="P429" s="291"/>
      <c r="Q429" s="348"/>
      <c r="R429" s="348"/>
      <c r="S429" s="348"/>
      <c r="T429" s="335" t="s">
        <v>260</v>
      </c>
      <c r="U429" s="348"/>
      <c r="V429" s="348"/>
      <c r="W429" s="348"/>
      <c r="X429" s="348"/>
      <c r="Y429" s="348"/>
      <c r="Z429" s="348"/>
      <c r="AA429" s="348"/>
      <c r="AB429" s="348"/>
      <c r="AC429" s="348"/>
      <c r="AD429" s="349"/>
      <c r="AE429" s="349"/>
      <c r="AF429" s="349"/>
      <c r="AG429" s="349"/>
      <c r="AH429" s="349"/>
      <c r="AI429" s="349"/>
      <c r="AJ429" s="349"/>
      <c r="AK429" s="349"/>
      <c r="AL429" s="349"/>
      <c r="AM429" s="349"/>
      <c r="AN429" s="349"/>
      <c r="AO429" s="349"/>
      <c r="AP429" s="349"/>
      <c r="AQ429" s="349"/>
      <c r="AR429" s="349"/>
      <c r="AS429" s="349"/>
      <c r="AT429" s="349"/>
      <c r="AU429" s="349"/>
      <c r="AV429" s="349"/>
      <c r="AW429" s="349"/>
      <c r="AX429" s="349"/>
    </row>
    <row r="430" ht="15.75" customHeight="1">
      <c r="A430" s="194" t="s">
        <v>278</v>
      </c>
      <c r="B430" s="194" t="s">
        <v>5187</v>
      </c>
      <c r="C430" s="190" t="s">
        <v>5188</v>
      </c>
      <c r="D430" s="190"/>
      <c r="E430" s="190"/>
      <c r="F430" s="190"/>
      <c r="G430" s="189"/>
      <c r="H430" s="189"/>
      <c r="I430" s="189"/>
      <c r="J430" s="189"/>
      <c r="K430" s="189"/>
      <c r="L430" s="189"/>
      <c r="M430" s="189"/>
      <c r="N430" s="319"/>
      <c r="O430" s="194" t="s">
        <v>5987</v>
      </c>
      <c r="P430" s="291"/>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c r="AL430" s="189"/>
      <c r="AM430" s="189"/>
      <c r="AN430" s="189"/>
      <c r="AO430" s="189"/>
      <c r="AP430" s="189"/>
      <c r="AQ430" s="189"/>
      <c r="AR430" s="189"/>
      <c r="AS430" s="189"/>
      <c r="AT430" s="189"/>
      <c r="AU430" s="189"/>
      <c r="AV430" s="189"/>
      <c r="AW430" s="189"/>
      <c r="AX430" s="189"/>
    </row>
    <row r="431" ht="15.75" customHeight="1">
      <c r="A431" s="297" t="s">
        <v>46</v>
      </c>
      <c r="B431" s="298" t="s">
        <v>5192</v>
      </c>
      <c r="C431" s="190" t="s">
        <v>5196</v>
      </c>
      <c r="D431" s="190" t="s">
        <v>5197</v>
      </c>
      <c r="E431" s="190" t="s">
        <v>5199</v>
      </c>
      <c r="F431" s="190"/>
      <c r="G431" s="293"/>
      <c r="H431" s="293"/>
      <c r="I431" s="351"/>
      <c r="J431" s="351"/>
      <c r="K431" s="351"/>
      <c r="L431" s="351"/>
      <c r="M431" s="351"/>
      <c r="N431" s="351"/>
      <c r="O431" s="351"/>
      <c r="P431" s="291"/>
      <c r="Q431" s="351"/>
      <c r="R431" s="351"/>
      <c r="S431" s="351"/>
      <c r="T431" s="351"/>
      <c r="U431" s="351"/>
      <c r="V431" s="351"/>
      <c r="W431" s="351"/>
      <c r="X431" s="351"/>
      <c r="Y431" s="351"/>
      <c r="Z431" s="351"/>
      <c r="AA431" s="351"/>
      <c r="AB431" s="351"/>
      <c r="AC431" s="351"/>
      <c r="AD431" s="349"/>
      <c r="AE431" s="349"/>
      <c r="AF431" s="349"/>
      <c r="AG431" s="349"/>
      <c r="AH431" s="349"/>
      <c r="AI431" s="349"/>
      <c r="AJ431" s="349"/>
      <c r="AK431" s="349"/>
      <c r="AL431" s="349"/>
      <c r="AM431" s="349"/>
      <c r="AN431" s="349"/>
      <c r="AO431" s="349"/>
      <c r="AP431" s="349"/>
      <c r="AQ431" s="349"/>
      <c r="AR431" s="349"/>
      <c r="AS431" s="349"/>
      <c r="AT431" s="349"/>
      <c r="AU431" s="349"/>
      <c r="AV431" s="349"/>
      <c r="AW431" s="349"/>
      <c r="AX431" s="349"/>
    </row>
    <row r="432">
      <c r="A432" s="319"/>
      <c r="B432" s="319"/>
      <c r="C432" s="190"/>
      <c r="D432" s="190"/>
      <c r="E432" s="190"/>
      <c r="F432" s="190"/>
      <c r="G432" s="319"/>
      <c r="H432" s="319"/>
      <c r="I432" s="319"/>
      <c r="J432" s="319"/>
      <c r="K432" s="319"/>
      <c r="L432" s="319"/>
      <c r="M432" s="319"/>
      <c r="N432" s="319"/>
      <c r="O432" s="319"/>
      <c r="P432" s="291"/>
      <c r="Q432" s="319"/>
      <c r="R432" s="319"/>
      <c r="S432" s="319"/>
      <c r="T432" s="319"/>
      <c r="U432" s="319"/>
      <c r="V432" s="319"/>
      <c r="W432" s="319"/>
      <c r="X432" s="319"/>
      <c r="Y432" s="319"/>
      <c r="Z432" s="319"/>
      <c r="AA432" s="319"/>
      <c r="AB432" s="319"/>
      <c r="AC432" s="319"/>
      <c r="AD432" s="319"/>
      <c r="AE432" s="319"/>
      <c r="AF432" s="319"/>
      <c r="AG432" s="319"/>
      <c r="AH432" s="319"/>
      <c r="AI432" s="319"/>
      <c r="AJ432" s="319"/>
      <c r="AK432" s="319"/>
      <c r="AL432" s="319"/>
      <c r="AM432" s="319"/>
      <c r="AN432" s="319"/>
      <c r="AO432" s="319"/>
      <c r="AP432" s="319"/>
      <c r="AQ432" s="319"/>
      <c r="AR432" s="319"/>
      <c r="AS432" s="319"/>
      <c r="AT432" s="319"/>
      <c r="AU432" s="319"/>
      <c r="AV432" s="319"/>
      <c r="AW432" s="319"/>
      <c r="AX432" s="319"/>
    </row>
    <row r="433" ht="15.75" customHeight="1">
      <c r="A433" s="221" t="s">
        <v>256</v>
      </c>
      <c r="B433" s="198" t="s">
        <v>5206</v>
      </c>
      <c r="C433" s="190"/>
      <c r="D433" s="190"/>
      <c r="E433" s="190"/>
      <c r="F433" s="190"/>
      <c r="G433" s="348"/>
      <c r="H433" s="348"/>
      <c r="I433" s="348"/>
      <c r="J433" s="348"/>
      <c r="K433" s="348"/>
      <c r="L433" s="348"/>
      <c r="M433" s="348"/>
      <c r="N433" s="348"/>
      <c r="O433" s="348"/>
      <c r="P433" s="291"/>
      <c r="Q433" s="348"/>
      <c r="R433" s="348"/>
      <c r="S433" s="348"/>
      <c r="T433" s="335" t="s">
        <v>260</v>
      </c>
      <c r="U433" s="348"/>
      <c r="V433" s="348"/>
      <c r="W433" s="348"/>
      <c r="X433" s="348"/>
      <c r="Y433" s="348"/>
      <c r="Z433" s="348"/>
      <c r="AA433" s="348"/>
      <c r="AB433" s="348"/>
      <c r="AC433" s="348"/>
      <c r="AD433" s="349"/>
      <c r="AE433" s="349"/>
      <c r="AF433" s="349"/>
      <c r="AG433" s="349"/>
      <c r="AH433" s="349"/>
      <c r="AI433" s="349"/>
      <c r="AJ433" s="349"/>
      <c r="AK433" s="349"/>
      <c r="AL433" s="349"/>
      <c r="AM433" s="349"/>
      <c r="AN433" s="349"/>
      <c r="AO433" s="349"/>
      <c r="AP433" s="349"/>
      <c r="AQ433" s="349"/>
      <c r="AR433" s="349"/>
      <c r="AS433" s="349"/>
      <c r="AT433" s="349"/>
      <c r="AU433" s="349"/>
      <c r="AV433" s="349"/>
      <c r="AW433" s="349"/>
      <c r="AX433" s="349"/>
    </row>
    <row r="434" ht="15.75" customHeight="1">
      <c r="A434" s="297" t="s">
        <v>46</v>
      </c>
      <c r="B434" s="298" t="s">
        <v>5210</v>
      </c>
      <c r="C434" s="190" t="s">
        <v>5217</v>
      </c>
      <c r="D434" s="190" t="s">
        <v>5218</v>
      </c>
      <c r="E434" s="190" t="s">
        <v>5219</v>
      </c>
      <c r="F434" s="190"/>
      <c r="G434" s="293"/>
      <c r="H434" s="293"/>
      <c r="I434" s="351"/>
      <c r="J434" s="351"/>
      <c r="K434" s="351"/>
      <c r="L434" s="351"/>
      <c r="M434" s="351"/>
      <c r="N434" s="351"/>
      <c r="O434" s="351"/>
      <c r="P434" s="291"/>
      <c r="Q434" s="351"/>
      <c r="R434" s="351"/>
      <c r="S434" s="351"/>
      <c r="T434" s="351"/>
      <c r="U434" s="351"/>
      <c r="V434" s="351"/>
      <c r="W434" s="351"/>
      <c r="X434" s="351"/>
      <c r="Y434" s="351"/>
      <c r="Z434" s="351"/>
      <c r="AA434" s="351"/>
      <c r="AB434" s="351"/>
      <c r="AC434" s="351"/>
      <c r="AD434" s="354"/>
      <c r="AE434" s="354"/>
      <c r="AF434" s="354"/>
      <c r="AG434" s="354"/>
      <c r="AH434" s="354"/>
      <c r="AI434" s="354"/>
      <c r="AJ434" s="354"/>
      <c r="AK434" s="354"/>
      <c r="AL434" s="354"/>
      <c r="AM434" s="354"/>
      <c r="AN434" s="354"/>
      <c r="AO434" s="349"/>
      <c r="AP434" s="349"/>
      <c r="AQ434" s="349"/>
      <c r="AR434" s="349"/>
      <c r="AS434" s="349"/>
      <c r="AT434" s="349"/>
      <c r="AU434" s="349"/>
      <c r="AV434" s="349"/>
      <c r="AW434" s="349"/>
      <c r="AX434" s="349"/>
    </row>
    <row r="435" ht="15.75" customHeight="1">
      <c r="A435" s="299" t="s">
        <v>1060</v>
      </c>
      <c r="B435" s="300" t="s">
        <v>5220</v>
      </c>
      <c r="C435" s="190" t="s">
        <v>5226</v>
      </c>
      <c r="D435" s="190" t="s">
        <v>5227</v>
      </c>
      <c r="E435" s="190" t="s">
        <v>5228</v>
      </c>
      <c r="F435" s="190"/>
      <c r="G435" s="293" t="s">
        <v>6055</v>
      </c>
      <c r="H435" s="293" t="s">
        <v>6056</v>
      </c>
      <c r="I435" s="291" t="s">
        <v>6056</v>
      </c>
      <c r="J435" s="355"/>
      <c r="K435" s="356"/>
      <c r="L435" s="356"/>
      <c r="M435" s="356"/>
      <c r="N435" s="356"/>
      <c r="O435" s="356"/>
      <c r="P435" s="291"/>
      <c r="Q435" s="291" t="s">
        <v>307</v>
      </c>
      <c r="R435" s="356"/>
      <c r="S435" s="356"/>
      <c r="T435" s="356"/>
      <c r="U435" s="356"/>
      <c r="V435" s="356"/>
      <c r="W435" s="356"/>
      <c r="X435" s="356"/>
      <c r="Y435" s="356"/>
      <c r="Z435" s="356"/>
      <c r="AA435" s="356"/>
      <c r="AB435" s="356"/>
      <c r="AC435" s="356"/>
      <c r="AD435" s="354"/>
      <c r="AE435" s="354"/>
      <c r="AF435" s="354"/>
      <c r="AG435" s="354"/>
      <c r="AH435" s="354"/>
      <c r="AI435" s="354"/>
      <c r="AJ435" s="354"/>
      <c r="AK435" s="354"/>
      <c r="AL435" s="354"/>
      <c r="AM435" s="354"/>
      <c r="AN435" s="354"/>
      <c r="AO435" s="349"/>
      <c r="AP435" s="349"/>
      <c r="AQ435" s="349"/>
      <c r="AR435" s="349"/>
      <c r="AS435" s="349"/>
      <c r="AT435" s="349"/>
      <c r="AU435" s="349"/>
      <c r="AV435" s="349"/>
      <c r="AW435" s="349"/>
      <c r="AX435" s="349"/>
    </row>
    <row r="436" ht="15.75" customHeight="1">
      <c r="A436" s="306" t="s">
        <v>247</v>
      </c>
      <c r="B436" s="307" t="s">
        <v>5229</v>
      </c>
      <c r="C436" s="190" t="s">
        <v>5236</v>
      </c>
      <c r="D436" s="190" t="s">
        <v>5237</v>
      </c>
      <c r="E436" s="190" t="s">
        <v>5238</v>
      </c>
      <c r="F436" s="190"/>
      <c r="G436" s="293"/>
      <c r="H436" s="293"/>
      <c r="I436" s="359"/>
      <c r="J436" s="359"/>
      <c r="K436" s="360" t="s">
        <v>3195</v>
      </c>
      <c r="L436" s="360" t="s">
        <v>6079</v>
      </c>
      <c r="M436" s="359"/>
      <c r="N436" s="359"/>
      <c r="O436" s="361" t="s">
        <v>6083</v>
      </c>
      <c r="P436" s="291"/>
      <c r="Q436" s="361" t="s">
        <v>307</v>
      </c>
      <c r="R436" s="359"/>
      <c r="S436" s="359"/>
      <c r="T436" s="359"/>
      <c r="U436" s="359"/>
      <c r="V436" s="359"/>
      <c r="W436" s="359"/>
      <c r="X436" s="359"/>
      <c r="Y436" s="359"/>
      <c r="Z436" s="359"/>
      <c r="AA436" s="359"/>
      <c r="AB436" s="359"/>
      <c r="AC436" s="359"/>
      <c r="AD436" s="354"/>
      <c r="AE436" s="354"/>
      <c r="AF436" s="354"/>
      <c r="AG436" s="354"/>
      <c r="AH436" s="354"/>
      <c r="AI436" s="354"/>
      <c r="AJ436" s="354"/>
      <c r="AK436" s="354"/>
      <c r="AL436" s="354"/>
      <c r="AM436" s="354"/>
      <c r="AN436" s="354"/>
      <c r="AO436" s="349"/>
      <c r="AP436" s="349"/>
      <c r="AQ436" s="349"/>
      <c r="AR436" s="349"/>
      <c r="AS436" s="349"/>
      <c r="AT436" s="349"/>
      <c r="AU436" s="349"/>
      <c r="AV436" s="349"/>
      <c r="AW436" s="349"/>
      <c r="AX436" s="349"/>
    </row>
    <row r="437">
      <c r="A437" s="319"/>
      <c r="B437" s="319"/>
      <c r="C437" s="190"/>
      <c r="D437" s="190"/>
      <c r="E437" s="190"/>
      <c r="F437" s="190"/>
      <c r="G437" s="319"/>
      <c r="H437" s="319"/>
      <c r="I437" s="319"/>
      <c r="J437" s="319"/>
      <c r="K437" s="319"/>
      <c r="L437" s="319"/>
      <c r="M437" s="319"/>
      <c r="N437" s="319"/>
      <c r="O437" s="319"/>
      <c r="P437" s="291"/>
      <c r="Q437" s="319"/>
      <c r="R437" s="319"/>
      <c r="S437" s="319"/>
      <c r="T437" s="319"/>
      <c r="U437" s="319"/>
      <c r="V437" s="319"/>
      <c r="W437" s="319"/>
      <c r="X437" s="319"/>
      <c r="Y437" s="319"/>
      <c r="Z437" s="319"/>
      <c r="AA437" s="319"/>
      <c r="AB437" s="319"/>
      <c r="AC437" s="319"/>
      <c r="AD437" s="319"/>
      <c r="AE437" s="319"/>
      <c r="AF437" s="319"/>
      <c r="AG437" s="319"/>
      <c r="AH437" s="319"/>
      <c r="AI437" s="319"/>
      <c r="AJ437" s="319"/>
      <c r="AK437" s="319"/>
      <c r="AL437" s="319"/>
      <c r="AM437" s="319"/>
      <c r="AN437" s="319"/>
      <c r="AO437" s="319"/>
      <c r="AP437" s="319"/>
      <c r="AQ437" s="319"/>
      <c r="AR437" s="319"/>
      <c r="AS437" s="319"/>
      <c r="AT437" s="319"/>
      <c r="AU437" s="319"/>
      <c r="AV437" s="319"/>
      <c r="AW437" s="319"/>
      <c r="AX437" s="319"/>
    </row>
    <row r="438" ht="15.75" customHeight="1">
      <c r="A438" s="305" t="s">
        <v>385</v>
      </c>
      <c r="B438" s="223" t="s">
        <v>5244</v>
      </c>
      <c r="C438" s="190" t="s">
        <v>5245</v>
      </c>
      <c r="D438" s="190"/>
      <c r="E438" s="190"/>
      <c r="F438" s="190"/>
      <c r="G438" s="362"/>
      <c r="H438" s="362"/>
      <c r="I438" s="362"/>
      <c r="J438" s="362"/>
      <c r="K438" s="362"/>
      <c r="L438" s="362"/>
      <c r="M438" s="363"/>
      <c r="N438" s="363"/>
      <c r="O438" s="364" t="s">
        <v>6083</v>
      </c>
      <c r="P438" s="291"/>
      <c r="Q438" s="362"/>
      <c r="R438" s="362"/>
      <c r="S438" s="362"/>
      <c r="T438" s="362"/>
      <c r="U438" s="223" t="s">
        <v>6136</v>
      </c>
      <c r="V438" s="362"/>
      <c r="W438" s="362"/>
      <c r="X438" s="362"/>
      <c r="Y438" s="362"/>
      <c r="Z438" s="362"/>
      <c r="AA438" s="362"/>
      <c r="AB438" s="362"/>
      <c r="AC438" s="362"/>
      <c r="AD438" s="354"/>
      <c r="AE438" s="354"/>
      <c r="AF438" s="354"/>
      <c r="AG438" s="354"/>
      <c r="AH438" s="354"/>
      <c r="AI438" s="354"/>
      <c r="AJ438" s="354"/>
      <c r="AK438" s="354"/>
      <c r="AL438" s="354"/>
      <c r="AM438" s="354"/>
      <c r="AN438" s="354"/>
      <c r="AO438" s="349"/>
      <c r="AP438" s="349"/>
      <c r="AQ438" s="349"/>
      <c r="AR438" s="349"/>
      <c r="AS438" s="349"/>
      <c r="AT438" s="349"/>
      <c r="AU438" s="349"/>
      <c r="AV438" s="349"/>
      <c r="AW438" s="349"/>
      <c r="AX438" s="349"/>
    </row>
    <row r="439" ht="15.75" customHeight="1">
      <c r="A439" s="221" t="s">
        <v>112</v>
      </c>
      <c r="B439" s="198" t="s">
        <v>5251</v>
      </c>
      <c r="C439" s="190" t="s">
        <v>5252</v>
      </c>
      <c r="D439" s="190"/>
      <c r="E439" s="190"/>
      <c r="F439" s="190"/>
      <c r="G439" s="348"/>
      <c r="H439" s="348"/>
      <c r="I439" s="348"/>
      <c r="J439" s="348"/>
      <c r="K439" s="348"/>
      <c r="L439" s="348"/>
      <c r="M439" s="348"/>
      <c r="N439" s="348"/>
      <c r="O439" s="348"/>
      <c r="P439" s="291"/>
      <c r="Q439" s="348"/>
      <c r="R439" s="348"/>
      <c r="S439" s="348"/>
      <c r="T439" s="335" t="s">
        <v>1581</v>
      </c>
      <c r="U439" s="348"/>
      <c r="V439" s="348"/>
      <c r="W439" s="348"/>
      <c r="X439" s="348"/>
      <c r="Y439" s="348"/>
      <c r="Z439" s="348"/>
      <c r="AA439" s="348"/>
      <c r="AB439" s="348"/>
      <c r="AC439" s="348"/>
      <c r="AD439" s="349"/>
      <c r="AE439" s="349"/>
      <c r="AF439" s="349"/>
      <c r="AG439" s="349"/>
      <c r="AH439" s="349"/>
      <c r="AI439" s="349"/>
      <c r="AJ439" s="349"/>
      <c r="AK439" s="349"/>
      <c r="AL439" s="354"/>
      <c r="AM439" s="354"/>
      <c r="AN439" s="354"/>
      <c r="AO439" s="349"/>
      <c r="AP439" s="349"/>
      <c r="AQ439" s="349"/>
      <c r="AR439" s="349"/>
      <c r="AS439" s="349"/>
      <c r="AT439" s="349"/>
      <c r="AU439" s="349"/>
      <c r="AV439" s="349"/>
      <c r="AW439" s="349"/>
      <c r="AX439" s="349"/>
    </row>
    <row r="440" ht="15.75" customHeight="1">
      <c r="A440" s="221" t="s">
        <v>112</v>
      </c>
      <c r="B440" s="198" t="s">
        <v>5254</v>
      </c>
      <c r="C440" s="190"/>
      <c r="D440" s="190"/>
      <c r="E440" s="190"/>
      <c r="F440" s="190"/>
      <c r="G440" s="348"/>
      <c r="H440" s="348"/>
      <c r="I440" s="348"/>
      <c r="J440" s="348"/>
      <c r="K440" s="348"/>
      <c r="L440" s="348"/>
      <c r="M440" s="348"/>
      <c r="N440" s="348"/>
      <c r="O440" s="348"/>
      <c r="P440" s="291"/>
      <c r="Q440" s="348"/>
      <c r="R440" s="348"/>
      <c r="S440" s="348"/>
      <c r="T440" s="335" t="s">
        <v>6164</v>
      </c>
      <c r="U440" s="348"/>
      <c r="V440" s="348"/>
      <c r="W440" s="348"/>
      <c r="X440" s="348"/>
      <c r="Y440" s="348"/>
      <c r="Z440" s="348"/>
      <c r="AA440" s="348"/>
      <c r="AB440" s="348"/>
      <c r="AC440" s="348"/>
      <c r="AD440" s="349"/>
      <c r="AE440" s="349"/>
      <c r="AF440" s="349"/>
      <c r="AG440" s="349"/>
      <c r="AH440" s="349"/>
      <c r="AI440" s="349"/>
      <c r="AJ440" s="349"/>
      <c r="AK440" s="349"/>
      <c r="AL440" s="354"/>
      <c r="AM440" s="354"/>
      <c r="AN440" s="354"/>
      <c r="AO440" s="349"/>
      <c r="AP440" s="349"/>
      <c r="AQ440" s="349"/>
      <c r="AR440" s="349"/>
      <c r="AS440" s="349"/>
      <c r="AT440" s="349"/>
      <c r="AU440" s="349"/>
      <c r="AV440" s="349"/>
      <c r="AW440" s="349"/>
      <c r="AX440" s="349"/>
    </row>
    <row r="441" ht="15.75" customHeight="1">
      <c r="A441" s="221" t="s">
        <v>112</v>
      </c>
      <c r="B441" s="198" t="s">
        <v>5260</v>
      </c>
      <c r="C441" s="190"/>
      <c r="D441" s="190"/>
      <c r="E441" s="190"/>
      <c r="F441" s="190"/>
      <c r="G441" s="348"/>
      <c r="H441" s="348"/>
      <c r="I441" s="348"/>
      <c r="J441" s="348"/>
      <c r="K441" s="348"/>
      <c r="L441" s="348"/>
      <c r="M441" s="348"/>
      <c r="N441" s="348"/>
      <c r="O441" s="348"/>
      <c r="P441" s="291"/>
      <c r="Q441" s="348"/>
      <c r="R441" s="348"/>
      <c r="S441" s="348"/>
      <c r="T441" s="335" t="s">
        <v>6176</v>
      </c>
      <c r="U441" s="348"/>
      <c r="V441" s="348"/>
      <c r="W441" s="348"/>
      <c r="X441" s="348"/>
      <c r="Y441" s="348"/>
      <c r="Z441" s="348"/>
      <c r="AA441" s="348"/>
      <c r="AB441" s="348"/>
      <c r="AC441" s="348"/>
      <c r="AD441" s="349"/>
      <c r="AE441" s="349"/>
      <c r="AF441" s="349"/>
      <c r="AG441" s="349"/>
      <c r="AH441" s="349"/>
      <c r="AI441" s="349"/>
      <c r="AJ441" s="349"/>
      <c r="AK441" s="349"/>
      <c r="AL441" s="354"/>
      <c r="AM441" s="354"/>
      <c r="AN441" s="354"/>
      <c r="AO441" s="349"/>
      <c r="AP441" s="349"/>
      <c r="AQ441" s="349"/>
      <c r="AR441" s="349"/>
      <c r="AS441" s="349"/>
      <c r="AT441" s="349"/>
      <c r="AU441" s="349"/>
      <c r="AV441" s="349"/>
      <c r="AW441" s="349"/>
      <c r="AX441" s="349"/>
    </row>
    <row r="442" ht="15.75" customHeight="1">
      <c r="A442" s="221" t="s">
        <v>112</v>
      </c>
      <c r="B442" s="198" t="s">
        <v>5264</v>
      </c>
      <c r="C442" s="190"/>
      <c r="D442" s="190"/>
      <c r="E442" s="190"/>
      <c r="F442" s="190"/>
      <c r="G442" s="348"/>
      <c r="H442" s="348"/>
      <c r="I442" s="348"/>
      <c r="J442" s="348"/>
      <c r="K442" s="348"/>
      <c r="L442" s="348"/>
      <c r="M442" s="348"/>
      <c r="N442" s="348"/>
      <c r="O442" s="348"/>
      <c r="P442" s="291"/>
      <c r="Q442" s="348"/>
      <c r="R442" s="348"/>
      <c r="S442" s="348"/>
      <c r="T442" s="335" t="s">
        <v>6188</v>
      </c>
      <c r="U442" s="348"/>
      <c r="V442" s="348"/>
      <c r="W442" s="348"/>
      <c r="X442" s="348"/>
      <c r="Y442" s="348"/>
      <c r="Z442" s="348"/>
      <c r="AA442" s="348"/>
      <c r="AB442" s="348"/>
      <c r="AC442" s="348"/>
      <c r="AD442" s="349"/>
      <c r="AE442" s="349"/>
      <c r="AF442" s="349"/>
      <c r="AG442" s="349"/>
      <c r="AH442" s="349"/>
      <c r="AI442" s="349"/>
      <c r="AJ442" s="349"/>
      <c r="AK442" s="349"/>
      <c r="AL442" s="354"/>
      <c r="AM442" s="354"/>
      <c r="AN442" s="354"/>
      <c r="AO442" s="349"/>
      <c r="AP442" s="349"/>
      <c r="AQ442" s="349"/>
      <c r="AR442" s="349"/>
      <c r="AS442" s="349"/>
      <c r="AT442" s="349"/>
      <c r="AU442" s="349"/>
      <c r="AV442" s="349"/>
      <c r="AW442" s="349"/>
      <c r="AX442" s="349"/>
    </row>
    <row r="443" ht="15.75" customHeight="1">
      <c r="A443" s="310" t="s">
        <v>278</v>
      </c>
      <c r="B443" s="311" t="s">
        <v>5270</v>
      </c>
      <c r="C443" s="190" t="s">
        <v>5271</v>
      </c>
      <c r="D443" s="190"/>
      <c r="E443" s="190"/>
      <c r="F443" s="190"/>
      <c r="G443" s="354"/>
      <c r="H443" s="354"/>
      <c r="I443" s="354"/>
      <c r="J443" s="337" t="s">
        <v>987</v>
      </c>
      <c r="K443" s="354"/>
      <c r="L443" s="354"/>
      <c r="M443" s="365"/>
      <c r="N443" s="365"/>
      <c r="O443" s="365"/>
      <c r="P443" s="291"/>
      <c r="Q443" s="354"/>
      <c r="R443" s="354"/>
      <c r="S443" s="354"/>
      <c r="T443" s="354"/>
      <c r="U443" s="354"/>
      <c r="V443" s="354"/>
      <c r="W443" s="354"/>
      <c r="X443" s="354"/>
      <c r="Y443" s="354"/>
      <c r="Z443" s="354"/>
      <c r="AA443" s="354"/>
      <c r="AB443" s="354"/>
      <c r="AC443" s="354"/>
      <c r="AD443" s="349"/>
      <c r="AE443" s="349"/>
      <c r="AF443" s="349"/>
      <c r="AG443" s="349"/>
      <c r="AH443" s="349"/>
      <c r="AI443" s="349"/>
      <c r="AJ443" s="349"/>
      <c r="AK443" s="349"/>
      <c r="AL443" s="354"/>
      <c r="AM443" s="354"/>
      <c r="AN443" s="354"/>
      <c r="AO443" s="349"/>
      <c r="AP443" s="349"/>
      <c r="AQ443" s="349"/>
      <c r="AR443" s="349"/>
      <c r="AS443" s="349"/>
      <c r="AT443" s="349"/>
      <c r="AU443" s="349"/>
      <c r="AV443" s="349"/>
      <c r="AW443" s="349"/>
      <c r="AX443" s="349"/>
    </row>
    <row r="444" ht="15.75" customHeight="1">
      <c r="A444" s="301" t="s">
        <v>220</v>
      </c>
      <c r="B444" s="302" t="s">
        <v>5273</v>
      </c>
      <c r="C444" s="190" t="s">
        <v>5277</v>
      </c>
      <c r="D444" s="190" t="s">
        <v>5278</v>
      </c>
      <c r="E444" s="190" t="s">
        <v>5279</v>
      </c>
      <c r="F444" s="190"/>
      <c r="G444" s="293"/>
      <c r="H444" s="293"/>
      <c r="I444" s="366"/>
      <c r="J444" s="367"/>
      <c r="K444" s="366"/>
      <c r="L444" s="366"/>
      <c r="M444" s="366"/>
      <c r="N444" s="366"/>
      <c r="O444" s="366"/>
      <c r="P444" s="291"/>
      <c r="Q444" s="368" t="s">
        <v>307</v>
      </c>
      <c r="R444" s="366"/>
      <c r="S444" s="366"/>
      <c r="T444" s="366"/>
      <c r="U444" s="366"/>
      <c r="V444" s="366"/>
      <c r="W444" s="366"/>
      <c r="X444" s="366"/>
      <c r="Y444" s="366"/>
      <c r="Z444" s="366"/>
      <c r="AA444" s="366"/>
      <c r="AB444" s="366"/>
      <c r="AC444" s="366"/>
      <c r="AD444" s="349"/>
      <c r="AE444" s="349"/>
      <c r="AF444" s="349"/>
      <c r="AG444" s="349"/>
      <c r="AH444" s="349"/>
      <c r="AI444" s="349"/>
      <c r="AJ444" s="349"/>
      <c r="AK444" s="349"/>
      <c r="AL444" s="354"/>
      <c r="AM444" s="354"/>
      <c r="AN444" s="354"/>
      <c r="AO444" s="349"/>
      <c r="AP444" s="349"/>
      <c r="AQ444" s="349"/>
      <c r="AR444" s="349"/>
      <c r="AS444" s="349"/>
      <c r="AT444" s="349"/>
      <c r="AU444" s="349"/>
      <c r="AV444" s="349"/>
      <c r="AW444" s="349"/>
      <c r="AX444" s="349"/>
    </row>
    <row r="445" ht="15.75" customHeight="1">
      <c r="A445" s="301" t="s">
        <v>220</v>
      </c>
      <c r="B445" s="302" t="s">
        <v>5280</v>
      </c>
      <c r="C445" s="190" t="s">
        <v>5285</v>
      </c>
      <c r="D445" s="190" t="s">
        <v>5286</v>
      </c>
      <c r="E445" s="190" t="s">
        <v>5287</v>
      </c>
      <c r="F445" s="190"/>
      <c r="G445" s="293"/>
      <c r="H445" s="293"/>
      <c r="I445" s="366"/>
      <c r="J445" s="367"/>
      <c r="K445" s="366"/>
      <c r="L445" s="366"/>
      <c r="M445" s="366"/>
      <c r="N445" s="366"/>
      <c r="O445" s="366"/>
      <c r="P445" s="291"/>
      <c r="Q445" s="368" t="s">
        <v>307</v>
      </c>
      <c r="R445" s="366"/>
      <c r="S445" s="366"/>
      <c r="T445" s="366"/>
      <c r="U445" s="366"/>
      <c r="V445" s="366"/>
      <c r="W445" s="366"/>
      <c r="X445" s="366"/>
      <c r="Y445" s="366"/>
      <c r="Z445" s="366"/>
      <c r="AA445" s="366"/>
      <c r="AB445" s="366"/>
      <c r="AC445" s="366"/>
      <c r="AD445" s="349"/>
      <c r="AE445" s="349"/>
      <c r="AF445" s="349"/>
      <c r="AG445" s="349"/>
      <c r="AH445" s="349"/>
      <c r="AI445" s="349"/>
      <c r="AJ445" s="349"/>
      <c r="AK445" s="349"/>
      <c r="AL445" s="354"/>
      <c r="AM445" s="354"/>
      <c r="AN445" s="354"/>
      <c r="AO445" s="349"/>
      <c r="AP445" s="349"/>
      <c r="AQ445" s="349"/>
      <c r="AR445" s="349"/>
      <c r="AS445" s="349"/>
      <c r="AT445" s="349"/>
      <c r="AU445" s="349"/>
      <c r="AV445" s="349"/>
      <c r="AW445" s="349"/>
      <c r="AX445" s="349"/>
    </row>
    <row r="446" ht="15.75" customHeight="1">
      <c r="A446" s="310" t="s">
        <v>331</v>
      </c>
      <c r="B446" s="315" t="s">
        <v>5270</v>
      </c>
      <c r="C446" s="190"/>
      <c r="D446" s="190"/>
      <c r="E446" s="190"/>
      <c r="F446" s="190"/>
      <c r="G446" s="354"/>
      <c r="H446" s="354"/>
      <c r="I446" s="354"/>
      <c r="J446" s="354"/>
      <c r="K446" s="354"/>
      <c r="L446" s="354"/>
      <c r="M446" s="354"/>
      <c r="N446" s="354"/>
      <c r="O446" s="354"/>
      <c r="P446" s="291"/>
      <c r="Q446" s="354"/>
      <c r="R446" s="354"/>
      <c r="S446" s="354"/>
      <c r="T446" s="354"/>
      <c r="U446" s="354"/>
      <c r="V446" s="354"/>
      <c r="W446" s="354"/>
      <c r="X446" s="354"/>
      <c r="Y446" s="354"/>
      <c r="Z446" s="354"/>
      <c r="AA446" s="354"/>
      <c r="AB446" s="354"/>
      <c r="AC446" s="354"/>
      <c r="AD446" s="349"/>
      <c r="AE446" s="349"/>
      <c r="AF446" s="349"/>
      <c r="AG446" s="349"/>
      <c r="AH446" s="349"/>
      <c r="AI446" s="349"/>
      <c r="AJ446" s="349"/>
      <c r="AK446" s="349"/>
      <c r="AL446" s="354"/>
      <c r="AM446" s="354"/>
      <c r="AN446" s="354"/>
      <c r="AO446" s="349"/>
      <c r="AP446" s="349"/>
      <c r="AQ446" s="349"/>
      <c r="AR446" s="349"/>
      <c r="AS446" s="349"/>
      <c r="AT446" s="349"/>
      <c r="AU446" s="349"/>
      <c r="AV446" s="349"/>
      <c r="AW446" s="349"/>
      <c r="AX446" s="349"/>
    </row>
    <row r="447" ht="15.75" customHeight="1">
      <c r="A447" s="221" t="s">
        <v>112</v>
      </c>
      <c r="B447" s="198" t="s">
        <v>5294</v>
      </c>
      <c r="C447" s="190"/>
      <c r="D447" s="190"/>
      <c r="E447" s="190"/>
      <c r="F447" s="190"/>
      <c r="G447" s="348"/>
      <c r="H447" s="348"/>
      <c r="I447" s="348"/>
      <c r="J447" s="348"/>
      <c r="K447" s="348"/>
      <c r="L447" s="348"/>
      <c r="M447" s="348"/>
      <c r="N447" s="348"/>
      <c r="O447" s="348"/>
      <c r="P447" s="291"/>
      <c r="Q447" s="348"/>
      <c r="R447" s="348"/>
      <c r="S447" s="348"/>
      <c r="T447" s="335" t="s">
        <v>6221</v>
      </c>
      <c r="U447" s="348"/>
      <c r="V447" s="348"/>
      <c r="W447" s="348"/>
      <c r="X447" s="348"/>
      <c r="Y447" s="348"/>
      <c r="Z447" s="348"/>
      <c r="AA447" s="348"/>
      <c r="AB447" s="348"/>
      <c r="AC447" s="348"/>
      <c r="AD447" s="349"/>
      <c r="AE447" s="349"/>
      <c r="AF447" s="349"/>
      <c r="AG447" s="349"/>
      <c r="AH447" s="349"/>
      <c r="AI447" s="349"/>
      <c r="AJ447" s="349"/>
      <c r="AK447" s="349"/>
      <c r="AL447" s="354"/>
      <c r="AM447" s="354"/>
      <c r="AN447" s="354"/>
      <c r="AO447" s="349"/>
      <c r="AP447" s="349"/>
      <c r="AQ447" s="349"/>
      <c r="AR447" s="349"/>
      <c r="AS447" s="349"/>
      <c r="AT447" s="349"/>
      <c r="AU447" s="349"/>
      <c r="AV447" s="349"/>
      <c r="AW447" s="349"/>
      <c r="AX447" s="349"/>
    </row>
    <row r="448" ht="15.75" customHeight="1">
      <c r="A448" s="299" t="s">
        <v>5296</v>
      </c>
      <c r="B448" s="300" t="s">
        <v>5297</v>
      </c>
      <c r="C448" s="190" t="s">
        <v>5301</v>
      </c>
      <c r="D448" s="190" t="s">
        <v>5302</v>
      </c>
      <c r="E448" s="190" t="s">
        <v>5303</v>
      </c>
      <c r="F448" s="190" t="s">
        <v>3364</v>
      </c>
      <c r="G448" s="293" t="s">
        <v>6226</v>
      </c>
      <c r="H448" s="293" t="s">
        <v>3366</v>
      </c>
      <c r="I448" s="356"/>
      <c r="J448" s="355"/>
      <c r="K448" s="356"/>
      <c r="L448" s="356"/>
      <c r="M448" s="356"/>
      <c r="N448" s="356"/>
      <c r="O448" s="356"/>
      <c r="P448" s="291"/>
      <c r="Q448" s="291" t="s">
        <v>307</v>
      </c>
      <c r="R448" s="356"/>
      <c r="S448" s="356"/>
      <c r="T448" s="356"/>
      <c r="U448" s="356"/>
      <c r="V448" s="356"/>
      <c r="W448" s="356"/>
      <c r="X448" s="356"/>
      <c r="Y448" s="356"/>
      <c r="Z448" s="356"/>
      <c r="AA448" s="356"/>
      <c r="AB448" s="356"/>
      <c r="AC448" s="356"/>
      <c r="AD448" s="349"/>
      <c r="AE448" s="349"/>
      <c r="AF448" s="349"/>
      <c r="AG448" s="349"/>
      <c r="AH448" s="349"/>
      <c r="AI448" s="349"/>
      <c r="AJ448" s="349"/>
      <c r="AK448" s="349"/>
      <c r="AL448" s="354"/>
      <c r="AM448" s="354"/>
      <c r="AN448" s="354"/>
      <c r="AO448" s="349"/>
      <c r="AP448" s="349"/>
      <c r="AQ448" s="349"/>
      <c r="AR448" s="349"/>
      <c r="AS448" s="349"/>
      <c r="AT448" s="349"/>
      <c r="AU448" s="349"/>
      <c r="AV448" s="349"/>
      <c r="AW448" s="349"/>
      <c r="AX448" s="349"/>
    </row>
    <row r="449" ht="15.75" customHeight="1">
      <c r="A449" s="299" t="s">
        <v>5304</v>
      </c>
      <c r="B449" s="300" t="s">
        <v>5305</v>
      </c>
      <c r="C449" s="190" t="s">
        <v>5309</v>
      </c>
      <c r="D449" s="190" t="s">
        <v>5310</v>
      </c>
      <c r="E449" s="190" t="s">
        <v>5311</v>
      </c>
      <c r="F449" s="190"/>
      <c r="G449" s="293"/>
      <c r="H449" s="293"/>
      <c r="I449" s="356"/>
      <c r="J449" s="355"/>
      <c r="K449" s="356"/>
      <c r="L449" s="356"/>
      <c r="M449" s="356"/>
      <c r="N449" s="356"/>
      <c r="O449" s="356"/>
      <c r="P449" s="291"/>
      <c r="Q449" s="291" t="s">
        <v>307</v>
      </c>
      <c r="R449" s="356"/>
      <c r="S449" s="356"/>
      <c r="T449" s="356"/>
      <c r="U449" s="356"/>
      <c r="V449" s="356"/>
      <c r="W449" s="356"/>
      <c r="X449" s="356"/>
      <c r="Y449" s="356"/>
      <c r="Z449" s="356"/>
      <c r="AA449" s="356"/>
      <c r="AB449" s="356"/>
      <c r="AC449" s="356"/>
      <c r="AD449" s="349"/>
      <c r="AE449" s="349"/>
      <c r="AF449" s="349"/>
      <c r="AG449" s="349"/>
      <c r="AH449" s="349"/>
      <c r="AI449" s="349"/>
      <c r="AJ449" s="349"/>
      <c r="AK449" s="349"/>
      <c r="AL449" s="354"/>
      <c r="AM449" s="354"/>
      <c r="AN449" s="354"/>
      <c r="AO449" s="349"/>
      <c r="AP449" s="349"/>
      <c r="AQ449" s="349"/>
      <c r="AR449" s="349"/>
      <c r="AS449" s="349"/>
      <c r="AT449" s="349"/>
      <c r="AU449" s="349"/>
      <c r="AV449" s="349"/>
      <c r="AW449" s="349"/>
      <c r="AX449" s="349"/>
    </row>
    <row r="450" ht="15.75" customHeight="1">
      <c r="A450" s="306" t="s">
        <v>247</v>
      </c>
      <c r="B450" s="307" t="s">
        <v>5312</v>
      </c>
      <c r="C450" s="190" t="s">
        <v>5316</v>
      </c>
      <c r="D450" s="190" t="s">
        <v>5317</v>
      </c>
      <c r="E450" s="190" t="s">
        <v>5318</v>
      </c>
      <c r="F450" s="190"/>
      <c r="G450" s="293"/>
      <c r="H450" s="293"/>
      <c r="I450" s="359"/>
      <c r="J450" s="359"/>
      <c r="K450" s="360" t="s">
        <v>4924</v>
      </c>
      <c r="L450" s="369"/>
      <c r="M450" s="359"/>
      <c r="N450" s="359"/>
      <c r="O450" s="359"/>
      <c r="P450" s="291"/>
      <c r="Q450" s="361" t="s">
        <v>307</v>
      </c>
      <c r="R450" s="359"/>
      <c r="S450" s="359"/>
      <c r="T450" s="359"/>
      <c r="U450" s="359"/>
      <c r="V450" s="359"/>
      <c r="W450" s="359"/>
      <c r="X450" s="359"/>
      <c r="Y450" s="359"/>
      <c r="Z450" s="359"/>
      <c r="AA450" s="359"/>
      <c r="AB450" s="359"/>
      <c r="AC450" s="359"/>
      <c r="AD450" s="349"/>
      <c r="AE450" s="349"/>
      <c r="AF450" s="349"/>
      <c r="AG450" s="349"/>
      <c r="AH450" s="349"/>
      <c r="AI450" s="349"/>
      <c r="AJ450" s="349"/>
      <c r="AK450" s="349"/>
      <c r="AL450" s="354"/>
      <c r="AM450" s="354"/>
      <c r="AN450" s="354"/>
      <c r="AO450" s="349"/>
      <c r="AP450" s="349"/>
      <c r="AQ450" s="349"/>
      <c r="AR450" s="349"/>
      <c r="AS450" s="349"/>
      <c r="AT450" s="349"/>
      <c r="AU450" s="349"/>
      <c r="AV450" s="349"/>
      <c r="AW450" s="349"/>
      <c r="AX450" s="349"/>
    </row>
    <row r="451" ht="15.75" customHeight="1">
      <c r="A451" s="305" t="s">
        <v>450</v>
      </c>
      <c r="B451" s="224" t="s">
        <v>5244</v>
      </c>
      <c r="C451" s="190" t="s">
        <v>5245</v>
      </c>
      <c r="D451" s="190"/>
      <c r="E451" s="190"/>
      <c r="F451" s="190"/>
      <c r="G451" s="362"/>
      <c r="H451" s="362"/>
      <c r="I451" s="362"/>
      <c r="J451" s="362"/>
      <c r="K451" s="362"/>
      <c r="L451" s="362"/>
      <c r="M451" s="362"/>
      <c r="N451" s="362"/>
      <c r="O451" s="362"/>
      <c r="P451" s="291"/>
      <c r="Q451" s="362"/>
      <c r="R451" s="362"/>
      <c r="S451" s="362"/>
      <c r="T451" s="362"/>
      <c r="U451" s="362"/>
      <c r="V451" s="362"/>
      <c r="W451" s="362"/>
      <c r="X451" s="362"/>
      <c r="Y451" s="362"/>
      <c r="Z451" s="362"/>
      <c r="AA451" s="362"/>
      <c r="AB451" s="362"/>
      <c r="AC451" s="362"/>
      <c r="AD451" s="354"/>
      <c r="AE451" s="354"/>
      <c r="AF451" s="354"/>
      <c r="AG451" s="354"/>
      <c r="AH451" s="354"/>
      <c r="AI451" s="354"/>
      <c r="AJ451" s="354"/>
      <c r="AK451" s="354"/>
      <c r="AL451" s="354"/>
      <c r="AM451" s="354"/>
      <c r="AN451" s="354"/>
      <c r="AO451" s="349"/>
      <c r="AP451" s="349"/>
      <c r="AQ451" s="349"/>
      <c r="AR451" s="349"/>
      <c r="AS451" s="349"/>
      <c r="AT451" s="349"/>
      <c r="AU451" s="349"/>
      <c r="AV451" s="349"/>
      <c r="AW451" s="349"/>
      <c r="AX451" s="349"/>
    </row>
    <row r="452" ht="15.75" customHeight="1">
      <c r="A452" s="221" t="s">
        <v>256</v>
      </c>
      <c r="B452" s="198" t="s">
        <v>5320</v>
      </c>
      <c r="C452" s="190"/>
      <c r="D452" s="190"/>
      <c r="E452" s="190"/>
      <c r="F452" s="190"/>
      <c r="G452" s="348"/>
      <c r="H452" s="348"/>
      <c r="I452" s="348"/>
      <c r="J452" s="348"/>
      <c r="K452" s="348"/>
      <c r="L452" s="348"/>
      <c r="M452" s="348"/>
      <c r="N452" s="348"/>
      <c r="O452" s="348"/>
      <c r="P452" s="291"/>
      <c r="Q452" s="348"/>
      <c r="R452" s="348"/>
      <c r="S452" s="348"/>
      <c r="T452" s="335" t="s">
        <v>260</v>
      </c>
      <c r="U452" s="348"/>
      <c r="V452" s="348"/>
      <c r="W452" s="348"/>
      <c r="X452" s="348"/>
      <c r="Y452" s="348"/>
      <c r="Z452" s="348"/>
      <c r="AA452" s="348"/>
      <c r="AB452" s="348"/>
      <c r="AC452" s="348"/>
      <c r="AD452" s="349"/>
      <c r="AE452" s="349"/>
      <c r="AF452" s="349"/>
      <c r="AG452" s="349"/>
      <c r="AH452" s="349"/>
      <c r="AI452" s="349"/>
      <c r="AJ452" s="349"/>
      <c r="AK452" s="349"/>
      <c r="AL452" s="349"/>
      <c r="AM452" s="349"/>
      <c r="AN452" s="349"/>
      <c r="AO452" s="349"/>
      <c r="AP452" s="349"/>
      <c r="AQ452" s="349"/>
      <c r="AR452" s="349"/>
      <c r="AS452" s="349"/>
      <c r="AT452" s="349"/>
      <c r="AU452" s="349"/>
      <c r="AV452" s="349"/>
      <c r="AW452" s="349"/>
      <c r="AX452" s="349"/>
    </row>
    <row r="453" ht="15.75" customHeight="1">
      <c r="A453" s="221" t="s">
        <v>112</v>
      </c>
      <c r="B453" s="198" t="s">
        <v>5321</v>
      </c>
      <c r="C453" s="190"/>
      <c r="D453" s="190"/>
      <c r="E453" s="190"/>
      <c r="F453" s="190"/>
      <c r="G453" s="348"/>
      <c r="H453" s="348"/>
      <c r="I453" s="348"/>
      <c r="J453" s="348"/>
      <c r="K453" s="348"/>
      <c r="L453" s="348"/>
      <c r="M453" s="348"/>
      <c r="N453" s="348"/>
      <c r="O453" s="348"/>
      <c r="P453" s="291"/>
      <c r="Q453" s="348"/>
      <c r="R453" s="348"/>
      <c r="S453" s="348"/>
      <c r="T453" s="335" t="s">
        <v>6297</v>
      </c>
      <c r="U453" s="348"/>
      <c r="V453" s="348"/>
      <c r="W453" s="348"/>
      <c r="X453" s="348"/>
      <c r="Y453" s="348"/>
      <c r="Z453" s="348"/>
      <c r="AA453" s="348"/>
      <c r="AB453" s="348"/>
      <c r="AC453" s="348"/>
      <c r="AD453" s="349"/>
      <c r="AE453" s="349"/>
      <c r="AF453" s="349"/>
      <c r="AG453" s="349"/>
      <c r="AH453" s="349"/>
      <c r="AI453" s="349"/>
      <c r="AJ453" s="349"/>
      <c r="AK453" s="349"/>
      <c r="AL453" s="349"/>
      <c r="AM453" s="349"/>
      <c r="AN453" s="349"/>
      <c r="AO453" s="349"/>
      <c r="AP453" s="349"/>
      <c r="AQ453" s="349"/>
      <c r="AR453" s="349"/>
      <c r="AS453" s="349"/>
      <c r="AT453" s="349"/>
      <c r="AU453" s="349"/>
      <c r="AV453" s="349"/>
      <c r="AW453" s="349"/>
      <c r="AX453" s="349"/>
    </row>
    <row r="454" ht="15.75" customHeight="1">
      <c r="A454" s="221" t="s">
        <v>112</v>
      </c>
      <c r="B454" s="198" t="s">
        <v>5325</v>
      </c>
      <c r="C454" s="190"/>
      <c r="D454" s="190"/>
      <c r="E454" s="190"/>
      <c r="F454" s="190"/>
      <c r="G454" s="348"/>
      <c r="H454" s="348"/>
      <c r="I454" s="348"/>
      <c r="J454" s="348"/>
      <c r="K454" s="348"/>
      <c r="L454" s="348"/>
      <c r="M454" s="348"/>
      <c r="N454" s="348"/>
      <c r="O454" s="348"/>
      <c r="P454" s="291"/>
      <c r="Q454" s="348"/>
      <c r="R454" s="348"/>
      <c r="S454" s="348"/>
      <c r="T454" s="335" t="s">
        <v>6306</v>
      </c>
      <c r="U454" s="348"/>
      <c r="V454" s="348"/>
      <c r="W454" s="348"/>
      <c r="X454" s="348"/>
      <c r="Y454" s="348"/>
      <c r="Z454" s="348"/>
      <c r="AA454" s="348"/>
      <c r="AB454" s="348"/>
      <c r="AC454" s="348"/>
      <c r="AD454" s="351"/>
      <c r="AE454" s="351"/>
      <c r="AF454" s="351"/>
      <c r="AG454" s="351"/>
      <c r="AH454" s="351"/>
      <c r="AI454" s="351"/>
      <c r="AJ454" s="351"/>
      <c r="AK454" s="351"/>
      <c r="AL454" s="351"/>
      <c r="AM454" s="351"/>
      <c r="AN454" s="351"/>
      <c r="AO454" s="349"/>
      <c r="AP454" s="349"/>
      <c r="AQ454" s="349"/>
      <c r="AR454" s="349"/>
      <c r="AS454" s="349"/>
      <c r="AT454" s="349"/>
      <c r="AU454" s="349"/>
      <c r="AV454" s="349"/>
      <c r="AW454" s="349"/>
      <c r="AX454" s="349"/>
    </row>
    <row r="455" ht="15.75" customHeight="1">
      <c r="A455" s="297" t="s">
        <v>46</v>
      </c>
      <c r="B455" s="298" t="s">
        <v>5329</v>
      </c>
      <c r="C455" s="190" t="s">
        <v>5333</v>
      </c>
      <c r="D455" s="190" t="s">
        <v>5334</v>
      </c>
      <c r="E455" s="190" t="s">
        <v>5335</v>
      </c>
      <c r="F455" s="190"/>
      <c r="G455" s="293"/>
      <c r="H455" s="293"/>
      <c r="I455" s="351"/>
      <c r="J455" s="351"/>
      <c r="K455" s="351"/>
      <c r="L455" s="351"/>
      <c r="M455" s="351"/>
      <c r="N455" s="351"/>
      <c r="O455" s="351"/>
      <c r="P455" s="291"/>
      <c r="Q455" s="351"/>
      <c r="R455" s="351"/>
      <c r="S455" s="351"/>
      <c r="T455" s="351"/>
      <c r="U455" s="377"/>
      <c r="V455" s="351"/>
      <c r="W455" s="351"/>
      <c r="X455" s="351"/>
      <c r="Y455" s="351"/>
      <c r="Z455" s="351"/>
      <c r="AA455" s="351"/>
      <c r="AB455" s="351"/>
      <c r="AC455" s="351"/>
      <c r="AD455" s="351"/>
      <c r="AE455" s="351"/>
      <c r="AF455" s="351"/>
      <c r="AG455" s="351"/>
      <c r="AH455" s="351"/>
      <c r="AI455" s="351"/>
      <c r="AJ455" s="351"/>
      <c r="AK455" s="351"/>
      <c r="AL455" s="351"/>
      <c r="AM455" s="351"/>
      <c r="AN455" s="351"/>
      <c r="AO455" s="349"/>
      <c r="AP455" s="349"/>
      <c r="AQ455" s="349"/>
      <c r="AR455" s="349"/>
      <c r="AS455" s="349"/>
      <c r="AT455" s="349"/>
      <c r="AU455" s="349"/>
      <c r="AV455" s="349"/>
      <c r="AW455" s="349"/>
      <c r="AX455" s="349"/>
    </row>
    <row r="456">
      <c r="A456" s="319"/>
      <c r="B456" s="319"/>
      <c r="C456" s="190"/>
      <c r="D456" s="190"/>
      <c r="E456" s="190"/>
      <c r="F456" s="190"/>
      <c r="G456" s="319"/>
      <c r="H456" s="319"/>
      <c r="I456" s="319"/>
      <c r="J456" s="319"/>
      <c r="K456" s="319"/>
      <c r="L456" s="319"/>
      <c r="M456" s="319"/>
      <c r="N456" s="319"/>
      <c r="O456" s="319"/>
      <c r="P456" s="291"/>
      <c r="Q456" s="319"/>
      <c r="R456" s="319"/>
      <c r="S456" s="319"/>
      <c r="T456" s="319"/>
      <c r="U456" s="319"/>
      <c r="V456" s="319"/>
      <c r="W456" s="319"/>
      <c r="X456" s="319"/>
      <c r="Y456" s="319"/>
      <c r="Z456" s="319"/>
      <c r="AA456" s="319"/>
      <c r="AB456" s="319"/>
      <c r="AC456" s="319"/>
      <c r="AD456" s="319"/>
      <c r="AE456" s="319"/>
      <c r="AF456" s="319"/>
      <c r="AG456" s="319"/>
      <c r="AH456" s="319"/>
      <c r="AI456" s="319"/>
      <c r="AJ456" s="319"/>
      <c r="AK456" s="319"/>
      <c r="AL456" s="319"/>
      <c r="AM456" s="319"/>
      <c r="AN456" s="319"/>
      <c r="AO456" s="319"/>
      <c r="AP456" s="319"/>
      <c r="AQ456" s="319"/>
      <c r="AR456" s="319"/>
      <c r="AS456" s="319"/>
      <c r="AT456" s="319"/>
      <c r="AU456" s="319"/>
      <c r="AV456" s="319"/>
      <c r="AW456" s="319"/>
      <c r="AX456" s="319"/>
    </row>
    <row r="457" ht="15.75" customHeight="1">
      <c r="A457" s="305" t="s">
        <v>385</v>
      </c>
      <c r="B457" s="223" t="s">
        <v>5340</v>
      </c>
      <c r="C457" s="190" t="s">
        <v>5341</v>
      </c>
      <c r="D457" s="190"/>
      <c r="E457" s="190"/>
      <c r="F457" s="190"/>
      <c r="G457" s="362"/>
      <c r="H457" s="362"/>
      <c r="I457" s="362"/>
      <c r="J457" s="362"/>
      <c r="K457" s="362"/>
      <c r="L457" s="362"/>
      <c r="M457" s="363"/>
      <c r="N457" s="363"/>
      <c r="O457" s="363"/>
      <c r="P457" s="291"/>
      <c r="Q457" s="362"/>
      <c r="R457" s="362"/>
      <c r="S457" s="362"/>
      <c r="T457" s="362"/>
      <c r="U457" s="364" t="s">
        <v>6363</v>
      </c>
      <c r="V457" s="362"/>
      <c r="W457" s="362"/>
      <c r="X457" s="362"/>
      <c r="Y457" s="362"/>
      <c r="Z457" s="362"/>
      <c r="AA457" s="362"/>
      <c r="AB457" s="362"/>
      <c r="AC457" s="362"/>
      <c r="AD457" s="362"/>
      <c r="AE457" s="362"/>
      <c r="AF457" s="362"/>
      <c r="AG457" s="362"/>
      <c r="AH457" s="362"/>
      <c r="AI457" s="362"/>
      <c r="AJ457" s="362"/>
      <c r="AK457" s="362"/>
      <c r="AL457" s="362"/>
      <c r="AM457" s="362"/>
      <c r="AN457" s="362"/>
      <c r="AO457" s="349"/>
      <c r="AP457" s="349"/>
      <c r="AQ457" s="349"/>
      <c r="AR457" s="349"/>
      <c r="AS457" s="349"/>
      <c r="AT457" s="349"/>
      <c r="AU457" s="349"/>
      <c r="AV457" s="349"/>
      <c r="AW457" s="349"/>
      <c r="AX457" s="349"/>
    </row>
    <row r="458" ht="15.75" customHeight="1">
      <c r="A458" s="221" t="s">
        <v>256</v>
      </c>
      <c r="B458" s="198" t="s">
        <v>5342</v>
      </c>
      <c r="C458" s="190"/>
      <c r="D458" s="190"/>
      <c r="E458" s="190"/>
      <c r="F458" s="190"/>
      <c r="G458" s="348"/>
      <c r="H458" s="348"/>
      <c r="I458" s="348"/>
      <c r="J458" s="348"/>
      <c r="K458" s="348"/>
      <c r="L458" s="348"/>
      <c r="M458" s="348"/>
      <c r="N458" s="348"/>
      <c r="O458" s="348"/>
      <c r="P458" s="291"/>
      <c r="Q458" s="348"/>
      <c r="R458" s="348"/>
      <c r="S458" s="348"/>
      <c r="T458" s="335" t="s">
        <v>260</v>
      </c>
      <c r="U458" s="348"/>
      <c r="V458" s="348"/>
      <c r="W458" s="348"/>
      <c r="X458" s="348"/>
      <c r="Y458" s="348"/>
      <c r="Z458" s="348"/>
      <c r="AA458" s="348"/>
      <c r="AB458" s="348"/>
      <c r="AC458" s="348"/>
      <c r="AD458" s="349"/>
      <c r="AE458" s="349"/>
      <c r="AF458" s="349"/>
      <c r="AG458" s="349"/>
      <c r="AH458" s="349"/>
      <c r="AI458" s="349"/>
      <c r="AJ458" s="349"/>
      <c r="AK458" s="349"/>
      <c r="AL458" s="349"/>
      <c r="AM458" s="349"/>
      <c r="AN458" s="349"/>
      <c r="AO458" s="349"/>
      <c r="AP458" s="349"/>
      <c r="AQ458" s="349"/>
      <c r="AR458" s="349"/>
      <c r="AS458" s="349"/>
      <c r="AT458" s="349"/>
      <c r="AU458" s="349"/>
      <c r="AV458" s="349"/>
      <c r="AW458" s="349"/>
      <c r="AX458" s="349"/>
    </row>
    <row r="459" ht="15.75" customHeight="1">
      <c r="A459" s="221" t="s">
        <v>112</v>
      </c>
      <c r="B459" s="198" t="s">
        <v>5343</v>
      </c>
      <c r="C459" s="190"/>
      <c r="D459" s="190"/>
      <c r="E459" s="190"/>
      <c r="F459" s="190"/>
      <c r="G459" s="348"/>
      <c r="H459" s="348"/>
      <c r="I459" s="348"/>
      <c r="J459" s="348"/>
      <c r="K459" s="348"/>
      <c r="L459" s="348"/>
      <c r="M459" s="348"/>
      <c r="N459" s="348"/>
      <c r="O459" s="348"/>
      <c r="P459" s="291"/>
      <c r="Q459" s="348"/>
      <c r="R459" s="348"/>
      <c r="S459" s="348"/>
      <c r="T459" s="335" t="s">
        <v>1581</v>
      </c>
      <c r="U459" s="381"/>
      <c r="V459" s="348"/>
      <c r="W459" s="348"/>
      <c r="X459" s="348"/>
      <c r="Y459" s="348"/>
      <c r="Z459" s="348"/>
      <c r="AA459" s="348"/>
      <c r="AB459" s="348"/>
      <c r="AC459" s="348"/>
      <c r="AD459" s="348"/>
      <c r="AE459" s="348"/>
      <c r="AF459" s="348"/>
      <c r="AG459" s="348"/>
      <c r="AH459" s="348"/>
      <c r="AI459" s="348"/>
      <c r="AJ459" s="348"/>
      <c r="AK459" s="348"/>
      <c r="AL459" s="348"/>
      <c r="AM459" s="348"/>
      <c r="AN459" s="348"/>
      <c r="AO459" s="349"/>
      <c r="AP459" s="349"/>
      <c r="AQ459" s="349"/>
      <c r="AR459" s="349"/>
      <c r="AS459" s="349"/>
      <c r="AT459" s="349"/>
      <c r="AU459" s="349"/>
      <c r="AV459" s="349"/>
      <c r="AW459" s="349"/>
      <c r="AX459" s="349"/>
    </row>
    <row r="460" ht="15.75" customHeight="1">
      <c r="A460" s="221" t="s">
        <v>112</v>
      </c>
      <c r="B460" s="198" t="s">
        <v>5344</v>
      </c>
      <c r="C460" s="190" t="s">
        <v>5345</v>
      </c>
      <c r="D460" s="190"/>
      <c r="E460" s="190"/>
      <c r="F460" s="190"/>
      <c r="G460" s="348"/>
      <c r="H460" s="348"/>
      <c r="I460" s="348"/>
      <c r="J460" s="348"/>
      <c r="K460" s="348"/>
      <c r="L460" s="348"/>
      <c r="M460" s="348"/>
      <c r="N460" s="348"/>
      <c r="O460" s="348"/>
      <c r="P460" s="291"/>
      <c r="Q460" s="348"/>
      <c r="R460" s="348"/>
      <c r="S460" s="348"/>
      <c r="T460" s="296" t="s">
        <v>6412</v>
      </c>
      <c r="U460" s="348"/>
      <c r="V460" s="348"/>
      <c r="W460" s="348"/>
      <c r="X460" s="348"/>
      <c r="Y460" s="348"/>
      <c r="Z460" s="348"/>
      <c r="AA460" s="348"/>
      <c r="AB460" s="348"/>
      <c r="AC460" s="348"/>
      <c r="AD460" s="348"/>
      <c r="AE460" s="348"/>
      <c r="AF460" s="348"/>
      <c r="AG460" s="348"/>
      <c r="AH460" s="348"/>
      <c r="AI460" s="348"/>
      <c r="AJ460" s="348"/>
      <c r="AK460" s="348"/>
      <c r="AL460" s="348"/>
      <c r="AM460" s="348"/>
      <c r="AN460" s="348"/>
      <c r="AO460" s="349"/>
      <c r="AP460" s="349"/>
      <c r="AQ460" s="349"/>
      <c r="AR460" s="349"/>
      <c r="AS460" s="349"/>
      <c r="AT460" s="349"/>
      <c r="AU460" s="349"/>
      <c r="AV460" s="349"/>
      <c r="AW460" s="349"/>
      <c r="AX460" s="349"/>
    </row>
    <row r="461" ht="15.75" customHeight="1">
      <c r="A461" s="221" t="s">
        <v>112</v>
      </c>
      <c r="B461" s="198" t="s">
        <v>5349</v>
      </c>
      <c r="C461" s="190" t="s">
        <v>5350</v>
      </c>
      <c r="D461" s="190"/>
      <c r="E461" s="190"/>
      <c r="F461" s="190"/>
      <c r="G461" s="348"/>
      <c r="H461" s="348"/>
      <c r="I461" s="348"/>
      <c r="J461" s="348"/>
      <c r="K461" s="348"/>
      <c r="L461" s="348"/>
      <c r="M461" s="348"/>
      <c r="N461" s="348"/>
      <c r="O461" s="348"/>
      <c r="P461" s="291"/>
      <c r="Q461" s="348"/>
      <c r="R461" s="348"/>
      <c r="S461" s="348"/>
      <c r="T461" s="296" t="s">
        <v>6425</v>
      </c>
      <c r="U461" s="348"/>
      <c r="V461" s="348"/>
      <c r="W461" s="348"/>
      <c r="X461" s="348"/>
      <c r="Y461" s="348"/>
      <c r="Z461" s="348"/>
      <c r="AA461" s="348"/>
      <c r="AB461" s="348"/>
      <c r="AC461" s="348"/>
      <c r="AD461" s="348"/>
      <c r="AE461" s="348"/>
      <c r="AF461" s="348"/>
      <c r="AG461" s="348"/>
      <c r="AH461" s="348"/>
      <c r="AI461" s="348"/>
      <c r="AJ461" s="348"/>
      <c r="AK461" s="348"/>
      <c r="AL461" s="348"/>
      <c r="AM461" s="348"/>
      <c r="AN461" s="348"/>
      <c r="AO461" s="349"/>
      <c r="AP461" s="349"/>
      <c r="AQ461" s="349"/>
      <c r="AR461" s="349"/>
      <c r="AS461" s="349"/>
      <c r="AT461" s="349"/>
      <c r="AU461" s="349"/>
      <c r="AV461" s="349"/>
      <c r="AW461" s="349"/>
      <c r="AX461" s="349"/>
    </row>
    <row r="462" ht="15.75" customHeight="1">
      <c r="A462" s="221" t="s">
        <v>112</v>
      </c>
      <c r="B462" s="198" t="s">
        <v>5354</v>
      </c>
      <c r="C462" s="190" t="s">
        <v>5355</v>
      </c>
      <c r="D462" s="190"/>
      <c r="E462" s="190"/>
      <c r="F462" s="190"/>
      <c r="G462" s="348"/>
      <c r="H462" s="348"/>
      <c r="I462" s="348"/>
      <c r="J462" s="348"/>
      <c r="K462" s="348"/>
      <c r="L462" s="348"/>
      <c r="M462" s="348"/>
      <c r="N462" s="348"/>
      <c r="O462" s="348"/>
      <c r="P462" s="291"/>
      <c r="Q462" s="348"/>
      <c r="R462" s="348"/>
      <c r="S462" s="348"/>
      <c r="T462" s="296" t="s">
        <v>6446</v>
      </c>
      <c r="U462" s="348"/>
      <c r="V462" s="348"/>
      <c r="W462" s="348"/>
      <c r="X462" s="348"/>
      <c r="Y462" s="348"/>
      <c r="Z462" s="348"/>
      <c r="AA462" s="348"/>
      <c r="AB462" s="348"/>
      <c r="AC462" s="348"/>
      <c r="AD462" s="348"/>
      <c r="AE462" s="348"/>
      <c r="AF462" s="348"/>
      <c r="AG462" s="348"/>
      <c r="AH462" s="348"/>
      <c r="AI462" s="348"/>
      <c r="AJ462" s="348"/>
      <c r="AK462" s="348"/>
      <c r="AL462" s="348"/>
      <c r="AM462" s="348"/>
      <c r="AN462" s="348"/>
      <c r="AO462" s="349"/>
      <c r="AP462" s="349"/>
      <c r="AQ462" s="349"/>
      <c r="AR462" s="349"/>
      <c r="AS462" s="349"/>
      <c r="AT462" s="349"/>
      <c r="AU462" s="349"/>
      <c r="AV462" s="349"/>
      <c r="AW462" s="349"/>
      <c r="AX462" s="349"/>
    </row>
    <row r="463" ht="15.75" customHeight="1">
      <c r="A463" s="221" t="s">
        <v>112</v>
      </c>
      <c r="B463" s="198" t="s">
        <v>5359</v>
      </c>
      <c r="C463" s="190"/>
      <c r="D463" s="190"/>
      <c r="E463" s="190"/>
      <c r="F463" s="190"/>
      <c r="G463" s="348"/>
      <c r="H463" s="348"/>
      <c r="I463" s="348"/>
      <c r="J463" s="348"/>
      <c r="K463" s="348"/>
      <c r="L463" s="348"/>
      <c r="M463" s="348"/>
      <c r="N463" s="348"/>
      <c r="O463" s="382" t="s">
        <v>6462</v>
      </c>
      <c r="P463" s="291"/>
      <c r="Q463" s="348"/>
      <c r="R463" s="348"/>
      <c r="S463" s="348"/>
      <c r="T463" s="335" t="s">
        <v>6466</v>
      </c>
      <c r="U463" s="348"/>
      <c r="V463" s="348"/>
      <c r="W463" s="348"/>
      <c r="X463" s="348"/>
      <c r="Y463" s="348"/>
      <c r="Z463" s="348"/>
      <c r="AA463" s="348"/>
      <c r="AB463" s="348"/>
      <c r="AC463" s="348"/>
      <c r="AD463" s="351"/>
      <c r="AE463" s="351"/>
      <c r="AF463" s="351"/>
      <c r="AG463" s="351"/>
      <c r="AH463" s="351"/>
      <c r="AI463" s="351"/>
      <c r="AJ463" s="351"/>
      <c r="AK463" s="351"/>
      <c r="AL463" s="351"/>
      <c r="AM463" s="351"/>
      <c r="AN463" s="351"/>
      <c r="AO463" s="349"/>
      <c r="AP463" s="349"/>
      <c r="AQ463" s="349"/>
      <c r="AR463" s="349"/>
      <c r="AS463" s="349"/>
      <c r="AT463" s="349"/>
      <c r="AU463" s="349"/>
      <c r="AV463" s="349"/>
      <c r="AW463" s="349"/>
      <c r="AX463" s="349"/>
    </row>
    <row r="464" ht="15.75" customHeight="1">
      <c r="A464" s="221" t="s">
        <v>112</v>
      </c>
      <c r="B464" s="198" t="s">
        <v>5366</v>
      </c>
      <c r="C464" s="190" t="s">
        <v>5367</v>
      </c>
      <c r="D464" s="190"/>
      <c r="E464" s="190"/>
      <c r="F464" s="190"/>
      <c r="G464" s="348"/>
      <c r="H464" s="348"/>
      <c r="I464" s="348"/>
      <c r="J464" s="348"/>
      <c r="K464" s="348"/>
      <c r="L464" s="348"/>
      <c r="M464" s="348"/>
      <c r="N464" s="348"/>
      <c r="O464" s="382" t="s">
        <v>6462</v>
      </c>
      <c r="P464" s="291"/>
      <c r="Q464" s="348"/>
      <c r="R464" s="348"/>
      <c r="S464" s="348"/>
      <c r="T464" s="335" t="s">
        <v>6498</v>
      </c>
      <c r="U464" s="348"/>
      <c r="V464" s="348"/>
      <c r="W464" s="348"/>
      <c r="X464" s="348"/>
      <c r="Y464" s="348"/>
      <c r="Z464" s="348"/>
      <c r="AA464" s="348"/>
      <c r="AB464" s="348"/>
      <c r="AC464" s="348"/>
      <c r="AD464" s="351"/>
      <c r="AE464" s="351"/>
      <c r="AF464" s="351"/>
      <c r="AG464" s="351"/>
      <c r="AH464" s="351"/>
      <c r="AI464" s="351"/>
      <c r="AJ464" s="351"/>
      <c r="AK464" s="351"/>
      <c r="AL464" s="351"/>
      <c r="AM464" s="351"/>
      <c r="AN464" s="351"/>
      <c r="AO464" s="349"/>
      <c r="AP464" s="349"/>
      <c r="AQ464" s="349"/>
      <c r="AR464" s="349"/>
      <c r="AS464" s="349"/>
      <c r="AT464" s="349"/>
      <c r="AU464" s="349"/>
      <c r="AV464" s="349"/>
      <c r="AW464" s="349"/>
      <c r="AX464" s="349"/>
    </row>
    <row r="465" ht="15.75" customHeight="1">
      <c r="A465" s="221" t="s">
        <v>112</v>
      </c>
      <c r="B465" s="198" t="s">
        <v>5372</v>
      </c>
      <c r="C465" s="190" t="s">
        <v>5373</v>
      </c>
      <c r="D465" s="190"/>
      <c r="E465" s="190"/>
      <c r="F465" s="190"/>
      <c r="G465" s="348"/>
      <c r="H465" s="348"/>
      <c r="I465" s="348"/>
      <c r="J465" s="348"/>
      <c r="K465" s="348"/>
      <c r="L465" s="348"/>
      <c r="M465" s="348"/>
      <c r="N465" s="348"/>
      <c r="O465" s="382" t="s">
        <v>6462</v>
      </c>
      <c r="P465" s="291"/>
      <c r="Q465" s="348"/>
      <c r="R465" s="348"/>
      <c r="S465" s="348"/>
      <c r="T465" s="335" t="s">
        <v>6517</v>
      </c>
      <c r="U465" s="348"/>
      <c r="V465" s="348"/>
      <c r="W465" s="348"/>
      <c r="X465" s="348"/>
      <c r="Y465" s="348"/>
      <c r="Z465" s="348"/>
      <c r="AA465" s="348"/>
      <c r="AB465" s="348"/>
      <c r="AC465" s="348"/>
      <c r="AD465" s="351"/>
      <c r="AE465" s="351"/>
      <c r="AF465" s="351"/>
      <c r="AG465" s="351"/>
      <c r="AH465" s="351"/>
      <c r="AI465" s="351"/>
      <c r="AJ465" s="351"/>
      <c r="AK465" s="351"/>
      <c r="AL465" s="351"/>
      <c r="AM465" s="351"/>
      <c r="AN465" s="351"/>
      <c r="AO465" s="349"/>
      <c r="AP465" s="349"/>
      <c r="AQ465" s="349"/>
      <c r="AR465" s="349"/>
      <c r="AS465" s="349"/>
      <c r="AT465" s="349"/>
      <c r="AU465" s="349"/>
      <c r="AV465" s="349"/>
      <c r="AW465" s="349"/>
      <c r="AX465" s="349"/>
    </row>
    <row r="466" ht="15.75" customHeight="1">
      <c r="A466" s="221" t="s">
        <v>112</v>
      </c>
      <c r="B466" s="198" t="s">
        <v>5380</v>
      </c>
      <c r="C466" s="190" t="s">
        <v>5381</v>
      </c>
      <c r="D466" s="190"/>
      <c r="E466" s="190"/>
      <c r="F466" s="190"/>
      <c r="G466" s="348"/>
      <c r="H466" s="348"/>
      <c r="I466" s="348"/>
      <c r="J466" s="348"/>
      <c r="K466" s="348"/>
      <c r="L466" s="348"/>
      <c r="M466" s="348"/>
      <c r="N466" s="348"/>
      <c r="O466" s="382" t="s">
        <v>6462</v>
      </c>
      <c r="P466" s="291"/>
      <c r="Q466" s="348"/>
      <c r="R466" s="348"/>
      <c r="S466" s="348"/>
      <c r="T466" s="335" t="s">
        <v>6542</v>
      </c>
      <c r="U466" s="348"/>
      <c r="V466" s="348"/>
      <c r="W466" s="348"/>
      <c r="X466" s="348"/>
      <c r="Y466" s="348"/>
      <c r="Z466" s="348"/>
      <c r="AA466" s="348"/>
      <c r="AB466" s="348"/>
      <c r="AC466" s="348"/>
      <c r="AD466" s="351"/>
      <c r="AE466" s="351"/>
      <c r="AF466" s="351"/>
      <c r="AG466" s="351"/>
      <c r="AH466" s="351"/>
      <c r="AI466" s="351"/>
      <c r="AJ466" s="351"/>
      <c r="AK466" s="351"/>
      <c r="AL466" s="351"/>
      <c r="AM466" s="351"/>
      <c r="AN466" s="351"/>
      <c r="AO466" s="349"/>
      <c r="AP466" s="349"/>
      <c r="AQ466" s="349"/>
      <c r="AR466" s="349"/>
      <c r="AS466" s="349"/>
      <c r="AT466" s="349"/>
      <c r="AU466" s="349"/>
      <c r="AV466" s="349"/>
      <c r="AW466" s="349"/>
      <c r="AX466" s="349"/>
    </row>
    <row r="467" ht="15.75" customHeight="1">
      <c r="A467" s="221" t="s">
        <v>112</v>
      </c>
      <c r="B467" s="198" t="s">
        <v>5382</v>
      </c>
      <c r="C467" s="190"/>
      <c r="D467" s="190"/>
      <c r="E467" s="190"/>
      <c r="F467" s="190"/>
      <c r="G467" s="348"/>
      <c r="H467" s="348"/>
      <c r="I467" s="348"/>
      <c r="J467" s="348"/>
      <c r="K467" s="348"/>
      <c r="L467" s="348"/>
      <c r="M467" s="348"/>
      <c r="N467" s="348"/>
      <c r="O467" s="348"/>
      <c r="P467" s="291"/>
      <c r="Q467" s="348"/>
      <c r="R467" s="348"/>
      <c r="S467" s="348"/>
      <c r="T467" s="335" t="s">
        <v>6564</v>
      </c>
      <c r="U467" s="348"/>
      <c r="V467" s="348"/>
      <c r="W467" s="348"/>
      <c r="X467" s="348"/>
      <c r="Y467" s="348"/>
      <c r="Z467" s="348"/>
      <c r="AA467" s="348"/>
      <c r="AB467" s="348"/>
      <c r="AC467" s="348"/>
      <c r="AD467" s="351"/>
      <c r="AE467" s="351"/>
      <c r="AF467" s="351"/>
      <c r="AG467" s="351"/>
      <c r="AH467" s="351"/>
      <c r="AI467" s="351"/>
      <c r="AJ467" s="351"/>
      <c r="AK467" s="351"/>
      <c r="AL467" s="351"/>
      <c r="AM467" s="351"/>
      <c r="AN467" s="351"/>
      <c r="AO467" s="349"/>
      <c r="AP467" s="349"/>
      <c r="AQ467" s="349"/>
      <c r="AR467" s="349"/>
      <c r="AS467" s="349"/>
      <c r="AT467" s="349"/>
      <c r="AU467" s="349"/>
      <c r="AV467" s="349"/>
      <c r="AW467" s="349"/>
      <c r="AX467" s="349"/>
    </row>
    <row r="468" ht="15.75" customHeight="1">
      <c r="A468" s="221" t="s">
        <v>112</v>
      </c>
      <c r="B468" s="198" t="s">
        <v>5386</v>
      </c>
      <c r="C468" s="190"/>
      <c r="D468" s="190"/>
      <c r="E468" s="190"/>
      <c r="F468" s="190"/>
      <c r="G468" s="348"/>
      <c r="H468" s="348"/>
      <c r="I468" s="348"/>
      <c r="J468" s="348"/>
      <c r="K468" s="348"/>
      <c r="L468" s="348"/>
      <c r="M468" s="348"/>
      <c r="N468" s="348"/>
      <c r="O468" s="348"/>
      <c r="P468" s="291"/>
      <c r="Q468" s="348"/>
      <c r="R468" s="348"/>
      <c r="S468" s="348"/>
      <c r="T468" s="335" t="s">
        <v>6579</v>
      </c>
      <c r="U468" s="348"/>
      <c r="V468" s="348"/>
      <c r="W468" s="348"/>
      <c r="X468" s="348"/>
      <c r="Y468" s="348"/>
      <c r="Z468" s="348"/>
      <c r="AA468" s="348"/>
      <c r="AB468" s="348"/>
      <c r="AC468" s="348"/>
      <c r="AD468" s="351"/>
      <c r="AE468" s="351"/>
      <c r="AF468" s="351"/>
      <c r="AG468" s="351"/>
      <c r="AH468" s="351"/>
      <c r="AI468" s="351"/>
      <c r="AJ468" s="351"/>
      <c r="AK468" s="351"/>
      <c r="AL468" s="351"/>
      <c r="AM468" s="351"/>
      <c r="AN468" s="351"/>
      <c r="AO468" s="349"/>
      <c r="AP468" s="349"/>
      <c r="AQ468" s="349"/>
      <c r="AR468" s="349"/>
      <c r="AS468" s="349"/>
      <c r="AT468" s="349"/>
      <c r="AU468" s="349"/>
      <c r="AV468" s="349"/>
      <c r="AW468" s="349"/>
      <c r="AX468" s="349"/>
    </row>
    <row r="469" ht="15.75" customHeight="1">
      <c r="A469" s="221" t="s">
        <v>112</v>
      </c>
      <c r="B469" s="198" t="s">
        <v>5390</v>
      </c>
      <c r="C469" s="190"/>
      <c r="D469" s="190"/>
      <c r="E469" s="190"/>
      <c r="F469" s="190"/>
      <c r="G469" s="348"/>
      <c r="H469" s="348"/>
      <c r="I469" s="348"/>
      <c r="J469" s="348"/>
      <c r="K469" s="348"/>
      <c r="L469" s="348"/>
      <c r="M469" s="348"/>
      <c r="N469" s="348"/>
      <c r="O469" s="348"/>
      <c r="P469" s="291"/>
      <c r="Q469" s="348"/>
      <c r="R469" s="348"/>
      <c r="S469" s="348"/>
      <c r="T469" s="335" t="s">
        <v>6596</v>
      </c>
      <c r="U469" s="348"/>
      <c r="V469" s="348"/>
      <c r="W469" s="348"/>
      <c r="X469" s="348"/>
      <c r="Y469" s="348"/>
      <c r="Z469" s="348"/>
      <c r="AA469" s="348"/>
      <c r="AB469" s="348"/>
      <c r="AC469" s="348"/>
      <c r="AD469" s="351"/>
      <c r="AE469" s="351"/>
      <c r="AF469" s="351"/>
      <c r="AG469" s="351"/>
      <c r="AH469" s="351"/>
      <c r="AI469" s="351"/>
      <c r="AJ469" s="351"/>
      <c r="AK469" s="351"/>
      <c r="AL469" s="351"/>
      <c r="AM469" s="351"/>
      <c r="AN469" s="351"/>
      <c r="AO469" s="349"/>
      <c r="AP469" s="349"/>
      <c r="AQ469" s="349"/>
      <c r="AR469" s="349"/>
      <c r="AS469" s="349"/>
      <c r="AT469" s="349"/>
      <c r="AU469" s="349"/>
      <c r="AV469" s="349"/>
      <c r="AW469" s="349"/>
      <c r="AX469" s="349"/>
    </row>
    <row r="470" ht="15.75" customHeight="1">
      <c r="A470" s="297" t="s">
        <v>46</v>
      </c>
      <c r="B470" s="298" t="s">
        <v>5394</v>
      </c>
      <c r="C470" s="190" t="s">
        <v>5399</v>
      </c>
      <c r="D470" s="190" t="s">
        <v>5399</v>
      </c>
      <c r="E470" s="190" t="s">
        <v>5399</v>
      </c>
      <c r="F470" s="190"/>
      <c r="G470" s="293"/>
      <c r="H470" s="293"/>
      <c r="I470" s="351"/>
      <c r="J470" s="351"/>
      <c r="K470" s="351"/>
      <c r="L470" s="351"/>
      <c r="M470" s="351"/>
      <c r="N470" s="351"/>
      <c r="O470" s="351"/>
      <c r="P470" s="291"/>
      <c r="Q470" s="351"/>
      <c r="R470" s="351"/>
      <c r="S470" s="351"/>
      <c r="T470" s="351"/>
      <c r="U470" s="351"/>
      <c r="V470" s="351"/>
      <c r="W470" s="351"/>
      <c r="X470" s="351"/>
      <c r="Y470" s="351"/>
      <c r="Z470" s="351"/>
      <c r="AA470" s="351"/>
      <c r="AB470" s="351"/>
      <c r="AC470" s="351"/>
      <c r="AD470" s="351"/>
      <c r="AE470" s="351"/>
      <c r="AF470" s="351"/>
      <c r="AG470" s="351"/>
      <c r="AH470" s="351"/>
      <c r="AI470" s="351"/>
      <c r="AJ470" s="351"/>
      <c r="AK470" s="351"/>
      <c r="AL470" s="351"/>
      <c r="AM470" s="351"/>
      <c r="AN470" s="351"/>
      <c r="AO470" s="349"/>
      <c r="AP470" s="349"/>
      <c r="AQ470" s="349"/>
      <c r="AR470" s="349"/>
      <c r="AS470" s="349"/>
      <c r="AT470" s="349"/>
      <c r="AU470" s="349"/>
      <c r="AV470" s="349"/>
      <c r="AW470" s="349"/>
      <c r="AX470" s="349"/>
    </row>
    <row r="471" ht="15.75" customHeight="1">
      <c r="A471" s="299" t="s">
        <v>2456</v>
      </c>
      <c r="B471" s="300" t="s">
        <v>5400</v>
      </c>
      <c r="C471" s="190" t="s">
        <v>5404</v>
      </c>
      <c r="D471" s="190" t="s">
        <v>5405</v>
      </c>
      <c r="E471" s="190" t="s">
        <v>5406</v>
      </c>
      <c r="F471" s="190"/>
      <c r="G471" s="293"/>
      <c r="H471" s="293"/>
      <c r="I471" s="356"/>
      <c r="J471" s="355"/>
      <c r="K471" s="356"/>
      <c r="L471" s="356"/>
      <c r="M471" s="356"/>
      <c r="N471" s="356"/>
      <c r="O471" s="291" t="s">
        <v>6462</v>
      </c>
      <c r="P471" s="291"/>
      <c r="Q471" s="291" t="s">
        <v>307</v>
      </c>
      <c r="R471" s="356"/>
      <c r="S471" s="356"/>
      <c r="T471" s="356"/>
      <c r="U471" s="356"/>
      <c r="V471" s="356"/>
      <c r="W471" s="356"/>
      <c r="X471" s="356"/>
      <c r="Y471" s="356"/>
      <c r="Z471" s="356"/>
      <c r="AA471" s="356"/>
      <c r="AB471" s="356"/>
      <c r="AC471" s="356"/>
      <c r="AD471" s="349"/>
      <c r="AE471" s="349"/>
      <c r="AF471" s="349"/>
      <c r="AG471" s="349"/>
      <c r="AH471" s="349"/>
      <c r="AI471" s="349"/>
      <c r="AJ471" s="349"/>
      <c r="AK471" s="349"/>
      <c r="AL471" s="354"/>
      <c r="AM471" s="354"/>
      <c r="AN471" s="354"/>
      <c r="AO471" s="349"/>
      <c r="AP471" s="349"/>
      <c r="AQ471" s="349"/>
      <c r="AR471" s="349"/>
      <c r="AS471" s="349"/>
      <c r="AT471" s="349"/>
      <c r="AU471" s="349"/>
      <c r="AV471" s="349"/>
      <c r="AW471" s="349"/>
      <c r="AX471" s="349"/>
    </row>
    <row r="472" ht="15.75" customHeight="1">
      <c r="A472" s="299" t="s">
        <v>2482</v>
      </c>
      <c r="B472" s="300" t="s">
        <v>5408</v>
      </c>
      <c r="C472" s="190" t="s">
        <v>5414</v>
      </c>
      <c r="D472" s="190" t="s">
        <v>5415</v>
      </c>
      <c r="E472" s="190" t="s">
        <v>5416</v>
      </c>
      <c r="F472" s="190"/>
      <c r="G472" s="293"/>
      <c r="H472" s="293"/>
      <c r="I472" s="356"/>
      <c r="J472" s="355"/>
      <c r="K472" s="356"/>
      <c r="L472" s="356"/>
      <c r="M472" s="356"/>
      <c r="N472" s="356"/>
      <c r="O472" s="291" t="s">
        <v>6626</v>
      </c>
      <c r="P472" s="291"/>
      <c r="Q472" s="291" t="s">
        <v>307</v>
      </c>
      <c r="R472" s="356"/>
      <c r="S472" s="356"/>
      <c r="T472" s="356"/>
      <c r="U472" s="356"/>
      <c r="V472" s="356"/>
      <c r="W472" s="356"/>
      <c r="X472" s="356"/>
      <c r="Y472" s="291" t="s">
        <v>6628</v>
      </c>
      <c r="Z472" s="356"/>
      <c r="AA472" s="356"/>
      <c r="AB472" s="356"/>
      <c r="AC472" s="356"/>
      <c r="AD472" s="356"/>
      <c r="AE472" s="356"/>
      <c r="AF472" s="356"/>
      <c r="AG472" s="356"/>
      <c r="AH472" s="356"/>
      <c r="AI472" s="356"/>
      <c r="AJ472" s="356"/>
      <c r="AK472" s="356"/>
      <c r="AL472" s="356"/>
      <c r="AM472" s="356"/>
      <c r="AN472" s="356"/>
      <c r="AO472" s="349"/>
      <c r="AP472" s="349"/>
      <c r="AQ472" s="349"/>
      <c r="AR472" s="349"/>
      <c r="AS472" s="349"/>
      <c r="AT472" s="349"/>
      <c r="AU472" s="349"/>
      <c r="AV472" s="349"/>
      <c r="AW472" s="349"/>
      <c r="AX472" s="349"/>
    </row>
    <row r="473" ht="15.75" customHeight="1">
      <c r="A473" s="301" t="s">
        <v>220</v>
      </c>
      <c r="B473" s="302" t="s">
        <v>5417</v>
      </c>
      <c r="C473" s="190" t="s">
        <v>5424</v>
      </c>
      <c r="D473" s="190" t="s">
        <v>5425</v>
      </c>
      <c r="E473" s="190" t="s">
        <v>5426</v>
      </c>
      <c r="F473" s="190"/>
      <c r="G473" s="293"/>
      <c r="H473" s="293"/>
      <c r="I473" s="366"/>
      <c r="J473" s="367"/>
      <c r="K473" s="366"/>
      <c r="L473" s="366"/>
      <c r="M473" s="366"/>
      <c r="N473" s="366"/>
      <c r="O473" s="368" t="s">
        <v>6638</v>
      </c>
      <c r="P473" s="291"/>
      <c r="Q473" s="368" t="s">
        <v>307</v>
      </c>
      <c r="R473" s="366"/>
      <c r="S473" s="366"/>
      <c r="T473" s="366"/>
      <c r="U473" s="366"/>
      <c r="V473" s="366"/>
      <c r="W473" s="366"/>
      <c r="X473" s="366"/>
      <c r="Y473" s="366"/>
      <c r="Z473" s="366"/>
      <c r="AA473" s="366"/>
      <c r="AB473" s="366"/>
      <c r="AC473" s="366"/>
      <c r="AD473" s="356"/>
      <c r="AE473" s="356"/>
      <c r="AF473" s="356"/>
      <c r="AG473" s="356"/>
      <c r="AH473" s="356"/>
      <c r="AI473" s="356"/>
      <c r="AJ473" s="356"/>
      <c r="AK473" s="356"/>
      <c r="AL473" s="356"/>
      <c r="AM473" s="356"/>
      <c r="AN473" s="356"/>
      <c r="AO473" s="349"/>
      <c r="AP473" s="349"/>
      <c r="AQ473" s="349"/>
      <c r="AR473" s="349"/>
      <c r="AS473" s="349"/>
      <c r="AT473" s="349"/>
      <c r="AU473" s="349"/>
      <c r="AV473" s="349"/>
      <c r="AW473" s="349"/>
      <c r="AX473" s="349"/>
    </row>
    <row r="474" ht="15.75" customHeight="1">
      <c r="A474" s="299" t="s">
        <v>1060</v>
      </c>
      <c r="B474" s="300" t="s">
        <v>5427</v>
      </c>
      <c r="C474" s="190" t="s">
        <v>5431</v>
      </c>
      <c r="D474" s="190" t="s">
        <v>5432</v>
      </c>
      <c r="E474" s="190" t="s">
        <v>5433</v>
      </c>
      <c r="F474" s="190"/>
      <c r="G474" s="293" t="s">
        <v>6055</v>
      </c>
      <c r="H474" s="293" t="s">
        <v>6056</v>
      </c>
      <c r="I474" s="356"/>
      <c r="J474" s="355"/>
      <c r="K474" s="356"/>
      <c r="L474" s="356"/>
      <c r="M474" s="356"/>
      <c r="N474" s="356"/>
      <c r="O474" s="291" t="s">
        <v>6648</v>
      </c>
      <c r="P474" s="291"/>
      <c r="Q474" s="291" t="s">
        <v>307</v>
      </c>
      <c r="R474" s="356"/>
      <c r="S474" s="356"/>
      <c r="T474" s="356"/>
      <c r="U474" s="356"/>
      <c r="V474" s="356"/>
      <c r="W474" s="356"/>
      <c r="X474" s="356"/>
      <c r="Y474" s="356"/>
      <c r="Z474" s="356"/>
      <c r="AA474" s="356"/>
      <c r="AB474" s="356"/>
      <c r="AC474" s="356"/>
      <c r="AD474" s="356"/>
      <c r="AE474" s="356"/>
      <c r="AF474" s="356"/>
      <c r="AG474" s="356"/>
      <c r="AH474" s="356"/>
      <c r="AI474" s="356"/>
      <c r="AJ474" s="356"/>
      <c r="AK474" s="356"/>
      <c r="AL474" s="356"/>
      <c r="AM474" s="356"/>
      <c r="AN474" s="356"/>
      <c r="AO474" s="349"/>
      <c r="AP474" s="349"/>
      <c r="AQ474" s="349"/>
      <c r="AR474" s="349"/>
      <c r="AS474" s="349"/>
      <c r="AT474" s="349"/>
      <c r="AU474" s="349"/>
      <c r="AV474" s="349"/>
      <c r="AW474" s="349"/>
      <c r="AX474" s="349"/>
    </row>
    <row r="475" ht="15.75" customHeight="1">
      <c r="A475" s="299" t="s">
        <v>5434</v>
      </c>
      <c r="B475" s="300" t="s">
        <v>5435</v>
      </c>
      <c r="C475" s="190" t="s">
        <v>5439</v>
      </c>
      <c r="D475" s="190" t="s">
        <v>5440</v>
      </c>
      <c r="E475" s="190" t="s">
        <v>5441</v>
      </c>
      <c r="F475" s="190"/>
      <c r="G475" s="293"/>
      <c r="H475" s="293"/>
      <c r="I475" s="356"/>
      <c r="J475" s="355"/>
      <c r="K475" s="356"/>
      <c r="L475" s="356"/>
      <c r="M475" s="356"/>
      <c r="N475" s="356"/>
      <c r="O475" s="291" t="s">
        <v>6661</v>
      </c>
      <c r="P475" s="291"/>
      <c r="Q475" s="291" t="s">
        <v>307</v>
      </c>
      <c r="R475" s="356"/>
      <c r="S475" s="356"/>
      <c r="T475" s="356"/>
      <c r="U475" s="356"/>
      <c r="V475" s="356"/>
      <c r="W475" s="356"/>
      <c r="X475" s="356"/>
      <c r="Y475" s="356"/>
      <c r="Z475" s="356"/>
      <c r="AA475" s="356"/>
      <c r="AB475" s="356"/>
      <c r="AC475" s="356"/>
      <c r="AD475" s="356"/>
      <c r="AE475" s="356"/>
      <c r="AF475" s="356"/>
      <c r="AG475" s="356"/>
      <c r="AH475" s="356"/>
      <c r="AI475" s="356"/>
      <c r="AJ475" s="356"/>
      <c r="AK475" s="356"/>
      <c r="AL475" s="356"/>
      <c r="AM475" s="356"/>
      <c r="AN475" s="356"/>
      <c r="AO475" s="349"/>
      <c r="AP475" s="349"/>
      <c r="AQ475" s="349"/>
      <c r="AR475" s="349"/>
      <c r="AS475" s="349"/>
      <c r="AT475" s="349"/>
      <c r="AU475" s="349"/>
      <c r="AV475" s="349"/>
      <c r="AW475" s="349"/>
      <c r="AX475" s="349"/>
    </row>
    <row r="476" ht="15.75" customHeight="1">
      <c r="A476" s="301" t="s">
        <v>220</v>
      </c>
      <c r="B476" s="302" t="s">
        <v>5442</v>
      </c>
      <c r="C476" s="190" t="s">
        <v>5446</v>
      </c>
      <c r="D476" s="190" t="s">
        <v>5447</v>
      </c>
      <c r="E476" s="190" t="s">
        <v>5448</v>
      </c>
      <c r="F476" s="190"/>
      <c r="G476" s="293"/>
      <c r="H476" s="293"/>
      <c r="I476" s="366"/>
      <c r="J476" s="367"/>
      <c r="K476" s="366"/>
      <c r="L476" s="366"/>
      <c r="M476" s="366"/>
      <c r="N476" s="366"/>
      <c r="O476" s="368" t="s">
        <v>6680</v>
      </c>
      <c r="P476" s="291"/>
      <c r="Q476" s="368" t="s">
        <v>307</v>
      </c>
      <c r="R476" s="366"/>
      <c r="S476" s="366"/>
      <c r="T476" s="366"/>
      <c r="U476" s="366"/>
      <c r="V476" s="366"/>
      <c r="W476" s="366"/>
      <c r="X476" s="366"/>
      <c r="Y476" s="366"/>
      <c r="Z476" s="366"/>
      <c r="AA476" s="366"/>
      <c r="AB476" s="366"/>
      <c r="AC476" s="366"/>
      <c r="AD476" s="356"/>
      <c r="AE476" s="356"/>
      <c r="AF476" s="356"/>
      <c r="AG476" s="356"/>
      <c r="AH476" s="356"/>
      <c r="AI476" s="356"/>
      <c r="AJ476" s="356"/>
      <c r="AK476" s="356"/>
      <c r="AL476" s="356"/>
      <c r="AM476" s="356"/>
      <c r="AN476" s="356"/>
      <c r="AO476" s="349"/>
      <c r="AP476" s="349"/>
      <c r="AQ476" s="349"/>
      <c r="AR476" s="349"/>
      <c r="AS476" s="349"/>
      <c r="AT476" s="349"/>
      <c r="AU476" s="349"/>
      <c r="AV476" s="349"/>
      <c r="AW476" s="349"/>
      <c r="AX476" s="349"/>
    </row>
    <row r="477" ht="15.75" customHeight="1">
      <c r="A477" s="342" t="s">
        <v>5296</v>
      </c>
      <c r="B477" s="343" t="s">
        <v>5450</v>
      </c>
      <c r="C477" s="190" t="s">
        <v>5454</v>
      </c>
      <c r="D477" s="190" t="s">
        <v>5455</v>
      </c>
      <c r="E477" s="190" t="s">
        <v>5456</v>
      </c>
      <c r="F477" s="190"/>
      <c r="G477" s="293"/>
      <c r="H477" s="293"/>
      <c r="I477" s="366"/>
      <c r="J477" s="367"/>
      <c r="K477" s="366"/>
      <c r="L477" s="366"/>
      <c r="M477" s="366"/>
      <c r="N477" s="366"/>
      <c r="O477" s="368" t="s">
        <v>6697</v>
      </c>
      <c r="P477" s="291"/>
      <c r="Q477" s="368" t="s">
        <v>307</v>
      </c>
      <c r="R477" s="366"/>
      <c r="S477" s="366"/>
      <c r="T477" s="366"/>
      <c r="U477" s="366"/>
      <c r="V477" s="366"/>
      <c r="W477" s="366"/>
      <c r="X477" s="366"/>
      <c r="Y477" s="366"/>
      <c r="Z477" s="366"/>
      <c r="AA477" s="366"/>
      <c r="AB477" s="366"/>
      <c r="AC477" s="366"/>
      <c r="AD477" s="356"/>
      <c r="AE477" s="356"/>
      <c r="AF477" s="356"/>
      <c r="AG477" s="356"/>
      <c r="AH477" s="356"/>
      <c r="AI477" s="356"/>
      <c r="AJ477" s="356"/>
      <c r="AK477" s="356"/>
      <c r="AL477" s="356"/>
      <c r="AM477" s="356"/>
      <c r="AN477" s="356"/>
      <c r="AO477" s="349"/>
      <c r="AP477" s="349"/>
      <c r="AQ477" s="349"/>
      <c r="AR477" s="349"/>
      <c r="AS477" s="349"/>
      <c r="AT477" s="349"/>
      <c r="AU477" s="349"/>
      <c r="AV477" s="349"/>
      <c r="AW477" s="349"/>
      <c r="AX477" s="349"/>
    </row>
    <row r="478" ht="15.75" customHeight="1">
      <c r="A478" s="301" t="s">
        <v>220</v>
      </c>
      <c r="B478" s="302" t="s">
        <v>5457</v>
      </c>
      <c r="C478" s="190" t="s">
        <v>5462</v>
      </c>
      <c r="D478" s="190" t="s">
        <v>5464</v>
      </c>
      <c r="E478" s="190" t="s">
        <v>5464</v>
      </c>
      <c r="F478" s="190"/>
      <c r="G478" s="293"/>
      <c r="H478" s="293"/>
      <c r="I478" s="366"/>
      <c r="J478" s="367"/>
      <c r="K478" s="366"/>
      <c r="L478" s="366"/>
      <c r="M478" s="366"/>
      <c r="N478" s="366"/>
      <c r="O478" s="368" t="s">
        <v>6697</v>
      </c>
      <c r="P478" s="291"/>
      <c r="Q478" s="368" t="s">
        <v>307</v>
      </c>
      <c r="R478" s="366"/>
      <c r="S478" s="366"/>
      <c r="T478" s="366"/>
      <c r="U478" s="366"/>
      <c r="V478" s="366"/>
      <c r="W478" s="366"/>
      <c r="X478" s="366"/>
      <c r="Y478" s="366"/>
      <c r="Z478" s="366"/>
      <c r="AA478" s="366"/>
      <c r="AB478" s="366"/>
      <c r="AC478" s="366"/>
      <c r="AD478" s="356"/>
      <c r="AE478" s="356"/>
      <c r="AF478" s="356"/>
      <c r="AG478" s="356"/>
      <c r="AH478" s="356"/>
      <c r="AI478" s="356"/>
      <c r="AJ478" s="356"/>
      <c r="AK478" s="356"/>
      <c r="AL478" s="356"/>
      <c r="AM478" s="356"/>
      <c r="AN478" s="356"/>
      <c r="AO478" s="349"/>
      <c r="AP478" s="349"/>
      <c r="AQ478" s="349"/>
      <c r="AR478" s="349"/>
      <c r="AS478" s="349"/>
      <c r="AT478" s="349"/>
      <c r="AU478" s="349"/>
      <c r="AV478" s="349"/>
      <c r="AW478" s="349"/>
      <c r="AX478" s="349"/>
    </row>
    <row r="479" ht="15.75" customHeight="1">
      <c r="A479" s="299" t="s">
        <v>1060</v>
      </c>
      <c r="B479" s="300" t="s">
        <v>5465</v>
      </c>
      <c r="C479" s="190" t="s">
        <v>5472</v>
      </c>
      <c r="D479" s="190" t="s">
        <v>5473</v>
      </c>
      <c r="E479" s="190" t="s">
        <v>5474</v>
      </c>
      <c r="F479" s="190"/>
      <c r="G479" s="293"/>
      <c r="H479" s="293"/>
      <c r="I479" s="356"/>
      <c r="J479" s="355"/>
      <c r="K479" s="356"/>
      <c r="L479" s="356"/>
      <c r="M479" s="356"/>
      <c r="N479" s="356"/>
      <c r="O479" s="385" t="s">
        <v>6725</v>
      </c>
      <c r="P479" s="291"/>
      <c r="Q479" s="291" t="s">
        <v>307</v>
      </c>
      <c r="R479" s="356"/>
      <c r="S479" s="356"/>
      <c r="T479" s="356"/>
      <c r="U479" s="356"/>
      <c r="V479" s="356"/>
      <c r="W479" s="356"/>
      <c r="X479" s="356"/>
      <c r="Y479" s="356"/>
      <c r="Z479" s="356"/>
      <c r="AA479" s="356"/>
      <c r="AB479" s="356"/>
      <c r="AC479" s="356"/>
      <c r="AD479" s="349"/>
      <c r="AE479" s="349"/>
      <c r="AF479" s="349"/>
      <c r="AG479" s="349"/>
      <c r="AH479" s="349"/>
      <c r="AI479" s="349"/>
      <c r="AJ479" s="349"/>
      <c r="AK479" s="349"/>
      <c r="AL479" s="354"/>
      <c r="AM479" s="354"/>
      <c r="AN479" s="354"/>
      <c r="AO479" s="349"/>
      <c r="AP479" s="349"/>
      <c r="AQ479" s="349"/>
      <c r="AR479" s="349"/>
      <c r="AS479" s="349"/>
      <c r="AT479" s="349"/>
      <c r="AU479" s="349"/>
      <c r="AV479" s="349"/>
      <c r="AW479" s="349"/>
      <c r="AX479" s="349"/>
    </row>
    <row r="480" ht="15.75" customHeight="1">
      <c r="A480" s="299" t="s">
        <v>2456</v>
      </c>
      <c r="B480" s="300" t="s">
        <v>5475</v>
      </c>
      <c r="C480" s="190" t="s">
        <v>5480</v>
      </c>
      <c r="D480" s="190" t="s">
        <v>5482</v>
      </c>
      <c r="E480" s="190" t="s">
        <v>5484</v>
      </c>
      <c r="F480" s="190"/>
      <c r="G480" s="293"/>
      <c r="H480" s="293"/>
      <c r="I480" s="356"/>
      <c r="J480" s="355"/>
      <c r="K480" s="356"/>
      <c r="L480" s="356"/>
      <c r="M480" s="356"/>
      <c r="N480" s="356"/>
      <c r="O480" s="385" t="s">
        <v>6743</v>
      </c>
      <c r="P480" s="291"/>
      <c r="Q480" s="291" t="s">
        <v>307</v>
      </c>
      <c r="R480" s="356"/>
      <c r="S480" s="356"/>
      <c r="T480" s="356"/>
      <c r="U480" s="356"/>
      <c r="V480" s="356"/>
      <c r="W480" s="356"/>
      <c r="X480" s="356"/>
      <c r="Y480" s="356"/>
      <c r="Z480" s="356"/>
      <c r="AA480" s="356"/>
      <c r="AB480" s="356"/>
      <c r="AC480" s="356"/>
      <c r="AD480" s="349"/>
      <c r="AE480" s="349"/>
      <c r="AF480" s="349"/>
      <c r="AG480" s="349"/>
      <c r="AH480" s="349"/>
      <c r="AI480" s="349"/>
      <c r="AJ480" s="349"/>
      <c r="AK480" s="349"/>
      <c r="AL480" s="354"/>
      <c r="AM480" s="354"/>
      <c r="AN480" s="354"/>
      <c r="AO480" s="349"/>
      <c r="AP480" s="349"/>
      <c r="AQ480" s="349"/>
      <c r="AR480" s="349"/>
      <c r="AS480" s="349"/>
      <c r="AT480" s="349"/>
      <c r="AU480" s="349"/>
      <c r="AV480" s="349"/>
      <c r="AW480" s="349"/>
      <c r="AX480" s="349"/>
    </row>
    <row r="481" ht="15.75" customHeight="1">
      <c r="A481" s="299" t="s">
        <v>1779</v>
      </c>
      <c r="B481" s="300" t="s">
        <v>5485</v>
      </c>
      <c r="C481" s="190" t="s">
        <v>5489</v>
      </c>
      <c r="D481" s="190" t="s">
        <v>5491</v>
      </c>
      <c r="E481" s="190" t="s">
        <v>5493</v>
      </c>
      <c r="F481" s="190"/>
      <c r="G481" s="293"/>
      <c r="H481" s="293"/>
      <c r="I481" s="356"/>
      <c r="J481" s="355"/>
      <c r="K481" s="356"/>
      <c r="L481" s="356"/>
      <c r="M481" s="356"/>
      <c r="N481" s="356"/>
      <c r="O481" s="385" t="s">
        <v>6766</v>
      </c>
      <c r="P481" s="291"/>
      <c r="Q481" s="291" t="s">
        <v>307</v>
      </c>
      <c r="R481" s="356"/>
      <c r="S481" s="356"/>
      <c r="T481" s="356"/>
      <c r="U481" s="356"/>
      <c r="V481" s="356"/>
      <c r="W481" s="356"/>
      <c r="X481" s="356"/>
      <c r="Y481" s="356"/>
      <c r="Z481" s="356"/>
      <c r="AA481" s="356"/>
      <c r="AB481" s="356"/>
      <c r="AC481" s="356"/>
      <c r="AD481" s="349"/>
      <c r="AE481" s="349"/>
      <c r="AF481" s="349"/>
      <c r="AG481" s="349"/>
      <c r="AH481" s="349"/>
      <c r="AI481" s="349"/>
      <c r="AJ481" s="349"/>
      <c r="AK481" s="349"/>
      <c r="AL481" s="354"/>
      <c r="AM481" s="354"/>
      <c r="AN481" s="354"/>
      <c r="AO481" s="349"/>
      <c r="AP481" s="349"/>
      <c r="AQ481" s="349"/>
      <c r="AR481" s="349"/>
      <c r="AS481" s="349"/>
      <c r="AT481" s="349"/>
      <c r="AU481" s="349"/>
      <c r="AV481" s="349"/>
      <c r="AW481" s="349"/>
      <c r="AX481" s="349"/>
    </row>
    <row r="482" ht="15.75" customHeight="1">
      <c r="A482" s="299" t="s">
        <v>1792</v>
      </c>
      <c r="B482" s="300" t="s">
        <v>5495</v>
      </c>
      <c r="C482" s="190" t="s">
        <v>5499</v>
      </c>
      <c r="D482" s="190" t="s">
        <v>5500</v>
      </c>
      <c r="E482" s="190" t="s">
        <v>5501</v>
      </c>
      <c r="F482" s="190" t="s">
        <v>3364</v>
      </c>
      <c r="G482" s="293" t="s">
        <v>6226</v>
      </c>
      <c r="H482" s="293" t="s">
        <v>3366</v>
      </c>
      <c r="I482" s="356"/>
      <c r="J482" s="355"/>
      <c r="K482" s="356"/>
      <c r="L482" s="356"/>
      <c r="M482" s="356"/>
      <c r="N482" s="356"/>
      <c r="O482" s="385" t="s">
        <v>6787</v>
      </c>
      <c r="P482" s="291"/>
      <c r="Q482" s="291" t="s">
        <v>307</v>
      </c>
      <c r="R482" s="356"/>
      <c r="S482" s="356"/>
      <c r="T482" s="356"/>
      <c r="U482" s="356"/>
      <c r="V482" s="356"/>
      <c r="W482" s="356"/>
      <c r="X482" s="356"/>
      <c r="Y482" s="291" t="s">
        <v>6790</v>
      </c>
      <c r="Z482" s="356"/>
      <c r="AA482" s="356"/>
      <c r="AB482" s="356"/>
      <c r="AC482" s="356"/>
      <c r="AD482" s="349"/>
      <c r="AE482" s="349"/>
      <c r="AF482" s="349"/>
      <c r="AG482" s="349"/>
      <c r="AH482" s="349"/>
      <c r="AI482" s="349"/>
      <c r="AJ482" s="349"/>
      <c r="AK482" s="349"/>
      <c r="AL482" s="354"/>
      <c r="AM482" s="354"/>
      <c r="AN482" s="354"/>
      <c r="AO482" s="349"/>
      <c r="AP482" s="349"/>
      <c r="AQ482" s="349"/>
      <c r="AR482" s="349"/>
      <c r="AS482" s="349"/>
      <c r="AT482" s="349"/>
      <c r="AU482" s="349"/>
      <c r="AV482" s="349"/>
      <c r="AW482" s="349"/>
      <c r="AX482" s="349"/>
    </row>
    <row r="483" ht="15.75" customHeight="1">
      <c r="A483" s="301" t="s">
        <v>220</v>
      </c>
      <c r="B483" s="302" t="s">
        <v>5504</v>
      </c>
      <c r="C483" s="190" t="s">
        <v>5509</v>
      </c>
      <c r="D483" s="190" t="s">
        <v>5510</v>
      </c>
      <c r="E483" s="190" t="s">
        <v>5511</v>
      </c>
      <c r="F483" s="190"/>
      <c r="G483" s="293"/>
      <c r="H483" s="293"/>
      <c r="I483" s="366"/>
      <c r="J483" s="367"/>
      <c r="K483" s="366"/>
      <c r="L483" s="366"/>
      <c r="M483" s="366"/>
      <c r="N483" s="366"/>
      <c r="O483" s="368" t="s">
        <v>6796</v>
      </c>
      <c r="P483" s="291"/>
      <c r="Q483" s="368" t="s">
        <v>307</v>
      </c>
      <c r="R483" s="366"/>
      <c r="S483" s="366"/>
      <c r="T483" s="366"/>
      <c r="U483" s="366"/>
      <c r="V483" s="366"/>
      <c r="W483" s="366"/>
      <c r="X483" s="366"/>
      <c r="Y483" s="366"/>
      <c r="Z483" s="366"/>
      <c r="AA483" s="366"/>
      <c r="AB483" s="366"/>
      <c r="AC483" s="366"/>
      <c r="AD483" s="349"/>
      <c r="AE483" s="349"/>
      <c r="AF483" s="349"/>
      <c r="AG483" s="349"/>
      <c r="AH483" s="349"/>
      <c r="AI483" s="349"/>
      <c r="AJ483" s="349"/>
      <c r="AK483" s="349"/>
      <c r="AL483" s="354"/>
      <c r="AM483" s="354"/>
      <c r="AN483" s="354"/>
      <c r="AO483" s="349"/>
      <c r="AP483" s="349"/>
      <c r="AQ483" s="349"/>
      <c r="AR483" s="349"/>
      <c r="AS483" s="349"/>
      <c r="AT483" s="349"/>
      <c r="AU483" s="349"/>
      <c r="AV483" s="349"/>
      <c r="AW483" s="349"/>
      <c r="AX483" s="349"/>
    </row>
    <row r="484" ht="15.75" customHeight="1">
      <c r="A484" s="299" t="s">
        <v>1814</v>
      </c>
      <c r="B484" s="300" t="s">
        <v>5512</v>
      </c>
      <c r="C484" s="190" t="s">
        <v>5516</v>
      </c>
      <c r="D484" s="190" t="s">
        <v>5518</v>
      </c>
      <c r="E484" s="190" t="s">
        <v>5520</v>
      </c>
      <c r="F484" s="190"/>
      <c r="G484" s="293"/>
      <c r="H484" s="293"/>
      <c r="I484" s="356"/>
      <c r="J484" s="340" t="s">
        <v>6797</v>
      </c>
      <c r="K484" s="356"/>
      <c r="L484" s="356"/>
      <c r="M484" s="356"/>
      <c r="N484" s="356"/>
      <c r="O484" s="291" t="s">
        <v>6800</v>
      </c>
      <c r="P484" s="291"/>
      <c r="Q484" s="291" t="s">
        <v>307</v>
      </c>
      <c r="R484" s="356"/>
      <c r="S484" s="356"/>
      <c r="T484" s="356"/>
      <c r="U484" s="356"/>
      <c r="V484" s="356"/>
      <c r="W484" s="356"/>
      <c r="X484" s="356"/>
      <c r="Y484" s="356"/>
      <c r="Z484" s="356"/>
      <c r="AA484" s="356"/>
      <c r="AB484" s="356"/>
      <c r="AC484" s="356"/>
      <c r="AD484" s="356"/>
      <c r="AE484" s="356"/>
      <c r="AF484" s="356"/>
      <c r="AG484" s="356"/>
      <c r="AH484" s="356"/>
      <c r="AI484" s="356"/>
      <c r="AJ484" s="356"/>
      <c r="AK484" s="356"/>
      <c r="AL484" s="356"/>
      <c r="AM484" s="356"/>
      <c r="AN484" s="356"/>
      <c r="AO484" s="349"/>
      <c r="AP484" s="349"/>
      <c r="AQ484" s="349"/>
      <c r="AR484" s="349"/>
      <c r="AS484" s="349"/>
      <c r="AT484" s="349"/>
      <c r="AU484" s="349"/>
      <c r="AV484" s="349"/>
      <c r="AW484" s="349"/>
      <c r="AX484" s="349"/>
    </row>
    <row r="485" ht="15.75" customHeight="1">
      <c r="A485" s="301" t="s">
        <v>220</v>
      </c>
      <c r="B485" s="302" t="s">
        <v>5522</v>
      </c>
      <c r="C485" s="190" t="s">
        <v>5526</v>
      </c>
      <c r="D485" s="190" t="s">
        <v>5527</v>
      </c>
      <c r="E485" s="190" t="s">
        <v>5528</v>
      </c>
      <c r="F485" s="190"/>
      <c r="G485" s="293"/>
      <c r="H485" s="293"/>
      <c r="I485" s="366"/>
      <c r="J485" s="367"/>
      <c r="K485" s="366"/>
      <c r="L485" s="366"/>
      <c r="M485" s="366"/>
      <c r="N485" s="366"/>
      <c r="O485" s="387" t="s">
        <v>6810</v>
      </c>
      <c r="P485" s="291"/>
      <c r="Q485" s="368" t="s">
        <v>307</v>
      </c>
      <c r="R485" s="366"/>
      <c r="S485" s="366"/>
      <c r="T485" s="366"/>
      <c r="U485" s="366"/>
      <c r="V485" s="366"/>
      <c r="W485" s="366"/>
      <c r="X485" s="366"/>
      <c r="Y485" s="366"/>
      <c r="Z485" s="366"/>
      <c r="AA485" s="366"/>
      <c r="AB485" s="366"/>
      <c r="AC485" s="366"/>
      <c r="AD485" s="356"/>
      <c r="AE485" s="356"/>
      <c r="AF485" s="356"/>
      <c r="AG485" s="356"/>
      <c r="AH485" s="356"/>
      <c r="AI485" s="356"/>
      <c r="AJ485" s="356"/>
      <c r="AK485" s="356"/>
      <c r="AL485" s="356"/>
      <c r="AM485" s="356"/>
      <c r="AN485" s="356"/>
      <c r="AO485" s="349"/>
      <c r="AP485" s="349"/>
      <c r="AQ485" s="349"/>
      <c r="AR485" s="349"/>
      <c r="AS485" s="349"/>
      <c r="AT485" s="349"/>
      <c r="AU485" s="349"/>
      <c r="AV485" s="349"/>
      <c r="AW485" s="349"/>
      <c r="AX485" s="349"/>
    </row>
    <row r="486" ht="15.75" customHeight="1">
      <c r="A486" s="310" t="s">
        <v>278</v>
      </c>
      <c r="B486" s="311" t="s">
        <v>5529</v>
      </c>
      <c r="C486" s="190"/>
      <c r="D486" s="190"/>
      <c r="E486" s="190"/>
      <c r="F486" s="190"/>
      <c r="G486" s="354"/>
      <c r="H486" s="354"/>
      <c r="I486" s="354"/>
      <c r="J486" s="365"/>
      <c r="K486" s="354"/>
      <c r="L486" s="354"/>
      <c r="M486" s="365"/>
      <c r="N486" s="365"/>
      <c r="O486" s="311" t="s">
        <v>6821</v>
      </c>
      <c r="P486" s="291"/>
      <c r="Q486" s="354"/>
      <c r="R486" s="354"/>
      <c r="S486" s="354"/>
      <c r="T486" s="354"/>
      <c r="U486" s="354"/>
      <c r="V486" s="354"/>
      <c r="W486" s="354"/>
      <c r="X486" s="354"/>
      <c r="Y486" s="354"/>
      <c r="Z486" s="354"/>
      <c r="AA486" s="354"/>
      <c r="AB486" s="354"/>
      <c r="AC486" s="354"/>
      <c r="AD486" s="356"/>
      <c r="AE486" s="356"/>
      <c r="AF486" s="356"/>
      <c r="AG486" s="356"/>
      <c r="AH486" s="356"/>
      <c r="AI486" s="356"/>
      <c r="AJ486" s="356"/>
      <c r="AK486" s="356"/>
      <c r="AL486" s="356"/>
      <c r="AM486" s="356"/>
      <c r="AN486" s="356"/>
      <c r="AO486" s="349"/>
      <c r="AP486" s="349"/>
      <c r="AQ486" s="349"/>
      <c r="AR486" s="349"/>
      <c r="AS486" s="349"/>
      <c r="AT486" s="349"/>
      <c r="AU486" s="349"/>
      <c r="AV486" s="349"/>
      <c r="AW486" s="349"/>
      <c r="AX486" s="349"/>
    </row>
    <row r="487" ht="15.75" customHeight="1">
      <c r="A487" s="299" t="s">
        <v>1060</v>
      </c>
      <c r="B487" s="300" t="s">
        <v>5534</v>
      </c>
      <c r="C487" s="190" t="s">
        <v>5538</v>
      </c>
      <c r="D487" s="190" t="s">
        <v>5539</v>
      </c>
      <c r="E487" s="190" t="s">
        <v>5540</v>
      </c>
      <c r="F487" s="190"/>
      <c r="G487" s="293"/>
      <c r="H487" s="293"/>
      <c r="I487" s="356"/>
      <c r="J487" s="355"/>
      <c r="K487" s="356"/>
      <c r="L487" s="356"/>
      <c r="M487" s="356"/>
      <c r="N487" s="356"/>
      <c r="O487" s="385" t="s">
        <v>6824</v>
      </c>
      <c r="P487" s="291"/>
      <c r="Q487" s="291" t="s">
        <v>307</v>
      </c>
      <c r="R487" s="356"/>
      <c r="S487" s="356"/>
      <c r="T487" s="356"/>
      <c r="U487" s="356"/>
      <c r="V487" s="356"/>
      <c r="W487" s="356"/>
      <c r="X487" s="356"/>
      <c r="Y487" s="356"/>
      <c r="Z487" s="356"/>
      <c r="AA487" s="356"/>
      <c r="AB487" s="356"/>
      <c r="AC487" s="356"/>
      <c r="AD487" s="356"/>
      <c r="AE487" s="356"/>
      <c r="AF487" s="356"/>
      <c r="AG487" s="356"/>
      <c r="AH487" s="356"/>
      <c r="AI487" s="356"/>
      <c r="AJ487" s="356"/>
      <c r="AK487" s="356"/>
      <c r="AL487" s="356"/>
      <c r="AM487" s="356"/>
      <c r="AN487" s="356"/>
      <c r="AO487" s="349"/>
      <c r="AP487" s="349"/>
      <c r="AQ487" s="349"/>
      <c r="AR487" s="349"/>
      <c r="AS487" s="349"/>
      <c r="AT487" s="349"/>
      <c r="AU487" s="349"/>
      <c r="AV487" s="349"/>
      <c r="AW487" s="349"/>
      <c r="AX487" s="349"/>
    </row>
    <row r="488" ht="15.75" customHeight="1">
      <c r="A488" s="299" t="s">
        <v>3425</v>
      </c>
      <c r="B488" s="300" t="s">
        <v>5541</v>
      </c>
      <c r="C488" s="190" t="s">
        <v>5545</v>
      </c>
      <c r="D488" s="190" t="s">
        <v>5546</v>
      </c>
      <c r="E488" s="190" t="s">
        <v>5547</v>
      </c>
      <c r="F488" s="190"/>
      <c r="G488" s="293"/>
      <c r="H488" s="293"/>
      <c r="I488" s="356"/>
      <c r="J488" s="355"/>
      <c r="K488" s="356"/>
      <c r="L488" s="356"/>
      <c r="M488" s="356"/>
      <c r="N488" s="356"/>
      <c r="O488" s="385" t="s">
        <v>6829</v>
      </c>
      <c r="P488" s="291"/>
      <c r="Q488" s="291" t="s">
        <v>307</v>
      </c>
      <c r="R488" s="356"/>
      <c r="S488" s="356"/>
      <c r="T488" s="356"/>
      <c r="U488" s="356"/>
      <c r="V488" s="356"/>
      <c r="W488" s="356"/>
      <c r="X488" s="356"/>
      <c r="Y488" s="356"/>
      <c r="Z488" s="356"/>
      <c r="AA488" s="356"/>
      <c r="AB488" s="356"/>
      <c r="AC488" s="356"/>
      <c r="AD488" s="351"/>
      <c r="AE488" s="351"/>
      <c r="AF488" s="351"/>
      <c r="AG488" s="351"/>
      <c r="AH488" s="351"/>
      <c r="AI488" s="351"/>
      <c r="AJ488" s="351"/>
      <c r="AK488" s="351"/>
      <c r="AL488" s="351"/>
      <c r="AM488" s="351"/>
      <c r="AN488" s="351"/>
      <c r="AO488" s="349"/>
      <c r="AP488" s="349"/>
      <c r="AQ488" s="349"/>
      <c r="AR488" s="349"/>
      <c r="AS488" s="349"/>
      <c r="AT488" s="349"/>
      <c r="AU488" s="349"/>
      <c r="AV488" s="349"/>
      <c r="AW488" s="349"/>
      <c r="AX488" s="349"/>
    </row>
    <row r="489" ht="15.75" customHeight="1">
      <c r="A489" s="301" t="s">
        <v>220</v>
      </c>
      <c r="B489" s="302" t="s">
        <v>5548</v>
      </c>
      <c r="C489" s="190" t="s">
        <v>5554</v>
      </c>
      <c r="D489" s="190" t="s">
        <v>5556</v>
      </c>
      <c r="E489" s="190" t="s">
        <v>5558</v>
      </c>
      <c r="F489" s="190"/>
      <c r="G489" s="293"/>
      <c r="H489" s="293"/>
      <c r="I489" s="366"/>
      <c r="J489" s="367"/>
      <c r="K489" s="366"/>
      <c r="L489" s="366"/>
      <c r="M489" s="366"/>
      <c r="N489" s="366"/>
      <c r="O489" s="368" t="s">
        <v>6838</v>
      </c>
      <c r="P489" s="291"/>
      <c r="Q489" s="366"/>
      <c r="R489" s="366"/>
      <c r="S489" s="366"/>
      <c r="T489" s="366"/>
      <c r="U489" s="366"/>
      <c r="V489" s="366"/>
      <c r="W489" s="366"/>
      <c r="X489" s="366"/>
      <c r="Y489" s="366"/>
      <c r="Z489" s="366"/>
      <c r="AA489" s="366"/>
      <c r="AB489" s="366"/>
      <c r="AC489" s="366"/>
      <c r="AD489" s="351"/>
      <c r="AE489" s="351"/>
      <c r="AF489" s="351"/>
      <c r="AG489" s="351"/>
      <c r="AH489" s="351"/>
      <c r="AI489" s="351"/>
      <c r="AJ489" s="351"/>
      <c r="AK489" s="351"/>
      <c r="AL489" s="351"/>
      <c r="AM489" s="351"/>
      <c r="AN489" s="351"/>
      <c r="AO489" s="349"/>
      <c r="AP489" s="349"/>
      <c r="AQ489" s="349"/>
      <c r="AR489" s="349"/>
      <c r="AS489" s="349"/>
      <c r="AT489" s="349"/>
      <c r="AU489" s="349"/>
      <c r="AV489" s="349"/>
      <c r="AW489" s="349"/>
      <c r="AX489" s="349"/>
    </row>
    <row r="490" ht="15.75" customHeight="1">
      <c r="A490" s="299" t="s">
        <v>1060</v>
      </c>
      <c r="B490" s="300" t="s">
        <v>5559</v>
      </c>
      <c r="C490" s="190" t="s">
        <v>5563</v>
      </c>
      <c r="D490" s="190" t="s">
        <v>5564</v>
      </c>
      <c r="E490" s="190" t="s">
        <v>5565</v>
      </c>
      <c r="F490" s="190"/>
      <c r="G490" s="293"/>
      <c r="H490" s="293"/>
      <c r="I490" s="356"/>
      <c r="J490" s="355"/>
      <c r="K490" s="356"/>
      <c r="L490" s="356"/>
      <c r="M490" s="356"/>
      <c r="N490" s="356"/>
      <c r="O490" s="291" t="s">
        <v>6850</v>
      </c>
      <c r="P490" s="291"/>
      <c r="Q490" s="291" t="s">
        <v>307</v>
      </c>
      <c r="R490" s="356"/>
      <c r="S490" s="356"/>
      <c r="T490" s="356"/>
      <c r="U490" s="356"/>
      <c r="V490" s="356"/>
      <c r="W490" s="356"/>
      <c r="X490" s="356"/>
      <c r="Y490" s="356"/>
      <c r="Z490" s="356"/>
      <c r="AA490" s="356"/>
      <c r="AB490" s="356"/>
      <c r="AC490" s="356"/>
      <c r="AD490" s="349"/>
      <c r="AE490" s="349"/>
      <c r="AF490" s="349"/>
      <c r="AG490" s="349"/>
      <c r="AH490" s="349"/>
      <c r="AI490" s="349"/>
      <c r="AJ490" s="349"/>
      <c r="AK490" s="349"/>
      <c r="AL490" s="354"/>
      <c r="AM490" s="354"/>
      <c r="AN490" s="354"/>
      <c r="AO490" s="349"/>
      <c r="AP490" s="349"/>
      <c r="AQ490" s="349"/>
      <c r="AR490" s="349"/>
      <c r="AS490" s="349"/>
      <c r="AT490" s="349"/>
      <c r="AU490" s="349"/>
      <c r="AV490" s="349"/>
      <c r="AW490" s="349"/>
      <c r="AX490" s="349"/>
    </row>
    <row r="491" ht="15.75" customHeight="1">
      <c r="A491" s="306" t="s">
        <v>247</v>
      </c>
      <c r="B491" s="307" t="s">
        <v>5566</v>
      </c>
      <c r="C491" s="190" t="s">
        <v>5570</v>
      </c>
      <c r="D491" s="190" t="s">
        <v>5571</v>
      </c>
      <c r="E491" s="190" t="s">
        <v>5573</v>
      </c>
      <c r="F491" s="190"/>
      <c r="G491" s="293"/>
      <c r="H491" s="293"/>
      <c r="I491" s="359"/>
      <c r="J491" s="359"/>
      <c r="K491" s="360" t="s">
        <v>4159</v>
      </c>
      <c r="L491" s="369"/>
      <c r="M491" s="359"/>
      <c r="N491" s="359"/>
      <c r="O491" s="361" t="s">
        <v>6855</v>
      </c>
      <c r="P491" s="291"/>
      <c r="Q491" s="361" t="s">
        <v>307</v>
      </c>
      <c r="R491" s="359"/>
      <c r="S491" s="359"/>
      <c r="T491" s="359"/>
      <c r="U491" s="359"/>
      <c r="V491" s="359"/>
      <c r="W491" s="359"/>
      <c r="X491" s="359"/>
      <c r="Y491" s="359"/>
      <c r="Z491" s="359"/>
      <c r="AA491" s="359"/>
      <c r="AB491" s="359"/>
      <c r="AC491" s="359"/>
      <c r="AD491" s="349"/>
      <c r="AE491" s="349"/>
      <c r="AF491" s="349"/>
      <c r="AG491" s="349"/>
      <c r="AH491" s="349"/>
      <c r="AI491" s="349"/>
      <c r="AJ491" s="349"/>
      <c r="AK491" s="349"/>
      <c r="AL491" s="354"/>
      <c r="AM491" s="354"/>
      <c r="AN491" s="354"/>
      <c r="AO491" s="349"/>
      <c r="AP491" s="349"/>
      <c r="AQ491" s="349"/>
      <c r="AR491" s="349"/>
      <c r="AS491" s="349"/>
      <c r="AT491" s="349"/>
      <c r="AU491" s="349"/>
      <c r="AV491" s="349"/>
      <c r="AW491" s="349"/>
      <c r="AX491" s="349"/>
    </row>
    <row r="492" ht="15.75" customHeight="1">
      <c r="A492" s="299" t="s">
        <v>5575</v>
      </c>
      <c r="B492" s="300" t="s">
        <v>5577</v>
      </c>
      <c r="C492" s="190" t="s">
        <v>5581</v>
      </c>
      <c r="D492" s="190" t="s">
        <v>5582</v>
      </c>
      <c r="E492" s="190" t="s">
        <v>5583</v>
      </c>
      <c r="F492" s="190" t="s">
        <v>3364</v>
      </c>
      <c r="G492" s="293" t="s">
        <v>6226</v>
      </c>
      <c r="H492" s="293" t="s">
        <v>3366</v>
      </c>
      <c r="I492" s="356"/>
      <c r="J492" s="355"/>
      <c r="K492" s="356"/>
      <c r="L492" s="356"/>
      <c r="M492" s="356"/>
      <c r="N492" s="356"/>
      <c r="O492" s="291" t="s">
        <v>6867</v>
      </c>
      <c r="P492" s="291" t="s">
        <v>307</v>
      </c>
      <c r="Q492" s="291" t="s">
        <v>307</v>
      </c>
      <c r="R492" s="356"/>
      <c r="S492" s="356"/>
      <c r="T492" s="356"/>
      <c r="U492" s="356"/>
      <c r="V492" s="356"/>
      <c r="W492" s="356"/>
      <c r="X492" s="356"/>
      <c r="Y492" s="356"/>
      <c r="Z492" s="356"/>
      <c r="AA492" s="356"/>
      <c r="AB492" s="356"/>
      <c r="AC492" s="356"/>
      <c r="AD492" s="349"/>
      <c r="AE492" s="349"/>
      <c r="AF492" s="349"/>
      <c r="AG492" s="349"/>
      <c r="AH492" s="349"/>
      <c r="AI492" s="349"/>
      <c r="AJ492" s="349"/>
      <c r="AK492" s="349"/>
      <c r="AL492" s="354"/>
      <c r="AM492" s="354"/>
      <c r="AN492" s="354"/>
      <c r="AO492" s="349"/>
      <c r="AP492" s="349"/>
      <c r="AQ492" s="349"/>
      <c r="AR492" s="349"/>
      <c r="AS492" s="349"/>
      <c r="AT492" s="349"/>
      <c r="AU492" s="349"/>
      <c r="AV492" s="349"/>
      <c r="AW492" s="349"/>
      <c r="AX492" s="349"/>
    </row>
    <row r="493" ht="15.75" customHeight="1">
      <c r="A493" s="299" t="s">
        <v>1060</v>
      </c>
      <c r="B493" s="300" t="s">
        <v>5584</v>
      </c>
      <c r="C493" s="190" t="s">
        <v>5591</v>
      </c>
      <c r="D493" s="190" t="s">
        <v>5592</v>
      </c>
      <c r="E493" s="190" t="s">
        <v>5593</v>
      </c>
      <c r="F493" s="190"/>
      <c r="G493" s="293"/>
      <c r="H493" s="293"/>
      <c r="I493" s="356"/>
      <c r="J493" s="355"/>
      <c r="K493" s="356"/>
      <c r="L493" s="356"/>
      <c r="M493" s="356"/>
      <c r="N493" s="356"/>
      <c r="O493" s="291" t="s">
        <v>6877</v>
      </c>
      <c r="P493" s="291"/>
      <c r="Q493" s="291" t="s">
        <v>307</v>
      </c>
      <c r="R493" s="356"/>
      <c r="S493" s="356"/>
      <c r="T493" s="356"/>
      <c r="U493" s="356"/>
      <c r="V493" s="356"/>
      <c r="W493" s="356"/>
      <c r="X493" s="356"/>
      <c r="Y493" s="356"/>
      <c r="Z493" s="356"/>
      <c r="AA493" s="356"/>
      <c r="AB493" s="356"/>
      <c r="AC493" s="356"/>
      <c r="AD493" s="356"/>
      <c r="AE493" s="356"/>
      <c r="AF493" s="356"/>
      <c r="AG493" s="356"/>
      <c r="AH493" s="356"/>
      <c r="AI493" s="356"/>
      <c r="AJ493" s="356"/>
      <c r="AK493" s="356"/>
      <c r="AL493" s="356"/>
      <c r="AM493" s="356"/>
      <c r="AN493" s="356"/>
      <c r="AO493" s="349"/>
      <c r="AP493" s="349"/>
      <c r="AQ493" s="349"/>
      <c r="AR493" s="349"/>
      <c r="AS493" s="349"/>
      <c r="AT493" s="349"/>
      <c r="AU493" s="349"/>
      <c r="AV493" s="349"/>
      <c r="AW493" s="349"/>
      <c r="AX493" s="349"/>
    </row>
    <row r="494" ht="15.75" customHeight="1">
      <c r="A494" s="299" t="s">
        <v>5594</v>
      </c>
      <c r="B494" s="300" t="s">
        <v>5595</v>
      </c>
      <c r="C494" s="190" t="s">
        <v>5599</v>
      </c>
      <c r="D494" s="190" t="s">
        <v>5600</v>
      </c>
      <c r="E494" s="190" t="s">
        <v>5601</v>
      </c>
      <c r="F494" s="190"/>
      <c r="G494" s="293"/>
      <c r="H494" s="293"/>
      <c r="I494" s="356"/>
      <c r="J494" s="355"/>
      <c r="K494" s="356"/>
      <c r="L494" s="356"/>
      <c r="M494" s="356"/>
      <c r="N494" s="356"/>
      <c r="O494" s="291" t="s">
        <v>6883</v>
      </c>
      <c r="P494" s="291"/>
      <c r="Q494" s="291" t="s">
        <v>307</v>
      </c>
      <c r="R494" s="356"/>
      <c r="S494" s="356"/>
      <c r="T494" s="356"/>
      <c r="U494" s="356"/>
      <c r="V494" s="356"/>
      <c r="W494" s="356"/>
      <c r="X494" s="356"/>
      <c r="Y494" s="356"/>
      <c r="Z494" s="356"/>
      <c r="AA494" s="356"/>
      <c r="AB494" s="356"/>
      <c r="AC494" s="356"/>
      <c r="AD494" s="356"/>
      <c r="AE494" s="356"/>
      <c r="AF494" s="356"/>
      <c r="AG494" s="356"/>
      <c r="AH494" s="356"/>
      <c r="AI494" s="356"/>
      <c r="AJ494" s="356"/>
      <c r="AK494" s="356"/>
      <c r="AL494" s="356"/>
      <c r="AM494" s="356"/>
      <c r="AN494" s="356"/>
      <c r="AO494" s="349"/>
      <c r="AP494" s="349"/>
      <c r="AQ494" s="349"/>
      <c r="AR494" s="349"/>
      <c r="AS494" s="349"/>
      <c r="AT494" s="349"/>
      <c r="AU494" s="349"/>
      <c r="AV494" s="349"/>
      <c r="AW494" s="349"/>
      <c r="AX494" s="349"/>
    </row>
    <row r="495" ht="15.75" customHeight="1">
      <c r="A495" s="306" t="s">
        <v>247</v>
      </c>
      <c r="B495" s="307" t="s">
        <v>5605</v>
      </c>
      <c r="C495" s="190" t="s">
        <v>5610</v>
      </c>
      <c r="D495" s="190" t="s">
        <v>5611</v>
      </c>
      <c r="E495" s="190" t="s">
        <v>5612</v>
      </c>
      <c r="F495" s="190"/>
      <c r="G495" s="293"/>
      <c r="H495" s="293"/>
      <c r="I495" s="359"/>
      <c r="J495" s="359"/>
      <c r="K495" s="360" t="s">
        <v>6887</v>
      </c>
      <c r="L495" s="369"/>
      <c r="M495" s="359"/>
      <c r="N495" s="359"/>
      <c r="O495" s="361" t="s">
        <v>6888</v>
      </c>
      <c r="P495" s="291"/>
      <c r="Q495" s="361" t="s">
        <v>307</v>
      </c>
      <c r="R495" s="359"/>
      <c r="S495" s="359"/>
      <c r="T495" s="359"/>
      <c r="U495" s="359"/>
      <c r="V495" s="359"/>
      <c r="W495" s="359"/>
      <c r="X495" s="359"/>
      <c r="Y495" s="391"/>
      <c r="Z495" s="359"/>
      <c r="AA495" s="359"/>
      <c r="AB495" s="359"/>
      <c r="AC495" s="359"/>
      <c r="AD495" s="349"/>
      <c r="AE495" s="349"/>
      <c r="AF495" s="349"/>
      <c r="AG495" s="349"/>
      <c r="AH495" s="349"/>
      <c r="AI495" s="349"/>
      <c r="AJ495" s="349"/>
      <c r="AK495" s="349"/>
      <c r="AL495" s="359"/>
      <c r="AM495" s="359"/>
      <c r="AN495" s="359"/>
      <c r="AO495" s="349"/>
      <c r="AP495" s="349"/>
      <c r="AQ495" s="349"/>
      <c r="AR495" s="349"/>
      <c r="AS495" s="349"/>
      <c r="AT495" s="349"/>
      <c r="AU495" s="349"/>
      <c r="AV495" s="349"/>
      <c r="AW495" s="349"/>
      <c r="AX495" s="349"/>
    </row>
    <row r="496" ht="15.75" customHeight="1">
      <c r="A496" s="306" t="s">
        <v>247</v>
      </c>
      <c r="B496" s="307" t="s">
        <v>5613</v>
      </c>
      <c r="C496" s="190" t="s">
        <v>5620</v>
      </c>
      <c r="D496" s="190" t="s">
        <v>5621</v>
      </c>
      <c r="E496" s="190" t="s">
        <v>5622</v>
      </c>
      <c r="F496" s="190"/>
      <c r="G496" s="293"/>
      <c r="H496" s="293"/>
      <c r="I496" s="359"/>
      <c r="J496" s="359"/>
      <c r="K496" s="360" t="s">
        <v>6890</v>
      </c>
      <c r="L496" s="360" t="s">
        <v>6891</v>
      </c>
      <c r="M496" s="359"/>
      <c r="N496" s="359"/>
      <c r="O496" s="361" t="s">
        <v>6883</v>
      </c>
      <c r="P496" s="291"/>
      <c r="Q496" s="361" t="s">
        <v>307</v>
      </c>
      <c r="R496" s="359"/>
      <c r="S496" s="359"/>
      <c r="T496" s="359"/>
      <c r="U496" s="359"/>
      <c r="V496" s="359"/>
      <c r="W496" s="359"/>
      <c r="X496" s="359"/>
      <c r="Y496" s="359"/>
      <c r="Z496" s="359"/>
      <c r="AA496" s="359"/>
      <c r="AB496" s="359"/>
      <c r="AC496" s="359"/>
      <c r="AD496" s="359"/>
      <c r="AE496" s="359"/>
      <c r="AF496" s="359"/>
      <c r="AG496" s="359"/>
      <c r="AH496" s="359"/>
      <c r="AI496" s="359"/>
      <c r="AJ496" s="359"/>
      <c r="AK496" s="359"/>
      <c r="AL496" s="359"/>
      <c r="AM496" s="359"/>
      <c r="AN496" s="359"/>
      <c r="AO496" s="349"/>
      <c r="AP496" s="349"/>
      <c r="AQ496" s="349"/>
      <c r="AR496" s="349"/>
      <c r="AS496" s="349"/>
      <c r="AT496" s="349"/>
      <c r="AU496" s="349"/>
      <c r="AV496" s="349"/>
      <c r="AW496" s="349"/>
      <c r="AX496" s="349"/>
    </row>
    <row r="497" ht="15.75" customHeight="1">
      <c r="A497" s="306" t="s">
        <v>247</v>
      </c>
      <c r="B497" s="307" t="s">
        <v>5623</v>
      </c>
      <c r="C497" s="190" t="s">
        <v>5629</v>
      </c>
      <c r="D497" s="190" t="s">
        <v>5631</v>
      </c>
      <c r="E497" s="190" t="s">
        <v>5632</v>
      </c>
      <c r="F497" s="190"/>
      <c r="G497" s="293"/>
      <c r="H497" s="293"/>
      <c r="I497" s="359"/>
      <c r="J497" s="359"/>
      <c r="K497" s="360" t="s">
        <v>6890</v>
      </c>
      <c r="L497" s="360" t="s">
        <v>6891</v>
      </c>
      <c r="M497" s="359"/>
      <c r="N497" s="359"/>
      <c r="O497" s="361" t="s">
        <v>6883</v>
      </c>
      <c r="P497" s="291"/>
      <c r="Q497" s="361" t="s">
        <v>307</v>
      </c>
      <c r="R497" s="359"/>
      <c r="S497" s="359"/>
      <c r="T497" s="359"/>
      <c r="U497" s="359"/>
      <c r="V497" s="359"/>
      <c r="W497" s="359"/>
      <c r="X497" s="359"/>
      <c r="Y497" s="359"/>
      <c r="Z497" s="359"/>
      <c r="AA497" s="359"/>
      <c r="AB497" s="359"/>
      <c r="AC497" s="359"/>
      <c r="AD497" s="359"/>
      <c r="AE497" s="359"/>
      <c r="AF497" s="359"/>
      <c r="AG497" s="359"/>
      <c r="AH497" s="359"/>
      <c r="AI497" s="359"/>
      <c r="AJ497" s="359"/>
      <c r="AK497" s="359"/>
      <c r="AL497" s="359"/>
      <c r="AM497" s="359"/>
      <c r="AN497" s="359"/>
      <c r="AO497" s="349"/>
      <c r="AP497" s="349"/>
      <c r="AQ497" s="349"/>
      <c r="AR497" s="349"/>
      <c r="AS497" s="349"/>
      <c r="AT497" s="349"/>
      <c r="AU497" s="349"/>
      <c r="AV497" s="349"/>
      <c r="AW497" s="349"/>
      <c r="AX497" s="349"/>
    </row>
    <row r="498" ht="15.75" customHeight="1">
      <c r="A498" s="299" t="s">
        <v>2456</v>
      </c>
      <c r="B498" s="300" t="s">
        <v>5633</v>
      </c>
      <c r="C498" s="190" t="s">
        <v>5637</v>
      </c>
      <c r="D498" s="190" t="s">
        <v>5638</v>
      </c>
      <c r="E498" s="190" t="s">
        <v>5639</v>
      </c>
      <c r="F498" s="190"/>
      <c r="G498" s="293"/>
      <c r="H498" s="293"/>
      <c r="I498" s="356"/>
      <c r="J498" s="355"/>
      <c r="K498" s="356"/>
      <c r="L498" s="356"/>
      <c r="M498" s="356"/>
      <c r="N498" s="356"/>
      <c r="O498" s="299" t="s">
        <v>6905</v>
      </c>
      <c r="P498" s="291"/>
      <c r="Q498" s="291" t="s">
        <v>307</v>
      </c>
      <c r="R498" s="356"/>
      <c r="S498" s="356"/>
      <c r="T498" s="356"/>
      <c r="U498" s="356"/>
      <c r="V498" s="356"/>
      <c r="W498" s="356"/>
      <c r="X498" s="356"/>
      <c r="Y498" s="356"/>
      <c r="Z498" s="356"/>
      <c r="AA498" s="356"/>
      <c r="AB498" s="356"/>
      <c r="AC498" s="356"/>
      <c r="AD498" s="349"/>
      <c r="AE498" s="349"/>
      <c r="AF498" s="349"/>
      <c r="AG498" s="349"/>
      <c r="AH498" s="349"/>
      <c r="AI498" s="349"/>
      <c r="AJ498" s="349"/>
      <c r="AK498" s="349"/>
      <c r="AL498" s="354"/>
      <c r="AM498" s="354"/>
      <c r="AN498" s="354"/>
      <c r="AO498" s="349"/>
      <c r="AP498" s="349"/>
      <c r="AQ498" s="349"/>
      <c r="AR498" s="349"/>
      <c r="AS498" s="349"/>
      <c r="AT498" s="349"/>
      <c r="AU498" s="349"/>
      <c r="AV498" s="349"/>
      <c r="AW498" s="349"/>
      <c r="AX498" s="349"/>
    </row>
    <row r="499" ht="15.75" customHeight="1">
      <c r="A499" s="306" t="s">
        <v>247</v>
      </c>
      <c r="B499" s="307" t="s">
        <v>5643</v>
      </c>
      <c r="C499" s="190" t="s">
        <v>5647</v>
      </c>
      <c r="D499" s="190" t="s">
        <v>5648</v>
      </c>
      <c r="E499" s="190" t="s">
        <v>5649</v>
      </c>
      <c r="F499" s="190"/>
      <c r="G499" s="293"/>
      <c r="H499" s="293"/>
      <c r="I499" s="359"/>
      <c r="J499" s="359"/>
      <c r="K499" s="360" t="s">
        <v>6917</v>
      </c>
      <c r="L499" s="369"/>
      <c r="M499" s="359"/>
      <c r="N499" s="359"/>
      <c r="O499" s="361" t="s">
        <v>6918</v>
      </c>
      <c r="P499" s="291"/>
      <c r="Q499" s="361" t="s">
        <v>307</v>
      </c>
      <c r="R499" s="359"/>
      <c r="S499" s="359"/>
      <c r="T499" s="359"/>
      <c r="U499" s="359"/>
      <c r="V499" s="359"/>
      <c r="W499" s="359"/>
      <c r="X499" s="359"/>
      <c r="Y499" s="359"/>
      <c r="Z499" s="359"/>
      <c r="AA499" s="359"/>
      <c r="AB499" s="359"/>
      <c r="AC499" s="359"/>
      <c r="AD499" s="349"/>
      <c r="AE499" s="349"/>
      <c r="AF499" s="349"/>
      <c r="AG499" s="349"/>
      <c r="AH499" s="349"/>
      <c r="AI499" s="349"/>
      <c r="AJ499" s="349"/>
      <c r="AK499" s="349"/>
      <c r="AL499" s="354"/>
      <c r="AM499" s="354"/>
      <c r="AN499" s="354"/>
      <c r="AO499" s="349"/>
      <c r="AP499" s="349"/>
      <c r="AQ499" s="349"/>
      <c r="AR499" s="349"/>
      <c r="AS499" s="349"/>
      <c r="AT499" s="349"/>
      <c r="AU499" s="349"/>
      <c r="AV499" s="349"/>
      <c r="AW499" s="349"/>
      <c r="AX499" s="349"/>
    </row>
    <row r="500" ht="15.75" customHeight="1">
      <c r="A500" s="310" t="s">
        <v>331</v>
      </c>
      <c r="B500" s="315" t="s">
        <v>5651</v>
      </c>
      <c r="C500" s="190"/>
      <c r="D500" s="190"/>
      <c r="E500" s="190"/>
      <c r="F500" s="190"/>
      <c r="G500" s="354"/>
      <c r="H500" s="354"/>
      <c r="I500" s="354"/>
      <c r="J500" s="354"/>
      <c r="K500" s="354"/>
      <c r="L500" s="354"/>
      <c r="M500" s="354"/>
      <c r="N500" s="354"/>
      <c r="O500" s="354"/>
      <c r="P500" s="291"/>
      <c r="Q500" s="354"/>
      <c r="R500" s="354"/>
      <c r="S500" s="354"/>
      <c r="T500" s="354"/>
      <c r="U500" s="354"/>
      <c r="V500" s="354"/>
      <c r="W500" s="354"/>
      <c r="X500" s="354"/>
      <c r="Y500" s="354"/>
      <c r="Z500" s="354"/>
      <c r="AA500" s="354"/>
      <c r="AB500" s="354"/>
      <c r="AC500" s="354"/>
      <c r="AD500" s="349"/>
      <c r="AE500" s="349"/>
      <c r="AF500" s="349"/>
      <c r="AG500" s="349"/>
      <c r="AH500" s="349"/>
      <c r="AI500" s="349"/>
      <c r="AJ500" s="349"/>
      <c r="AK500" s="349"/>
      <c r="AL500" s="349"/>
      <c r="AM500" s="349"/>
      <c r="AN500" s="349"/>
      <c r="AO500" s="349"/>
      <c r="AP500" s="349"/>
      <c r="AQ500" s="349"/>
      <c r="AR500" s="349"/>
      <c r="AS500" s="349"/>
      <c r="AT500" s="349"/>
      <c r="AU500" s="349"/>
      <c r="AV500" s="349"/>
      <c r="AW500" s="349"/>
      <c r="AX500" s="349"/>
    </row>
    <row r="501" ht="15.75" customHeight="1">
      <c r="A501" s="320"/>
      <c r="B501" s="321"/>
      <c r="C501" s="190"/>
      <c r="D501" s="190"/>
      <c r="E501" s="190"/>
      <c r="F501" s="190"/>
      <c r="G501" s="349"/>
      <c r="H501" s="349"/>
      <c r="I501" s="349"/>
      <c r="J501" s="349"/>
      <c r="K501" s="349"/>
      <c r="L501" s="349"/>
      <c r="M501" s="349"/>
      <c r="N501" s="349"/>
      <c r="O501" s="349"/>
      <c r="P501" s="291"/>
      <c r="Q501" s="349"/>
      <c r="R501" s="349"/>
      <c r="S501" s="349"/>
      <c r="T501" s="349"/>
      <c r="U501" s="349"/>
      <c r="V501" s="349"/>
      <c r="W501" s="349"/>
      <c r="X501" s="349"/>
      <c r="Y501" s="349"/>
      <c r="Z501" s="349"/>
      <c r="AA501" s="349"/>
      <c r="AB501" s="349"/>
      <c r="AC501" s="349"/>
      <c r="AD501" s="349"/>
      <c r="AE501" s="349"/>
      <c r="AF501" s="349"/>
      <c r="AG501" s="349"/>
      <c r="AH501" s="349"/>
      <c r="AI501" s="349"/>
      <c r="AJ501" s="349"/>
      <c r="AK501" s="349"/>
      <c r="AL501" s="349"/>
      <c r="AM501" s="349"/>
      <c r="AN501" s="349"/>
      <c r="AO501" s="349"/>
      <c r="AP501" s="349"/>
      <c r="AQ501" s="349"/>
      <c r="AR501" s="349"/>
      <c r="AS501" s="349"/>
      <c r="AT501" s="349"/>
      <c r="AU501" s="349"/>
      <c r="AV501" s="349"/>
      <c r="AW501" s="349"/>
      <c r="AX501" s="349"/>
    </row>
    <row r="502" ht="15.75" customHeight="1">
      <c r="A502" s="310" t="s">
        <v>278</v>
      </c>
      <c r="B502" s="311" t="s">
        <v>5658</v>
      </c>
      <c r="C502" s="190" t="s">
        <v>5659</v>
      </c>
      <c r="D502" s="190"/>
      <c r="E502" s="190"/>
      <c r="F502" s="190"/>
      <c r="G502" s="354"/>
      <c r="H502" s="354"/>
      <c r="I502" s="354"/>
      <c r="J502" s="365"/>
      <c r="K502" s="354"/>
      <c r="L502" s="354"/>
      <c r="M502" s="365"/>
      <c r="N502" s="365"/>
      <c r="O502" s="337" t="s">
        <v>6969</v>
      </c>
      <c r="P502" s="291"/>
      <c r="Q502" s="354"/>
      <c r="R502" s="354"/>
      <c r="S502" s="354"/>
      <c r="T502" s="354"/>
      <c r="U502" s="354"/>
      <c r="V502" s="354"/>
      <c r="W502" s="354"/>
      <c r="X502" s="354"/>
      <c r="Y502" s="354"/>
      <c r="Z502" s="354"/>
      <c r="AA502" s="354"/>
      <c r="AB502" s="354"/>
      <c r="AC502" s="354"/>
      <c r="AD502" s="349"/>
      <c r="AE502" s="349"/>
      <c r="AF502" s="349"/>
      <c r="AG502" s="349"/>
      <c r="AH502" s="349"/>
      <c r="AI502" s="349"/>
      <c r="AJ502" s="349"/>
      <c r="AK502" s="349"/>
      <c r="AL502" s="349"/>
      <c r="AM502" s="349"/>
      <c r="AN502" s="349"/>
      <c r="AO502" s="349"/>
      <c r="AP502" s="349"/>
      <c r="AQ502" s="349"/>
      <c r="AR502" s="349"/>
      <c r="AS502" s="349"/>
      <c r="AT502" s="349"/>
      <c r="AU502" s="349"/>
      <c r="AV502" s="349"/>
      <c r="AW502" s="349"/>
      <c r="AX502" s="349"/>
    </row>
    <row r="503" ht="15.75" customHeight="1">
      <c r="A503" s="297" t="s">
        <v>46</v>
      </c>
      <c r="B503" s="298" t="s">
        <v>5667</v>
      </c>
      <c r="C503" s="190" t="s">
        <v>5674</v>
      </c>
      <c r="D503" s="190" t="s">
        <v>5676</v>
      </c>
      <c r="E503" s="190" t="s">
        <v>5678</v>
      </c>
      <c r="F503" s="190"/>
      <c r="G503" s="293"/>
      <c r="H503" s="293"/>
      <c r="I503" s="351"/>
      <c r="J503" s="351"/>
      <c r="K503" s="351"/>
      <c r="L503" s="351"/>
      <c r="M503" s="351"/>
      <c r="N503" s="351"/>
      <c r="O503" s="351"/>
      <c r="P503" s="291"/>
      <c r="Q503" s="351"/>
      <c r="R503" s="351"/>
      <c r="S503" s="351"/>
      <c r="T503" s="351"/>
      <c r="U503" s="351"/>
      <c r="V503" s="351"/>
      <c r="W503" s="351"/>
      <c r="X503" s="351"/>
      <c r="Y503" s="351"/>
      <c r="Z503" s="351"/>
      <c r="AA503" s="351"/>
      <c r="AB503" s="351"/>
      <c r="AC503" s="351"/>
      <c r="AD503" s="349"/>
      <c r="AE503" s="349"/>
      <c r="AF503" s="349"/>
      <c r="AG503" s="349"/>
      <c r="AH503" s="349"/>
      <c r="AI503" s="349"/>
      <c r="AJ503" s="349"/>
      <c r="AK503" s="349"/>
      <c r="AL503" s="349"/>
      <c r="AM503" s="349"/>
      <c r="AN503" s="349"/>
      <c r="AO503" s="349"/>
      <c r="AP503" s="349"/>
      <c r="AQ503" s="349"/>
      <c r="AR503" s="349"/>
      <c r="AS503" s="349"/>
      <c r="AT503" s="349"/>
      <c r="AU503" s="349"/>
      <c r="AV503" s="349"/>
      <c r="AW503" s="349"/>
      <c r="AX503" s="349"/>
    </row>
    <row r="504" ht="15.75" customHeight="1">
      <c r="A504" s="299" t="s">
        <v>2456</v>
      </c>
      <c r="B504" s="300" t="s">
        <v>5679</v>
      </c>
      <c r="C504" s="190" t="s">
        <v>5683</v>
      </c>
      <c r="D504" s="190" t="s">
        <v>5684</v>
      </c>
      <c r="E504" s="190" t="s">
        <v>5685</v>
      </c>
      <c r="F504" s="190" t="s">
        <v>7005</v>
      </c>
      <c r="G504" s="293" t="s">
        <v>7007</v>
      </c>
      <c r="H504" s="293"/>
      <c r="I504" s="356"/>
      <c r="J504" s="355"/>
      <c r="K504" s="356"/>
      <c r="L504" s="356"/>
      <c r="M504" s="356"/>
      <c r="N504" s="356"/>
      <c r="O504" s="356"/>
      <c r="P504" s="291"/>
      <c r="Q504" s="291" t="s">
        <v>307</v>
      </c>
      <c r="R504" s="356"/>
      <c r="S504" s="356"/>
      <c r="T504" s="356"/>
      <c r="U504" s="356"/>
      <c r="V504" s="356"/>
      <c r="W504" s="356"/>
      <c r="X504" s="356"/>
      <c r="Y504" s="356"/>
      <c r="Z504" s="356"/>
      <c r="AA504" s="356"/>
      <c r="AB504" s="356"/>
      <c r="AC504" s="356"/>
      <c r="AD504" s="349"/>
      <c r="AE504" s="349"/>
      <c r="AF504" s="349"/>
      <c r="AG504" s="349"/>
      <c r="AH504" s="349"/>
      <c r="AI504" s="349"/>
      <c r="AJ504" s="349"/>
      <c r="AK504" s="349"/>
      <c r="AL504" s="349"/>
      <c r="AM504" s="349"/>
      <c r="AN504" s="349"/>
      <c r="AO504" s="349"/>
      <c r="AP504" s="349"/>
      <c r="AQ504" s="349"/>
      <c r="AR504" s="349"/>
      <c r="AS504" s="349"/>
      <c r="AT504" s="349"/>
      <c r="AU504" s="349"/>
      <c r="AV504" s="349"/>
      <c r="AW504" s="349"/>
      <c r="AX504" s="349"/>
    </row>
    <row r="505" ht="15.75" customHeight="1">
      <c r="A505" s="299" t="s">
        <v>5686</v>
      </c>
      <c r="B505" s="300" t="s">
        <v>5687</v>
      </c>
      <c r="C505" s="190" t="s">
        <v>5691</v>
      </c>
      <c r="D505" s="190" t="s">
        <v>5692</v>
      </c>
      <c r="E505" s="190" t="s">
        <v>5693</v>
      </c>
      <c r="F505" s="190" t="s">
        <v>3364</v>
      </c>
      <c r="G505" s="293" t="s">
        <v>6226</v>
      </c>
      <c r="H505" s="293" t="s">
        <v>3366</v>
      </c>
      <c r="I505" s="356"/>
      <c r="J505" s="355"/>
      <c r="K505" s="291" t="s">
        <v>7022</v>
      </c>
      <c r="L505" s="356"/>
      <c r="M505" s="356"/>
      <c r="N505" s="356"/>
      <c r="O505" s="299" t="s">
        <v>7023</v>
      </c>
      <c r="P505" s="291"/>
      <c r="Q505" s="291" t="s">
        <v>307</v>
      </c>
      <c r="R505" s="356"/>
      <c r="S505" s="356"/>
      <c r="T505" s="356"/>
      <c r="U505" s="356"/>
      <c r="V505" s="356"/>
      <c r="W505" s="356"/>
      <c r="X505" s="356"/>
      <c r="Y505" s="291" t="s">
        <v>7027</v>
      </c>
      <c r="Z505" s="356"/>
      <c r="AA505" s="356"/>
      <c r="AB505" s="356"/>
      <c r="AC505" s="356"/>
      <c r="AD505" s="349"/>
      <c r="AE505" s="349"/>
      <c r="AF505" s="349"/>
      <c r="AG505" s="349"/>
      <c r="AH505" s="349"/>
      <c r="AI505" s="349"/>
      <c r="AJ505" s="349"/>
      <c r="AK505" s="349"/>
      <c r="AL505" s="349"/>
      <c r="AM505" s="349"/>
      <c r="AN505" s="349"/>
      <c r="AO505" s="349"/>
      <c r="AP505" s="349"/>
      <c r="AQ505" s="349"/>
      <c r="AR505" s="349"/>
      <c r="AS505" s="349"/>
      <c r="AT505" s="349"/>
      <c r="AU505" s="349"/>
      <c r="AV505" s="349"/>
      <c r="AW505" s="349"/>
      <c r="AX505" s="349"/>
    </row>
    <row r="506" ht="15.75" customHeight="1">
      <c r="A506" s="301" t="s">
        <v>220</v>
      </c>
      <c r="B506" s="302" t="s">
        <v>5694</v>
      </c>
      <c r="C506" s="190" t="s">
        <v>5698</v>
      </c>
      <c r="D506" s="190" t="s">
        <v>5699</v>
      </c>
      <c r="E506" s="190" t="s">
        <v>5700</v>
      </c>
      <c r="F506" s="190"/>
      <c r="G506" s="293"/>
      <c r="H506" s="293"/>
      <c r="I506" s="366"/>
      <c r="J506" s="367"/>
      <c r="K506" s="366"/>
      <c r="L506" s="366"/>
      <c r="M506" s="366"/>
      <c r="N506" s="366"/>
      <c r="O506" s="368" t="s">
        <v>7046</v>
      </c>
      <c r="P506" s="291"/>
      <c r="Q506" s="368" t="s">
        <v>307</v>
      </c>
      <c r="R506" s="366"/>
      <c r="S506" s="366"/>
      <c r="T506" s="366"/>
      <c r="U506" s="366"/>
      <c r="V506" s="366"/>
      <c r="W506" s="366"/>
      <c r="X506" s="366"/>
      <c r="Y506" s="366"/>
      <c r="Z506" s="366"/>
      <c r="AA506" s="366"/>
      <c r="AB506" s="366"/>
      <c r="AC506" s="366"/>
      <c r="AD506" s="349"/>
      <c r="AE506" s="349"/>
      <c r="AF506" s="349"/>
      <c r="AG506" s="349"/>
      <c r="AH506" s="349"/>
      <c r="AI506" s="349"/>
      <c r="AJ506" s="349"/>
      <c r="AK506" s="349"/>
      <c r="AL506" s="349"/>
      <c r="AM506" s="349"/>
      <c r="AN506" s="349"/>
      <c r="AO506" s="349"/>
      <c r="AP506" s="349"/>
      <c r="AQ506" s="349"/>
      <c r="AR506" s="349"/>
      <c r="AS506" s="349"/>
      <c r="AT506" s="349"/>
      <c r="AU506" s="349"/>
      <c r="AV506" s="349"/>
      <c r="AW506" s="349"/>
      <c r="AX506" s="349"/>
    </row>
    <row r="507" ht="15.75" customHeight="1">
      <c r="A507" s="221" t="s">
        <v>112</v>
      </c>
      <c r="B507" s="198" t="s">
        <v>5702</v>
      </c>
      <c r="C507" s="190"/>
      <c r="D507" s="190"/>
      <c r="E507" s="190"/>
      <c r="F507" s="190"/>
      <c r="G507" s="348"/>
      <c r="H507" s="348"/>
      <c r="I507" s="348"/>
      <c r="J507" s="348"/>
      <c r="K507" s="348"/>
      <c r="L507" s="348"/>
      <c r="M507" s="348"/>
      <c r="N507" s="348"/>
      <c r="O507" s="348"/>
      <c r="P507" s="291"/>
      <c r="Q507" s="348"/>
      <c r="R507" s="348"/>
      <c r="S507" s="348"/>
      <c r="T507" s="335" t="s">
        <v>7068</v>
      </c>
      <c r="U507" s="348"/>
      <c r="V507" s="348"/>
      <c r="W507" s="348"/>
      <c r="X507" s="348"/>
      <c r="Y507" s="348"/>
      <c r="Z507" s="348"/>
      <c r="AA507" s="348"/>
      <c r="AB507" s="348"/>
      <c r="AC507" s="348"/>
      <c r="AD507" s="349"/>
      <c r="AE507" s="349"/>
      <c r="AF507" s="349"/>
      <c r="AG507" s="349"/>
      <c r="AH507" s="349"/>
      <c r="AI507" s="349"/>
      <c r="AJ507" s="349"/>
      <c r="AK507" s="349"/>
      <c r="AL507" s="349"/>
      <c r="AM507" s="349"/>
      <c r="AN507" s="349"/>
      <c r="AO507" s="349"/>
      <c r="AP507" s="349"/>
      <c r="AQ507" s="349"/>
      <c r="AR507" s="349"/>
      <c r="AS507" s="349"/>
      <c r="AT507" s="349"/>
      <c r="AU507" s="349"/>
      <c r="AV507" s="349"/>
      <c r="AW507" s="349"/>
      <c r="AX507" s="349"/>
    </row>
    <row r="508" ht="15.75" customHeight="1">
      <c r="A508" s="221" t="s">
        <v>112</v>
      </c>
      <c r="B508" s="198" t="s">
        <v>5709</v>
      </c>
      <c r="C508" s="190"/>
      <c r="D508" s="190"/>
      <c r="E508" s="190"/>
      <c r="F508" s="190"/>
      <c r="G508" s="348"/>
      <c r="H508" s="348"/>
      <c r="I508" s="348"/>
      <c r="J508" s="348"/>
      <c r="K508" s="348"/>
      <c r="L508" s="348"/>
      <c r="M508" s="348"/>
      <c r="N508" s="348"/>
      <c r="O508" s="348"/>
      <c r="P508" s="291"/>
      <c r="Q508" s="348"/>
      <c r="R508" s="348"/>
      <c r="S508" s="348"/>
      <c r="T508" s="335" t="s">
        <v>7086</v>
      </c>
      <c r="U508" s="348"/>
      <c r="V508" s="348"/>
      <c r="W508" s="348"/>
      <c r="X508" s="348"/>
      <c r="Y508" s="348"/>
      <c r="Z508" s="348"/>
      <c r="AA508" s="348"/>
      <c r="AB508" s="348"/>
      <c r="AC508" s="348"/>
      <c r="AD508" s="349"/>
      <c r="AE508" s="349"/>
      <c r="AF508" s="349"/>
      <c r="AG508" s="349"/>
      <c r="AH508" s="349"/>
      <c r="AI508" s="349"/>
      <c r="AJ508" s="349"/>
      <c r="AK508" s="349"/>
      <c r="AL508" s="349"/>
      <c r="AM508" s="349"/>
      <c r="AN508" s="349"/>
      <c r="AO508" s="349"/>
      <c r="AP508" s="349"/>
      <c r="AQ508" s="349"/>
      <c r="AR508" s="349"/>
      <c r="AS508" s="349"/>
      <c r="AT508" s="349"/>
      <c r="AU508" s="349"/>
      <c r="AV508" s="349"/>
      <c r="AW508" s="349"/>
      <c r="AX508" s="349"/>
    </row>
    <row r="509" ht="15.75" customHeight="1">
      <c r="A509" s="221" t="s">
        <v>112</v>
      </c>
      <c r="B509" s="198" t="s">
        <v>5714</v>
      </c>
      <c r="C509" s="190" t="s">
        <v>5716</v>
      </c>
      <c r="D509" s="190"/>
      <c r="E509" s="190"/>
      <c r="F509" s="190"/>
      <c r="G509" s="348"/>
      <c r="H509" s="348"/>
      <c r="I509" s="348"/>
      <c r="J509" s="348"/>
      <c r="K509" s="348"/>
      <c r="L509" s="348"/>
      <c r="M509" s="348"/>
      <c r="N509" s="348"/>
      <c r="O509" s="348"/>
      <c r="P509" s="291"/>
      <c r="Q509" s="348"/>
      <c r="R509" s="348"/>
      <c r="S509" s="348"/>
      <c r="T509" s="335" t="s">
        <v>7103</v>
      </c>
      <c r="U509" s="348"/>
      <c r="V509" s="348"/>
      <c r="W509" s="348"/>
      <c r="X509" s="348"/>
      <c r="Y509" s="348"/>
      <c r="Z509" s="348"/>
      <c r="AA509" s="348"/>
      <c r="AB509" s="348"/>
      <c r="AC509" s="348"/>
      <c r="AD509" s="349"/>
      <c r="AE509" s="349"/>
      <c r="AF509" s="349"/>
      <c r="AG509" s="349"/>
      <c r="AH509" s="349"/>
      <c r="AI509" s="349"/>
      <c r="AJ509" s="349"/>
      <c r="AK509" s="349"/>
      <c r="AL509" s="349"/>
      <c r="AM509" s="349"/>
      <c r="AN509" s="349"/>
      <c r="AO509" s="349"/>
      <c r="AP509" s="349"/>
      <c r="AQ509" s="349"/>
      <c r="AR509" s="349"/>
      <c r="AS509" s="349"/>
      <c r="AT509" s="349"/>
      <c r="AU509" s="349"/>
      <c r="AV509" s="349"/>
      <c r="AW509" s="349"/>
      <c r="AX509" s="349"/>
    </row>
    <row r="510" ht="15.75" customHeight="1">
      <c r="A510" s="221" t="s">
        <v>112</v>
      </c>
      <c r="B510" s="198" t="s">
        <v>5721</v>
      </c>
      <c r="C510" s="190"/>
      <c r="D510" s="190"/>
      <c r="E510" s="190"/>
      <c r="F510" s="190"/>
      <c r="G510" s="348"/>
      <c r="H510" s="348"/>
      <c r="I510" s="348"/>
      <c r="J510" s="348"/>
      <c r="K510" s="348"/>
      <c r="L510" s="348"/>
      <c r="M510" s="348"/>
      <c r="N510" s="348"/>
      <c r="O510" s="348"/>
      <c r="P510" s="291"/>
      <c r="Q510" s="348"/>
      <c r="R510" s="348"/>
      <c r="S510" s="348"/>
      <c r="T510" s="335" t="s">
        <v>7118</v>
      </c>
      <c r="U510" s="348"/>
      <c r="V510" s="348"/>
      <c r="W510" s="348"/>
      <c r="X510" s="348"/>
      <c r="Y510" s="348"/>
      <c r="Z510" s="348"/>
      <c r="AA510" s="348"/>
      <c r="AB510" s="348"/>
      <c r="AC510" s="348"/>
      <c r="AD510" s="349"/>
      <c r="AE510" s="349"/>
      <c r="AF510" s="349"/>
      <c r="AG510" s="349"/>
      <c r="AH510" s="349"/>
      <c r="AI510" s="349"/>
      <c r="AJ510" s="349"/>
      <c r="AK510" s="349"/>
      <c r="AL510" s="349"/>
      <c r="AM510" s="349"/>
      <c r="AN510" s="349"/>
      <c r="AO510" s="349"/>
      <c r="AP510" s="349"/>
      <c r="AQ510" s="349"/>
      <c r="AR510" s="349"/>
      <c r="AS510" s="349"/>
      <c r="AT510" s="349"/>
      <c r="AU510" s="349"/>
      <c r="AV510" s="349"/>
      <c r="AW510" s="349"/>
      <c r="AX510" s="349"/>
    </row>
    <row r="511" ht="15.75" customHeight="1">
      <c r="A511" s="221" t="s">
        <v>256</v>
      </c>
      <c r="B511" s="198" t="s">
        <v>5725</v>
      </c>
      <c r="C511" s="190"/>
      <c r="D511" s="190"/>
      <c r="E511" s="190"/>
      <c r="F511" s="190"/>
      <c r="G511" s="348"/>
      <c r="H511" s="348"/>
      <c r="I511" s="348"/>
      <c r="J511" s="348"/>
      <c r="K511" s="348"/>
      <c r="L511" s="348"/>
      <c r="M511" s="348"/>
      <c r="N511" s="348"/>
      <c r="O511" s="348"/>
      <c r="P511" s="291"/>
      <c r="Q511" s="348"/>
      <c r="R511" s="348"/>
      <c r="S511" s="348"/>
      <c r="T511" s="335" t="s">
        <v>260</v>
      </c>
      <c r="U511" s="348"/>
      <c r="V511" s="348"/>
      <c r="W511" s="348"/>
      <c r="X511" s="348"/>
      <c r="Y511" s="348"/>
      <c r="Z511" s="348"/>
      <c r="AA511" s="348"/>
      <c r="AB511" s="348"/>
      <c r="AC511" s="348"/>
      <c r="AD511" s="349"/>
      <c r="AE511" s="349"/>
      <c r="AF511" s="349"/>
      <c r="AG511" s="349"/>
      <c r="AH511" s="349"/>
      <c r="AI511" s="349"/>
      <c r="AJ511" s="349"/>
      <c r="AK511" s="349"/>
      <c r="AL511" s="349"/>
      <c r="AM511" s="349"/>
      <c r="AN511" s="349"/>
      <c r="AO511" s="349"/>
      <c r="AP511" s="349"/>
      <c r="AQ511" s="349"/>
      <c r="AR511" s="349"/>
      <c r="AS511" s="349"/>
      <c r="AT511" s="349"/>
      <c r="AU511" s="349"/>
      <c r="AV511" s="349"/>
      <c r="AW511" s="349"/>
      <c r="AX511" s="349"/>
    </row>
    <row r="512" ht="15.75" customHeight="1">
      <c r="A512" s="305" t="s">
        <v>385</v>
      </c>
      <c r="B512" s="223" t="s">
        <v>5726</v>
      </c>
      <c r="C512" s="190" t="s">
        <v>5727</v>
      </c>
      <c r="D512" s="190"/>
      <c r="E512" s="190"/>
      <c r="F512" s="190"/>
      <c r="G512" s="362"/>
      <c r="H512" s="362"/>
      <c r="I512" s="362"/>
      <c r="J512" s="362"/>
      <c r="K512" s="362"/>
      <c r="L512" s="362"/>
      <c r="M512" s="363"/>
      <c r="N512" s="363"/>
      <c r="O512" s="364" t="s">
        <v>7150</v>
      </c>
      <c r="P512" s="291"/>
      <c r="Q512" s="362"/>
      <c r="R512" s="362"/>
      <c r="S512" s="362"/>
      <c r="T512" s="362"/>
      <c r="U512" s="364" t="s">
        <v>7155</v>
      </c>
      <c r="V512" s="362"/>
      <c r="W512" s="362"/>
      <c r="X512" s="362"/>
      <c r="Y512" s="362"/>
      <c r="Z512" s="362"/>
      <c r="AA512" s="362"/>
      <c r="AB512" s="362"/>
      <c r="AC512" s="362"/>
      <c r="AD512" s="349"/>
      <c r="AE512" s="349"/>
      <c r="AF512" s="349"/>
      <c r="AG512" s="349"/>
      <c r="AH512" s="349"/>
      <c r="AI512" s="349"/>
      <c r="AJ512" s="349"/>
      <c r="AK512" s="349"/>
      <c r="AL512" s="349"/>
      <c r="AM512" s="349"/>
      <c r="AN512" s="349"/>
      <c r="AO512" s="349"/>
      <c r="AP512" s="349"/>
      <c r="AQ512" s="349"/>
      <c r="AR512" s="349"/>
      <c r="AS512" s="349"/>
      <c r="AT512" s="349"/>
      <c r="AU512" s="349"/>
      <c r="AV512" s="349"/>
      <c r="AW512" s="349"/>
      <c r="AX512" s="349"/>
    </row>
    <row r="513" ht="15.75" customHeight="1">
      <c r="A513" s="221" t="s">
        <v>112</v>
      </c>
      <c r="B513" s="198" t="s">
        <v>5729</v>
      </c>
      <c r="C513" s="190" t="s">
        <v>5731</v>
      </c>
      <c r="D513" s="190"/>
      <c r="E513" s="190"/>
      <c r="F513" s="190"/>
      <c r="G513" s="348"/>
      <c r="H513" s="348"/>
      <c r="I513" s="348"/>
      <c r="J513" s="348"/>
      <c r="K513" s="348"/>
      <c r="L513" s="348"/>
      <c r="M513" s="348"/>
      <c r="N513" s="348"/>
      <c r="O513" s="348"/>
      <c r="P513" s="291"/>
      <c r="Q513" s="348"/>
      <c r="R513" s="348"/>
      <c r="S513" s="348"/>
      <c r="T513" s="335" t="s">
        <v>1581</v>
      </c>
      <c r="U513" s="348"/>
      <c r="V513" s="348"/>
      <c r="W513" s="348"/>
      <c r="X513" s="348"/>
      <c r="Y513" s="348"/>
      <c r="Z513" s="348"/>
      <c r="AA513" s="348"/>
      <c r="AB513" s="348"/>
      <c r="AC513" s="348"/>
      <c r="AD513" s="349"/>
      <c r="AE513" s="349"/>
      <c r="AF513" s="349"/>
      <c r="AG513" s="349"/>
      <c r="AH513" s="349"/>
      <c r="AI513" s="349"/>
      <c r="AJ513" s="349"/>
      <c r="AK513" s="349"/>
      <c r="AL513" s="349"/>
      <c r="AM513" s="349"/>
      <c r="AN513" s="349"/>
      <c r="AO513" s="349"/>
      <c r="AP513" s="349"/>
      <c r="AQ513" s="349"/>
      <c r="AR513" s="349"/>
      <c r="AS513" s="349"/>
      <c r="AT513" s="349"/>
      <c r="AU513" s="349"/>
      <c r="AV513" s="349"/>
      <c r="AW513" s="349"/>
      <c r="AX513" s="349"/>
    </row>
    <row r="514" ht="15.75" customHeight="1">
      <c r="A514" s="221" t="s">
        <v>112</v>
      </c>
      <c r="B514" s="198" t="s">
        <v>5733</v>
      </c>
      <c r="C514" s="190" t="s">
        <v>5734</v>
      </c>
      <c r="D514" s="190"/>
      <c r="E514" s="190"/>
      <c r="F514" s="190"/>
      <c r="G514" s="348"/>
      <c r="H514" s="348"/>
      <c r="I514" s="348"/>
      <c r="J514" s="348"/>
      <c r="K514" s="348"/>
      <c r="L514" s="348"/>
      <c r="M514" s="348"/>
      <c r="N514" s="348"/>
      <c r="O514" s="348"/>
      <c r="P514" s="291"/>
      <c r="Q514" s="348"/>
      <c r="R514" s="348"/>
      <c r="S514" s="348"/>
      <c r="T514" s="335" t="s">
        <v>7186</v>
      </c>
      <c r="U514" s="348"/>
      <c r="V514" s="348"/>
      <c r="W514" s="348"/>
      <c r="X514" s="348"/>
      <c r="Y514" s="348"/>
      <c r="Z514" s="348"/>
      <c r="AA514" s="348"/>
      <c r="AB514" s="348"/>
      <c r="AC514" s="348"/>
      <c r="AD514" s="349"/>
      <c r="AE514" s="349"/>
      <c r="AF514" s="349"/>
      <c r="AG514" s="349"/>
      <c r="AH514" s="349"/>
      <c r="AI514" s="349"/>
      <c r="AJ514" s="349"/>
      <c r="AK514" s="349"/>
      <c r="AL514" s="349"/>
      <c r="AM514" s="349"/>
      <c r="AN514" s="349"/>
      <c r="AO514" s="349"/>
      <c r="AP514" s="349"/>
      <c r="AQ514" s="349"/>
      <c r="AR514" s="349"/>
      <c r="AS514" s="349"/>
      <c r="AT514" s="349"/>
      <c r="AU514" s="349"/>
      <c r="AV514" s="349"/>
      <c r="AW514" s="349"/>
      <c r="AX514" s="349"/>
    </row>
    <row r="515" ht="15.75" customHeight="1">
      <c r="A515" s="221" t="s">
        <v>112</v>
      </c>
      <c r="B515" s="198" t="s">
        <v>5738</v>
      </c>
      <c r="C515" s="190" t="s">
        <v>5739</v>
      </c>
      <c r="D515" s="190"/>
      <c r="E515" s="190"/>
      <c r="F515" s="190"/>
      <c r="G515" s="348"/>
      <c r="H515" s="348"/>
      <c r="I515" s="348"/>
      <c r="J515" s="348"/>
      <c r="K515" s="348"/>
      <c r="L515" s="348"/>
      <c r="M515" s="348"/>
      <c r="N515" s="348"/>
      <c r="O515" s="348"/>
      <c r="P515" s="291"/>
      <c r="Q515" s="348"/>
      <c r="R515" s="348"/>
      <c r="S515" s="348"/>
      <c r="T515" s="335" t="s">
        <v>7202</v>
      </c>
      <c r="U515" s="348"/>
      <c r="V515" s="348"/>
      <c r="W515" s="348"/>
      <c r="X515" s="348"/>
      <c r="Y515" s="348"/>
      <c r="Z515" s="348"/>
      <c r="AA515" s="348"/>
      <c r="AB515" s="348"/>
      <c r="AC515" s="348"/>
      <c r="AD515" s="349"/>
      <c r="AE515" s="349"/>
      <c r="AF515" s="349"/>
      <c r="AG515" s="349"/>
      <c r="AH515" s="349"/>
      <c r="AI515" s="349"/>
      <c r="AJ515" s="349"/>
      <c r="AK515" s="349"/>
      <c r="AL515" s="349"/>
      <c r="AM515" s="349"/>
      <c r="AN515" s="349"/>
      <c r="AO515" s="349"/>
      <c r="AP515" s="349"/>
      <c r="AQ515" s="349"/>
      <c r="AR515" s="349"/>
      <c r="AS515" s="349"/>
      <c r="AT515" s="349"/>
      <c r="AU515" s="349"/>
      <c r="AV515" s="349"/>
      <c r="AW515" s="349"/>
      <c r="AX515" s="349"/>
    </row>
    <row r="516" ht="15.75" customHeight="1">
      <c r="A516" s="299" t="s">
        <v>5741</v>
      </c>
      <c r="B516" s="300" t="s">
        <v>5743</v>
      </c>
      <c r="C516" s="190" t="s">
        <v>5751</v>
      </c>
      <c r="D516" s="190" t="s">
        <v>5752</v>
      </c>
      <c r="E516" s="190" t="s">
        <v>5753</v>
      </c>
      <c r="F516" s="190"/>
      <c r="G516" s="293"/>
      <c r="H516" s="293"/>
      <c r="I516" s="356"/>
      <c r="J516" s="340" t="s">
        <v>7214</v>
      </c>
      <c r="K516" s="356"/>
      <c r="L516" s="356"/>
      <c r="M516" s="356"/>
      <c r="N516" s="356"/>
      <c r="O516" s="291" t="s">
        <v>7219</v>
      </c>
      <c r="P516" s="291"/>
      <c r="Q516" s="291" t="s">
        <v>307</v>
      </c>
      <c r="R516" s="356"/>
      <c r="S516" s="356"/>
      <c r="T516" s="356"/>
      <c r="U516" s="356"/>
      <c r="V516" s="356"/>
      <c r="W516" s="356"/>
      <c r="X516" s="356"/>
      <c r="Y516" s="356"/>
      <c r="Z516" s="356"/>
      <c r="AA516" s="356"/>
      <c r="AB516" s="356"/>
      <c r="AC516" s="356"/>
      <c r="AD516" s="349"/>
      <c r="AE516" s="349"/>
      <c r="AF516" s="349"/>
      <c r="AG516" s="349"/>
      <c r="AH516" s="349"/>
      <c r="AI516" s="349"/>
      <c r="AJ516" s="349"/>
      <c r="AK516" s="349"/>
      <c r="AL516" s="349"/>
      <c r="AM516" s="349"/>
      <c r="AN516" s="349"/>
      <c r="AO516" s="349"/>
      <c r="AP516" s="349"/>
      <c r="AQ516" s="349"/>
      <c r="AR516" s="349"/>
      <c r="AS516" s="349"/>
      <c r="AT516" s="349"/>
      <c r="AU516" s="349"/>
      <c r="AV516" s="349"/>
      <c r="AW516" s="349"/>
      <c r="AX516" s="349"/>
    </row>
    <row r="517" ht="15.75" customHeight="1">
      <c r="A517" s="301" t="s">
        <v>220</v>
      </c>
      <c r="B517" s="302" t="s">
        <v>5754</v>
      </c>
      <c r="C517" s="190" t="s">
        <v>5758</v>
      </c>
      <c r="D517" s="190" t="s">
        <v>5759</v>
      </c>
      <c r="E517" s="190" t="s">
        <v>5760</v>
      </c>
      <c r="F517" s="190"/>
      <c r="G517" s="293"/>
      <c r="H517" s="293"/>
      <c r="I517" s="366"/>
      <c r="J517" s="367"/>
      <c r="K517" s="366"/>
      <c r="L517" s="366"/>
      <c r="M517" s="366"/>
      <c r="N517" s="366"/>
      <c r="O517" s="368" t="s">
        <v>7224</v>
      </c>
      <c r="P517" s="291"/>
      <c r="Q517" s="368" t="s">
        <v>307</v>
      </c>
      <c r="R517" s="366"/>
      <c r="S517" s="366"/>
      <c r="T517" s="366"/>
      <c r="U517" s="366"/>
      <c r="V517" s="366"/>
      <c r="W517" s="366"/>
      <c r="X517" s="366"/>
      <c r="Y517" s="366"/>
      <c r="Z517" s="366"/>
      <c r="AA517" s="366"/>
      <c r="AB517" s="366"/>
      <c r="AC517" s="366"/>
      <c r="AD517" s="349"/>
      <c r="AE517" s="349"/>
      <c r="AF517" s="349"/>
      <c r="AG517" s="349"/>
      <c r="AH517" s="349"/>
      <c r="AI517" s="349"/>
      <c r="AJ517" s="349"/>
      <c r="AK517" s="349"/>
      <c r="AL517" s="349"/>
      <c r="AM517" s="349"/>
      <c r="AN517" s="349"/>
      <c r="AO517" s="349"/>
      <c r="AP517" s="349"/>
      <c r="AQ517" s="349"/>
      <c r="AR517" s="349"/>
      <c r="AS517" s="349"/>
      <c r="AT517" s="349"/>
      <c r="AU517" s="349"/>
      <c r="AV517" s="349"/>
      <c r="AW517" s="349"/>
      <c r="AX517" s="349"/>
    </row>
    <row r="518" ht="15.75" customHeight="1">
      <c r="A518" s="299" t="s">
        <v>5761</v>
      </c>
      <c r="B518" s="300" t="s">
        <v>5762</v>
      </c>
      <c r="C518" s="190" t="s">
        <v>5766</v>
      </c>
      <c r="D518" s="190" t="s">
        <v>5767</v>
      </c>
      <c r="E518" s="190" t="s">
        <v>5768</v>
      </c>
      <c r="F518" s="190"/>
      <c r="G518" s="293"/>
      <c r="H518" s="293"/>
      <c r="I518" s="356"/>
      <c r="J518" s="355"/>
      <c r="K518" s="356"/>
      <c r="L518" s="356"/>
      <c r="M518" s="356"/>
      <c r="N518" s="356"/>
      <c r="O518" s="291" t="s">
        <v>7242</v>
      </c>
      <c r="P518" s="291"/>
      <c r="Q518" s="291" t="s">
        <v>307</v>
      </c>
      <c r="R518" s="356"/>
      <c r="S518" s="356"/>
      <c r="T518" s="356"/>
      <c r="U518" s="356"/>
      <c r="V518" s="356"/>
      <c r="W518" s="356"/>
      <c r="X518" s="356"/>
      <c r="Y518" s="356"/>
      <c r="Z518" s="356"/>
      <c r="AA518" s="356"/>
      <c r="AB518" s="356"/>
      <c r="AC518" s="356"/>
      <c r="AD518" s="349"/>
      <c r="AE518" s="349"/>
      <c r="AF518" s="349"/>
      <c r="AG518" s="349"/>
      <c r="AH518" s="349"/>
      <c r="AI518" s="349"/>
      <c r="AJ518" s="349"/>
      <c r="AK518" s="349"/>
      <c r="AL518" s="349"/>
      <c r="AM518" s="349"/>
      <c r="AN518" s="349"/>
      <c r="AO518" s="349"/>
      <c r="AP518" s="349"/>
      <c r="AQ518" s="349"/>
      <c r="AR518" s="349"/>
      <c r="AS518" s="349"/>
      <c r="AT518" s="349"/>
      <c r="AU518" s="349"/>
      <c r="AV518" s="349"/>
      <c r="AW518" s="349"/>
      <c r="AX518" s="349"/>
    </row>
    <row r="519" ht="15.75" customHeight="1">
      <c r="A519" s="301" t="s">
        <v>220</v>
      </c>
      <c r="B519" s="302" t="s">
        <v>5769</v>
      </c>
      <c r="C519" s="190" t="s">
        <v>5774</v>
      </c>
      <c r="D519" s="190" t="s">
        <v>5775</v>
      </c>
      <c r="E519" s="190" t="s">
        <v>5776</v>
      </c>
      <c r="F519" s="190"/>
      <c r="G519" s="293"/>
      <c r="H519" s="293"/>
      <c r="I519" s="366"/>
      <c r="J519" s="367"/>
      <c r="K519" s="366"/>
      <c r="L519" s="366"/>
      <c r="M519" s="366"/>
      <c r="N519" s="366"/>
      <c r="O519" s="368" t="s">
        <v>7261</v>
      </c>
      <c r="P519" s="291"/>
      <c r="Q519" s="368" t="s">
        <v>307</v>
      </c>
      <c r="R519" s="366"/>
      <c r="S519" s="366"/>
      <c r="T519" s="366"/>
      <c r="U519" s="366"/>
      <c r="V519" s="366"/>
      <c r="W519" s="366"/>
      <c r="X519" s="366"/>
      <c r="Y519" s="366"/>
      <c r="Z519" s="366"/>
      <c r="AA519" s="366"/>
      <c r="AB519" s="366"/>
      <c r="AC519" s="366"/>
      <c r="AD519" s="349"/>
      <c r="AE519" s="349"/>
      <c r="AF519" s="349"/>
      <c r="AG519" s="349"/>
      <c r="AH519" s="349"/>
      <c r="AI519" s="349"/>
      <c r="AJ519" s="349"/>
      <c r="AK519" s="349"/>
      <c r="AL519" s="349"/>
      <c r="AM519" s="349"/>
      <c r="AN519" s="349"/>
      <c r="AO519" s="349"/>
      <c r="AP519" s="349"/>
      <c r="AQ519" s="349"/>
      <c r="AR519" s="349"/>
      <c r="AS519" s="349"/>
      <c r="AT519" s="349"/>
      <c r="AU519" s="349"/>
      <c r="AV519" s="349"/>
      <c r="AW519" s="349"/>
      <c r="AX519" s="349"/>
    </row>
    <row r="520" ht="15.75" customHeight="1">
      <c r="A520" s="306" t="s">
        <v>247</v>
      </c>
      <c r="B520" s="307" t="s">
        <v>5777</v>
      </c>
      <c r="C520" s="190" t="s">
        <v>5781</v>
      </c>
      <c r="D520" s="190" t="s">
        <v>5782</v>
      </c>
      <c r="E520" s="190" t="s">
        <v>5783</v>
      </c>
      <c r="F520" s="190"/>
      <c r="G520" s="293"/>
      <c r="H520" s="293"/>
      <c r="I520" s="359"/>
      <c r="J520" s="359"/>
      <c r="K520" s="369"/>
      <c r="L520" s="369"/>
      <c r="M520" s="359"/>
      <c r="N520" s="359"/>
      <c r="O520" s="361" t="s">
        <v>7278</v>
      </c>
      <c r="P520" s="291"/>
      <c r="Q520" s="361" t="s">
        <v>307</v>
      </c>
      <c r="R520" s="359"/>
      <c r="S520" s="359"/>
      <c r="T520" s="359"/>
      <c r="U520" s="359"/>
      <c r="V520" s="359"/>
      <c r="W520" s="359"/>
      <c r="X520" s="359"/>
      <c r="Y520" s="359"/>
      <c r="Z520" s="359"/>
      <c r="AA520" s="359"/>
      <c r="AB520" s="359"/>
      <c r="AC520" s="359"/>
      <c r="AD520" s="349"/>
      <c r="AE520" s="349"/>
      <c r="AF520" s="349"/>
      <c r="AG520" s="349"/>
      <c r="AH520" s="349"/>
      <c r="AI520" s="349"/>
      <c r="AJ520" s="349"/>
      <c r="AK520" s="349"/>
      <c r="AL520" s="349"/>
      <c r="AM520" s="349"/>
      <c r="AN520" s="349"/>
      <c r="AO520" s="349"/>
      <c r="AP520" s="349"/>
      <c r="AQ520" s="349"/>
      <c r="AR520" s="349"/>
      <c r="AS520" s="349"/>
      <c r="AT520" s="349"/>
      <c r="AU520" s="349"/>
      <c r="AV520" s="349"/>
      <c r="AW520" s="349"/>
      <c r="AX520" s="349"/>
    </row>
    <row r="521" ht="15.75" customHeight="1">
      <c r="A521" s="305" t="s">
        <v>450</v>
      </c>
      <c r="B521" s="305" t="s">
        <v>5726</v>
      </c>
      <c r="C521" s="190" t="s">
        <v>5784</v>
      </c>
      <c r="D521" s="190"/>
      <c r="E521" s="190"/>
      <c r="F521" s="190"/>
      <c r="G521" s="362"/>
      <c r="H521" s="362"/>
      <c r="I521" s="362"/>
      <c r="J521" s="362"/>
      <c r="K521" s="362"/>
      <c r="L521" s="362"/>
      <c r="M521" s="362"/>
      <c r="N521" s="362"/>
      <c r="O521" s="362"/>
      <c r="P521" s="291"/>
      <c r="Q521" s="362"/>
      <c r="R521" s="362"/>
      <c r="S521" s="362"/>
      <c r="T521" s="362"/>
      <c r="U521" s="362"/>
      <c r="V521" s="362"/>
      <c r="W521" s="362"/>
      <c r="X521" s="362"/>
      <c r="Y521" s="362"/>
      <c r="Z521" s="362"/>
      <c r="AA521" s="362"/>
      <c r="AB521" s="362"/>
      <c r="AC521" s="362"/>
      <c r="AD521" s="349"/>
      <c r="AE521" s="349"/>
      <c r="AF521" s="349"/>
      <c r="AG521" s="349"/>
      <c r="AH521" s="349"/>
      <c r="AI521" s="349"/>
      <c r="AJ521" s="349"/>
      <c r="AK521" s="349"/>
      <c r="AL521" s="349"/>
      <c r="AM521" s="349"/>
      <c r="AN521" s="349"/>
      <c r="AO521" s="349"/>
      <c r="AP521" s="349"/>
      <c r="AQ521" s="349"/>
      <c r="AR521" s="349"/>
      <c r="AS521" s="349"/>
      <c r="AT521" s="349"/>
      <c r="AU521" s="349"/>
      <c r="AV521" s="349"/>
      <c r="AW521" s="349"/>
      <c r="AX521" s="349"/>
    </row>
    <row r="522" ht="15.75" customHeight="1">
      <c r="A522" s="221" t="s">
        <v>256</v>
      </c>
      <c r="B522" s="198" t="s">
        <v>5789</v>
      </c>
      <c r="C522" s="190"/>
      <c r="D522" s="190"/>
      <c r="E522" s="190"/>
      <c r="F522" s="190"/>
      <c r="G522" s="348"/>
      <c r="H522" s="348"/>
      <c r="I522" s="348"/>
      <c r="J522" s="348"/>
      <c r="K522" s="348"/>
      <c r="L522" s="348"/>
      <c r="M522" s="348"/>
      <c r="N522" s="348"/>
      <c r="O522" s="348"/>
      <c r="P522" s="291"/>
      <c r="Q522" s="348"/>
      <c r="R522" s="348"/>
      <c r="S522" s="348"/>
      <c r="T522" s="335" t="s">
        <v>260</v>
      </c>
      <c r="U522" s="348"/>
      <c r="V522" s="348"/>
      <c r="W522" s="348"/>
      <c r="X522" s="348"/>
      <c r="Y522" s="348"/>
      <c r="Z522" s="348"/>
      <c r="AA522" s="348"/>
      <c r="AB522" s="348"/>
      <c r="AC522" s="348"/>
      <c r="AD522" s="349"/>
      <c r="AE522" s="349"/>
      <c r="AF522" s="349"/>
      <c r="AG522" s="349"/>
      <c r="AH522" s="349"/>
      <c r="AI522" s="349"/>
      <c r="AJ522" s="349"/>
      <c r="AK522" s="349"/>
      <c r="AL522" s="349"/>
      <c r="AM522" s="349"/>
      <c r="AN522" s="349"/>
      <c r="AO522" s="349"/>
      <c r="AP522" s="349"/>
      <c r="AQ522" s="349"/>
      <c r="AR522" s="349"/>
      <c r="AS522" s="349"/>
      <c r="AT522" s="349"/>
      <c r="AU522" s="349"/>
      <c r="AV522" s="349"/>
      <c r="AW522" s="349"/>
      <c r="AX522" s="349"/>
    </row>
    <row r="523" ht="15.75" customHeight="1">
      <c r="A523" s="221" t="s">
        <v>112</v>
      </c>
      <c r="B523" s="198" t="s">
        <v>5793</v>
      </c>
      <c r="C523" s="190"/>
      <c r="D523" s="190"/>
      <c r="E523" s="190"/>
      <c r="F523" s="190"/>
      <c r="G523" s="348"/>
      <c r="H523" s="348"/>
      <c r="I523" s="348"/>
      <c r="J523" s="348"/>
      <c r="K523" s="348"/>
      <c r="L523" s="348"/>
      <c r="M523" s="348"/>
      <c r="N523" s="348"/>
      <c r="O523" s="348"/>
      <c r="P523" s="291"/>
      <c r="Q523" s="348"/>
      <c r="R523" s="348"/>
      <c r="S523" s="348"/>
      <c r="T523" s="335" t="s">
        <v>7304</v>
      </c>
      <c r="U523" s="348"/>
      <c r="V523" s="348"/>
      <c r="W523" s="348"/>
      <c r="X523" s="348"/>
      <c r="Y523" s="348"/>
      <c r="Z523" s="348"/>
      <c r="AA523" s="348"/>
      <c r="AB523" s="348"/>
      <c r="AC523" s="348"/>
      <c r="AD523" s="349"/>
      <c r="AE523" s="349"/>
      <c r="AF523" s="349"/>
      <c r="AG523" s="349"/>
      <c r="AH523" s="349"/>
      <c r="AI523" s="349"/>
      <c r="AJ523" s="349"/>
      <c r="AK523" s="349"/>
      <c r="AL523" s="349"/>
      <c r="AM523" s="349"/>
      <c r="AN523" s="349"/>
      <c r="AO523" s="349"/>
      <c r="AP523" s="349"/>
      <c r="AQ523" s="349"/>
      <c r="AR523" s="349"/>
      <c r="AS523" s="349"/>
      <c r="AT523" s="349"/>
      <c r="AU523" s="349"/>
      <c r="AV523" s="349"/>
      <c r="AW523" s="349"/>
      <c r="AX523" s="349"/>
    </row>
    <row r="524" ht="15.75" customHeight="1">
      <c r="A524" s="299" t="s">
        <v>2456</v>
      </c>
      <c r="B524" s="300" t="s">
        <v>5794</v>
      </c>
      <c r="C524" s="190" t="s">
        <v>5801</v>
      </c>
      <c r="D524" s="190" t="s">
        <v>5802</v>
      </c>
      <c r="E524" s="190" t="s">
        <v>5803</v>
      </c>
      <c r="F524" s="190"/>
      <c r="G524" s="293"/>
      <c r="H524" s="293"/>
      <c r="I524" s="356"/>
      <c r="J524" s="355"/>
      <c r="K524" s="356"/>
      <c r="L524" s="356"/>
      <c r="M524" s="356"/>
      <c r="N524" s="356"/>
      <c r="O524" s="291" t="s">
        <v>6969</v>
      </c>
      <c r="P524" s="291"/>
      <c r="Q524" s="291" t="s">
        <v>307</v>
      </c>
      <c r="R524" s="356"/>
      <c r="S524" s="356"/>
      <c r="T524" s="356"/>
      <c r="U524" s="356"/>
      <c r="V524" s="356"/>
      <c r="W524" s="356"/>
      <c r="X524" s="356"/>
      <c r="Y524" s="356"/>
      <c r="Z524" s="356"/>
      <c r="AA524" s="356"/>
      <c r="AB524" s="356"/>
      <c r="AC524" s="356"/>
      <c r="AD524" s="349"/>
      <c r="AE524" s="349"/>
      <c r="AF524" s="349"/>
      <c r="AG524" s="349"/>
      <c r="AH524" s="349"/>
      <c r="AI524" s="349"/>
      <c r="AJ524" s="349"/>
      <c r="AK524" s="349"/>
      <c r="AL524" s="349"/>
      <c r="AM524" s="349"/>
      <c r="AN524" s="349"/>
      <c r="AO524" s="349"/>
      <c r="AP524" s="349"/>
      <c r="AQ524" s="349"/>
      <c r="AR524" s="349"/>
      <c r="AS524" s="349"/>
      <c r="AT524" s="349"/>
      <c r="AU524" s="349"/>
      <c r="AV524" s="349"/>
      <c r="AW524" s="349"/>
      <c r="AX524" s="349"/>
    </row>
    <row r="525" ht="15.75" customHeight="1">
      <c r="A525" s="299" t="s">
        <v>5686</v>
      </c>
      <c r="B525" s="300" t="s">
        <v>5804</v>
      </c>
      <c r="C525" s="190" t="s">
        <v>5810</v>
      </c>
      <c r="D525" s="190" t="s">
        <v>5811</v>
      </c>
      <c r="E525" s="190" t="s">
        <v>5812</v>
      </c>
      <c r="F525" s="190"/>
      <c r="G525" s="293"/>
      <c r="H525" s="293"/>
      <c r="I525" s="356"/>
      <c r="J525" s="355"/>
      <c r="K525" s="291" t="s">
        <v>7022</v>
      </c>
      <c r="L525" s="356"/>
      <c r="M525" s="356"/>
      <c r="N525" s="356"/>
      <c r="O525" s="291" t="s">
        <v>7344</v>
      </c>
      <c r="P525" s="291"/>
      <c r="Q525" s="291" t="s">
        <v>307</v>
      </c>
      <c r="R525" s="356"/>
      <c r="S525" s="356"/>
      <c r="T525" s="356"/>
      <c r="U525" s="356"/>
      <c r="V525" s="356"/>
      <c r="W525" s="356"/>
      <c r="X525" s="356"/>
      <c r="Y525" s="291" t="s">
        <v>7027</v>
      </c>
      <c r="Z525" s="356"/>
      <c r="AA525" s="356"/>
      <c r="AB525" s="356"/>
      <c r="AC525" s="356"/>
      <c r="AD525" s="349"/>
      <c r="AE525" s="349"/>
      <c r="AF525" s="349"/>
      <c r="AG525" s="349"/>
      <c r="AH525" s="349"/>
      <c r="AI525" s="349"/>
      <c r="AJ525" s="349"/>
      <c r="AK525" s="349"/>
      <c r="AL525" s="349"/>
      <c r="AM525" s="349"/>
      <c r="AN525" s="349"/>
      <c r="AO525" s="349"/>
      <c r="AP525" s="349"/>
      <c r="AQ525" s="349"/>
      <c r="AR525" s="349"/>
      <c r="AS525" s="349"/>
      <c r="AT525" s="349"/>
      <c r="AU525" s="349"/>
      <c r="AV525" s="349"/>
      <c r="AW525" s="349"/>
      <c r="AX525" s="349"/>
    </row>
    <row r="526" ht="15.75" customHeight="1">
      <c r="A526" s="301" t="s">
        <v>220</v>
      </c>
      <c r="B526" s="302" t="s">
        <v>5813</v>
      </c>
      <c r="C526" s="190" t="s">
        <v>5818</v>
      </c>
      <c r="D526" s="190" t="s">
        <v>5819</v>
      </c>
      <c r="E526" s="190" t="s">
        <v>5820</v>
      </c>
      <c r="F526" s="190"/>
      <c r="G526" s="293"/>
      <c r="H526" s="293"/>
      <c r="I526" s="366"/>
      <c r="J526" s="367"/>
      <c r="K526" s="366"/>
      <c r="L526" s="366"/>
      <c r="M526" s="366"/>
      <c r="N526" s="366"/>
      <c r="O526" s="368" t="s">
        <v>7362</v>
      </c>
      <c r="P526" s="291"/>
      <c r="Q526" s="368" t="s">
        <v>307</v>
      </c>
      <c r="R526" s="366"/>
      <c r="S526" s="366"/>
      <c r="T526" s="366"/>
      <c r="U526" s="366"/>
      <c r="V526" s="366"/>
      <c r="W526" s="366"/>
      <c r="X526" s="366"/>
      <c r="Y526" s="366"/>
      <c r="Z526" s="366"/>
      <c r="AA526" s="366"/>
      <c r="AB526" s="366"/>
      <c r="AC526" s="366"/>
      <c r="AD526" s="349"/>
      <c r="AE526" s="349"/>
      <c r="AF526" s="349"/>
      <c r="AG526" s="349"/>
      <c r="AH526" s="349"/>
      <c r="AI526" s="349"/>
      <c r="AJ526" s="349"/>
      <c r="AK526" s="349"/>
      <c r="AL526" s="349"/>
      <c r="AM526" s="349"/>
      <c r="AN526" s="349"/>
      <c r="AO526" s="349"/>
      <c r="AP526" s="349"/>
      <c r="AQ526" s="349"/>
      <c r="AR526" s="349"/>
      <c r="AS526" s="349"/>
      <c r="AT526" s="349"/>
      <c r="AU526" s="349"/>
      <c r="AV526" s="349"/>
      <c r="AW526" s="349"/>
      <c r="AX526" s="349"/>
    </row>
    <row r="527" ht="15.75" customHeight="1">
      <c r="A527" s="305" t="s">
        <v>385</v>
      </c>
      <c r="B527" s="223" t="s">
        <v>5821</v>
      </c>
      <c r="C527" s="190" t="s">
        <v>5822</v>
      </c>
      <c r="D527" s="190"/>
      <c r="E527" s="190"/>
      <c r="F527" s="190"/>
      <c r="G527" s="362"/>
      <c r="H527" s="362"/>
      <c r="I527" s="362"/>
      <c r="J527" s="362"/>
      <c r="K527" s="362"/>
      <c r="L527" s="362"/>
      <c r="M527" s="363"/>
      <c r="N527" s="363"/>
      <c r="O527" s="364" t="s">
        <v>7344</v>
      </c>
      <c r="P527" s="291"/>
      <c r="Q527" s="362"/>
      <c r="R527" s="362"/>
      <c r="S527" s="362"/>
      <c r="T527" s="362"/>
      <c r="U527" s="364" t="s">
        <v>7383</v>
      </c>
      <c r="V527" s="362"/>
      <c r="W527" s="362"/>
      <c r="X527" s="362"/>
      <c r="Y527" s="362"/>
      <c r="Z527" s="362"/>
      <c r="AA527" s="362"/>
      <c r="AB527" s="362"/>
      <c r="AC527" s="362"/>
      <c r="AD527" s="349"/>
      <c r="AE527" s="349"/>
      <c r="AF527" s="349"/>
      <c r="AG527" s="349"/>
      <c r="AH527" s="349"/>
      <c r="AI527" s="349"/>
      <c r="AJ527" s="349"/>
      <c r="AK527" s="349"/>
      <c r="AL527" s="349"/>
      <c r="AM527" s="349"/>
      <c r="AN527" s="349"/>
      <c r="AO527" s="349"/>
      <c r="AP527" s="349"/>
      <c r="AQ527" s="349"/>
      <c r="AR527" s="349"/>
      <c r="AS527" s="349"/>
      <c r="AT527" s="349"/>
      <c r="AU527" s="349"/>
      <c r="AV527" s="349"/>
      <c r="AW527" s="349"/>
      <c r="AX527" s="349"/>
    </row>
    <row r="528" ht="15.75" customHeight="1">
      <c r="A528" s="221" t="s">
        <v>112</v>
      </c>
      <c r="B528" s="198" t="s">
        <v>5825</v>
      </c>
      <c r="C528" s="190"/>
      <c r="D528" s="190"/>
      <c r="E528" s="190"/>
      <c r="F528" s="190"/>
      <c r="G528" s="348"/>
      <c r="H528" s="348"/>
      <c r="I528" s="348"/>
      <c r="J528" s="348"/>
      <c r="K528" s="348"/>
      <c r="L528" s="348"/>
      <c r="M528" s="348"/>
      <c r="N528" s="348"/>
      <c r="O528" s="348"/>
      <c r="P528" s="291"/>
      <c r="Q528" s="348"/>
      <c r="R528" s="348"/>
      <c r="S528" s="348"/>
      <c r="T528" s="335" t="s">
        <v>1581</v>
      </c>
      <c r="U528" s="348"/>
      <c r="V528" s="348"/>
      <c r="W528" s="348"/>
      <c r="X528" s="348"/>
      <c r="Y528" s="348"/>
      <c r="Z528" s="348"/>
      <c r="AA528" s="348"/>
      <c r="AB528" s="348"/>
      <c r="AC528" s="348"/>
      <c r="AD528" s="349"/>
      <c r="AE528" s="349"/>
      <c r="AF528" s="349"/>
      <c r="AG528" s="349"/>
      <c r="AH528" s="349"/>
      <c r="AI528" s="349"/>
      <c r="AJ528" s="349"/>
      <c r="AK528" s="349"/>
      <c r="AL528" s="349"/>
      <c r="AM528" s="349"/>
      <c r="AN528" s="349"/>
      <c r="AO528" s="349"/>
      <c r="AP528" s="349"/>
      <c r="AQ528" s="349"/>
      <c r="AR528" s="349"/>
      <c r="AS528" s="349"/>
      <c r="AT528" s="349"/>
      <c r="AU528" s="349"/>
      <c r="AV528" s="349"/>
      <c r="AW528" s="349"/>
      <c r="AX528" s="349"/>
    </row>
    <row r="529" ht="15.75" customHeight="1">
      <c r="A529" s="221" t="s">
        <v>112</v>
      </c>
      <c r="B529" s="198" t="s">
        <v>5830</v>
      </c>
      <c r="C529" s="190"/>
      <c r="D529" s="190"/>
      <c r="E529" s="190"/>
      <c r="F529" s="190"/>
      <c r="G529" s="348"/>
      <c r="H529" s="348"/>
      <c r="I529" s="348"/>
      <c r="J529" s="348"/>
      <c r="K529" s="348"/>
      <c r="L529" s="348"/>
      <c r="M529" s="348"/>
      <c r="N529" s="348"/>
      <c r="O529" s="348"/>
      <c r="P529" s="291"/>
      <c r="Q529" s="348"/>
      <c r="R529" s="348"/>
      <c r="S529" s="348"/>
      <c r="T529" s="335" t="s">
        <v>7407</v>
      </c>
      <c r="U529" s="348"/>
      <c r="V529" s="348"/>
      <c r="W529" s="348"/>
      <c r="X529" s="348"/>
      <c r="Y529" s="348"/>
      <c r="Z529" s="348"/>
      <c r="AA529" s="348"/>
      <c r="AB529" s="348"/>
      <c r="AC529" s="348"/>
      <c r="AD529" s="349"/>
      <c r="AE529" s="349"/>
      <c r="AF529" s="349"/>
      <c r="AG529" s="349"/>
      <c r="AH529" s="349"/>
      <c r="AI529" s="349"/>
      <c r="AJ529" s="349"/>
      <c r="AK529" s="349"/>
      <c r="AL529" s="349"/>
      <c r="AM529" s="349"/>
      <c r="AN529" s="349"/>
      <c r="AO529" s="349"/>
      <c r="AP529" s="349"/>
      <c r="AQ529" s="349"/>
      <c r="AR529" s="349"/>
      <c r="AS529" s="349"/>
      <c r="AT529" s="349"/>
      <c r="AU529" s="349"/>
      <c r="AV529" s="349"/>
      <c r="AW529" s="349"/>
      <c r="AX529" s="349"/>
    </row>
    <row r="530" ht="15.75" customHeight="1">
      <c r="A530" s="221" t="s">
        <v>112</v>
      </c>
      <c r="B530" s="250" t="s">
        <v>5835</v>
      </c>
      <c r="C530" s="190" t="s">
        <v>5739</v>
      </c>
      <c r="D530" s="190"/>
      <c r="E530" s="190"/>
      <c r="F530" s="190"/>
      <c r="G530" s="348"/>
      <c r="H530" s="348"/>
      <c r="I530" s="348"/>
      <c r="J530" s="348"/>
      <c r="K530" s="348"/>
      <c r="L530" s="348"/>
      <c r="M530" s="348"/>
      <c r="N530" s="348"/>
      <c r="O530" s="348"/>
      <c r="P530" s="291"/>
      <c r="Q530" s="348"/>
      <c r="R530" s="348"/>
      <c r="S530" s="348"/>
      <c r="T530" s="335" t="s">
        <v>7418</v>
      </c>
      <c r="U530" s="348"/>
      <c r="V530" s="348"/>
      <c r="W530" s="348"/>
      <c r="X530" s="348"/>
      <c r="Y530" s="348"/>
      <c r="Z530" s="348"/>
      <c r="AA530" s="348"/>
      <c r="AB530" s="348"/>
      <c r="AC530" s="348"/>
      <c r="AD530" s="349"/>
      <c r="AE530" s="349"/>
      <c r="AF530" s="349"/>
      <c r="AG530" s="349"/>
      <c r="AH530" s="349"/>
      <c r="AI530" s="349"/>
      <c r="AJ530" s="349"/>
      <c r="AK530" s="349"/>
      <c r="AL530" s="349"/>
      <c r="AM530" s="349"/>
      <c r="AN530" s="349"/>
      <c r="AO530" s="349"/>
      <c r="AP530" s="349"/>
      <c r="AQ530" s="349"/>
      <c r="AR530" s="349"/>
      <c r="AS530" s="349"/>
      <c r="AT530" s="349"/>
      <c r="AU530" s="349"/>
      <c r="AV530" s="349"/>
      <c r="AW530" s="349"/>
      <c r="AX530" s="349"/>
    </row>
    <row r="531" ht="15.75" customHeight="1">
      <c r="A531" s="299" t="s">
        <v>5741</v>
      </c>
      <c r="B531" s="347" t="s">
        <v>5838</v>
      </c>
      <c r="C531" s="190" t="s">
        <v>5846</v>
      </c>
      <c r="D531" s="190" t="s">
        <v>5847</v>
      </c>
      <c r="E531" s="190" t="s">
        <v>5848</v>
      </c>
      <c r="F531" s="190"/>
      <c r="G531" s="293"/>
      <c r="H531" s="293"/>
      <c r="I531" s="356"/>
      <c r="J531" s="340" t="s">
        <v>7426</v>
      </c>
      <c r="K531" s="356"/>
      <c r="L531" s="356"/>
      <c r="M531" s="356"/>
      <c r="N531" s="356"/>
      <c r="O531" s="291" t="s">
        <v>7428</v>
      </c>
      <c r="P531" s="291"/>
      <c r="Q531" s="291" t="s">
        <v>307</v>
      </c>
      <c r="R531" s="356"/>
      <c r="S531" s="356"/>
      <c r="T531" s="356"/>
      <c r="U531" s="356"/>
      <c r="V531" s="356"/>
      <c r="W531" s="356"/>
      <c r="X531" s="356"/>
      <c r="Y531" s="356"/>
      <c r="Z531" s="356"/>
      <c r="AA531" s="356"/>
      <c r="AB531" s="356"/>
      <c r="AC531" s="356"/>
      <c r="AD531" s="349"/>
      <c r="AE531" s="349"/>
      <c r="AF531" s="349"/>
      <c r="AG531" s="349"/>
      <c r="AH531" s="349"/>
      <c r="AI531" s="349"/>
      <c r="AJ531" s="349"/>
      <c r="AK531" s="349"/>
      <c r="AL531" s="349"/>
      <c r="AM531" s="349"/>
      <c r="AN531" s="349"/>
      <c r="AO531" s="349"/>
      <c r="AP531" s="349"/>
      <c r="AQ531" s="349"/>
      <c r="AR531" s="349"/>
      <c r="AS531" s="349"/>
      <c r="AT531" s="349"/>
      <c r="AU531" s="349"/>
      <c r="AV531" s="349"/>
      <c r="AW531" s="349"/>
      <c r="AX531" s="349"/>
    </row>
    <row r="532" ht="15.75" customHeight="1">
      <c r="A532" s="301" t="s">
        <v>220</v>
      </c>
      <c r="B532" s="302" t="s">
        <v>5849</v>
      </c>
      <c r="C532" s="190" t="s">
        <v>5854</v>
      </c>
      <c r="D532" s="190" t="s">
        <v>5855</v>
      </c>
      <c r="E532" s="190" t="s">
        <v>5856</v>
      </c>
      <c r="F532" s="190"/>
      <c r="G532" s="293"/>
      <c r="H532" s="293"/>
      <c r="I532" s="366"/>
      <c r="J532" s="367"/>
      <c r="K532" s="366"/>
      <c r="L532" s="366"/>
      <c r="M532" s="366"/>
      <c r="N532" s="366"/>
      <c r="O532" s="368" t="s">
        <v>7433</v>
      </c>
      <c r="P532" s="291"/>
      <c r="Q532" s="368" t="s">
        <v>307</v>
      </c>
      <c r="R532" s="366"/>
      <c r="S532" s="366"/>
      <c r="T532" s="366"/>
      <c r="U532" s="366"/>
      <c r="V532" s="366"/>
      <c r="W532" s="366"/>
      <c r="X532" s="366"/>
      <c r="Y532" s="366"/>
      <c r="Z532" s="366"/>
      <c r="AA532" s="366"/>
      <c r="AB532" s="366"/>
      <c r="AC532" s="366"/>
      <c r="AD532" s="349"/>
      <c r="AE532" s="349"/>
      <c r="AF532" s="349"/>
      <c r="AG532" s="349"/>
      <c r="AH532" s="349"/>
      <c r="AI532" s="349"/>
      <c r="AJ532" s="349"/>
      <c r="AK532" s="349"/>
      <c r="AL532" s="349"/>
      <c r="AM532" s="349"/>
      <c r="AN532" s="349"/>
      <c r="AO532" s="349"/>
      <c r="AP532" s="349"/>
      <c r="AQ532" s="349"/>
      <c r="AR532" s="349"/>
      <c r="AS532" s="349"/>
      <c r="AT532" s="349"/>
      <c r="AU532" s="349"/>
      <c r="AV532" s="349"/>
      <c r="AW532" s="349"/>
      <c r="AX532" s="349"/>
    </row>
    <row r="533" ht="15.75" customHeight="1">
      <c r="A533" s="299" t="s">
        <v>5761</v>
      </c>
      <c r="B533" s="300" t="s">
        <v>5858</v>
      </c>
      <c r="C533" s="190" t="s">
        <v>5863</v>
      </c>
      <c r="D533" s="190" t="s">
        <v>5864</v>
      </c>
      <c r="E533" s="190" t="s">
        <v>5865</v>
      </c>
      <c r="F533" s="190"/>
      <c r="G533" s="293"/>
      <c r="H533" s="293"/>
      <c r="I533" s="356"/>
      <c r="J533" s="355"/>
      <c r="K533" s="356"/>
      <c r="L533" s="356"/>
      <c r="M533" s="356"/>
      <c r="N533" s="356"/>
      <c r="O533" s="291" t="s">
        <v>7443</v>
      </c>
      <c r="P533" s="291"/>
      <c r="Q533" s="291" t="s">
        <v>307</v>
      </c>
      <c r="R533" s="356"/>
      <c r="S533" s="356"/>
      <c r="T533" s="356"/>
      <c r="U533" s="356"/>
      <c r="V533" s="356"/>
      <c r="W533" s="356"/>
      <c r="X533" s="356"/>
      <c r="Y533" s="356"/>
      <c r="Z533" s="356"/>
      <c r="AA533" s="356"/>
      <c r="AB533" s="356"/>
      <c r="AC533" s="356"/>
      <c r="AD533" s="349"/>
      <c r="AE533" s="349"/>
      <c r="AF533" s="349"/>
      <c r="AG533" s="349"/>
      <c r="AH533" s="349"/>
      <c r="AI533" s="349"/>
      <c r="AJ533" s="349"/>
      <c r="AK533" s="349"/>
      <c r="AL533" s="349"/>
      <c r="AM533" s="349"/>
      <c r="AN533" s="349"/>
      <c r="AO533" s="349"/>
      <c r="AP533" s="349"/>
      <c r="AQ533" s="349"/>
      <c r="AR533" s="349"/>
      <c r="AS533" s="349"/>
      <c r="AT533" s="349"/>
      <c r="AU533" s="349"/>
      <c r="AV533" s="349"/>
      <c r="AW533" s="349"/>
      <c r="AX533" s="349"/>
    </row>
    <row r="534" ht="15.75" customHeight="1">
      <c r="A534" s="301" t="s">
        <v>220</v>
      </c>
      <c r="B534" s="302" t="s">
        <v>5866</v>
      </c>
      <c r="C534" s="190" t="s">
        <v>5871</v>
      </c>
      <c r="D534" s="190" t="s">
        <v>5872</v>
      </c>
      <c r="E534" s="190" t="s">
        <v>5873</v>
      </c>
      <c r="F534" s="190"/>
      <c r="G534" s="293"/>
      <c r="H534" s="293"/>
      <c r="I534" s="366"/>
      <c r="J534" s="367"/>
      <c r="K534" s="366"/>
      <c r="L534" s="366"/>
      <c r="M534" s="366"/>
      <c r="N534" s="366"/>
      <c r="O534" s="368" t="s">
        <v>7448</v>
      </c>
      <c r="P534" s="291"/>
      <c r="Q534" s="368" t="s">
        <v>307</v>
      </c>
      <c r="R534" s="366"/>
      <c r="S534" s="366"/>
      <c r="T534" s="366"/>
      <c r="U534" s="366"/>
      <c r="V534" s="366"/>
      <c r="W534" s="366"/>
      <c r="X534" s="366"/>
      <c r="Y534" s="366"/>
      <c r="Z534" s="366"/>
      <c r="AA534" s="366"/>
      <c r="AB534" s="366"/>
      <c r="AC534" s="366"/>
      <c r="AD534" s="349"/>
      <c r="AE534" s="349"/>
      <c r="AF534" s="349"/>
      <c r="AG534" s="349"/>
      <c r="AH534" s="349"/>
      <c r="AI534" s="349"/>
      <c r="AJ534" s="349"/>
      <c r="AK534" s="349"/>
      <c r="AL534" s="349"/>
      <c r="AM534" s="349"/>
      <c r="AN534" s="349"/>
      <c r="AO534" s="349"/>
      <c r="AP534" s="349"/>
      <c r="AQ534" s="349"/>
      <c r="AR534" s="349"/>
      <c r="AS534" s="349"/>
      <c r="AT534" s="349"/>
      <c r="AU534" s="349"/>
      <c r="AV534" s="349"/>
      <c r="AW534" s="349"/>
      <c r="AX534" s="349"/>
    </row>
    <row r="535" ht="15.75" customHeight="1">
      <c r="A535" s="306" t="s">
        <v>247</v>
      </c>
      <c r="B535" s="307" t="s">
        <v>5874</v>
      </c>
      <c r="C535" s="190" t="s">
        <v>5879</v>
      </c>
      <c r="D535" s="190" t="s">
        <v>5880</v>
      </c>
      <c r="E535" s="190" t="s">
        <v>5881</v>
      </c>
      <c r="F535" s="190"/>
      <c r="G535" s="293"/>
      <c r="H535" s="293"/>
      <c r="I535" s="359"/>
      <c r="J535" s="359"/>
      <c r="K535" s="360" t="s">
        <v>3195</v>
      </c>
      <c r="L535" s="369"/>
      <c r="M535" s="359"/>
      <c r="N535" s="359"/>
      <c r="O535" s="361" t="s">
        <v>7460</v>
      </c>
      <c r="P535" s="291"/>
      <c r="Q535" s="361" t="s">
        <v>307</v>
      </c>
      <c r="R535" s="359"/>
      <c r="S535" s="359"/>
      <c r="T535" s="359"/>
      <c r="U535" s="359"/>
      <c r="V535" s="359"/>
      <c r="W535" s="359"/>
      <c r="X535" s="359"/>
      <c r="Y535" s="359"/>
      <c r="Z535" s="359"/>
      <c r="AA535" s="359"/>
      <c r="AB535" s="359"/>
      <c r="AC535" s="359"/>
      <c r="AD535" s="349"/>
      <c r="AE535" s="349"/>
      <c r="AF535" s="349"/>
      <c r="AG535" s="349"/>
      <c r="AH535" s="349"/>
      <c r="AI535" s="349"/>
      <c r="AJ535" s="349"/>
      <c r="AK535" s="349"/>
      <c r="AL535" s="349"/>
      <c r="AM535" s="349"/>
      <c r="AN535" s="349"/>
      <c r="AO535" s="349"/>
      <c r="AP535" s="349"/>
      <c r="AQ535" s="349"/>
      <c r="AR535" s="349"/>
      <c r="AS535" s="349"/>
      <c r="AT535" s="349"/>
      <c r="AU535" s="349"/>
      <c r="AV535" s="349"/>
      <c r="AW535" s="349"/>
      <c r="AX535" s="349"/>
    </row>
    <row r="536" ht="15.75" customHeight="1">
      <c r="A536" s="299" t="s">
        <v>5882</v>
      </c>
      <c r="B536" s="300" t="s">
        <v>5883</v>
      </c>
      <c r="C536" s="190" t="s">
        <v>5888</v>
      </c>
      <c r="D536" s="190" t="s">
        <v>5889</v>
      </c>
      <c r="E536" s="190" t="s">
        <v>5890</v>
      </c>
      <c r="F536" s="190"/>
      <c r="G536" s="293"/>
      <c r="H536" s="293"/>
      <c r="I536" s="356"/>
      <c r="J536" s="355"/>
      <c r="K536" s="291" t="s">
        <v>7022</v>
      </c>
      <c r="L536" s="356"/>
      <c r="M536" s="356"/>
      <c r="N536" s="356"/>
      <c r="O536" s="291" t="s">
        <v>7460</v>
      </c>
      <c r="P536" s="291"/>
      <c r="Q536" s="291" t="s">
        <v>307</v>
      </c>
      <c r="R536" s="356"/>
      <c r="S536" s="356"/>
      <c r="T536" s="356"/>
      <c r="U536" s="356"/>
      <c r="V536" s="356"/>
      <c r="W536" s="356"/>
      <c r="X536" s="356"/>
      <c r="Y536" s="356"/>
      <c r="Z536" s="356"/>
      <c r="AA536" s="356"/>
      <c r="AB536" s="356"/>
      <c r="AC536" s="356"/>
      <c r="AD536" s="349"/>
      <c r="AE536" s="349"/>
      <c r="AF536" s="349"/>
      <c r="AG536" s="349"/>
      <c r="AH536" s="349"/>
      <c r="AI536" s="349"/>
      <c r="AJ536" s="349"/>
      <c r="AK536" s="349"/>
      <c r="AL536" s="349"/>
      <c r="AM536" s="349"/>
      <c r="AN536" s="349"/>
      <c r="AO536" s="349"/>
      <c r="AP536" s="349"/>
      <c r="AQ536" s="349"/>
      <c r="AR536" s="349"/>
      <c r="AS536" s="349"/>
      <c r="AT536" s="349"/>
      <c r="AU536" s="349"/>
      <c r="AV536" s="349"/>
      <c r="AW536" s="349"/>
      <c r="AX536" s="349"/>
    </row>
    <row r="537" ht="15.75" customHeight="1">
      <c r="A537" s="301" t="s">
        <v>220</v>
      </c>
      <c r="B537" s="302" t="s">
        <v>5891</v>
      </c>
      <c r="C537" s="190" t="s">
        <v>5897</v>
      </c>
      <c r="D537" s="190" t="s">
        <v>5898</v>
      </c>
      <c r="E537" s="190" t="s">
        <v>5899</v>
      </c>
      <c r="F537" s="190"/>
      <c r="G537" s="293"/>
      <c r="H537" s="293"/>
      <c r="I537" s="366"/>
      <c r="J537" s="367"/>
      <c r="K537" s="366"/>
      <c r="L537" s="366"/>
      <c r="M537" s="366"/>
      <c r="N537" s="366"/>
      <c r="O537" s="368" t="s">
        <v>7482</v>
      </c>
      <c r="P537" s="291"/>
      <c r="Q537" s="368" t="s">
        <v>307</v>
      </c>
      <c r="R537" s="366"/>
      <c r="S537" s="366"/>
      <c r="T537" s="366"/>
      <c r="U537" s="366"/>
      <c r="V537" s="366"/>
      <c r="W537" s="366"/>
      <c r="X537" s="366"/>
      <c r="Y537" s="366"/>
      <c r="Z537" s="366"/>
      <c r="AA537" s="366"/>
      <c r="AB537" s="366"/>
      <c r="AC537" s="366"/>
      <c r="AD537" s="349"/>
      <c r="AE537" s="349"/>
      <c r="AF537" s="349"/>
      <c r="AG537" s="349"/>
      <c r="AH537" s="349"/>
      <c r="AI537" s="349"/>
      <c r="AJ537" s="349"/>
      <c r="AK537" s="349"/>
      <c r="AL537" s="349"/>
      <c r="AM537" s="349"/>
      <c r="AN537" s="349"/>
      <c r="AO537" s="349"/>
      <c r="AP537" s="349"/>
      <c r="AQ537" s="349"/>
      <c r="AR537" s="349"/>
      <c r="AS537" s="349"/>
      <c r="AT537" s="349"/>
      <c r="AU537" s="349"/>
      <c r="AV537" s="349"/>
      <c r="AW537" s="349"/>
      <c r="AX537" s="349"/>
    </row>
    <row r="538" ht="15.75" customHeight="1">
      <c r="A538" s="305" t="s">
        <v>450</v>
      </c>
      <c r="B538" s="224" t="s">
        <v>5821</v>
      </c>
      <c r="C538" s="190"/>
      <c r="D538" s="190"/>
      <c r="E538" s="190"/>
      <c r="F538" s="190"/>
      <c r="G538" s="362"/>
      <c r="H538" s="362"/>
      <c r="I538" s="362"/>
      <c r="J538" s="362"/>
      <c r="K538" s="362"/>
      <c r="L538" s="362"/>
      <c r="M538" s="362"/>
      <c r="N538" s="362"/>
      <c r="O538" s="362"/>
      <c r="P538" s="291"/>
      <c r="Q538" s="362"/>
      <c r="R538" s="362"/>
      <c r="S538" s="362"/>
      <c r="T538" s="362"/>
      <c r="U538" s="362"/>
      <c r="V538" s="362"/>
      <c r="W538" s="362"/>
      <c r="X538" s="362"/>
      <c r="Y538" s="362"/>
      <c r="Z538" s="362"/>
      <c r="AA538" s="362"/>
      <c r="AB538" s="362"/>
      <c r="AC538" s="362"/>
      <c r="AD538" s="349"/>
      <c r="AE538" s="349"/>
      <c r="AF538" s="349"/>
      <c r="AG538" s="349"/>
      <c r="AH538" s="349"/>
      <c r="AI538" s="349"/>
      <c r="AJ538" s="349"/>
      <c r="AK538" s="349"/>
      <c r="AL538" s="349"/>
      <c r="AM538" s="349"/>
      <c r="AN538" s="349"/>
      <c r="AO538" s="349"/>
      <c r="AP538" s="349"/>
      <c r="AQ538" s="349"/>
      <c r="AR538" s="349"/>
      <c r="AS538" s="349"/>
      <c r="AT538" s="349"/>
      <c r="AU538" s="349"/>
      <c r="AV538" s="349"/>
      <c r="AW538" s="349"/>
      <c r="AX538" s="349"/>
    </row>
    <row r="539" ht="15.75" customHeight="1">
      <c r="A539" s="310" t="s">
        <v>331</v>
      </c>
      <c r="B539" s="315" t="s">
        <v>5658</v>
      </c>
      <c r="C539" s="190" t="s">
        <v>5659</v>
      </c>
      <c r="D539" s="190"/>
      <c r="E539" s="190"/>
      <c r="F539" s="190"/>
      <c r="G539" s="354"/>
      <c r="H539" s="354"/>
      <c r="I539" s="354"/>
      <c r="J539" s="354"/>
      <c r="K539" s="354"/>
      <c r="L539" s="354"/>
      <c r="M539" s="354"/>
      <c r="N539" s="354"/>
      <c r="O539" s="354"/>
      <c r="P539" s="291"/>
      <c r="Q539" s="354"/>
      <c r="R539" s="354"/>
      <c r="S539" s="354"/>
      <c r="T539" s="354"/>
      <c r="U539" s="354"/>
      <c r="V539" s="354"/>
      <c r="W539" s="354"/>
      <c r="X539" s="354"/>
      <c r="Y539" s="354"/>
      <c r="Z539" s="354"/>
      <c r="AA539" s="354"/>
      <c r="AB539" s="354"/>
      <c r="AC539" s="354"/>
      <c r="AD539" s="349"/>
      <c r="AE539" s="349"/>
      <c r="AF539" s="349"/>
      <c r="AG539" s="349"/>
      <c r="AH539" s="349"/>
      <c r="AI539" s="349"/>
      <c r="AJ539" s="349"/>
      <c r="AK539" s="349"/>
      <c r="AL539" s="349"/>
      <c r="AM539" s="349"/>
      <c r="AN539" s="349"/>
      <c r="AO539" s="349"/>
      <c r="AP539" s="349"/>
      <c r="AQ539" s="349"/>
      <c r="AR539" s="349"/>
      <c r="AS539" s="349"/>
      <c r="AT539" s="349"/>
      <c r="AU539" s="349"/>
      <c r="AV539" s="349"/>
      <c r="AW539" s="349"/>
      <c r="AX539" s="349"/>
    </row>
    <row r="540" ht="15.75" customHeight="1">
      <c r="A540" s="221" t="s">
        <v>256</v>
      </c>
      <c r="B540" s="198" t="s">
        <v>5902</v>
      </c>
      <c r="C540" s="190"/>
      <c r="D540" s="190"/>
      <c r="E540" s="190"/>
      <c r="F540" s="190"/>
      <c r="G540" s="348"/>
      <c r="H540" s="348"/>
      <c r="I540" s="348"/>
      <c r="J540" s="348"/>
      <c r="K540" s="348"/>
      <c r="L540" s="348"/>
      <c r="M540" s="348"/>
      <c r="N540" s="348"/>
      <c r="O540" s="348"/>
      <c r="P540" s="291"/>
      <c r="Q540" s="348"/>
      <c r="R540" s="348"/>
      <c r="S540" s="348"/>
      <c r="T540" s="335" t="s">
        <v>260</v>
      </c>
      <c r="U540" s="348"/>
      <c r="V540" s="348"/>
      <c r="W540" s="348"/>
      <c r="X540" s="348"/>
      <c r="Y540" s="348"/>
      <c r="Z540" s="348"/>
      <c r="AA540" s="348"/>
      <c r="AB540" s="348"/>
      <c r="AC540" s="348"/>
      <c r="AD540" s="349"/>
      <c r="AE540" s="349"/>
      <c r="AF540" s="349"/>
      <c r="AG540" s="349"/>
      <c r="AH540" s="349"/>
      <c r="AI540" s="349"/>
      <c r="AJ540" s="349"/>
      <c r="AK540" s="349"/>
      <c r="AL540" s="349"/>
      <c r="AM540" s="349"/>
      <c r="AN540" s="349"/>
      <c r="AO540" s="349"/>
      <c r="AP540" s="349"/>
      <c r="AQ540" s="349"/>
      <c r="AR540" s="349"/>
      <c r="AS540" s="349"/>
      <c r="AT540" s="349"/>
      <c r="AU540" s="349"/>
      <c r="AV540" s="349"/>
      <c r="AW540" s="349"/>
      <c r="AX540" s="349"/>
    </row>
    <row r="541" ht="15.75" customHeight="1">
      <c r="A541" s="221" t="s">
        <v>112</v>
      </c>
      <c r="B541" s="198" t="s">
        <v>5903</v>
      </c>
      <c r="C541" s="190"/>
      <c r="D541" s="190"/>
      <c r="E541" s="190"/>
      <c r="F541" s="190"/>
      <c r="G541" s="348"/>
      <c r="H541" s="348"/>
      <c r="I541" s="348"/>
      <c r="J541" s="348"/>
      <c r="K541" s="348"/>
      <c r="L541" s="348"/>
      <c r="M541" s="348"/>
      <c r="N541" s="348"/>
      <c r="O541" s="348"/>
      <c r="P541" s="291"/>
      <c r="Q541" s="348"/>
      <c r="R541" s="348"/>
      <c r="S541" s="348"/>
      <c r="T541" s="335" t="s">
        <v>7529</v>
      </c>
      <c r="U541" s="348"/>
      <c r="V541" s="348"/>
      <c r="W541" s="348"/>
      <c r="X541" s="348"/>
      <c r="Y541" s="348"/>
      <c r="Z541" s="348"/>
      <c r="AA541" s="348"/>
      <c r="AB541" s="348"/>
      <c r="AC541" s="348"/>
      <c r="AD541" s="349"/>
      <c r="AE541" s="349"/>
      <c r="AF541" s="349"/>
      <c r="AG541" s="349"/>
      <c r="AH541" s="349"/>
      <c r="AI541" s="349"/>
      <c r="AJ541" s="349"/>
      <c r="AK541" s="349"/>
      <c r="AL541" s="349"/>
      <c r="AM541" s="349"/>
      <c r="AN541" s="349"/>
      <c r="AO541" s="349"/>
      <c r="AP541" s="349"/>
      <c r="AQ541" s="349"/>
      <c r="AR541" s="349"/>
      <c r="AS541" s="349"/>
      <c r="AT541" s="349"/>
      <c r="AU541" s="349"/>
      <c r="AV541" s="349"/>
      <c r="AW541" s="349"/>
      <c r="AX541" s="349"/>
    </row>
    <row r="542" ht="15.75" customHeight="1">
      <c r="A542" s="305" t="s">
        <v>450</v>
      </c>
      <c r="B542" s="224" t="s">
        <v>5340</v>
      </c>
      <c r="C542" s="190" t="s">
        <v>5341</v>
      </c>
      <c r="D542" s="190"/>
      <c r="E542" s="190"/>
      <c r="F542" s="190"/>
      <c r="G542" s="362"/>
      <c r="H542" s="362"/>
      <c r="I542" s="362"/>
      <c r="J542" s="362"/>
      <c r="K542" s="362"/>
      <c r="L542" s="362"/>
      <c r="M542" s="362"/>
      <c r="N542" s="362"/>
      <c r="O542" s="362"/>
      <c r="P542" s="291"/>
      <c r="Q542" s="362"/>
      <c r="R542" s="362"/>
      <c r="S542" s="362"/>
      <c r="T542" s="362"/>
      <c r="U542" s="362"/>
      <c r="V542" s="362"/>
      <c r="W542" s="362"/>
      <c r="X542" s="362"/>
      <c r="Y542" s="362"/>
      <c r="Z542" s="362"/>
      <c r="AA542" s="362"/>
      <c r="AB542" s="362"/>
      <c r="AC542" s="362"/>
      <c r="AD542" s="362"/>
      <c r="AE542" s="362"/>
      <c r="AF542" s="362"/>
      <c r="AG542" s="362"/>
      <c r="AH542" s="362"/>
      <c r="AI542" s="362"/>
      <c r="AJ542" s="362"/>
      <c r="AK542" s="362"/>
      <c r="AL542" s="362"/>
      <c r="AM542" s="362"/>
      <c r="AN542" s="362"/>
      <c r="AO542" s="349"/>
      <c r="AP542" s="349"/>
      <c r="AQ542" s="349"/>
      <c r="AR542" s="349"/>
      <c r="AS542" s="349"/>
      <c r="AT542" s="349"/>
      <c r="AU542" s="349"/>
      <c r="AV542" s="349"/>
      <c r="AW542" s="349"/>
      <c r="AX542" s="349"/>
    </row>
    <row r="543">
      <c r="A543" s="319"/>
      <c r="B543" s="319"/>
      <c r="C543" s="190"/>
      <c r="D543" s="190"/>
      <c r="E543" s="190"/>
      <c r="F543" s="190"/>
      <c r="G543" s="319"/>
      <c r="H543" s="319"/>
      <c r="I543" s="319"/>
      <c r="J543" s="319"/>
      <c r="K543" s="319"/>
      <c r="L543" s="319"/>
      <c r="M543" s="319"/>
      <c r="N543" s="319"/>
      <c r="O543" s="319"/>
      <c r="P543" s="291"/>
      <c r="Q543" s="319"/>
      <c r="R543" s="319"/>
      <c r="S543" s="319"/>
      <c r="T543" s="319"/>
      <c r="U543" s="319"/>
      <c r="V543" s="319"/>
      <c r="W543" s="319"/>
      <c r="X543" s="319"/>
      <c r="Y543" s="319"/>
      <c r="Z543" s="319"/>
      <c r="AA543" s="319"/>
      <c r="AB543" s="319"/>
      <c r="AC543" s="319"/>
      <c r="AD543" s="319"/>
      <c r="AE543" s="319"/>
      <c r="AF543" s="319"/>
      <c r="AG543" s="319"/>
      <c r="AH543" s="319"/>
      <c r="AI543" s="319"/>
      <c r="AJ543" s="319"/>
      <c r="AK543" s="319"/>
      <c r="AL543" s="319"/>
      <c r="AM543" s="319"/>
      <c r="AN543" s="319"/>
      <c r="AO543" s="319"/>
      <c r="AP543" s="319"/>
      <c r="AQ543" s="319"/>
      <c r="AR543" s="319"/>
      <c r="AS543" s="319"/>
      <c r="AT543" s="319"/>
      <c r="AU543" s="319"/>
      <c r="AV543" s="319"/>
      <c r="AW543" s="319"/>
      <c r="AX543" s="319"/>
    </row>
    <row r="544" ht="15.75" customHeight="1">
      <c r="A544" s="221" t="s">
        <v>112</v>
      </c>
      <c r="B544" s="198" t="s">
        <v>5910</v>
      </c>
      <c r="C544" s="190" t="s">
        <v>5911</v>
      </c>
      <c r="D544" s="190" t="s">
        <v>5912</v>
      </c>
      <c r="E544" s="190" t="s">
        <v>5913</v>
      </c>
      <c r="F544" s="190"/>
      <c r="G544" s="348"/>
      <c r="H544" s="348"/>
      <c r="I544" s="348"/>
      <c r="J544" s="348"/>
      <c r="K544" s="348"/>
      <c r="L544" s="348"/>
      <c r="M544" s="348"/>
      <c r="N544" s="348"/>
      <c r="O544" s="348"/>
      <c r="P544" s="291"/>
      <c r="Q544" s="348"/>
      <c r="R544" s="348"/>
      <c r="S544" s="348"/>
      <c r="T544" s="335" t="s">
        <v>7551</v>
      </c>
      <c r="U544" s="348"/>
      <c r="V544" s="348"/>
      <c r="W544" s="348"/>
      <c r="X544" s="348"/>
      <c r="Y544" s="348"/>
      <c r="Z544" s="348"/>
      <c r="AA544" s="348"/>
      <c r="AB544" s="348"/>
      <c r="AC544" s="348"/>
      <c r="AD544" s="349"/>
      <c r="AE544" s="349"/>
      <c r="AF544" s="349"/>
      <c r="AG544" s="349"/>
      <c r="AH544" s="349"/>
      <c r="AI544" s="349"/>
      <c r="AJ544" s="349"/>
      <c r="AK544" s="349"/>
      <c r="AL544" s="349"/>
      <c r="AM544" s="349"/>
      <c r="AN544" s="349"/>
      <c r="AO544" s="349"/>
      <c r="AP544" s="349"/>
      <c r="AQ544" s="349"/>
      <c r="AR544" s="349"/>
      <c r="AS544" s="349"/>
      <c r="AT544" s="349"/>
      <c r="AU544" s="349"/>
      <c r="AV544" s="349"/>
      <c r="AW544" s="349"/>
      <c r="AX544" s="349"/>
    </row>
    <row r="545" ht="15.75" customHeight="1">
      <c r="A545" s="221" t="s">
        <v>112</v>
      </c>
      <c r="B545" s="198" t="s">
        <v>5915</v>
      </c>
      <c r="C545" s="190" t="s">
        <v>5916</v>
      </c>
      <c r="D545" s="190"/>
      <c r="E545" s="190"/>
      <c r="F545" s="190"/>
      <c r="G545" s="348"/>
      <c r="H545" s="348"/>
      <c r="I545" s="348"/>
      <c r="J545" s="348"/>
      <c r="K545" s="348"/>
      <c r="L545" s="348"/>
      <c r="M545" s="348"/>
      <c r="N545" s="348"/>
      <c r="O545" s="348"/>
      <c r="P545" s="291"/>
      <c r="Q545" s="348"/>
      <c r="R545" s="348"/>
      <c r="S545" s="348"/>
      <c r="T545" s="335" t="s">
        <v>7566</v>
      </c>
      <c r="U545" s="348"/>
      <c r="V545" s="348"/>
      <c r="W545" s="348"/>
      <c r="X545" s="348"/>
      <c r="Y545" s="348"/>
      <c r="Z545" s="348"/>
      <c r="AA545" s="348"/>
      <c r="AB545" s="348"/>
      <c r="AC545" s="348"/>
      <c r="AD545" s="349"/>
      <c r="AE545" s="349"/>
      <c r="AF545" s="349"/>
      <c r="AG545" s="349"/>
      <c r="AH545" s="349"/>
      <c r="AI545" s="349"/>
      <c r="AJ545" s="349"/>
      <c r="AK545" s="349"/>
      <c r="AL545" s="349"/>
      <c r="AM545" s="349"/>
      <c r="AN545" s="349"/>
      <c r="AO545" s="349"/>
      <c r="AP545" s="349"/>
      <c r="AQ545" s="349"/>
      <c r="AR545" s="349"/>
      <c r="AS545" s="349"/>
      <c r="AT545" s="349"/>
      <c r="AU545" s="349"/>
      <c r="AV545" s="349"/>
      <c r="AW545" s="349"/>
      <c r="AX545" s="349"/>
    </row>
    <row r="546" ht="15.75" customHeight="1">
      <c r="A546" s="221" t="s">
        <v>112</v>
      </c>
      <c r="B546" s="198" t="s">
        <v>5921</v>
      </c>
      <c r="C546" s="190"/>
      <c r="D546" s="190"/>
      <c r="E546" s="190"/>
      <c r="F546" s="190"/>
      <c r="G546" s="348"/>
      <c r="H546" s="348"/>
      <c r="I546" s="348"/>
      <c r="J546" s="348"/>
      <c r="K546" s="348"/>
      <c r="L546" s="348"/>
      <c r="M546" s="348"/>
      <c r="N546" s="348"/>
      <c r="O546" s="348"/>
      <c r="P546" s="291"/>
      <c r="Q546" s="348"/>
      <c r="R546" s="348"/>
      <c r="S546" s="348"/>
      <c r="T546" s="335" t="s">
        <v>7584</v>
      </c>
      <c r="U546" s="348"/>
      <c r="V546" s="348"/>
      <c r="W546" s="348"/>
      <c r="X546" s="348"/>
      <c r="Y546" s="348"/>
      <c r="Z546" s="348"/>
      <c r="AA546" s="348"/>
      <c r="AB546" s="348"/>
      <c r="AC546" s="348"/>
      <c r="AD546" s="349"/>
      <c r="AE546" s="349"/>
      <c r="AF546" s="349"/>
      <c r="AG546" s="349"/>
      <c r="AH546" s="349"/>
      <c r="AI546" s="349"/>
      <c r="AJ546" s="349"/>
      <c r="AK546" s="349"/>
      <c r="AL546" s="349"/>
      <c r="AM546" s="349"/>
      <c r="AN546" s="349"/>
      <c r="AO546" s="349"/>
      <c r="AP546" s="349"/>
      <c r="AQ546" s="349"/>
      <c r="AR546" s="349"/>
      <c r="AS546" s="349"/>
      <c r="AT546" s="349"/>
      <c r="AU546" s="349"/>
      <c r="AV546" s="349"/>
      <c r="AW546" s="349"/>
      <c r="AX546" s="349"/>
    </row>
    <row r="547" ht="15.75" customHeight="1">
      <c r="A547" s="221" t="s">
        <v>112</v>
      </c>
      <c r="B547" s="198" t="s">
        <v>5926</v>
      </c>
      <c r="C547" s="190"/>
      <c r="D547" s="190"/>
      <c r="E547" s="190"/>
      <c r="F547" s="190"/>
      <c r="G547" s="348"/>
      <c r="H547" s="348"/>
      <c r="I547" s="348"/>
      <c r="J547" s="348"/>
      <c r="K547" s="348"/>
      <c r="L547" s="348"/>
      <c r="M547" s="348"/>
      <c r="N547" s="348"/>
      <c r="O547" s="348"/>
      <c r="P547" s="291"/>
      <c r="Q547" s="348"/>
      <c r="R547" s="348"/>
      <c r="S547" s="348"/>
      <c r="T547" s="335" t="s">
        <v>7595</v>
      </c>
      <c r="U547" s="348"/>
      <c r="V547" s="348"/>
      <c r="W547" s="348"/>
      <c r="X547" s="348"/>
      <c r="Y547" s="348"/>
      <c r="Z547" s="348"/>
      <c r="AA547" s="348"/>
      <c r="AB547" s="348"/>
      <c r="AC547" s="348"/>
      <c r="AD547" s="349"/>
      <c r="AE547" s="349"/>
      <c r="AF547" s="349"/>
      <c r="AG547" s="349"/>
      <c r="AH547" s="349"/>
      <c r="AI547" s="349"/>
      <c r="AJ547" s="349"/>
      <c r="AK547" s="349"/>
      <c r="AL547" s="349"/>
      <c r="AM547" s="349"/>
      <c r="AN547" s="349"/>
      <c r="AO547" s="349"/>
      <c r="AP547" s="349"/>
      <c r="AQ547" s="349"/>
      <c r="AR547" s="349"/>
      <c r="AS547" s="349"/>
      <c r="AT547" s="349"/>
      <c r="AU547" s="349"/>
      <c r="AV547" s="349"/>
      <c r="AW547" s="349"/>
      <c r="AX547" s="349"/>
    </row>
    <row r="548" ht="15.75" customHeight="1">
      <c r="A548" s="221" t="s">
        <v>112</v>
      </c>
      <c r="B548" s="198" t="s">
        <v>5932</v>
      </c>
      <c r="C548" s="190"/>
      <c r="D548" s="190"/>
      <c r="E548" s="190"/>
      <c r="F548" s="190"/>
      <c r="G548" s="348"/>
      <c r="H548" s="348"/>
      <c r="I548" s="348"/>
      <c r="J548" s="348"/>
      <c r="K548" s="348"/>
      <c r="L548" s="348"/>
      <c r="M548" s="348"/>
      <c r="N548" s="348"/>
      <c r="O548" s="348"/>
      <c r="P548" s="291"/>
      <c r="Q548" s="348"/>
      <c r="R548" s="348"/>
      <c r="S548" s="348"/>
      <c r="T548" s="335" t="s">
        <v>7607</v>
      </c>
      <c r="U548" s="348"/>
      <c r="V548" s="348"/>
      <c r="W548" s="348"/>
      <c r="X548" s="348"/>
      <c r="Y548" s="348"/>
      <c r="Z548" s="348"/>
      <c r="AA548" s="348"/>
      <c r="AB548" s="348"/>
      <c r="AC548" s="348"/>
      <c r="AD548" s="349"/>
      <c r="AE548" s="349"/>
      <c r="AF548" s="349"/>
      <c r="AG548" s="349"/>
      <c r="AH548" s="349"/>
      <c r="AI548" s="349"/>
      <c r="AJ548" s="349"/>
      <c r="AK548" s="349"/>
      <c r="AL548" s="349"/>
      <c r="AM548" s="349"/>
      <c r="AN548" s="349"/>
      <c r="AO548" s="349"/>
      <c r="AP548" s="349"/>
      <c r="AQ548" s="349"/>
      <c r="AR548" s="349"/>
      <c r="AS548" s="349"/>
      <c r="AT548" s="349"/>
      <c r="AU548" s="349"/>
      <c r="AV548" s="349"/>
      <c r="AW548" s="349"/>
      <c r="AX548" s="349"/>
    </row>
    <row r="549" ht="15.75" customHeight="1">
      <c r="A549" s="221" t="s">
        <v>112</v>
      </c>
      <c r="B549" s="198" t="s">
        <v>5937</v>
      </c>
      <c r="C549" s="190"/>
      <c r="D549" s="190"/>
      <c r="E549" s="190"/>
      <c r="F549" s="190"/>
      <c r="G549" s="348"/>
      <c r="H549" s="348"/>
      <c r="I549" s="348"/>
      <c r="J549" s="348"/>
      <c r="K549" s="348"/>
      <c r="L549" s="348"/>
      <c r="M549" s="348"/>
      <c r="N549" s="348"/>
      <c r="O549" s="348"/>
      <c r="P549" s="291"/>
      <c r="Q549" s="348"/>
      <c r="R549" s="348"/>
      <c r="S549" s="348"/>
      <c r="T549" s="335" t="s">
        <v>7622</v>
      </c>
      <c r="U549" s="348"/>
      <c r="V549" s="348"/>
      <c r="W549" s="348"/>
      <c r="X549" s="348"/>
      <c r="Y549" s="348"/>
      <c r="Z549" s="348"/>
      <c r="AA549" s="348"/>
      <c r="AB549" s="348"/>
      <c r="AC549" s="348"/>
      <c r="AD549" s="349"/>
      <c r="AE549" s="349"/>
      <c r="AF549" s="349"/>
      <c r="AG549" s="349"/>
      <c r="AH549" s="349"/>
      <c r="AI549" s="349"/>
      <c r="AJ549" s="349"/>
      <c r="AK549" s="349"/>
      <c r="AL549" s="349"/>
      <c r="AM549" s="349"/>
      <c r="AN549" s="349"/>
      <c r="AO549" s="349"/>
      <c r="AP549" s="349"/>
      <c r="AQ549" s="349"/>
      <c r="AR549" s="349"/>
      <c r="AS549" s="349"/>
      <c r="AT549" s="349"/>
      <c r="AU549" s="349"/>
      <c r="AV549" s="349"/>
      <c r="AW549" s="349"/>
      <c r="AX549" s="349"/>
    </row>
    <row r="550" ht="15.75" customHeight="1">
      <c r="A550" s="221" t="s">
        <v>112</v>
      </c>
      <c r="B550" s="198" t="s">
        <v>5942</v>
      </c>
      <c r="C550" s="190"/>
      <c r="D550" s="190"/>
      <c r="E550" s="190"/>
      <c r="F550" s="190"/>
      <c r="G550" s="348"/>
      <c r="H550" s="348"/>
      <c r="I550" s="348"/>
      <c r="J550" s="348"/>
      <c r="K550" s="348"/>
      <c r="L550" s="348"/>
      <c r="M550" s="348"/>
      <c r="N550" s="348"/>
      <c r="O550" s="348"/>
      <c r="P550" s="291"/>
      <c r="Q550" s="348"/>
      <c r="R550" s="348"/>
      <c r="S550" s="348"/>
      <c r="T550" s="335" t="s">
        <v>7637</v>
      </c>
      <c r="U550" s="348"/>
      <c r="V550" s="348"/>
      <c r="W550" s="348"/>
      <c r="X550" s="348"/>
      <c r="Y550" s="348"/>
      <c r="Z550" s="348"/>
      <c r="AA550" s="348"/>
      <c r="AB550" s="348"/>
      <c r="AC550" s="348"/>
      <c r="AD550" s="349"/>
      <c r="AE550" s="349"/>
      <c r="AF550" s="349"/>
      <c r="AG550" s="349"/>
      <c r="AH550" s="349"/>
      <c r="AI550" s="349"/>
      <c r="AJ550" s="349"/>
      <c r="AK550" s="349"/>
      <c r="AL550" s="349"/>
      <c r="AM550" s="349"/>
      <c r="AN550" s="349"/>
      <c r="AO550" s="349"/>
      <c r="AP550" s="349"/>
      <c r="AQ550" s="349"/>
      <c r="AR550" s="349"/>
      <c r="AS550" s="349"/>
      <c r="AT550" s="349"/>
      <c r="AU550" s="349"/>
      <c r="AV550" s="349"/>
      <c r="AW550" s="349"/>
      <c r="AX550" s="349"/>
    </row>
    <row r="551" ht="15.75" customHeight="1">
      <c r="A551" s="320"/>
      <c r="B551" s="321"/>
      <c r="C551" s="190"/>
      <c r="D551" s="190"/>
      <c r="E551" s="190"/>
      <c r="F551" s="190"/>
      <c r="G551" s="349"/>
      <c r="H551" s="349"/>
      <c r="I551" s="349"/>
      <c r="J551" s="349"/>
      <c r="K551" s="349"/>
      <c r="L551" s="349"/>
      <c r="M551" s="349"/>
      <c r="N551" s="349"/>
      <c r="O551" s="349"/>
      <c r="P551" s="291"/>
      <c r="Q551" s="349"/>
      <c r="R551" s="349"/>
      <c r="S551" s="349"/>
      <c r="T551" s="349"/>
      <c r="U551" s="349"/>
      <c r="V551" s="349"/>
      <c r="W551" s="349"/>
      <c r="X551" s="349"/>
      <c r="Y551" s="349"/>
      <c r="Z551" s="349"/>
      <c r="AA551" s="349"/>
      <c r="AB551" s="349"/>
      <c r="AC551" s="349"/>
      <c r="AD551" s="349"/>
      <c r="AE551" s="349"/>
      <c r="AF551" s="349"/>
      <c r="AG551" s="349"/>
      <c r="AH551" s="349"/>
      <c r="AI551" s="349"/>
      <c r="AJ551" s="349"/>
      <c r="AK551" s="349"/>
      <c r="AL551" s="349"/>
      <c r="AM551" s="349"/>
      <c r="AN551" s="349"/>
      <c r="AO551" s="349"/>
      <c r="AP551" s="349"/>
      <c r="AQ551" s="349"/>
      <c r="AR551" s="349"/>
      <c r="AS551" s="349"/>
      <c r="AT551" s="349"/>
      <c r="AU551" s="349"/>
      <c r="AV551" s="349"/>
      <c r="AW551" s="349"/>
      <c r="AX551" s="349"/>
    </row>
    <row r="552" ht="15.75" customHeight="1">
      <c r="A552" s="310" t="s">
        <v>278</v>
      </c>
      <c r="B552" s="311" t="s">
        <v>5950</v>
      </c>
      <c r="C552" s="190" t="s">
        <v>5951</v>
      </c>
      <c r="D552" s="190"/>
      <c r="E552" s="190"/>
      <c r="F552" s="190"/>
      <c r="G552" s="354"/>
      <c r="H552" s="354"/>
      <c r="I552" s="354"/>
      <c r="J552" s="365"/>
      <c r="K552" s="354"/>
      <c r="L552" s="354"/>
      <c r="M552" s="365"/>
      <c r="N552" s="365"/>
      <c r="O552" s="365"/>
      <c r="P552" s="291"/>
      <c r="Q552" s="354"/>
      <c r="R552" s="354"/>
      <c r="S552" s="354"/>
      <c r="T552" s="354"/>
      <c r="U552" s="354"/>
      <c r="V552" s="354"/>
      <c r="W552" s="354"/>
      <c r="X552" s="354"/>
      <c r="Y552" s="354"/>
      <c r="Z552" s="354"/>
      <c r="AA552" s="354"/>
      <c r="AB552" s="354"/>
      <c r="AC552" s="354"/>
      <c r="AD552" s="349"/>
      <c r="AE552" s="349"/>
      <c r="AF552" s="349"/>
      <c r="AG552" s="349"/>
      <c r="AH552" s="349"/>
      <c r="AI552" s="349"/>
      <c r="AJ552" s="349"/>
      <c r="AK552" s="349"/>
      <c r="AL552" s="349"/>
      <c r="AM552" s="349"/>
      <c r="AN552" s="349"/>
      <c r="AO552" s="349"/>
      <c r="AP552" s="349"/>
      <c r="AQ552" s="349"/>
      <c r="AR552" s="349"/>
      <c r="AS552" s="349"/>
      <c r="AT552" s="349"/>
      <c r="AU552" s="349"/>
      <c r="AV552" s="349"/>
      <c r="AW552" s="349"/>
      <c r="AX552" s="349"/>
    </row>
    <row r="553" ht="15.75" customHeight="1">
      <c r="A553" s="297" t="s">
        <v>46</v>
      </c>
      <c r="B553" s="298" t="s">
        <v>5957</v>
      </c>
      <c r="C553" s="190" t="s">
        <v>5963</v>
      </c>
      <c r="D553" s="190" t="s">
        <v>5964</v>
      </c>
      <c r="E553" s="190" t="s">
        <v>5965</v>
      </c>
      <c r="F553" s="190"/>
      <c r="G553" s="293"/>
      <c r="H553" s="293"/>
      <c r="I553" s="351"/>
      <c r="J553" s="351"/>
      <c r="K553" s="351"/>
      <c r="L553" s="351"/>
      <c r="M553" s="351"/>
      <c r="N553" s="351"/>
      <c r="O553" s="351"/>
      <c r="P553" s="291"/>
      <c r="Q553" s="351"/>
      <c r="R553" s="351"/>
      <c r="S553" s="351"/>
      <c r="T553" s="351"/>
      <c r="U553" s="351"/>
      <c r="V553" s="351"/>
      <c r="W553" s="351"/>
      <c r="X553" s="351"/>
      <c r="Y553" s="351"/>
      <c r="Z553" s="351"/>
      <c r="AA553" s="351"/>
      <c r="AB553" s="351"/>
      <c r="AC553" s="351"/>
      <c r="AD553" s="349"/>
      <c r="AE553" s="349"/>
      <c r="AF553" s="349"/>
      <c r="AG553" s="349"/>
      <c r="AH553" s="349"/>
      <c r="AI553" s="349"/>
      <c r="AJ553" s="349"/>
      <c r="AK553" s="349"/>
      <c r="AL553" s="349"/>
      <c r="AM553" s="349"/>
      <c r="AN553" s="349"/>
      <c r="AO553" s="349"/>
      <c r="AP553" s="349"/>
      <c r="AQ553" s="349"/>
      <c r="AR553" s="349"/>
      <c r="AS553" s="349"/>
      <c r="AT553" s="349"/>
      <c r="AU553" s="349"/>
      <c r="AV553" s="349"/>
      <c r="AW553" s="349"/>
      <c r="AX553" s="349"/>
    </row>
    <row r="554" ht="15.75" customHeight="1">
      <c r="A554" s="299" t="s">
        <v>2456</v>
      </c>
      <c r="B554" s="300" t="s">
        <v>5966</v>
      </c>
      <c r="C554" s="190" t="s">
        <v>5971</v>
      </c>
      <c r="D554" s="190" t="s">
        <v>5972</v>
      </c>
      <c r="E554" s="190" t="s">
        <v>5973</v>
      </c>
      <c r="F554" s="190"/>
      <c r="G554" s="293"/>
      <c r="H554" s="293"/>
      <c r="I554" s="356"/>
      <c r="J554" s="355"/>
      <c r="K554" s="356"/>
      <c r="L554" s="356"/>
      <c r="M554" s="356"/>
      <c r="N554" s="356"/>
      <c r="O554" s="356"/>
      <c r="P554" s="291"/>
      <c r="Q554" s="291" t="s">
        <v>307</v>
      </c>
      <c r="R554" s="356"/>
      <c r="S554" s="356"/>
      <c r="T554" s="356"/>
      <c r="U554" s="356"/>
      <c r="V554" s="356"/>
      <c r="W554" s="356"/>
      <c r="X554" s="356"/>
      <c r="Y554" s="356"/>
      <c r="Z554" s="356"/>
      <c r="AA554" s="356"/>
      <c r="AB554" s="356"/>
      <c r="AC554" s="356"/>
      <c r="AD554" s="349"/>
      <c r="AE554" s="349"/>
      <c r="AF554" s="349"/>
      <c r="AG554" s="349"/>
      <c r="AH554" s="349"/>
      <c r="AI554" s="349"/>
      <c r="AJ554" s="349"/>
      <c r="AK554" s="349"/>
      <c r="AL554" s="349"/>
      <c r="AM554" s="349"/>
      <c r="AN554" s="349"/>
      <c r="AO554" s="349"/>
      <c r="AP554" s="349"/>
      <c r="AQ554" s="349"/>
      <c r="AR554" s="349"/>
      <c r="AS554" s="349"/>
      <c r="AT554" s="349"/>
      <c r="AU554" s="349"/>
      <c r="AV554" s="349"/>
      <c r="AW554" s="349"/>
      <c r="AX554" s="349"/>
    </row>
    <row r="555" ht="15.75" customHeight="1">
      <c r="A555" s="306" t="s">
        <v>247</v>
      </c>
      <c r="B555" s="307" t="s">
        <v>5974</v>
      </c>
      <c r="C555" s="190" t="s">
        <v>5978</v>
      </c>
      <c r="D555" s="190" t="s">
        <v>5979</v>
      </c>
      <c r="E555" s="190" t="s">
        <v>5981</v>
      </c>
      <c r="F555" s="190"/>
      <c r="G555" s="293"/>
      <c r="H555" s="293"/>
      <c r="I555" s="359"/>
      <c r="J555" s="359"/>
      <c r="K555" s="369"/>
      <c r="L555" s="369"/>
      <c r="M555" s="359"/>
      <c r="N555" s="359"/>
      <c r="O555" s="361" t="s">
        <v>7684</v>
      </c>
      <c r="P555" s="291"/>
      <c r="Q555" s="361" t="s">
        <v>307</v>
      </c>
      <c r="R555" s="359"/>
      <c r="S555" s="359"/>
      <c r="T555" s="359"/>
      <c r="U555" s="359"/>
      <c r="V555" s="359"/>
      <c r="W555" s="359"/>
      <c r="X555" s="359"/>
      <c r="Y555" s="359"/>
      <c r="Z555" s="359"/>
      <c r="AA555" s="359"/>
      <c r="AB555" s="359"/>
      <c r="AC555" s="359"/>
      <c r="AD555" s="349"/>
      <c r="AE555" s="349"/>
      <c r="AF555" s="349"/>
      <c r="AG555" s="349"/>
      <c r="AH555" s="349"/>
      <c r="AI555" s="349"/>
      <c r="AJ555" s="349"/>
      <c r="AK555" s="349"/>
      <c r="AL555" s="349"/>
      <c r="AM555" s="349"/>
      <c r="AN555" s="349"/>
      <c r="AO555" s="349"/>
      <c r="AP555" s="349"/>
      <c r="AQ555" s="349"/>
      <c r="AR555" s="349"/>
      <c r="AS555" s="349"/>
      <c r="AT555" s="349"/>
      <c r="AU555" s="349"/>
      <c r="AV555" s="349"/>
      <c r="AW555" s="349"/>
      <c r="AX555" s="349"/>
    </row>
    <row r="556" ht="15.75" customHeight="1">
      <c r="A556" s="299" t="s">
        <v>5982</v>
      </c>
      <c r="B556" s="300" t="s">
        <v>5983</v>
      </c>
      <c r="C556" s="190" t="s">
        <v>5988</v>
      </c>
      <c r="D556" s="190" t="s">
        <v>5989</v>
      </c>
      <c r="E556" s="190" t="s">
        <v>5990</v>
      </c>
      <c r="F556" s="190"/>
      <c r="G556" s="293"/>
      <c r="H556" s="293"/>
      <c r="I556" s="356"/>
      <c r="J556" s="355"/>
      <c r="K556" s="291" t="s">
        <v>7694</v>
      </c>
      <c r="L556" s="356"/>
      <c r="M556" s="356"/>
      <c r="N556" s="356"/>
      <c r="O556" s="356"/>
      <c r="P556" s="291"/>
      <c r="Q556" s="291" t="s">
        <v>307</v>
      </c>
      <c r="R556" s="356"/>
      <c r="S556" s="356"/>
      <c r="T556" s="356"/>
      <c r="U556" s="356"/>
      <c r="V556" s="356"/>
      <c r="W556" s="356"/>
      <c r="X556" s="356"/>
      <c r="Y556" s="356"/>
      <c r="Z556" s="356"/>
      <c r="AA556" s="356"/>
      <c r="AB556" s="356"/>
      <c r="AC556" s="356"/>
      <c r="AD556" s="349"/>
      <c r="AE556" s="349"/>
      <c r="AF556" s="349"/>
      <c r="AG556" s="349"/>
      <c r="AH556" s="349"/>
      <c r="AI556" s="349"/>
      <c r="AJ556" s="349"/>
      <c r="AK556" s="349"/>
      <c r="AL556" s="349"/>
      <c r="AM556" s="349"/>
      <c r="AN556" s="349"/>
      <c r="AO556" s="349"/>
      <c r="AP556" s="349"/>
      <c r="AQ556" s="349"/>
      <c r="AR556" s="349"/>
      <c r="AS556" s="349"/>
      <c r="AT556" s="349"/>
      <c r="AU556" s="349"/>
      <c r="AV556" s="349"/>
      <c r="AW556" s="349"/>
      <c r="AX556" s="349"/>
    </row>
    <row r="557" ht="15.75" customHeight="1">
      <c r="A557" s="299" t="s">
        <v>5993</v>
      </c>
      <c r="B557" s="300" t="s">
        <v>5995</v>
      </c>
      <c r="C557" s="190" t="s">
        <v>6001</v>
      </c>
      <c r="D557" s="190" t="s">
        <v>6003</v>
      </c>
      <c r="E557" s="190" t="s">
        <v>6004</v>
      </c>
      <c r="F557" s="190"/>
      <c r="G557" s="293"/>
      <c r="H557" s="293"/>
      <c r="I557" s="356"/>
      <c r="J557" s="355"/>
      <c r="K557" s="291" t="s">
        <v>7694</v>
      </c>
      <c r="L557" s="356"/>
      <c r="M557" s="356"/>
      <c r="N557" s="356"/>
      <c r="O557" s="356"/>
      <c r="P557" s="291"/>
      <c r="Q557" s="291" t="s">
        <v>307</v>
      </c>
      <c r="R557" s="356"/>
      <c r="S557" s="356"/>
      <c r="T557" s="356"/>
      <c r="U557" s="356"/>
      <c r="V557" s="356"/>
      <c r="W557" s="356"/>
      <c r="X557" s="356"/>
      <c r="Y557" s="356"/>
      <c r="Z557" s="356"/>
      <c r="AA557" s="356"/>
      <c r="AB557" s="356"/>
      <c r="AC557" s="356"/>
      <c r="AD557" s="349"/>
      <c r="AE557" s="349"/>
      <c r="AF557" s="349"/>
      <c r="AG557" s="349"/>
      <c r="AH557" s="349"/>
      <c r="AI557" s="349"/>
      <c r="AJ557" s="349"/>
      <c r="AK557" s="349"/>
      <c r="AL557" s="349"/>
      <c r="AM557" s="349"/>
      <c r="AN557" s="349"/>
      <c r="AO557" s="349"/>
      <c r="AP557" s="349"/>
      <c r="AQ557" s="349"/>
      <c r="AR557" s="349"/>
      <c r="AS557" s="349"/>
      <c r="AT557" s="349"/>
      <c r="AU557" s="349"/>
      <c r="AV557" s="349"/>
      <c r="AW557" s="349"/>
      <c r="AX557" s="349"/>
    </row>
    <row r="558" ht="15.75" customHeight="1">
      <c r="A558" s="221" t="s">
        <v>256</v>
      </c>
      <c r="B558" s="198" t="s">
        <v>6005</v>
      </c>
      <c r="C558" s="190"/>
      <c r="D558" s="190"/>
      <c r="E558" s="190"/>
      <c r="F558" s="190"/>
      <c r="G558" s="348"/>
      <c r="H558" s="348"/>
      <c r="I558" s="348"/>
      <c r="J558" s="348"/>
      <c r="K558" s="348"/>
      <c r="L558" s="348"/>
      <c r="M558" s="348"/>
      <c r="N558" s="348"/>
      <c r="O558" s="348"/>
      <c r="P558" s="291"/>
      <c r="Q558" s="348"/>
      <c r="R558" s="348"/>
      <c r="S558" s="348"/>
      <c r="T558" s="335" t="s">
        <v>260</v>
      </c>
      <c r="U558" s="348"/>
      <c r="V558" s="348"/>
      <c r="W558" s="348"/>
      <c r="X558" s="348"/>
      <c r="Y558" s="348"/>
      <c r="Z558" s="348"/>
      <c r="AA558" s="348"/>
      <c r="AB558" s="348"/>
      <c r="AC558" s="348"/>
      <c r="AD558" s="349"/>
      <c r="AE558" s="349"/>
      <c r="AF558" s="349"/>
      <c r="AG558" s="349"/>
      <c r="AH558" s="349"/>
      <c r="AI558" s="349"/>
      <c r="AJ558" s="349"/>
      <c r="AK558" s="349"/>
      <c r="AL558" s="349"/>
      <c r="AM558" s="349"/>
      <c r="AN558" s="349"/>
      <c r="AO558" s="349"/>
      <c r="AP558" s="349"/>
      <c r="AQ558" s="349"/>
      <c r="AR558" s="349"/>
      <c r="AS558" s="349"/>
      <c r="AT558" s="349"/>
      <c r="AU558" s="349"/>
      <c r="AV558" s="349"/>
      <c r="AW558" s="349"/>
      <c r="AX558" s="349"/>
    </row>
    <row r="559" ht="15.75" customHeight="1">
      <c r="A559" s="305" t="s">
        <v>385</v>
      </c>
      <c r="B559" s="223" t="s">
        <v>6006</v>
      </c>
      <c r="C559" s="190" t="s">
        <v>6007</v>
      </c>
      <c r="D559" s="190" t="s">
        <v>6008</v>
      </c>
      <c r="E559" s="190" t="s">
        <v>6009</v>
      </c>
      <c r="F559" s="190"/>
      <c r="G559" s="362"/>
      <c r="H559" s="362"/>
      <c r="I559" s="362"/>
      <c r="J559" s="362"/>
      <c r="K559" s="362"/>
      <c r="L559" s="362"/>
      <c r="M559" s="363"/>
      <c r="N559" s="363"/>
      <c r="O559" s="364" t="s">
        <v>7719</v>
      </c>
      <c r="P559" s="291"/>
      <c r="Q559" s="362"/>
      <c r="R559" s="362"/>
      <c r="S559" s="362"/>
      <c r="T559" s="362"/>
      <c r="U559" s="364" t="s">
        <v>7724</v>
      </c>
      <c r="V559" s="362"/>
      <c r="W559" s="362"/>
      <c r="X559" s="362"/>
      <c r="Y559" s="362"/>
      <c r="Z559" s="362"/>
      <c r="AA559" s="362"/>
      <c r="AB559" s="362"/>
      <c r="AC559" s="362"/>
      <c r="AD559" s="349"/>
      <c r="AE559" s="349"/>
      <c r="AF559" s="349"/>
      <c r="AG559" s="349"/>
      <c r="AH559" s="349"/>
      <c r="AI559" s="349"/>
      <c r="AJ559" s="349"/>
      <c r="AK559" s="349"/>
      <c r="AL559" s="349"/>
      <c r="AM559" s="349"/>
      <c r="AN559" s="349"/>
      <c r="AO559" s="349"/>
      <c r="AP559" s="349"/>
      <c r="AQ559" s="349"/>
      <c r="AR559" s="349"/>
      <c r="AS559" s="349"/>
      <c r="AT559" s="349"/>
      <c r="AU559" s="349"/>
      <c r="AV559" s="349"/>
      <c r="AW559" s="349"/>
      <c r="AX559" s="349"/>
    </row>
    <row r="560" ht="15.75" customHeight="1">
      <c r="A560" s="221" t="s">
        <v>112</v>
      </c>
      <c r="B560" s="198" t="s">
        <v>6014</v>
      </c>
      <c r="C560" s="190" t="s">
        <v>6015</v>
      </c>
      <c r="D560" s="190" t="s">
        <v>6016</v>
      </c>
      <c r="E560" s="190" t="s">
        <v>6017</v>
      </c>
      <c r="F560" s="190"/>
      <c r="G560" s="348"/>
      <c r="H560" s="348"/>
      <c r="I560" s="348"/>
      <c r="J560" s="348"/>
      <c r="K560" s="348"/>
      <c r="L560" s="348"/>
      <c r="M560" s="348"/>
      <c r="N560" s="348"/>
      <c r="O560" s="348"/>
      <c r="P560" s="291"/>
      <c r="Q560" s="348"/>
      <c r="R560" s="348"/>
      <c r="S560" s="348"/>
      <c r="T560" s="335" t="s">
        <v>7734</v>
      </c>
      <c r="U560" s="348"/>
      <c r="V560" s="348"/>
      <c r="W560" s="348"/>
      <c r="X560" s="348"/>
      <c r="Y560" s="348"/>
      <c r="Z560" s="348"/>
      <c r="AA560" s="348"/>
      <c r="AB560" s="348"/>
      <c r="AC560" s="348"/>
      <c r="AD560" s="349"/>
      <c r="AE560" s="349"/>
      <c r="AF560" s="349"/>
      <c r="AG560" s="349"/>
      <c r="AH560" s="349"/>
      <c r="AI560" s="349"/>
      <c r="AJ560" s="349"/>
      <c r="AK560" s="349"/>
      <c r="AL560" s="349"/>
      <c r="AM560" s="349"/>
      <c r="AN560" s="349"/>
      <c r="AO560" s="349"/>
      <c r="AP560" s="349"/>
      <c r="AQ560" s="349"/>
      <c r="AR560" s="349"/>
      <c r="AS560" s="349"/>
      <c r="AT560" s="349"/>
      <c r="AU560" s="349"/>
      <c r="AV560" s="349"/>
      <c r="AW560" s="349"/>
      <c r="AX560" s="349"/>
    </row>
    <row r="561" ht="15.75" customHeight="1">
      <c r="A561" s="306" t="s">
        <v>247</v>
      </c>
      <c r="B561" s="307" t="s">
        <v>6024</v>
      </c>
      <c r="C561" s="190" t="s">
        <v>6031</v>
      </c>
      <c r="D561" s="190" t="s">
        <v>6032</v>
      </c>
      <c r="E561" s="190" t="s">
        <v>6033</v>
      </c>
      <c r="F561" s="190"/>
      <c r="G561" s="293"/>
      <c r="H561" s="293"/>
      <c r="I561" s="359"/>
      <c r="J561" s="359"/>
      <c r="K561" s="360" t="s">
        <v>7742</v>
      </c>
      <c r="L561" s="369"/>
      <c r="M561" s="359"/>
      <c r="N561" s="359"/>
      <c r="O561" s="359"/>
      <c r="P561" s="291"/>
      <c r="Q561" s="361" t="s">
        <v>307</v>
      </c>
      <c r="R561" s="359"/>
      <c r="S561" s="359"/>
      <c r="T561" s="359"/>
      <c r="U561" s="359"/>
      <c r="V561" s="359"/>
      <c r="W561" s="359"/>
      <c r="X561" s="359"/>
      <c r="Y561" s="359"/>
      <c r="Z561" s="359"/>
      <c r="AA561" s="359"/>
      <c r="AB561" s="359"/>
      <c r="AC561" s="359"/>
      <c r="AD561" s="349"/>
      <c r="AE561" s="349"/>
      <c r="AF561" s="349"/>
      <c r="AG561" s="349"/>
      <c r="AH561" s="349"/>
      <c r="AI561" s="349"/>
      <c r="AJ561" s="349"/>
      <c r="AK561" s="349"/>
      <c r="AL561" s="349"/>
      <c r="AM561" s="349"/>
      <c r="AN561" s="349"/>
      <c r="AO561" s="349"/>
      <c r="AP561" s="349"/>
      <c r="AQ561" s="349"/>
      <c r="AR561" s="349"/>
      <c r="AS561" s="349"/>
      <c r="AT561" s="349"/>
      <c r="AU561" s="349"/>
      <c r="AV561" s="349"/>
      <c r="AW561" s="349"/>
      <c r="AX561" s="349"/>
    </row>
    <row r="562" ht="15.75" customHeight="1">
      <c r="A562" s="306" t="s">
        <v>247</v>
      </c>
      <c r="B562" s="307" t="s">
        <v>6034</v>
      </c>
      <c r="C562" s="190" t="s">
        <v>6041</v>
      </c>
      <c r="D562" s="190" t="s">
        <v>6042</v>
      </c>
      <c r="E562" s="190" t="s">
        <v>6043</v>
      </c>
      <c r="F562" s="190"/>
      <c r="G562" s="293"/>
      <c r="H562" s="293"/>
      <c r="I562" s="359"/>
      <c r="J562" s="359"/>
      <c r="K562" s="369"/>
      <c r="L562" s="369"/>
      <c r="M562" s="359"/>
      <c r="N562" s="359"/>
      <c r="O562" s="359"/>
      <c r="P562" s="291"/>
      <c r="Q562" s="361" t="s">
        <v>307</v>
      </c>
      <c r="R562" s="359"/>
      <c r="S562" s="359"/>
      <c r="T562" s="359"/>
      <c r="U562" s="359"/>
      <c r="V562" s="359"/>
      <c r="W562" s="359"/>
      <c r="X562" s="359"/>
      <c r="Y562" s="359"/>
      <c r="Z562" s="359"/>
      <c r="AA562" s="359"/>
      <c r="AB562" s="359"/>
      <c r="AC562" s="359"/>
      <c r="AD562" s="349"/>
      <c r="AE562" s="349"/>
      <c r="AF562" s="349"/>
      <c r="AG562" s="349"/>
      <c r="AH562" s="349"/>
      <c r="AI562" s="349"/>
      <c r="AJ562" s="349"/>
      <c r="AK562" s="349"/>
      <c r="AL562" s="349"/>
      <c r="AM562" s="349"/>
      <c r="AN562" s="349"/>
      <c r="AO562" s="349"/>
      <c r="AP562" s="349"/>
      <c r="AQ562" s="349"/>
      <c r="AR562" s="349"/>
      <c r="AS562" s="349"/>
      <c r="AT562" s="349"/>
      <c r="AU562" s="349"/>
      <c r="AV562" s="349"/>
      <c r="AW562" s="349"/>
      <c r="AX562" s="349"/>
    </row>
    <row r="563" ht="15.75" customHeight="1">
      <c r="A563" s="305" t="s">
        <v>450</v>
      </c>
      <c r="B563" s="224" t="s">
        <v>6006</v>
      </c>
      <c r="C563" s="190" t="s">
        <v>6007</v>
      </c>
      <c r="D563" s="190" t="s">
        <v>6008</v>
      </c>
      <c r="E563" s="190" t="s">
        <v>6009</v>
      </c>
      <c r="F563" s="190"/>
      <c r="G563" s="362"/>
      <c r="H563" s="362"/>
      <c r="I563" s="362"/>
      <c r="J563" s="362"/>
      <c r="K563" s="362"/>
      <c r="L563" s="362"/>
      <c r="M563" s="362"/>
      <c r="N563" s="362"/>
      <c r="O563" s="362"/>
      <c r="P563" s="291"/>
      <c r="Q563" s="362"/>
      <c r="R563" s="362"/>
      <c r="S563" s="362"/>
      <c r="T563" s="362"/>
      <c r="U563" s="362"/>
      <c r="V563" s="362"/>
      <c r="W563" s="362"/>
      <c r="X563" s="362"/>
      <c r="Y563" s="362"/>
      <c r="Z563" s="362"/>
      <c r="AA563" s="362"/>
      <c r="AB563" s="362"/>
      <c r="AC563" s="362"/>
      <c r="AD563" s="349"/>
      <c r="AE563" s="349"/>
      <c r="AF563" s="349"/>
      <c r="AG563" s="349"/>
      <c r="AH563" s="349"/>
      <c r="AI563" s="349"/>
      <c r="AJ563" s="349"/>
      <c r="AK563" s="349"/>
      <c r="AL563" s="349"/>
      <c r="AM563" s="349"/>
      <c r="AN563" s="349"/>
      <c r="AO563" s="349"/>
      <c r="AP563" s="349"/>
      <c r="AQ563" s="349"/>
      <c r="AR563" s="349"/>
      <c r="AS563" s="349"/>
      <c r="AT563" s="349"/>
      <c r="AU563" s="349"/>
      <c r="AV563" s="349"/>
      <c r="AW563" s="349"/>
      <c r="AX563" s="349"/>
    </row>
    <row r="564" ht="15.75" customHeight="1">
      <c r="A564" s="221" t="s">
        <v>256</v>
      </c>
      <c r="B564" s="198" t="s">
        <v>6050</v>
      </c>
      <c r="C564" s="190"/>
      <c r="D564" s="190"/>
      <c r="E564" s="190"/>
      <c r="F564" s="190"/>
      <c r="G564" s="348"/>
      <c r="H564" s="348"/>
      <c r="I564" s="348"/>
      <c r="J564" s="348"/>
      <c r="K564" s="348"/>
      <c r="L564" s="348"/>
      <c r="M564" s="348"/>
      <c r="N564" s="348"/>
      <c r="O564" s="348"/>
      <c r="P564" s="291"/>
      <c r="Q564" s="348"/>
      <c r="R564" s="348"/>
      <c r="S564" s="348"/>
      <c r="T564" s="335" t="s">
        <v>260</v>
      </c>
      <c r="U564" s="348"/>
      <c r="V564" s="348"/>
      <c r="W564" s="348"/>
      <c r="X564" s="348"/>
      <c r="Y564" s="348"/>
      <c r="Z564" s="348"/>
      <c r="AA564" s="348"/>
      <c r="AB564" s="348"/>
      <c r="AC564" s="348"/>
      <c r="AD564" s="349"/>
      <c r="AE564" s="349"/>
      <c r="AF564" s="349"/>
      <c r="AG564" s="349"/>
      <c r="AH564" s="349"/>
      <c r="AI564" s="349"/>
      <c r="AJ564" s="349"/>
      <c r="AK564" s="349"/>
      <c r="AL564" s="349"/>
      <c r="AM564" s="349"/>
      <c r="AN564" s="349"/>
      <c r="AO564" s="349"/>
      <c r="AP564" s="349"/>
      <c r="AQ564" s="349"/>
      <c r="AR564" s="349"/>
      <c r="AS564" s="349"/>
      <c r="AT564" s="349"/>
      <c r="AU564" s="349"/>
      <c r="AV564" s="349"/>
      <c r="AW564" s="349"/>
      <c r="AX564" s="349"/>
    </row>
    <row r="565" ht="15.75" customHeight="1">
      <c r="A565" s="221" t="s">
        <v>112</v>
      </c>
      <c r="B565" s="198" t="s">
        <v>6054</v>
      </c>
      <c r="C565" s="190"/>
      <c r="D565" s="190"/>
      <c r="E565" s="190"/>
      <c r="F565" s="190"/>
      <c r="G565" s="348"/>
      <c r="H565" s="348"/>
      <c r="I565" s="348"/>
      <c r="J565" s="348"/>
      <c r="K565" s="348"/>
      <c r="L565" s="348"/>
      <c r="M565" s="348"/>
      <c r="N565" s="348"/>
      <c r="O565" s="348"/>
      <c r="P565" s="291"/>
      <c r="Q565" s="348"/>
      <c r="R565" s="348"/>
      <c r="S565" s="348"/>
      <c r="T565" s="335" t="s">
        <v>7801</v>
      </c>
      <c r="U565" s="348"/>
      <c r="V565" s="348"/>
      <c r="W565" s="348"/>
      <c r="X565" s="348"/>
      <c r="Y565" s="348"/>
      <c r="Z565" s="348"/>
      <c r="AA565" s="348"/>
      <c r="AB565" s="348"/>
      <c r="AC565" s="348"/>
      <c r="AD565" s="349"/>
      <c r="AE565" s="349"/>
      <c r="AF565" s="349"/>
      <c r="AG565" s="349"/>
      <c r="AH565" s="349"/>
      <c r="AI565" s="349"/>
      <c r="AJ565" s="349"/>
      <c r="AK565" s="349"/>
      <c r="AL565" s="349"/>
      <c r="AM565" s="349"/>
      <c r="AN565" s="349"/>
      <c r="AO565" s="349"/>
      <c r="AP565" s="349"/>
      <c r="AQ565" s="349"/>
      <c r="AR565" s="349"/>
      <c r="AS565" s="349"/>
      <c r="AT565" s="349"/>
      <c r="AU565" s="349"/>
      <c r="AV565" s="349"/>
      <c r="AW565" s="349"/>
      <c r="AX565" s="349"/>
    </row>
    <row r="566" ht="15.75" customHeight="1">
      <c r="A566" s="221" t="s">
        <v>256</v>
      </c>
      <c r="B566" s="198" t="s">
        <v>6060</v>
      </c>
      <c r="C566" s="190"/>
      <c r="D566" s="190"/>
      <c r="E566" s="190"/>
      <c r="F566" s="190"/>
      <c r="G566" s="348"/>
      <c r="H566" s="348"/>
      <c r="I566" s="348"/>
      <c r="J566" s="348"/>
      <c r="K566" s="348"/>
      <c r="L566" s="348"/>
      <c r="M566" s="348"/>
      <c r="N566" s="348"/>
      <c r="O566" s="348"/>
      <c r="P566" s="291" t="s">
        <v>307</v>
      </c>
      <c r="Q566" s="348"/>
      <c r="R566" s="348"/>
      <c r="S566" s="348"/>
      <c r="T566" s="335" t="s">
        <v>260</v>
      </c>
      <c r="U566" s="348"/>
      <c r="V566" s="348"/>
      <c r="W566" s="348"/>
      <c r="X566" s="348"/>
      <c r="Y566" s="348"/>
      <c r="Z566" s="348"/>
      <c r="AA566" s="348"/>
      <c r="AB566" s="348"/>
      <c r="AC566" s="348"/>
      <c r="AD566" s="349"/>
      <c r="AE566" s="349"/>
      <c r="AF566" s="349"/>
      <c r="AG566" s="349"/>
      <c r="AH566" s="349"/>
      <c r="AI566" s="349"/>
      <c r="AJ566" s="349"/>
      <c r="AK566" s="349"/>
      <c r="AL566" s="349"/>
      <c r="AM566" s="349"/>
      <c r="AN566" s="349"/>
      <c r="AO566" s="349"/>
      <c r="AP566" s="349"/>
      <c r="AQ566" s="349"/>
      <c r="AR566" s="349"/>
      <c r="AS566" s="349"/>
      <c r="AT566" s="349"/>
      <c r="AU566" s="349"/>
      <c r="AV566" s="349"/>
      <c r="AW566" s="349"/>
      <c r="AX566" s="349"/>
    </row>
    <row r="567" ht="15.75" customHeight="1">
      <c r="A567" s="297" t="s">
        <v>46</v>
      </c>
      <c r="B567" s="298" t="s">
        <v>6064</v>
      </c>
      <c r="C567" s="190" t="s">
        <v>6068</v>
      </c>
      <c r="D567" s="190" t="s">
        <v>6069</v>
      </c>
      <c r="E567" s="190" t="s">
        <v>6070</v>
      </c>
      <c r="F567" s="190"/>
      <c r="G567" s="293"/>
      <c r="H567" s="293"/>
      <c r="I567" s="351"/>
      <c r="J567" s="351"/>
      <c r="K567" s="351"/>
      <c r="L567" s="351"/>
      <c r="M567" s="351"/>
      <c r="N567" s="351"/>
      <c r="O567" s="351"/>
      <c r="P567" s="291" t="s">
        <v>307</v>
      </c>
      <c r="Q567" s="351"/>
      <c r="R567" s="351"/>
      <c r="S567" s="351"/>
      <c r="T567" s="351"/>
      <c r="U567" s="351"/>
      <c r="V567" s="351"/>
      <c r="W567" s="351"/>
      <c r="X567" s="351"/>
      <c r="Y567" s="351"/>
      <c r="Z567" s="351"/>
      <c r="AA567" s="351"/>
      <c r="AB567" s="351"/>
      <c r="AC567" s="351"/>
      <c r="AD567" s="349"/>
      <c r="AE567" s="349"/>
      <c r="AF567" s="349"/>
      <c r="AG567" s="349"/>
      <c r="AH567" s="349"/>
      <c r="AI567" s="349"/>
      <c r="AJ567" s="349"/>
      <c r="AK567" s="349"/>
      <c r="AL567" s="349"/>
      <c r="AM567" s="349"/>
      <c r="AN567" s="349"/>
      <c r="AO567" s="349"/>
      <c r="AP567" s="349"/>
      <c r="AQ567" s="349"/>
      <c r="AR567" s="349"/>
      <c r="AS567" s="349"/>
      <c r="AT567" s="349"/>
      <c r="AU567" s="349"/>
      <c r="AV567" s="349"/>
      <c r="AW567" s="349"/>
      <c r="AX567" s="349"/>
    </row>
    <row r="568" ht="15.75" customHeight="1">
      <c r="A568" s="357" t="s">
        <v>261</v>
      </c>
      <c r="B568" s="358" t="s">
        <v>6075</v>
      </c>
      <c r="C568" s="190" t="s">
        <v>6084</v>
      </c>
      <c r="D568" s="190" t="s">
        <v>6085</v>
      </c>
      <c r="E568" s="190" t="s">
        <v>6086</v>
      </c>
      <c r="F568" s="190"/>
      <c r="G568" s="293"/>
      <c r="H568" s="293"/>
      <c r="I568" s="397"/>
      <c r="J568" s="397"/>
      <c r="K568" s="398"/>
      <c r="L568" s="398"/>
      <c r="M568" s="397"/>
      <c r="N568" s="397"/>
      <c r="O568" s="397"/>
      <c r="P568" s="291" t="s">
        <v>307</v>
      </c>
      <c r="Q568" s="399" t="s">
        <v>307</v>
      </c>
      <c r="R568" s="397"/>
      <c r="S568" s="397"/>
      <c r="T568" s="397"/>
      <c r="U568" s="397"/>
      <c r="V568" s="397"/>
      <c r="W568" s="397"/>
      <c r="X568" s="397"/>
      <c r="Y568" s="397"/>
      <c r="Z568" s="397"/>
      <c r="AA568" s="397"/>
      <c r="AB568" s="397"/>
      <c r="AC568" s="397"/>
      <c r="AD568" s="349"/>
      <c r="AE568" s="349"/>
      <c r="AF568" s="349"/>
      <c r="AG568" s="349"/>
      <c r="AH568" s="349"/>
      <c r="AI568" s="349"/>
      <c r="AJ568" s="349"/>
      <c r="AK568" s="349"/>
      <c r="AL568" s="349"/>
      <c r="AM568" s="349"/>
      <c r="AN568" s="349"/>
      <c r="AO568" s="349"/>
      <c r="AP568" s="349"/>
      <c r="AQ568" s="349"/>
      <c r="AR568" s="349"/>
      <c r="AS568" s="349"/>
      <c r="AT568" s="349"/>
      <c r="AU568" s="349"/>
      <c r="AV568" s="349"/>
      <c r="AW568" s="349"/>
      <c r="AX568" s="349"/>
    </row>
    <row r="569" ht="15.75" customHeight="1">
      <c r="A569" s="357" t="s">
        <v>261</v>
      </c>
      <c r="B569" s="358" t="s">
        <v>6087</v>
      </c>
      <c r="C569" s="190" t="s">
        <v>6094</v>
      </c>
      <c r="D569" s="190" t="s">
        <v>6095</v>
      </c>
      <c r="E569" s="190" t="s">
        <v>6096</v>
      </c>
      <c r="F569" s="190"/>
      <c r="G569" s="293"/>
      <c r="H569" s="293"/>
      <c r="I569" s="397"/>
      <c r="J569" s="397"/>
      <c r="K569" s="400" t="s">
        <v>7880</v>
      </c>
      <c r="L569" s="398"/>
      <c r="M569" s="397"/>
      <c r="N569" s="397"/>
      <c r="O569" s="397"/>
      <c r="P569" s="291" t="s">
        <v>307</v>
      </c>
      <c r="Q569" s="399" t="s">
        <v>307</v>
      </c>
      <c r="R569" s="397"/>
      <c r="S569" s="397"/>
      <c r="T569" s="397"/>
      <c r="U569" s="397"/>
      <c r="V569" s="397"/>
      <c r="W569" s="397"/>
      <c r="X569" s="397"/>
      <c r="Y569" s="397"/>
      <c r="Z569" s="397"/>
      <c r="AA569" s="397"/>
      <c r="AB569" s="397"/>
      <c r="AC569" s="397"/>
      <c r="AD569" s="349"/>
      <c r="AE569" s="349"/>
      <c r="AF569" s="349"/>
      <c r="AG569" s="349"/>
      <c r="AH569" s="349"/>
      <c r="AI569" s="349"/>
      <c r="AJ569" s="349"/>
      <c r="AK569" s="349"/>
      <c r="AL569" s="349"/>
      <c r="AM569" s="349"/>
      <c r="AN569" s="349"/>
      <c r="AO569" s="349"/>
      <c r="AP569" s="349"/>
      <c r="AQ569" s="349"/>
      <c r="AR569" s="349"/>
      <c r="AS569" s="349"/>
      <c r="AT569" s="349"/>
      <c r="AU569" s="349"/>
      <c r="AV569" s="349"/>
      <c r="AW569" s="349"/>
      <c r="AX569" s="349"/>
    </row>
    <row r="570" ht="15.75" customHeight="1">
      <c r="A570" s="357" t="s">
        <v>261</v>
      </c>
      <c r="B570" s="358" t="s">
        <v>6097</v>
      </c>
      <c r="C570" s="190" t="s">
        <v>6102</v>
      </c>
      <c r="D570" s="190" t="s">
        <v>6103</v>
      </c>
      <c r="E570" s="190" t="s">
        <v>6104</v>
      </c>
      <c r="F570" s="190"/>
      <c r="G570" s="293"/>
      <c r="H570" s="293"/>
      <c r="I570" s="397"/>
      <c r="J570" s="397"/>
      <c r="K570" s="400" t="s">
        <v>7880</v>
      </c>
      <c r="L570" s="398"/>
      <c r="M570" s="397"/>
      <c r="N570" s="397"/>
      <c r="O570" s="397"/>
      <c r="P570" s="291" t="s">
        <v>307</v>
      </c>
      <c r="Q570" s="399" t="s">
        <v>307</v>
      </c>
      <c r="R570" s="397"/>
      <c r="S570" s="397"/>
      <c r="T570" s="397"/>
      <c r="U570" s="397"/>
      <c r="V570" s="397"/>
      <c r="W570" s="397"/>
      <c r="X570" s="397"/>
      <c r="Y570" s="397"/>
      <c r="Z570" s="397"/>
      <c r="AA570" s="397"/>
      <c r="AB570" s="397"/>
      <c r="AC570" s="397"/>
      <c r="AD570" s="349"/>
      <c r="AE570" s="349"/>
      <c r="AF570" s="349"/>
      <c r="AG570" s="349"/>
      <c r="AH570" s="349"/>
      <c r="AI570" s="349"/>
      <c r="AJ570" s="349"/>
      <c r="AK570" s="349"/>
      <c r="AL570" s="349"/>
      <c r="AM570" s="349"/>
      <c r="AN570" s="349"/>
      <c r="AO570" s="349"/>
      <c r="AP570" s="349"/>
      <c r="AQ570" s="349"/>
      <c r="AR570" s="349"/>
      <c r="AS570" s="349"/>
      <c r="AT570" s="349"/>
      <c r="AU570" s="349"/>
      <c r="AV570" s="349"/>
      <c r="AW570" s="349"/>
      <c r="AX570" s="349"/>
    </row>
    <row r="571" ht="15.0" customHeight="1">
      <c r="A571" s="357" t="s">
        <v>261</v>
      </c>
      <c r="B571" s="358" t="s">
        <v>6107</v>
      </c>
      <c r="C571" s="190" t="s">
        <v>6111</v>
      </c>
      <c r="D571" s="190" t="s">
        <v>6112</v>
      </c>
      <c r="E571" s="190" t="s">
        <v>6113</v>
      </c>
      <c r="F571" s="190"/>
      <c r="G571" s="293"/>
      <c r="H571" s="293"/>
      <c r="I571" s="397"/>
      <c r="J571" s="397"/>
      <c r="K571" s="400" t="s">
        <v>7880</v>
      </c>
      <c r="L571" s="398"/>
      <c r="M571" s="397"/>
      <c r="N571" s="397"/>
      <c r="O571" s="397"/>
      <c r="P571" s="291" t="s">
        <v>307</v>
      </c>
      <c r="Q571" s="399" t="s">
        <v>307</v>
      </c>
      <c r="R571" s="397"/>
      <c r="S571" s="397"/>
      <c r="T571" s="401"/>
      <c r="U571" s="397"/>
      <c r="V571" s="397"/>
      <c r="W571" s="397"/>
      <c r="X571" s="397"/>
      <c r="Y571" s="397"/>
      <c r="Z571" s="397"/>
      <c r="AA571" s="397"/>
      <c r="AB571" s="397"/>
      <c r="AC571" s="397"/>
      <c r="AD571" s="349"/>
      <c r="AE571" s="349"/>
      <c r="AF571" s="349"/>
      <c r="AG571" s="349"/>
      <c r="AH571" s="349"/>
      <c r="AI571" s="349"/>
      <c r="AJ571" s="349"/>
      <c r="AK571" s="349"/>
      <c r="AL571" s="349"/>
      <c r="AM571" s="349"/>
      <c r="AN571" s="349"/>
      <c r="AO571" s="349"/>
      <c r="AP571" s="349"/>
      <c r="AQ571" s="349"/>
      <c r="AR571" s="349"/>
      <c r="AS571" s="349"/>
      <c r="AT571" s="349"/>
      <c r="AU571" s="349"/>
      <c r="AV571" s="349"/>
      <c r="AW571" s="349"/>
      <c r="AX571" s="349"/>
    </row>
    <row r="572" ht="15.75" customHeight="1">
      <c r="A572" s="357" t="s">
        <v>261</v>
      </c>
      <c r="B572" s="358" t="s">
        <v>6114</v>
      </c>
      <c r="C572" s="190" t="s">
        <v>6121</v>
      </c>
      <c r="D572" s="190" t="s">
        <v>6122</v>
      </c>
      <c r="E572" s="190" t="s">
        <v>6123</v>
      </c>
      <c r="F572" s="190"/>
      <c r="G572" s="293"/>
      <c r="H572" s="293"/>
      <c r="I572" s="397"/>
      <c r="J572" s="397"/>
      <c r="K572" s="400" t="s">
        <v>7880</v>
      </c>
      <c r="L572" s="398"/>
      <c r="M572" s="397"/>
      <c r="N572" s="397"/>
      <c r="O572" s="397"/>
      <c r="P572" s="291" t="s">
        <v>307</v>
      </c>
      <c r="Q572" s="399" t="s">
        <v>307</v>
      </c>
      <c r="R572" s="397"/>
      <c r="S572" s="397"/>
      <c r="T572" s="397"/>
      <c r="U572" s="397"/>
      <c r="V572" s="397"/>
      <c r="W572" s="397"/>
      <c r="X572" s="397"/>
      <c r="Y572" s="397"/>
      <c r="Z572" s="397"/>
      <c r="AA572" s="397"/>
      <c r="AB572" s="397"/>
      <c r="AC572" s="397"/>
      <c r="AD572" s="349"/>
      <c r="AE572" s="349"/>
      <c r="AF572" s="349"/>
      <c r="AG572" s="349"/>
      <c r="AH572" s="349"/>
      <c r="AI572" s="349"/>
      <c r="AJ572" s="349"/>
      <c r="AK572" s="349"/>
      <c r="AL572" s="349"/>
      <c r="AM572" s="349"/>
      <c r="AN572" s="349"/>
      <c r="AO572" s="349"/>
      <c r="AP572" s="349"/>
      <c r="AQ572" s="349"/>
      <c r="AR572" s="349"/>
      <c r="AS572" s="349"/>
      <c r="AT572" s="349"/>
      <c r="AU572" s="349"/>
      <c r="AV572" s="349"/>
      <c r="AW572" s="349"/>
      <c r="AX572" s="349"/>
    </row>
    <row r="573" ht="15.75" customHeight="1">
      <c r="A573" s="306" t="s">
        <v>247</v>
      </c>
      <c r="B573" s="307" t="s">
        <v>6124</v>
      </c>
      <c r="C573" s="190" t="s">
        <v>6128</v>
      </c>
      <c r="D573" s="190" t="s">
        <v>6129</v>
      </c>
      <c r="E573" s="190" t="s">
        <v>6130</v>
      </c>
      <c r="F573" s="190" t="s">
        <v>7936</v>
      </c>
      <c r="G573" s="293" t="s">
        <v>7937</v>
      </c>
      <c r="H573" s="293" t="s">
        <v>7938</v>
      </c>
      <c r="I573" s="359"/>
      <c r="J573" s="359"/>
      <c r="K573" s="369"/>
      <c r="L573" s="369"/>
      <c r="M573" s="359"/>
      <c r="N573" s="359"/>
      <c r="O573" s="361" t="s">
        <v>7941</v>
      </c>
      <c r="P573" s="291" t="s">
        <v>307</v>
      </c>
      <c r="Q573" s="361" t="s">
        <v>307</v>
      </c>
      <c r="R573" s="359"/>
      <c r="S573" s="359"/>
      <c r="T573" s="359"/>
      <c r="U573" s="359"/>
      <c r="V573" s="359"/>
      <c r="W573" s="359"/>
      <c r="X573" s="359"/>
      <c r="Y573" s="359"/>
      <c r="Z573" s="359"/>
      <c r="AA573" s="359"/>
      <c r="AB573" s="359"/>
      <c r="AC573" s="359"/>
      <c r="AD573" s="349"/>
      <c r="AE573" s="349"/>
      <c r="AF573" s="349"/>
      <c r="AG573" s="349"/>
      <c r="AH573" s="349"/>
      <c r="AI573" s="349"/>
      <c r="AJ573" s="349"/>
      <c r="AK573" s="349"/>
      <c r="AL573" s="349"/>
      <c r="AM573" s="349"/>
      <c r="AN573" s="349"/>
      <c r="AO573" s="349"/>
      <c r="AP573" s="349"/>
      <c r="AQ573" s="349"/>
      <c r="AR573" s="349"/>
      <c r="AS573" s="349"/>
      <c r="AT573" s="349"/>
      <c r="AU573" s="349"/>
      <c r="AV573" s="349"/>
      <c r="AW573" s="349"/>
      <c r="AX573" s="349"/>
    </row>
    <row r="574" ht="15.75" customHeight="1">
      <c r="A574" s="221" t="s">
        <v>256</v>
      </c>
      <c r="B574" s="198" t="s">
        <v>6131</v>
      </c>
      <c r="C574" s="190"/>
      <c r="D574" s="190"/>
      <c r="E574" s="190"/>
      <c r="F574" s="190"/>
      <c r="G574" s="348"/>
      <c r="H574" s="348"/>
      <c r="I574" s="348"/>
      <c r="J574" s="348"/>
      <c r="K574" s="348"/>
      <c r="L574" s="348"/>
      <c r="M574" s="348"/>
      <c r="N574" s="348"/>
      <c r="O574" s="348"/>
      <c r="P574" s="291" t="s">
        <v>307</v>
      </c>
      <c r="Q574" s="348"/>
      <c r="R574" s="348"/>
      <c r="S574" s="348"/>
      <c r="T574" s="250" t="s">
        <v>260</v>
      </c>
      <c r="U574" s="348"/>
      <c r="V574" s="348"/>
      <c r="W574" s="348"/>
      <c r="X574" s="348"/>
      <c r="Y574" s="348"/>
      <c r="Z574" s="348"/>
      <c r="AA574" s="348"/>
      <c r="AB574" s="348"/>
      <c r="AC574" s="348"/>
      <c r="AD574" s="349"/>
      <c r="AE574" s="349"/>
      <c r="AF574" s="349"/>
      <c r="AG574" s="349"/>
      <c r="AH574" s="349"/>
      <c r="AI574" s="349"/>
      <c r="AJ574" s="349"/>
      <c r="AK574" s="349"/>
      <c r="AL574" s="349"/>
      <c r="AM574" s="349"/>
      <c r="AN574" s="349"/>
      <c r="AO574" s="349"/>
      <c r="AP574" s="349"/>
      <c r="AQ574" s="349"/>
      <c r="AR574" s="349"/>
      <c r="AS574" s="349"/>
      <c r="AT574" s="349"/>
      <c r="AU574" s="349"/>
      <c r="AV574" s="349"/>
      <c r="AW574" s="349"/>
      <c r="AX574" s="349"/>
    </row>
    <row r="575" ht="15.75" customHeight="1">
      <c r="A575" s="221" t="s">
        <v>112</v>
      </c>
      <c r="B575" s="198" t="s">
        <v>6139</v>
      </c>
      <c r="C575" s="190"/>
      <c r="D575" s="190"/>
      <c r="E575" s="190"/>
      <c r="F575" s="190"/>
      <c r="G575" s="348"/>
      <c r="H575" s="348"/>
      <c r="I575" s="348"/>
      <c r="J575" s="348"/>
      <c r="K575" s="348"/>
      <c r="L575" s="348"/>
      <c r="M575" s="348"/>
      <c r="N575" s="348"/>
      <c r="O575" s="348"/>
      <c r="P575" s="291" t="s">
        <v>307</v>
      </c>
      <c r="Q575" s="348"/>
      <c r="R575" s="348"/>
      <c r="S575" s="348"/>
      <c r="T575" s="250" t="s">
        <v>7968</v>
      </c>
      <c r="U575" s="348"/>
      <c r="V575" s="348"/>
      <c r="W575" s="348"/>
      <c r="X575" s="348"/>
      <c r="Y575" s="348"/>
      <c r="Z575" s="348"/>
      <c r="AA575" s="348"/>
      <c r="AB575" s="348"/>
      <c r="AC575" s="348"/>
      <c r="AD575" s="349"/>
      <c r="AE575" s="349"/>
      <c r="AF575" s="349"/>
      <c r="AG575" s="349"/>
      <c r="AH575" s="349"/>
      <c r="AI575" s="349"/>
      <c r="AJ575" s="349"/>
      <c r="AK575" s="349"/>
      <c r="AL575" s="349"/>
      <c r="AM575" s="349"/>
      <c r="AN575" s="349"/>
      <c r="AO575" s="349"/>
      <c r="AP575" s="349"/>
      <c r="AQ575" s="349"/>
      <c r="AR575" s="349"/>
      <c r="AS575" s="349"/>
      <c r="AT575" s="349"/>
      <c r="AU575" s="349"/>
      <c r="AV575" s="349"/>
      <c r="AW575" s="349"/>
      <c r="AX575" s="349"/>
    </row>
    <row r="576" ht="15.75" customHeight="1">
      <c r="A576" s="297" t="s">
        <v>46</v>
      </c>
      <c r="B576" s="298" t="s">
        <v>6141</v>
      </c>
      <c r="C576" s="190" t="s">
        <v>6153</v>
      </c>
      <c r="D576" s="190" t="s">
        <v>6154</v>
      </c>
      <c r="E576" s="190" t="s">
        <v>6155</v>
      </c>
      <c r="F576" s="190"/>
      <c r="G576" s="293"/>
      <c r="H576" s="293"/>
      <c r="I576" s="351"/>
      <c r="J576" s="351"/>
      <c r="K576" s="351"/>
      <c r="L576" s="351"/>
      <c r="M576" s="351"/>
      <c r="N576" s="351"/>
      <c r="O576" s="351"/>
      <c r="P576" s="291" t="s">
        <v>307</v>
      </c>
      <c r="Q576" s="351"/>
      <c r="R576" s="351"/>
      <c r="S576" s="351"/>
      <c r="T576" s="402"/>
      <c r="U576" s="351"/>
      <c r="V576" s="351"/>
      <c r="W576" s="351"/>
      <c r="X576" s="351"/>
      <c r="Y576" s="351"/>
      <c r="Z576" s="351"/>
      <c r="AA576" s="351"/>
      <c r="AB576" s="351"/>
      <c r="AC576" s="351"/>
      <c r="AD576" s="349"/>
      <c r="AE576" s="349"/>
      <c r="AF576" s="349"/>
      <c r="AG576" s="349"/>
      <c r="AH576" s="349"/>
      <c r="AI576" s="349"/>
      <c r="AJ576" s="349"/>
      <c r="AK576" s="349"/>
      <c r="AL576" s="349"/>
      <c r="AM576" s="349"/>
      <c r="AN576" s="349"/>
      <c r="AO576" s="349"/>
      <c r="AP576" s="349"/>
      <c r="AQ576" s="349"/>
      <c r="AR576" s="349"/>
      <c r="AS576" s="349"/>
      <c r="AT576" s="349"/>
      <c r="AU576" s="349"/>
      <c r="AV576" s="349"/>
      <c r="AW576" s="349"/>
      <c r="AX576" s="349"/>
    </row>
    <row r="577" ht="15.75" customHeight="1">
      <c r="A577" s="299" t="s">
        <v>6156</v>
      </c>
      <c r="B577" s="300" t="s">
        <v>6160</v>
      </c>
      <c r="C577" s="190" t="s">
        <v>6165</v>
      </c>
      <c r="D577" s="190" t="s">
        <v>6166</v>
      </c>
      <c r="E577" s="190" t="s">
        <v>6167</v>
      </c>
      <c r="F577" s="190"/>
      <c r="G577" s="293"/>
      <c r="H577" s="293"/>
      <c r="I577" s="356"/>
      <c r="J577" s="355"/>
      <c r="K577" s="291" t="s">
        <v>4890</v>
      </c>
      <c r="L577" s="356"/>
      <c r="M577" s="356"/>
      <c r="N577" s="356"/>
      <c r="O577" s="356"/>
      <c r="P577" s="291" t="s">
        <v>307</v>
      </c>
      <c r="Q577" s="291" t="s">
        <v>307</v>
      </c>
      <c r="R577" s="356"/>
      <c r="S577" s="356"/>
      <c r="T577" s="356"/>
      <c r="U577" s="356"/>
      <c r="V577" s="356"/>
      <c r="W577" s="356"/>
      <c r="X577" s="356"/>
      <c r="Y577" s="356"/>
      <c r="Z577" s="356"/>
      <c r="AA577" s="356"/>
      <c r="AB577" s="356"/>
      <c r="AC577" s="356"/>
      <c r="AD577" s="349"/>
      <c r="AE577" s="349"/>
      <c r="AF577" s="349"/>
      <c r="AG577" s="349"/>
      <c r="AH577" s="349"/>
      <c r="AI577" s="349"/>
      <c r="AJ577" s="349"/>
      <c r="AK577" s="349"/>
      <c r="AL577" s="349"/>
      <c r="AM577" s="349"/>
      <c r="AN577" s="349"/>
      <c r="AO577" s="349"/>
      <c r="AP577" s="349"/>
      <c r="AQ577" s="349"/>
      <c r="AR577" s="349"/>
      <c r="AS577" s="349"/>
      <c r="AT577" s="349"/>
      <c r="AU577" s="349"/>
      <c r="AV577" s="349"/>
      <c r="AW577" s="349"/>
      <c r="AX577" s="349"/>
    </row>
    <row r="578" ht="15.75" customHeight="1">
      <c r="A578" s="301" t="s">
        <v>220</v>
      </c>
      <c r="B578" s="302" t="s">
        <v>6168</v>
      </c>
      <c r="C578" s="190" t="s">
        <v>6172</v>
      </c>
      <c r="D578" s="190" t="s">
        <v>6173</v>
      </c>
      <c r="E578" s="190" t="s">
        <v>6174</v>
      </c>
      <c r="F578" s="190"/>
      <c r="G578" s="293"/>
      <c r="H578" s="293"/>
      <c r="I578" s="366"/>
      <c r="J578" s="367"/>
      <c r="K578" s="366"/>
      <c r="L578" s="366"/>
      <c r="M578" s="366"/>
      <c r="N578" s="366"/>
      <c r="O578" s="368" t="s">
        <v>8027</v>
      </c>
      <c r="P578" s="291" t="s">
        <v>307</v>
      </c>
      <c r="Q578" s="368" t="s">
        <v>307</v>
      </c>
      <c r="R578" s="366"/>
      <c r="S578" s="366"/>
      <c r="T578" s="366"/>
      <c r="U578" s="366"/>
      <c r="V578" s="366"/>
      <c r="W578" s="366"/>
      <c r="X578" s="366"/>
      <c r="Y578" s="366"/>
      <c r="Z578" s="366"/>
      <c r="AA578" s="366"/>
      <c r="AB578" s="366"/>
      <c r="AC578" s="366"/>
      <c r="AD578" s="349"/>
      <c r="AE578" s="349"/>
      <c r="AF578" s="349"/>
      <c r="AG578" s="349"/>
      <c r="AH578" s="349"/>
      <c r="AI578" s="349"/>
      <c r="AJ578" s="349"/>
      <c r="AK578" s="349"/>
      <c r="AL578" s="349"/>
      <c r="AM578" s="349"/>
      <c r="AN578" s="349"/>
      <c r="AO578" s="349"/>
      <c r="AP578" s="349"/>
      <c r="AQ578" s="349"/>
      <c r="AR578" s="349"/>
      <c r="AS578" s="349"/>
      <c r="AT578" s="349"/>
      <c r="AU578" s="349"/>
      <c r="AV578" s="349"/>
      <c r="AW578" s="349"/>
      <c r="AX578" s="349"/>
    </row>
    <row r="579" ht="15.75" customHeight="1">
      <c r="A579" s="221" t="s">
        <v>256</v>
      </c>
      <c r="B579" s="198" t="s">
        <v>6175</v>
      </c>
      <c r="C579" s="190"/>
      <c r="D579" s="190"/>
      <c r="E579" s="190"/>
      <c r="F579" s="190"/>
      <c r="G579" s="348"/>
      <c r="H579" s="348"/>
      <c r="I579" s="348"/>
      <c r="J579" s="348"/>
      <c r="K579" s="348"/>
      <c r="L579" s="348"/>
      <c r="M579" s="348"/>
      <c r="N579" s="348"/>
      <c r="O579" s="348"/>
      <c r="P579" s="291" t="s">
        <v>307</v>
      </c>
      <c r="Q579" s="348"/>
      <c r="R579" s="348"/>
      <c r="S579" s="348"/>
      <c r="T579" s="335" t="s">
        <v>260</v>
      </c>
      <c r="U579" s="348"/>
      <c r="V579" s="348"/>
      <c r="W579" s="348"/>
      <c r="X579" s="348"/>
      <c r="Y579" s="348"/>
      <c r="Z579" s="348"/>
      <c r="AA579" s="348"/>
      <c r="AB579" s="348"/>
      <c r="AC579" s="348"/>
      <c r="AD579" s="349"/>
      <c r="AE579" s="349"/>
      <c r="AF579" s="349"/>
      <c r="AG579" s="349"/>
      <c r="AH579" s="349"/>
      <c r="AI579" s="349"/>
      <c r="AJ579" s="349"/>
      <c r="AK579" s="349"/>
      <c r="AL579" s="349"/>
      <c r="AM579" s="349"/>
      <c r="AN579" s="349"/>
      <c r="AO579" s="349"/>
      <c r="AP579" s="349"/>
      <c r="AQ579" s="349"/>
      <c r="AR579" s="349"/>
      <c r="AS579" s="349"/>
      <c r="AT579" s="349"/>
      <c r="AU579" s="349"/>
      <c r="AV579" s="349"/>
      <c r="AW579" s="349"/>
      <c r="AX579" s="349"/>
    </row>
    <row r="580" ht="15.75" customHeight="1">
      <c r="A580" s="305" t="s">
        <v>385</v>
      </c>
      <c r="B580" s="223" t="s">
        <v>6181</v>
      </c>
      <c r="C580" s="190" t="s">
        <v>6184</v>
      </c>
      <c r="D580" s="190" t="s">
        <v>6186</v>
      </c>
      <c r="E580" s="190" t="s">
        <v>6187</v>
      </c>
      <c r="F580" s="190"/>
      <c r="G580" s="362"/>
      <c r="H580" s="362"/>
      <c r="I580" s="362"/>
      <c r="J580" s="362"/>
      <c r="K580" s="362"/>
      <c r="L580" s="362"/>
      <c r="M580" s="363"/>
      <c r="N580" s="363"/>
      <c r="O580" s="364" t="s">
        <v>8051</v>
      </c>
      <c r="P580" s="291" t="s">
        <v>307</v>
      </c>
      <c r="Q580" s="362"/>
      <c r="R580" s="362"/>
      <c r="S580" s="362"/>
      <c r="T580" s="362"/>
      <c r="U580" s="364" t="s">
        <v>8052</v>
      </c>
      <c r="V580" s="362"/>
      <c r="W580" s="362"/>
      <c r="X580" s="362"/>
      <c r="Y580" s="362"/>
      <c r="Z580" s="362"/>
      <c r="AA580" s="362"/>
      <c r="AB580" s="362"/>
      <c r="AC580" s="362"/>
      <c r="AD580" s="349"/>
      <c r="AE580" s="349"/>
      <c r="AF580" s="349"/>
      <c r="AG580" s="349"/>
      <c r="AH580" s="349"/>
      <c r="AI580" s="349"/>
      <c r="AJ580" s="349"/>
      <c r="AK580" s="349"/>
      <c r="AL580" s="349"/>
      <c r="AM580" s="349"/>
      <c r="AN580" s="349"/>
      <c r="AO580" s="349"/>
      <c r="AP580" s="349"/>
      <c r="AQ580" s="349"/>
      <c r="AR580" s="349"/>
      <c r="AS580" s="349"/>
      <c r="AT580" s="349"/>
      <c r="AU580" s="349"/>
      <c r="AV580" s="349"/>
      <c r="AW580" s="349"/>
      <c r="AX580" s="349"/>
    </row>
    <row r="581" ht="15.75" customHeight="1">
      <c r="A581" s="221" t="s">
        <v>112</v>
      </c>
      <c r="B581" s="198" t="s">
        <v>6189</v>
      </c>
      <c r="C581" s="190" t="s">
        <v>6190</v>
      </c>
      <c r="D581" s="190" t="s">
        <v>6191</v>
      </c>
      <c r="E581" s="190" t="s">
        <v>6192</v>
      </c>
      <c r="F581" s="190"/>
      <c r="G581" s="348"/>
      <c r="H581" s="348"/>
      <c r="I581" s="348"/>
      <c r="J581" s="348"/>
      <c r="K581" s="348"/>
      <c r="L581" s="348"/>
      <c r="M581" s="348"/>
      <c r="N581" s="348"/>
      <c r="O581" s="348"/>
      <c r="P581" s="291" t="s">
        <v>307</v>
      </c>
      <c r="Q581" s="348"/>
      <c r="R581" s="348"/>
      <c r="S581" s="348"/>
      <c r="T581" s="335" t="s">
        <v>8053</v>
      </c>
      <c r="U581" s="348"/>
      <c r="V581" s="348"/>
      <c r="W581" s="348"/>
      <c r="X581" s="348"/>
      <c r="Y581" s="348"/>
      <c r="Z581" s="348"/>
      <c r="AA581" s="348"/>
      <c r="AB581" s="348"/>
      <c r="AC581" s="348"/>
      <c r="AD581" s="349"/>
      <c r="AE581" s="349"/>
      <c r="AF581" s="349"/>
      <c r="AG581" s="349"/>
      <c r="AH581" s="349"/>
      <c r="AI581" s="349"/>
      <c r="AJ581" s="349"/>
      <c r="AK581" s="349"/>
      <c r="AL581" s="349"/>
      <c r="AM581" s="349"/>
      <c r="AN581" s="349"/>
      <c r="AO581" s="349"/>
      <c r="AP581" s="349"/>
      <c r="AQ581" s="349"/>
      <c r="AR581" s="349"/>
      <c r="AS581" s="349"/>
      <c r="AT581" s="349"/>
      <c r="AU581" s="349"/>
      <c r="AV581" s="349"/>
      <c r="AW581" s="349"/>
      <c r="AX581" s="349"/>
    </row>
    <row r="582" ht="15.75" customHeight="1">
      <c r="A582" s="310" t="s">
        <v>278</v>
      </c>
      <c r="B582" s="311" t="s">
        <v>6193</v>
      </c>
      <c r="C582" s="190"/>
      <c r="D582" s="190"/>
      <c r="E582" s="190"/>
      <c r="F582" s="190"/>
      <c r="G582" s="354"/>
      <c r="H582" s="354"/>
      <c r="I582" s="354"/>
      <c r="J582" s="337" t="s">
        <v>987</v>
      </c>
      <c r="K582" s="354"/>
      <c r="L582" s="354"/>
      <c r="M582" s="365"/>
      <c r="N582" s="365"/>
      <c r="O582" s="365"/>
      <c r="P582" s="291" t="s">
        <v>307</v>
      </c>
      <c r="Q582" s="354"/>
      <c r="R582" s="354"/>
      <c r="S582" s="354"/>
      <c r="T582" s="354"/>
      <c r="U582" s="406"/>
      <c r="V582" s="354"/>
      <c r="W582" s="354"/>
      <c r="X582" s="354"/>
      <c r="Y582" s="354"/>
      <c r="Z582" s="354"/>
      <c r="AA582" s="354"/>
      <c r="AB582" s="354"/>
      <c r="AC582" s="354"/>
      <c r="AD582" s="349"/>
      <c r="AE582" s="349"/>
      <c r="AF582" s="349"/>
      <c r="AG582" s="349"/>
      <c r="AH582" s="349"/>
      <c r="AI582" s="349"/>
      <c r="AJ582" s="349"/>
      <c r="AK582" s="349"/>
      <c r="AL582" s="349"/>
      <c r="AM582" s="349"/>
      <c r="AN582" s="349"/>
      <c r="AO582" s="349"/>
      <c r="AP582" s="349"/>
      <c r="AQ582" s="349"/>
      <c r="AR582" s="349"/>
      <c r="AS582" s="349"/>
      <c r="AT582" s="349"/>
      <c r="AU582" s="349"/>
      <c r="AV582" s="349"/>
      <c r="AW582" s="349"/>
      <c r="AX582" s="349"/>
    </row>
    <row r="583" ht="15.75" customHeight="1">
      <c r="A583" s="357" t="s">
        <v>261</v>
      </c>
      <c r="B583" s="358" t="s">
        <v>6194</v>
      </c>
      <c r="C583" s="190" t="s">
        <v>6198</v>
      </c>
      <c r="D583" s="190" t="s">
        <v>6199</v>
      </c>
      <c r="E583" s="190" t="s">
        <v>6200</v>
      </c>
      <c r="F583" s="190"/>
      <c r="G583" s="293"/>
      <c r="H583" s="293"/>
      <c r="I583" s="397"/>
      <c r="J583" s="397"/>
      <c r="K583" s="398"/>
      <c r="L583" s="398"/>
      <c r="M583" s="397"/>
      <c r="N583" s="397"/>
      <c r="O583" s="397"/>
      <c r="P583" s="291" t="s">
        <v>307</v>
      </c>
      <c r="Q583" s="399" t="s">
        <v>307</v>
      </c>
      <c r="R583" s="397"/>
      <c r="S583" s="397"/>
      <c r="T583" s="397"/>
      <c r="U583" s="397"/>
      <c r="V583" s="397"/>
      <c r="W583" s="397"/>
      <c r="X583" s="397"/>
      <c r="Y583" s="397"/>
      <c r="Z583" s="397"/>
      <c r="AA583" s="397"/>
      <c r="AB583" s="397"/>
      <c r="AC583" s="397"/>
      <c r="AD583" s="349"/>
      <c r="AE583" s="349"/>
      <c r="AF583" s="349"/>
      <c r="AG583" s="349"/>
      <c r="AH583" s="349"/>
      <c r="AI583" s="349"/>
      <c r="AJ583" s="349"/>
      <c r="AK583" s="349"/>
      <c r="AL583" s="349"/>
      <c r="AM583" s="349"/>
      <c r="AN583" s="349"/>
      <c r="AO583" s="349"/>
      <c r="AP583" s="349"/>
      <c r="AQ583" s="349"/>
      <c r="AR583" s="349"/>
      <c r="AS583" s="349"/>
      <c r="AT583" s="349"/>
      <c r="AU583" s="349"/>
      <c r="AV583" s="349"/>
      <c r="AW583" s="349"/>
      <c r="AX583" s="349"/>
    </row>
    <row r="584" ht="15.75" customHeight="1">
      <c r="A584" s="299" t="s">
        <v>6201</v>
      </c>
      <c r="B584" s="300" t="s">
        <v>6202</v>
      </c>
      <c r="C584" s="190" t="s">
        <v>6206</v>
      </c>
      <c r="D584" s="190" t="s">
        <v>6207</v>
      </c>
      <c r="E584" s="190" t="s">
        <v>6208</v>
      </c>
      <c r="F584" s="190"/>
      <c r="G584" s="293"/>
      <c r="H584" s="293"/>
      <c r="I584" s="356"/>
      <c r="J584" s="355"/>
      <c r="K584" s="356"/>
      <c r="L584" s="356"/>
      <c r="M584" s="356"/>
      <c r="N584" s="356"/>
      <c r="O584" s="356"/>
      <c r="P584" s="291" t="s">
        <v>307</v>
      </c>
      <c r="Q584" s="291" t="s">
        <v>307</v>
      </c>
      <c r="R584" s="356"/>
      <c r="S584" s="356"/>
      <c r="T584" s="356"/>
      <c r="U584" s="356"/>
      <c r="V584" s="356"/>
      <c r="W584" s="356"/>
      <c r="X584" s="356"/>
      <c r="Y584" s="356"/>
      <c r="Z584" s="356"/>
      <c r="AA584" s="356"/>
      <c r="AB584" s="356"/>
      <c r="AC584" s="356"/>
      <c r="AD584" s="349"/>
      <c r="AE584" s="349"/>
      <c r="AF584" s="349"/>
      <c r="AG584" s="349"/>
      <c r="AH584" s="349"/>
      <c r="AI584" s="349"/>
      <c r="AJ584" s="349"/>
      <c r="AK584" s="349"/>
      <c r="AL584" s="349"/>
      <c r="AM584" s="349"/>
      <c r="AN584" s="349"/>
      <c r="AO584" s="349"/>
      <c r="AP584" s="349"/>
      <c r="AQ584" s="349"/>
      <c r="AR584" s="349"/>
      <c r="AS584" s="349"/>
      <c r="AT584" s="349"/>
      <c r="AU584" s="349"/>
      <c r="AV584" s="349"/>
      <c r="AW584" s="349"/>
      <c r="AX584" s="349"/>
    </row>
    <row r="585" ht="15.75" customHeight="1">
      <c r="A585" s="310" t="s">
        <v>331</v>
      </c>
      <c r="B585" s="315" t="s">
        <v>6193</v>
      </c>
      <c r="C585" s="190"/>
      <c r="D585" s="190"/>
      <c r="E585" s="190"/>
      <c r="F585" s="190"/>
      <c r="G585" s="354"/>
      <c r="H585" s="354"/>
      <c r="I585" s="354"/>
      <c r="J585" s="354"/>
      <c r="K585" s="354"/>
      <c r="L585" s="354"/>
      <c r="M585" s="354"/>
      <c r="N585" s="354"/>
      <c r="O585" s="354"/>
      <c r="P585" s="291" t="s">
        <v>307</v>
      </c>
      <c r="Q585" s="354"/>
      <c r="R585" s="354"/>
      <c r="S585" s="354"/>
      <c r="T585" s="354"/>
      <c r="U585" s="354"/>
      <c r="V585" s="354"/>
      <c r="W585" s="354"/>
      <c r="X585" s="354"/>
      <c r="Y585" s="354"/>
      <c r="Z585" s="354"/>
      <c r="AA585" s="354"/>
      <c r="AB585" s="354"/>
      <c r="AC585" s="354"/>
      <c r="AD585" s="349"/>
      <c r="AE585" s="349"/>
      <c r="AF585" s="349"/>
      <c r="AG585" s="349"/>
      <c r="AH585" s="349"/>
      <c r="AI585" s="349"/>
      <c r="AJ585" s="349"/>
      <c r="AK585" s="349"/>
      <c r="AL585" s="349"/>
      <c r="AM585" s="349"/>
      <c r="AN585" s="349"/>
      <c r="AO585" s="349"/>
      <c r="AP585" s="349"/>
      <c r="AQ585" s="349"/>
      <c r="AR585" s="349"/>
      <c r="AS585" s="349"/>
      <c r="AT585" s="349"/>
      <c r="AU585" s="349"/>
      <c r="AV585" s="349"/>
      <c r="AW585" s="349"/>
      <c r="AX585" s="349"/>
    </row>
    <row r="586" ht="15.75" customHeight="1">
      <c r="A586" s="301" t="s">
        <v>220</v>
      </c>
      <c r="B586" s="302" t="s">
        <v>6212</v>
      </c>
      <c r="C586" s="190" t="s">
        <v>6216</v>
      </c>
      <c r="D586" s="190" t="s">
        <v>6217</v>
      </c>
      <c r="E586" s="190" t="s">
        <v>6218</v>
      </c>
      <c r="F586" s="190"/>
      <c r="G586" s="293"/>
      <c r="H586" s="293"/>
      <c r="I586" s="366"/>
      <c r="J586" s="367"/>
      <c r="K586" s="366"/>
      <c r="L586" s="366"/>
      <c r="M586" s="366"/>
      <c r="N586" s="366"/>
      <c r="O586" s="368" t="s">
        <v>8054</v>
      </c>
      <c r="P586" s="291" t="s">
        <v>307</v>
      </c>
      <c r="Q586" s="368" t="s">
        <v>307</v>
      </c>
      <c r="R586" s="366"/>
      <c r="S586" s="366"/>
      <c r="T586" s="366"/>
      <c r="U586" s="366"/>
      <c r="V586" s="366"/>
      <c r="W586" s="366"/>
      <c r="X586" s="366"/>
      <c r="Y586" s="366"/>
      <c r="Z586" s="366"/>
      <c r="AA586" s="366"/>
      <c r="AB586" s="366"/>
      <c r="AC586" s="366"/>
      <c r="AD586" s="349"/>
      <c r="AE586" s="349"/>
      <c r="AF586" s="349"/>
      <c r="AG586" s="349"/>
      <c r="AH586" s="349"/>
      <c r="AI586" s="349"/>
      <c r="AJ586" s="349"/>
      <c r="AK586" s="349"/>
      <c r="AL586" s="349"/>
      <c r="AM586" s="349"/>
      <c r="AN586" s="349"/>
      <c r="AO586" s="349"/>
      <c r="AP586" s="349"/>
      <c r="AQ586" s="349"/>
      <c r="AR586" s="349"/>
      <c r="AS586" s="349"/>
      <c r="AT586" s="349"/>
      <c r="AU586" s="349"/>
      <c r="AV586" s="349"/>
      <c r="AW586" s="349"/>
      <c r="AX586" s="349"/>
    </row>
    <row r="587" ht="15.75" customHeight="1">
      <c r="A587" s="221" t="s">
        <v>112</v>
      </c>
      <c r="B587" s="198" t="s">
        <v>6219</v>
      </c>
      <c r="C587" s="190" t="s">
        <v>6220</v>
      </c>
      <c r="D587" s="190"/>
      <c r="E587" s="190"/>
      <c r="F587" s="190"/>
      <c r="G587" s="348"/>
      <c r="H587" s="348"/>
      <c r="I587" s="348"/>
      <c r="J587" s="348"/>
      <c r="K587" s="348"/>
      <c r="L587" s="348"/>
      <c r="M587" s="348"/>
      <c r="N587" s="348"/>
      <c r="O587" s="348"/>
      <c r="P587" s="291" t="s">
        <v>307</v>
      </c>
      <c r="Q587" s="197" t="s">
        <v>307</v>
      </c>
      <c r="R587" s="348"/>
      <c r="S587" s="348"/>
      <c r="T587" s="335" t="s">
        <v>8055</v>
      </c>
      <c r="U587" s="348"/>
      <c r="V587" s="348"/>
      <c r="W587" s="348"/>
      <c r="X587" s="348"/>
      <c r="Y587" s="348"/>
      <c r="Z587" s="348"/>
      <c r="AA587" s="348"/>
      <c r="AB587" s="348"/>
      <c r="AC587" s="348"/>
      <c r="AD587" s="349"/>
      <c r="AE587" s="349"/>
      <c r="AF587" s="349"/>
      <c r="AG587" s="349"/>
      <c r="AH587" s="349"/>
      <c r="AI587" s="349"/>
      <c r="AJ587" s="349"/>
      <c r="AK587" s="349"/>
      <c r="AL587" s="349"/>
      <c r="AM587" s="349"/>
      <c r="AN587" s="349"/>
      <c r="AO587" s="349"/>
      <c r="AP587" s="349"/>
      <c r="AQ587" s="349"/>
      <c r="AR587" s="349"/>
      <c r="AS587" s="349"/>
      <c r="AT587" s="349"/>
      <c r="AU587" s="349"/>
      <c r="AV587" s="349"/>
      <c r="AW587" s="349"/>
      <c r="AX587" s="349"/>
    </row>
    <row r="588" ht="15.75" customHeight="1">
      <c r="A588" s="357" t="s">
        <v>261</v>
      </c>
      <c r="B588" s="358" t="s">
        <v>6222</v>
      </c>
      <c r="C588" s="190" t="s">
        <v>6227</v>
      </c>
      <c r="D588" s="190" t="s">
        <v>6228</v>
      </c>
      <c r="E588" s="190" t="s">
        <v>6229</v>
      </c>
      <c r="F588" s="190"/>
      <c r="G588" s="293"/>
      <c r="H588" s="293"/>
      <c r="I588" s="397"/>
      <c r="J588" s="397"/>
      <c r="K588" s="400" t="s">
        <v>8056</v>
      </c>
      <c r="L588" s="398"/>
      <c r="M588" s="397"/>
      <c r="N588" s="397"/>
      <c r="O588" s="397"/>
      <c r="P588" s="291" t="s">
        <v>307</v>
      </c>
      <c r="Q588" s="399" t="s">
        <v>307</v>
      </c>
      <c r="R588" s="397"/>
      <c r="S588" s="397"/>
      <c r="T588" s="397"/>
      <c r="U588" s="397"/>
      <c r="V588" s="397"/>
      <c r="W588" s="397"/>
      <c r="X588" s="397"/>
      <c r="Y588" s="397"/>
      <c r="Z588" s="397"/>
      <c r="AA588" s="397"/>
      <c r="AB588" s="397"/>
      <c r="AC588" s="397"/>
      <c r="AD588" s="349"/>
      <c r="AE588" s="349"/>
      <c r="AF588" s="349"/>
      <c r="AG588" s="349"/>
      <c r="AH588" s="349"/>
      <c r="AI588" s="349"/>
      <c r="AJ588" s="349"/>
      <c r="AK588" s="349"/>
      <c r="AL588" s="349"/>
      <c r="AM588" s="349"/>
      <c r="AN588" s="349"/>
      <c r="AO588" s="349"/>
      <c r="AP588" s="349"/>
      <c r="AQ588" s="349"/>
      <c r="AR588" s="349"/>
      <c r="AS588" s="349"/>
      <c r="AT588" s="349"/>
      <c r="AU588" s="349"/>
      <c r="AV588" s="349"/>
      <c r="AW588" s="349"/>
      <c r="AX588" s="349"/>
    </row>
    <row r="589" ht="15.75" customHeight="1">
      <c r="A589" s="306" t="s">
        <v>247</v>
      </c>
      <c r="B589" s="307" t="s">
        <v>6230</v>
      </c>
      <c r="C589" s="190" t="s">
        <v>6234</v>
      </c>
      <c r="D589" s="190" t="s">
        <v>6235</v>
      </c>
      <c r="E589" s="190" t="s">
        <v>6236</v>
      </c>
      <c r="F589" s="190"/>
      <c r="G589" s="293"/>
      <c r="H589" s="293"/>
      <c r="I589" s="359"/>
      <c r="J589" s="359"/>
      <c r="K589" s="369"/>
      <c r="L589" s="369"/>
      <c r="M589" s="359"/>
      <c r="N589" s="359"/>
      <c r="O589" s="361" t="s">
        <v>8057</v>
      </c>
      <c r="P589" s="291" t="s">
        <v>307</v>
      </c>
      <c r="Q589" s="361" t="s">
        <v>307</v>
      </c>
      <c r="R589" s="359"/>
      <c r="S589" s="359"/>
      <c r="T589" s="359"/>
      <c r="U589" s="359"/>
      <c r="V589" s="359"/>
      <c r="W589" s="359"/>
      <c r="X589" s="359"/>
      <c r="Y589" s="359"/>
      <c r="Z589" s="359"/>
      <c r="AA589" s="359"/>
      <c r="AB589" s="359"/>
      <c r="AC589" s="359"/>
      <c r="AD589" s="349"/>
      <c r="AE589" s="349"/>
      <c r="AF589" s="349"/>
      <c r="AG589" s="349"/>
      <c r="AH589" s="349"/>
      <c r="AI589" s="349"/>
      <c r="AJ589" s="349"/>
      <c r="AK589" s="349"/>
      <c r="AL589" s="349"/>
      <c r="AM589" s="349"/>
      <c r="AN589" s="349"/>
      <c r="AO589" s="349"/>
      <c r="AP589" s="349"/>
      <c r="AQ589" s="349"/>
      <c r="AR589" s="349"/>
      <c r="AS589" s="349"/>
      <c r="AT589" s="349"/>
      <c r="AU589" s="349"/>
      <c r="AV589" s="349"/>
      <c r="AW589" s="349"/>
      <c r="AX589" s="349"/>
    </row>
    <row r="590" ht="15.75" customHeight="1">
      <c r="A590" s="357" t="s">
        <v>261</v>
      </c>
      <c r="B590" s="358" t="s">
        <v>6237</v>
      </c>
      <c r="C590" s="190" t="s">
        <v>6241</v>
      </c>
      <c r="D590" s="190" t="s">
        <v>6242</v>
      </c>
      <c r="E590" s="190" t="s">
        <v>6243</v>
      </c>
      <c r="F590" s="190"/>
      <c r="G590" s="293"/>
      <c r="H590" s="293"/>
      <c r="I590" s="397"/>
      <c r="J590" s="397"/>
      <c r="K590" s="400" t="s">
        <v>8056</v>
      </c>
      <c r="L590" s="398"/>
      <c r="M590" s="397"/>
      <c r="N590" s="397"/>
      <c r="O590" s="397"/>
      <c r="P590" s="291" t="s">
        <v>307</v>
      </c>
      <c r="Q590" s="399" t="s">
        <v>307</v>
      </c>
      <c r="R590" s="397"/>
      <c r="S590" s="397"/>
      <c r="T590" s="397"/>
      <c r="U590" s="397"/>
      <c r="V590" s="397"/>
      <c r="W590" s="397"/>
      <c r="X590" s="397"/>
      <c r="Y590" s="397"/>
      <c r="Z590" s="397"/>
      <c r="AA590" s="397"/>
      <c r="AB590" s="397"/>
      <c r="AC590" s="397"/>
      <c r="AD590" s="349"/>
      <c r="AE590" s="349"/>
      <c r="AF590" s="349"/>
      <c r="AG590" s="349"/>
      <c r="AH590" s="349"/>
      <c r="AI590" s="349"/>
      <c r="AJ590" s="349"/>
      <c r="AK590" s="349"/>
      <c r="AL590" s="349"/>
      <c r="AM590" s="349"/>
      <c r="AN590" s="349"/>
      <c r="AO590" s="349"/>
      <c r="AP590" s="349"/>
      <c r="AQ590" s="349"/>
      <c r="AR590" s="349"/>
      <c r="AS590" s="349"/>
      <c r="AT590" s="349"/>
      <c r="AU590" s="349"/>
      <c r="AV590" s="349"/>
      <c r="AW590" s="349"/>
      <c r="AX590" s="349"/>
    </row>
    <row r="591" ht="15.75" customHeight="1">
      <c r="A591" s="258" t="s">
        <v>247</v>
      </c>
      <c r="B591" s="259" t="s">
        <v>6244</v>
      </c>
      <c r="C591" s="190" t="s">
        <v>6248</v>
      </c>
      <c r="D591" s="190" t="s">
        <v>6249</v>
      </c>
      <c r="E591" s="190" t="s">
        <v>6250</v>
      </c>
      <c r="F591" s="190"/>
      <c r="G591" s="407"/>
      <c r="H591" s="407"/>
      <c r="I591" s="408"/>
      <c r="J591" s="408"/>
      <c r="K591" s="409"/>
      <c r="L591" s="409"/>
      <c r="M591" s="408"/>
      <c r="N591" s="408"/>
      <c r="O591" s="410" t="s">
        <v>8058</v>
      </c>
      <c r="P591" s="291" t="s">
        <v>307</v>
      </c>
      <c r="Q591" s="303" t="s">
        <v>307</v>
      </c>
      <c r="R591" s="408"/>
      <c r="S591" s="408"/>
      <c r="T591" s="408"/>
      <c r="U591" s="408"/>
      <c r="V591" s="408"/>
      <c r="W591" s="408"/>
      <c r="X591" s="408"/>
      <c r="Y591" s="408"/>
      <c r="Z591" s="408"/>
      <c r="AA591" s="408"/>
      <c r="AB591" s="408"/>
      <c r="AC591" s="408"/>
      <c r="AD591" s="44"/>
      <c r="AE591" s="44"/>
      <c r="AF591" s="44"/>
      <c r="AG591" s="44"/>
      <c r="AH591" s="44"/>
      <c r="AI591" s="44"/>
      <c r="AJ591" s="44"/>
      <c r="AK591" s="44"/>
      <c r="AL591" s="44"/>
      <c r="AM591" s="44"/>
      <c r="AN591" s="44"/>
      <c r="AO591" s="44"/>
      <c r="AP591" s="44"/>
      <c r="AQ591" s="44"/>
      <c r="AR591" s="44"/>
      <c r="AS591" s="44"/>
      <c r="AT591" s="44"/>
      <c r="AU591" s="44"/>
      <c r="AV591" s="44"/>
      <c r="AW591" s="44"/>
      <c r="AX591" s="44"/>
    </row>
    <row r="592" ht="15.75" customHeight="1">
      <c r="A592" s="221" t="s">
        <v>112</v>
      </c>
      <c r="B592" s="198" t="s">
        <v>6251</v>
      </c>
      <c r="C592" s="190"/>
      <c r="D592" s="190"/>
      <c r="E592" s="190"/>
      <c r="F592" s="190"/>
      <c r="G592" s="348"/>
      <c r="H592" s="348"/>
      <c r="I592" s="348"/>
      <c r="J592" s="348"/>
      <c r="K592" s="348"/>
      <c r="L592" s="348"/>
      <c r="M592" s="348"/>
      <c r="N592" s="348"/>
      <c r="O592" s="348"/>
      <c r="P592" s="291" t="s">
        <v>307</v>
      </c>
      <c r="Q592" s="348"/>
      <c r="R592" s="348"/>
      <c r="S592" s="348"/>
      <c r="T592" s="335" t="s">
        <v>8059</v>
      </c>
      <c r="U592" s="348"/>
      <c r="V592" s="348"/>
      <c r="W592" s="348"/>
      <c r="X592" s="348"/>
      <c r="Y592" s="348"/>
      <c r="Z592" s="348"/>
      <c r="AA592" s="348"/>
      <c r="AB592" s="348"/>
      <c r="AC592" s="348"/>
      <c r="AD592" s="349"/>
      <c r="AE592" s="349"/>
      <c r="AF592" s="349"/>
      <c r="AG592" s="349"/>
      <c r="AH592" s="349"/>
      <c r="AI592" s="349"/>
      <c r="AJ592" s="349"/>
      <c r="AK592" s="349"/>
      <c r="AL592" s="349"/>
      <c r="AM592" s="349"/>
      <c r="AN592" s="349"/>
      <c r="AO592" s="349"/>
      <c r="AP592" s="349"/>
      <c r="AQ592" s="349"/>
      <c r="AR592" s="349"/>
      <c r="AS592" s="349"/>
      <c r="AT592" s="349"/>
      <c r="AU592" s="349"/>
      <c r="AV592" s="349"/>
      <c r="AW592" s="349"/>
      <c r="AX592" s="349"/>
    </row>
    <row r="593" ht="15.75" customHeight="1">
      <c r="A593" s="297" t="s">
        <v>46</v>
      </c>
      <c r="B593" s="298" t="s">
        <v>6255</v>
      </c>
      <c r="C593" s="190" t="s">
        <v>6259</v>
      </c>
      <c r="D593" s="190" t="s">
        <v>6261</v>
      </c>
      <c r="E593" s="190" t="s">
        <v>6263</v>
      </c>
      <c r="F593" s="190"/>
      <c r="G593" s="293"/>
      <c r="H593" s="293"/>
      <c r="I593" s="351"/>
      <c r="J593" s="351"/>
      <c r="K593" s="351"/>
      <c r="L593" s="351"/>
      <c r="M593" s="351"/>
      <c r="N593" s="351"/>
      <c r="O593" s="336" t="s">
        <v>8060</v>
      </c>
      <c r="P593" s="291" t="s">
        <v>307</v>
      </c>
      <c r="Q593" s="336" t="s">
        <v>307</v>
      </c>
      <c r="R593" s="351"/>
      <c r="S593" s="351"/>
      <c r="T593" s="351"/>
      <c r="U593" s="351"/>
      <c r="V593" s="351"/>
      <c r="W593" s="351"/>
      <c r="X593" s="351"/>
      <c r="Y593" s="351"/>
      <c r="Z593" s="351"/>
      <c r="AA593" s="351"/>
      <c r="AB593" s="351"/>
      <c r="AC593" s="351"/>
      <c r="AD593" s="349"/>
      <c r="AE593" s="349"/>
      <c r="AF593" s="349"/>
      <c r="AG593" s="349"/>
      <c r="AH593" s="349"/>
      <c r="AI593" s="349"/>
      <c r="AJ593" s="349"/>
      <c r="AK593" s="349"/>
      <c r="AL593" s="349"/>
      <c r="AM593" s="349"/>
      <c r="AN593" s="349"/>
      <c r="AO593" s="349"/>
      <c r="AP593" s="349"/>
      <c r="AQ593" s="349"/>
      <c r="AR593" s="349"/>
      <c r="AS593" s="349"/>
      <c r="AT593" s="349"/>
      <c r="AU593" s="349"/>
      <c r="AV593" s="349"/>
      <c r="AW593" s="349"/>
      <c r="AX593" s="349"/>
    </row>
    <row r="594" ht="15.75" customHeight="1">
      <c r="A594" s="299" t="s">
        <v>2456</v>
      </c>
      <c r="B594" s="300" t="s">
        <v>6264</v>
      </c>
      <c r="C594" s="190" t="s">
        <v>6268</v>
      </c>
      <c r="D594" s="190" t="s">
        <v>6269</v>
      </c>
      <c r="E594" s="190" t="s">
        <v>6271</v>
      </c>
      <c r="F594" s="190"/>
      <c r="G594" s="293"/>
      <c r="H594" s="293"/>
      <c r="I594" s="356"/>
      <c r="J594" s="355"/>
      <c r="K594" s="356"/>
      <c r="L594" s="356"/>
      <c r="M594" s="356"/>
      <c r="N594" s="356"/>
      <c r="O594" s="411" t="s">
        <v>8061</v>
      </c>
      <c r="P594" s="291" t="s">
        <v>307</v>
      </c>
      <c r="Q594" s="291" t="s">
        <v>307</v>
      </c>
      <c r="R594" s="356"/>
      <c r="S594" s="356"/>
      <c r="T594" s="356"/>
      <c r="U594" s="356"/>
      <c r="V594" s="356"/>
      <c r="W594" s="356"/>
      <c r="X594" s="356"/>
      <c r="Y594" s="356"/>
      <c r="Z594" s="356"/>
      <c r="AA594" s="356"/>
      <c r="AB594" s="356"/>
      <c r="AC594" s="356"/>
      <c r="AD594" s="349"/>
      <c r="AE594" s="349"/>
      <c r="AF594" s="349"/>
      <c r="AG594" s="349"/>
      <c r="AH594" s="349"/>
      <c r="AI594" s="349"/>
      <c r="AJ594" s="349"/>
      <c r="AK594" s="349"/>
      <c r="AL594" s="349"/>
      <c r="AM594" s="349"/>
      <c r="AN594" s="349"/>
      <c r="AO594" s="349"/>
      <c r="AP594" s="349"/>
      <c r="AQ594" s="349"/>
      <c r="AR594" s="349"/>
      <c r="AS594" s="349"/>
      <c r="AT594" s="349"/>
      <c r="AU594" s="349"/>
      <c r="AV594" s="349"/>
      <c r="AW594" s="349"/>
      <c r="AX594" s="349"/>
    </row>
    <row r="595" ht="15.75" customHeight="1">
      <c r="A595" s="299" t="s">
        <v>247</v>
      </c>
      <c r="B595" s="300" t="s">
        <v>6273</v>
      </c>
      <c r="C595" s="190" t="s">
        <v>6278</v>
      </c>
      <c r="D595" s="190" t="s">
        <v>6280</v>
      </c>
      <c r="E595" s="190" t="s">
        <v>6281</v>
      </c>
      <c r="F595" s="190"/>
      <c r="G595" s="293"/>
      <c r="H595" s="293"/>
      <c r="I595" s="356"/>
      <c r="J595" s="355"/>
      <c r="K595" s="356"/>
      <c r="L595" s="356"/>
      <c r="M595" s="356"/>
      <c r="N595" s="356"/>
      <c r="O595" s="411" t="s">
        <v>8062</v>
      </c>
      <c r="P595" s="291" t="s">
        <v>307</v>
      </c>
      <c r="Q595" s="291" t="s">
        <v>307</v>
      </c>
      <c r="R595" s="356"/>
      <c r="S595" s="356"/>
      <c r="T595" s="356"/>
      <c r="U595" s="356"/>
      <c r="V595" s="356"/>
      <c r="W595" s="356"/>
      <c r="X595" s="356"/>
      <c r="Y595" s="356"/>
      <c r="Z595" s="356"/>
      <c r="AA595" s="356"/>
      <c r="AB595" s="356"/>
      <c r="AC595" s="356"/>
      <c r="AD595" s="349"/>
      <c r="AE595" s="349"/>
      <c r="AF595" s="349"/>
      <c r="AG595" s="349"/>
      <c r="AH595" s="349"/>
      <c r="AI595" s="349"/>
      <c r="AJ595" s="349"/>
      <c r="AK595" s="349"/>
      <c r="AL595" s="349"/>
      <c r="AM595" s="349"/>
      <c r="AN595" s="349"/>
      <c r="AO595" s="349"/>
      <c r="AP595" s="349"/>
      <c r="AQ595" s="349"/>
      <c r="AR595" s="349"/>
      <c r="AS595" s="349"/>
      <c r="AT595" s="349"/>
      <c r="AU595" s="349"/>
      <c r="AV595" s="349"/>
      <c r="AW595" s="349"/>
      <c r="AX595" s="349"/>
    </row>
    <row r="596" ht="15.75" customHeight="1">
      <c r="A596" s="221" t="s">
        <v>112</v>
      </c>
      <c r="B596" s="198" t="s">
        <v>6282</v>
      </c>
      <c r="C596" s="190"/>
      <c r="D596" s="190"/>
      <c r="E596" s="190"/>
      <c r="F596" s="190"/>
      <c r="G596" s="348"/>
      <c r="H596" s="348"/>
      <c r="I596" s="348"/>
      <c r="J596" s="348"/>
      <c r="K596" s="348"/>
      <c r="L596" s="348"/>
      <c r="M596" s="348"/>
      <c r="N596" s="348"/>
      <c r="O596" s="348"/>
      <c r="P596" s="291" t="s">
        <v>307</v>
      </c>
      <c r="Q596" s="348"/>
      <c r="R596" s="348"/>
      <c r="S596" s="348"/>
      <c r="T596" s="335" t="s">
        <v>8063</v>
      </c>
      <c r="U596" s="348"/>
      <c r="V596" s="348"/>
      <c r="W596" s="348"/>
      <c r="X596" s="348"/>
      <c r="Y596" s="348"/>
      <c r="Z596" s="348"/>
      <c r="AA596" s="348"/>
      <c r="AB596" s="348"/>
      <c r="AC596" s="348"/>
      <c r="AD596" s="349"/>
      <c r="AE596" s="349"/>
      <c r="AF596" s="349"/>
      <c r="AG596" s="349"/>
      <c r="AH596" s="349"/>
      <c r="AI596" s="349"/>
      <c r="AJ596" s="349"/>
      <c r="AK596" s="349"/>
      <c r="AL596" s="349"/>
      <c r="AM596" s="349"/>
      <c r="AN596" s="349"/>
      <c r="AO596" s="349"/>
      <c r="AP596" s="349"/>
      <c r="AQ596" s="349"/>
      <c r="AR596" s="349"/>
      <c r="AS596" s="349"/>
      <c r="AT596" s="349"/>
      <c r="AU596" s="349"/>
      <c r="AV596" s="349"/>
      <c r="AW596" s="349"/>
      <c r="AX596" s="349"/>
    </row>
    <row r="597">
      <c r="A597" s="373" t="s">
        <v>450</v>
      </c>
      <c r="B597" s="224" t="s">
        <v>6181</v>
      </c>
      <c r="C597" s="190" t="s">
        <v>6288</v>
      </c>
      <c r="D597" s="190" t="s">
        <v>6289</v>
      </c>
      <c r="E597" s="190" t="s">
        <v>6290</v>
      </c>
      <c r="F597" s="190"/>
      <c r="G597" s="412"/>
      <c r="H597" s="412"/>
      <c r="I597" s="412"/>
      <c r="J597" s="412"/>
      <c r="K597" s="412"/>
      <c r="L597" s="412"/>
      <c r="M597" s="412"/>
      <c r="N597" s="412"/>
      <c r="O597" s="412"/>
      <c r="P597" s="291" t="s">
        <v>307</v>
      </c>
      <c r="Q597" s="412"/>
      <c r="R597" s="412"/>
      <c r="S597" s="412"/>
      <c r="T597" s="412"/>
      <c r="U597" s="412"/>
      <c r="V597" s="412"/>
      <c r="W597" s="412"/>
      <c r="X597" s="412"/>
      <c r="Y597" s="412"/>
      <c r="Z597" s="412"/>
      <c r="AA597" s="412"/>
      <c r="AB597" s="412"/>
      <c r="AC597" s="412"/>
      <c r="AD597" s="413"/>
      <c r="AE597" s="413"/>
      <c r="AF597" s="413"/>
      <c r="AG597" s="413"/>
      <c r="AH597" s="413"/>
      <c r="AI597" s="413"/>
      <c r="AJ597" s="413"/>
      <c r="AK597" s="413"/>
      <c r="AL597" s="413"/>
      <c r="AM597" s="413"/>
      <c r="AN597" s="413"/>
      <c r="AO597" s="413"/>
      <c r="AP597" s="413"/>
      <c r="AQ597" s="413"/>
      <c r="AR597" s="413"/>
      <c r="AS597" s="413"/>
      <c r="AT597" s="413"/>
      <c r="AU597" s="413"/>
      <c r="AV597" s="413"/>
      <c r="AW597" s="413"/>
      <c r="AX597" s="413"/>
    </row>
    <row r="598" ht="15.75" customHeight="1">
      <c r="A598" s="320"/>
      <c r="B598" s="321"/>
      <c r="C598" s="190"/>
      <c r="D598" s="190"/>
      <c r="E598" s="190"/>
      <c r="F598" s="190"/>
      <c r="G598" s="349"/>
      <c r="H598" s="349"/>
      <c r="I598" s="349"/>
      <c r="J598" s="349"/>
      <c r="K598" s="349"/>
      <c r="L598" s="349"/>
      <c r="M598" s="349"/>
      <c r="N598" s="349"/>
      <c r="O598" s="349"/>
      <c r="P598" s="291"/>
      <c r="Q598" s="349"/>
      <c r="R598" s="349"/>
      <c r="S598" s="349"/>
      <c r="T598" s="349"/>
      <c r="U598" s="349"/>
      <c r="V598" s="349"/>
      <c r="W598" s="349"/>
      <c r="X598" s="349"/>
      <c r="Y598" s="349"/>
      <c r="Z598" s="349"/>
      <c r="AA598" s="349"/>
      <c r="AB598" s="349"/>
      <c r="AC598" s="349"/>
      <c r="AD598" s="349"/>
      <c r="AE598" s="349"/>
      <c r="AF598" s="349"/>
      <c r="AG598" s="349"/>
      <c r="AH598" s="349"/>
      <c r="AI598" s="349"/>
      <c r="AJ598" s="349"/>
      <c r="AK598" s="349"/>
      <c r="AL598" s="349"/>
      <c r="AM598" s="349"/>
      <c r="AN598" s="349"/>
      <c r="AO598" s="349"/>
      <c r="AP598" s="349"/>
      <c r="AQ598" s="349"/>
      <c r="AR598" s="349"/>
      <c r="AS598" s="349"/>
      <c r="AT598" s="349"/>
      <c r="AU598" s="349"/>
      <c r="AV598" s="349"/>
      <c r="AW598" s="349"/>
      <c r="AX598" s="349"/>
    </row>
    <row r="599" ht="15.75" customHeight="1">
      <c r="A599" s="310" t="s">
        <v>278</v>
      </c>
      <c r="B599" s="311" t="s">
        <v>6298</v>
      </c>
      <c r="C599" s="190" t="s">
        <v>6299</v>
      </c>
      <c r="D599" s="190" t="s">
        <v>6300</v>
      </c>
      <c r="E599" s="190" t="s">
        <v>6301</v>
      </c>
      <c r="F599" s="190"/>
      <c r="G599" s="354"/>
      <c r="H599" s="354"/>
      <c r="I599" s="354"/>
      <c r="J599" s="337" t="s">
        <v>987</v>
      </c>
      <c r="K599" s="354"/>
      <c r="L599" s="354"/>
      <c r="M599" s="365"/>
      <c r="N599" s="365"/>
      <c r="O599" s="365"/>
      <c r="P599" s="291" t="s">
        <v>307</v>
      </c>
      <c r="Q599" s="354"/>
      <c r="R599" s="354"/>
      <c r="S599" s="354"/>
      <c r="T599" s="354"/>
      <c r="U599" s="354"/>
      <c r="V599" s="354"/>
      <c r="W599" s="354"/>
      <c r="X599" s="354"/>
      <c r="Y599" s="354"/>
      <c r="Z599" s="354"/>
      <c r="AA599" s="354"/>
      <c r="AB599" s="354"/>
      <c r="AC599" s="354"/>
      <c r="AD599" s="349"/>
      <c r="AE599" s="349"/>
      <c r="AF599" s="349"/>
      <c r="AG599" s="349"/>
      <c r="AH599" s="349"/>
      <c r="AI599" s="349"/>
      <c r="AJ599" s="349"/>
      <c r="AK599" s="349"/>
      <c r="AL599" s="349"/>
      <c r="AM599" s="349"/>
      <c r="AN599" s="349"/>
      <c r="AO599" s="349"/>
      <c r="AP599" s="349"/>
      <c r="AQ599" s="349"/>
      <c r="AR599" s="349"/>
      <c r="AS599" s="349"/>
      <c r="AT599" s="349"/>
      <c r="AU599" s="349"/>
      <c r="AV599" s="349"/>
      <c r="AW599" s="349"/>
      <c r="AX599" s="349"/>
    </row>
    <row r="600" ht="15.75" customHeight="1">
      <c r="A600" s="297" t="s">
        <v>46</v>
      </c>
      <c r="B600" s="298" t="s">
        <v>6302</v>
      </c>
      <c r="C600" s="190" t="s">
        <v>6307</v>
      </c>
      <c r="D600" s="190" t="s">
        <v>6308</v>
      </c>
      <c r="E600" s="190" t="s">
        <v>6309</v>
      </c>
      <c r="F600" s="190"/>
      <c r="G600" s="293"/>
      <c r="H600" s="293"/>
      <c r="I600" s="351"/>
      <c r="J600" s="336" t="s">
        <v>5</v>
      </c>
      <c r="K600" s="351"/>
      <c r="L600" s="351"/>
      <c r="M600" s="351"/>
      <c r="N600" s="351"/>
      <c r="O600" s="351"/>
      <c r="P600" s="291" t="s">
        <v>307</v>
      </c>
      <c r="Q600" s="351"/>
      <c r="R600" s="351"/>
      <c r="S600" s="351"/>
      <c r="T600" s="351"/>
      <c r="U600" s="351"/>
      <c r="V600" s="351"/>
      <c r="W600" s="351"/>
      <c r="X600" s="351"/>
      <c r="Y600" s="351"/>
      <c r="Z600" s="351"/>
      <c r="AA600" s="351"/>
      <c r="AB600" s="351"/>
      <c r="AC600" s="351"/>
      <c r="AD600" s="349"/>
      <c r="AE600" s="349"/>
      <c r="AF600" s="349"/>
      <c r="AG600" s="349"/>
      <c r="AH600" s="349"/>
      <c r="AI600" s="349"/>
      <c r="AJ600" s="349"/>
      <c r="AK600" s="349"/>
      <c r="AL600" s="349"/>
      <c r="AM600" s="349"/>
      <c r="AN600" s="349"/>
      <c r="AO600" s="349"/>
      <c r="AP600" s="349"/>
      <c r="AQ600" s="349"/>
      <c r="AR600" s="349"/>
      <c r="AS600" s="349"/>
      <c r="AT600" s="349"/>
      <c r="AU600" s="349"/>
      <c r="AV600" s="349"/>
      <c r="AW600" s="349"/>
      <c r="AX600" s="349"/>
    </row>
    <row r="601" ht="15.75" customHeight="1">
      <c r="A601" s="306" t="s">
        <v>247</v>
      </c>
      <c r="B601" s="307" t="s">
        <v>6310</v>
      </c>
      <c r="C601" s="190" t="s">
        <v>6314</v>
      </c>
      <c r="D601" s="190" t="s">
        <v>6315</v>
      </c>
      <c r="E601" s="190" t="s">
        <v>6316</v>
      </c>
      <c r="F601" s="190"/>
      <c r="G601" s="293"/>
      <c r="H601" s="293"/>
      <c r="I601" s="359"/>
      <c r="J601" s="361" t="s">
        <v>3474</v>
      </c>
      <c r="K601" s="369"/>
      <c r="L601" s="369"/>
      <c r="M601" s="359"/>
      <c r="N601" s="359"/>
      <c r="O601" s="359"/>
      <c r="P601" s="291" t="s">
        <v>307</v>
      </c>
      <c r="Q601" s="361" t="s">
        <v>307</v>
      </c>
      <c r="R601" s="359"/>
      <c r="S601" s="359"/>
      <c r="T601" s="359"/>
      <c r="U601" s="359"/>
      <c r="V601" s="359"/>
      <c r="W601" s="359"/>
      <c r="X601" s="359"/>
      <c r="Y601" s="359"/>
      <c r="Z601" s="359"/>
      <c r="AA601" s="359"/>
      <c r="AB601" s="359"/>
      <c r="AC601" s="359"/>
      <c r="AD601" s="349"/>
      <c r="AE601" s="349"/>
      <c r="AF601" s="349"/>
      <c r="AG601" s="349"/>
      <c r="AH601" s="349"/>
      <c r="AI601" s="349"/>
      <c r="AJ601" s="349"/>
      <c r="AK601" s="349"/>
      <c r="AL601" s="349"/>
      <c r="AM601" s="349"/>
      <c r="AN601" s="349"/>
      <c r="AO601" s="349"/>
      <c r="AP601" s="349"/>
      <c r="AQ601" s="349"/>
      <c r="AR601" s="349"/>
      <c r="AS601" s="349"/>
      <c r="AT601" s="349"/>
      <c r="AU601" s="349"/>
      <c r="AV601" s="349"/>
      <c r="AW601" s="349"/>
      <c r="AX601" s="349"/>
    </row>
    <row r="602" ht="15.75" customHeight="1">
      <c r="A602" s="306" t="s">
        <v>247</v>
      </c>
      <c r="B602" s="307" t="s">
        <v>6317</v>
      </c>
      <c r="C602" s="190" t="s">
        <v>6321</v>
      </c>
      <c r="D602" s="190" t="s">
        <v>6322</v>
      </c>
      <c r="E602" s="190" t="s">
        <v>6323</v>
      </c>
      <c r="F602" s="190"/>
      <c r="G602" s="293"/>
      <c r="H602" s="293"/>
      <c r="I602" s="359"/>
      <c r="J602" s="361" t="s">
        <v>3474</v>
      </c>
      <c r="K602" s="369"/>
      <c r="L602" s="369"/>
      <c r="M602" s="359"/>
      <c r="N602" s="359"/>
      <c r="O602" s="359"/>
      <c r="P602" s="291" t="s">
        <v>307</v>
      </c>
      <c r="Q602" s="361" t="s">
        <v>307</v>
      </c>
      <c r="R602" s="359"/>
      <c r="S602" s="359"/>
      <c r="T602" s="359"/>
      <c r="U602" s="359"/>
      <c r="V602" s="359"/>
      <c r="W602" s="359"/>
      <c r="X602" s="359"/>
      <c r="Y602" s="359"/>
      <c r="Z602" s="359"/>
      <c r="AA602" s="359"/>
      <c r="AB602" s="359"/>
      <c r="AC602" s="359"/>
      <c r="AD602" s="349"/>
      <c r="AE602" s="349"/>
      <c r="AF602" s="349"/>
      <c r="AG602" s="349"/>
      <c r="AH602" s="349"/>
      <c r="AI602" s="349"/>
      <c r="AJ602" s="349"/>
      <c r="AK602" s="349"/>
      <c r="AL602" s="349"/>
      <c r="AM602" s="349"/>
      <c r="AN602" s="349"/>
      <c r="AO602" s="349"/>
      <c r="AP602" s="349"/>
      <c r="AQ602" s="349"/>
      <c r="AR602" s="349"/>
      <c r="AS602" s="349"/>
      <c r="AT602" s="349"/>
      <c r="AU602" s="349"/>
      <c r="AV602" s="349"/>
      <c r="AW602" s="349"/>
      <c r="AX602" s="349"/>
    </row>
    <row r="603" ht="15.75" customHeight="1">
      <c r="A603" s="306" t="s">
        <v>247</v>
      </c>
      <c r="B603" s="307" t="s">
        <v>6324</v>
      </c>
      <c r="C603" s="190" t="s">
        <v>6328</v>
      </c>
      <c r="D603" s="190" t="s">
        <v>6329</v>
      </c>
      <c r="E603" s="190" t="s">
        <v>6330</v>
      </c>
      <c r="F603" s="190"/>
      <c r="G603" s="293"/>
      <c r="H603" s="293"/>
      <c r="I603" s="359"/>
      <c r="J603" s="361" t="s">
        <v>3474</v>
      </c>
      <c r="K603" s="369"/>
      <c r="L603" s="369"/>
      <c r="M603" s="359"/>
      <c r="N603" s="359"/>
      <c r="O603" s="359"/>
      <c r="P603" s="291" t="s">
        <v>307</v>
      </c>
      <c r="Q603" s="361" t="s">
        <v>307</v>
      </c>
      <c r="R603" s="359"/>
      <c r="S603" s="359"/>
      <c r="T603" s="391"/>
      <c r="U603" s="359"/>
      <c r="V603" s="359"/>
      <c r="W603" s="359"/>
      <c r="X603" s="359"/>
      <c r="Y603" s="359"/>
      <c r="Z603" s="359"/>
      <c r="AA603" s="359"/>
      <c r="AB603" s="359"/>
      <c r="AC603" s="359"/>
      <c r="AD603" s="349"/>
      <c r="AE603" s="349"/>
      <c r="AF603" s="349"/>
      <c r="AG603" s="349"/>
      <c r="AH603" s="349"/>
      <c r="AI603" s="349"/>
      <c r="AJ603" s="349"/>
      <c r="AK603" s="349"/>
      <c r="AL603" s="349"/>
      <c r="AM603" s="349"/>
      <c r="AN603" s="349"/>
      <c r="AO603" s="349"/>
      <c r="AP603" s="349"/>
      <c r="AQ603" s="349"/>
      <c r="AR603" s="349"/>
      <c r="AS603" s="349"/>
      <c r="AT603" s="349"/>
      <c r="AU603" s="349"/>
      <c r="AV603" s="349"/>
      <c r="AW603" s="349"/>
      <c r="AX603" s="349"/>
    </row>
    <row r="604" ht="15.75" customHeight="1">
      <c r="A604" s="306" t="s">
        <v>247</v>
      </c>
      <c r="B604" s="307" t="s">
        <v>6331</v>
      </c>
      <c r="C604" s="190" t="s">
        <v>6335</v>
      </c>
      <c r="D604" s="190" t="s">
        <v>6336</v>
      </c>
      <c r="E604" s="190" t="s">
        <v>6337</v>
      </c>
      <c r="F604" s="190"/>
      <c r="G604" s="293"/>
      <c r="H604" s="293"/>
      <c r="I604" s="359"/>
      <c r="J604" s="361" t="s">
        <v>3474</v>
      </c>
      <c r="K604" s="369"/>
      <c r="L604" s="369"/>
      <c r="M604" s="359"/>
      <c r="N604" s="359"/>
      <c r="O604" s="359"/>
      <c r="P604" s="291" t="s">
        <v>307</v>
      </c>
      <c r="Q604" s="361" t="s">
        <v>307</v>
      </c>
      <c r="R604" s="359"/>
      <c r="S604" s="359"/>
      <c r="T604" s="391"/>
      <c r="U604" s="359"/>
      <c r="V604" s="359"/>
      <c r="W604" s="359"/>
      <c r="X604" s="359"/>
      <c r="Y604" s="359"/>
      <c r="Z604" s="359"/>
      <c r="AA604" s="359"/>
      <c r="AB604" s="359"/>
      <c r="AC604" s="359"/>
      <c r="AD604" s="349"/>
      <c r="AE604" s="349"/>
      <c r="AF604" s="349"/>
      <c r="AG604" s="349"/>
      <c r="AH604" s="349"/>
      <c r="AI604" s="349"/>
      <c r="AJ604" s="349"/>
      <c r="AK604" s="349"/>
      <c r="AL604" s="349"/>
      <c r="AM604" s="349"/>
      <c r="AN604" s="349"/>
      <c r="AO604" s="349"/>
      <c r="AP604" s="349"/>
      <c r="AQ604" s="349"/>
      <c r="AR604" s="349"/>
      <c r="AS604" s="349"/>
      <c r="AT604" s="349"/>
      <c r="AU604" s="349"/>
      <c r="AV604" s="349"/>
      <c r="AW604" s="349"/>
      <c r="AX604" s="349"/>
    </row>
    <row r="605" ht="15.75" customHeight="1">
      <c r="A605" s="310" t="s">
        <v>331</v>
      </c>
      <c r="B605" s="315" t="s">
        <v>6298</v>
      </c>
      <c r="C605" s="190" t="s">
        <v>6299</v>
      </c>
      <c r="D605" s="190" t="s">
        <v>6338</v>
      </c>
      <c r="E605" s="190" t="s">
        <v>6339</v>
      </c>
      <c r="F605" s="190"/>
      <c r="G605" s="354"/>
      <c r="H605" s="354"/>
      <c r="I605" s="354"/>
      <c r="J605" s="354"/>
      <c r="K605" s="354"/>
      <c r="L605" s="354"/>
      <c r="M605" s="354"/>
      <c r="N605" s="354"/>
      <c r="O605" s="354"/>
      <c r="P605" s="291" t="s">
        <v>307</v>
      </c>
      <c r="Q605" s="354"/>
      <c r="R605" s="354"/>
      <c r="S605" s="354"/>
      <c r="T605" s="313"/>
      <c r="U605" s="354"/>
      <c r="V605" s="354"/>
      <c r="W605" s="354"/>
      <c r="X605" s="354"/>
      <c r="Y605" s="354"/>
      <c r="Z605" s="354"/>
      <c r="AA605" s="354"/>
      <c r="AB605" s="354"/>
      <c r="AC605" s="354"/>
      <c r="AD605" s="349"/>
      <c r="AE605" s="349"/>
      <c r="AF605" s="349"/>
      <c r="AG605" s="349"/>
      <c r="AH605" s="349"/>
      <c r="AI605" s="349"/>
      <c r="AJ605" s="349"/>
      <c r="AK605" s="349"/>
      <c r="AL605" s="349"/>
      <c r="AM605" s="349"/>
      <c r="AN605" s="349"/>
      <c r="AO605" s="349"/>
      <c r="AP605" s="349"/>
      <c r="AQ605" s="349"/>
      <c r="AR605" s="349"/>
      <c r="AS605" s="349"/>
      <c r="AT605" s="349"/>
      <c r="AU605" s="349"/>
      <c r="AV605" s="349"/>
      <c r="AW605" s="349"/>
      <c r="AX605" s="349"/>
    </row>
    <row r="606" ht="15.75" customHeight="1">
      <c r="A606" s="221" t="s">
        <v>256</v>
      </c>
      <c r="B606" s="198" t="s">
        <v>6346</v>
      </c>
      <c r="C606" s="190"/>
      <c r="D606" s="190"/>
      <c r="E606" s="190"/>
      <c r="F606" s="190"/>
      <c r="G606" s="348"/>
      <c r="H606" s="348"/>
      <c r="I606" s="348"/>
      <c r="J606" s="348"/>
      <c r="K606" s="348"/>
      <c r="L606" s="348"/>
      <c r="M606" s="348"/>
      <c r="N606" s="348"/>
      <c r="O606" s="381"/>
      <c r="P606" s="291" t="s">
        <v>307</v>
      </c>
      <c r="Q606" s="348"/>
      <c r="R606" s="348"/>
      <c r="S606" s="348"/>
      <c r="T606" s="335" t="s">
        <v>260</v>
      </c>
      <c r="U606" s="348"/>
      <c r="V606" s="348"/>
      <c r="W606" s="348"/>
      <c r="X606" s="348"/>
      <c r="Y606" s="348"/>
      <c r="Z606" s="348"/>
      <c r="AA606" s="348"/>
      <c r="AB606" s="348"/>
      <c r="AC606" s="348"/>
      <c r="AD606" s="349"/>
      <c r="AE606" s="349"/>
      <c r="AF606" s="349"/>
      <c r="AG606" s="349"/>
      <c r="AH606" s="349"/>
      <c r="AI606" s="349"/>
      <c r="AJ606" s="349"/>
      <c r="AK606" s="349"/>
      <c r="AL606" s="349"/>
      <c r="AM606" s="349"/>
      <c r="AN606" s="349"/>
      <c r="AO606" s="349"/>
      <c r="AP606" s="349"/>
      <c r="AQ606" s="349"/>
      <c r="AR606" s="349"/>
      <c r="AS606" s="349"/>
      <c r="AT606" s="349"/>
      <c r="AU606" s="349"/>
      <c r="AV606" s="349"/>
      <c r="AW606" s="349"/>
      <c r="AX606" s="349"/>
    </row>
    <row r="607" ht="15.75" customHeight="1">
      <c r="A607" s="221" t="s">
        <v>112</v>
      </c>
      <c r="B607" s="198" t="s">
        <v>6347</v>
      </c>
      <c r="C607" s="190"/>
      <c r="D607" s="190"/>
      <c r="E607" s="190"/>
      <c r="F607" s="190"/>
      <c r="G607" s="348"/>
      <c r="H607" s="348"/>
      <c r="I607" s="348"/>
      <c r="J607" s="348"/>
      <c r="K607" s="348"/>
      <c r="L607" s="348"/>
      <c r="M607" s="348"/>
      <c r="N607" s="348"/>
      <c r="O607" s="381"/>
      <c r="P607" s="291" t="s">
        <v>307</v>
      </c>
      <c r="Q607" s="348"/>
      <c r="R607" s="348"/>
      <c r="S607" s="348"/>
      <c r="T607" s="335" t="s">
        <v>8064</v>
      </c>
      <c r="U607" s="348"/>
      <c r="V607" s="348"/>
      <c r="W607" s="348"/>
      <c r="X607" s="348"/>
      <c r="Y607" s="348"/>
      <c r="Z607" s="348"/>
      <c r="AA607" s="348"/>
      <c r="AB607" s="348"/>
      <c r="AC607" s="348"/>
      <c r="AD607" s="349"/>
      <c r="AE607" s="349"/>
      <c r="AF607" s="349"/>
      <c r="AG607" s="349"/>
      <c r="AH607" s="349"/>
      <c r="AI607" s="349"/>
      <c r="AJ607" s="349"/>
      <c r="AK607" s="349"/>
      <c r="AL607" s="349"/>
      <c r="AM607" s="349"/>
      <c r="AN607" s="349"/>
      <c r="AO607" s="349"/>
      <c r="AP607" s="349"/>
      <c r="AQ607" s="349"/>
      <c r="AR607" s="349"/>
      <c r="AS607" s="349"/>
      <c r="AT607" s="349"/>
      <c r="AU607" s="349"/>
      <c r="AV607" s="349"/>
      <c r="AW607" s="349"/>
      <c r="AX607" s="349"/>
    </row>
    <row r="608" ht="15.75" customHeight="1">
      <c r="A608" s="320"/>
      <c r="B608" s="321"/>
      <c r="C608" s="190"/>
      <c r="D608" s="190"/>
      <c r="E608" s="190"/>
      <c r="F608" s="190"/>
      <c r="G608" s="349"/>
      <c r="H608" s="349"/>
      <c r="I608" s="349"/>
      <c r="J608" s="349"/>
      <c r="K608" s="349"/>
      <c r="L608" s="349"/>
      <c r="M608" s="349"/>
      <c r="N608" s="349"/>
      <c r="O608" s="321"/>
      <c r="P608" s="291"/>
      <c r="Q608" s="349"/>
      <c r="R608" s="349"/>
      <c r="S608" s="349"/>
      <c r="T608" s="349"/>
      <c r="U608" s="349"/>
      <c r="V608" s="349"/>
      <c r="W608" s="349"/>
      <c r="X608" s="349"/>
      <c r="Y608" s="349"/>
      <c r="Z608" s="349"/>
      <c r="AA608" s="349"/>
      <c r="AB608" s="349"/>
      <c r="AC608" s="349"/>
      <c r="AD608" s="349"/>
      <c r="AE608" s="349"/>
      <c r="AF608" s="349"/>
      <c r="AG608" s="349"/>
      <c r="AH608" s="349"/>
      <c r="AI608" s="349"/>
      <c r="AJ608" s="349"/>
      <c r="AK608" s="349"/>
      <c r="AL608" s="349"/>
      <c r="AM608" s="349"/>
      <c r="AN608" s="349"/>
      <c r="AO608" s="349"/>
      <c r="AP608" s="349"/>
      <c r="AQ608" s="349"/>
      <c r="AR608" s="349"/>
      <c r="AS608" s="349"/>
      <c r="AT608" s="349"/>
      <c r="AU608" s="349"/>
      <c r="AV608" s="349"/>
      <c r="AW608" s="349"/>
      <c r="AX608" s="349"/>
    </row>
    <row r="609" ht="15.75" customHeight="1">
      <c r="A609" s="221" t="s">
        <v>256</v>
      </c>
      <c r="B609" s="198" t="s">
        <v>6354</v>
      </c>
      <c r="C609" s="190"/>
      <c r="D609" s="190"/>
      <c r="E609" s="190"/>
      <c r="F609" s="190"/>
      <c r="G609" s="348"/>
      <c r="H609" s="348"/>
      <c r="I609" s="348"/>
      <c r="J609" s="348"/>
      <c r="K609" s="348"/>
      <c r="L609" s="348"/>
      <c r="M609" s="348"/>
      <c r="N609" s="348"/>
      <c r="O609" s="381"/>
      <c r="P609" s="291" t="s">
        <v>307</v>
      </c>
      <c r="Q609" s="348"/>
      <c r="R609" s="348"/>
      <c r="S609" s="348"/>
      <c r="T609" s="335" t="s">
        <v>260</v>
      </c>
      <c r="U609" s="348"/>
      <c r="V609" s="348"/>
      <c r="W609" s="348"/>
      <c r="X609" s="348"/>
      <c r="Y609" s="348"/>
      <c r="Z609" s="348"/>
      <c r="AA609" s="348"/>
      <c r="AB609" s="348"/>
      <c r="AC609" s="348"/>
      <c r="AD609" s="349"/>
      <c r="AE609" s="349"/>
      <c r="AF609" s="349"/>
      <c r="AG609" s="349"/>
      <c r="AH609" s="349"/>
      <c r="AI609" s="349"/>
      <c r="AJ609" s="349"/>
      <c r="AK609" s="349"/>
      <c r="AL609" s="349"/>
      <c r="AM609" s="349"/>
      <c r="AN609" s="349"/>
      <c r="AO609" s="349"/>
      <c r="AP609" s="349"/>
      <c r="AQ609" s="349"/>
      <c r="AR609" s="349"/>
      <c r="AS609" s="349"/>
      <c r="AT609" s="349"/>
      <c r="AU609" s="349"/>
      <c r="AV609" s="349"/>
      <c r="AW609" s="349"/>
      <c r="AX609" s="349"/>
    </row>
    <row r="610" ht="15.75" customHeight="1">
      <c r="A610" s="297" t="s">
        <v>46</v>
      </c>
      <c r="B610" s="298" t="s">
        <v>6361</v>
      </c>
      <c r="C610" s="190" t="s">
        <v>6366</v>
      </c>
      <c r="D610" s="190" t="s">
        <v>6367</v>
      </c>
      <c r="E610" s="190" t="s">
        <v>6368</v>
      </c>
      <c r="F610" s="190"/>
      <c r="G610" s="293"/>
      <c r="H610" s="293"/>
      <c r="I610" s="351"/>
      <c r="J610" s="351"/>
      <c r="K610" s="351"/>
      <c r="L610" s="351"/>
      <c r="M610" s="351"/>
      <c r="N610" s="351"/>
      <c r="O610" s="351"/>
      <c r="P610" s="291" t="s">
        <v>307</v>
      </c>
      <c r="Q610" s="351"/>
      <c r="R610" s="351"/>
      <c r="S610" s="351"/>
      <c r="T610" s="351"/>
      <c r="U610" s="351"/>
      <c r="V610" s="351"/>
      <c r="W610" s="351"/>
      <c r="X610" s="351"/>
      <c r="Y610" s="351"/>
      <c r="Z610" s="351"/>
      <c r="AA610" s="351"/>
      <c r="AB610" s="351"/>
      <c r="AC610" s="351"/>
      <c r="AD610" s="349"/>
      <c r="AE610" s="349"/>
      <c r="AF610" s="349"/>
      <c r="AG610" s="349"/>
      <c r="AH610" s="349"/>
      <c r="AI610" s="349"/>
      <c r="AJ610" s="349"/>
      <c r="AK610" s="349"/>
      <c r="AL610" s="349"/>
      <c r="AM610" s="349"/>
      <c r="AN610" s="349"/>
      <c r="AO610" s="349"/>
      <c r="AP610" s="349"/>
      <c r="AQ610" s="349"/>
      <c r="AR610" s="349"/>
      <c r="AS610" s="349"/>
      <c r="AT610" s="349"/>
      <c r="AU610" s="349"/>
      <c r="AV610" s="349"/>
      <c r="AW610" s="349"/>
      <c r="AX610" s="349"/>
    </row>
    <row r="611" ht="15.75" customHeight="1">
      <c r="A611" s="306" t="s">
        <v>247</v>
      </c>
      <c r="B611" s="307" t="s">
        <v>6370</v>
      </c>
      <c r="C611" s="190" t="s">
        <v>6376</v>
      </c>
      <c r="D611" s="190" t="s">
        <v>6377</v>
      </c>
      <c r="E611" s="190" t="s">
        <v>6378</v>
      </c>
      <c r="F611" s="190"/>
      <c r="G611" s="293"/>
      <c r="H611" s="293"/>
      <c r="I611" s="359"/>
      <c r="J611" s="359"/>
      <c r="K611" s="360" t="s">
        <v>8065</v>
      </c>
      <c r="L611" s="369"/>
      <c r="M611" s="359"/>
      <c r="N611" s="359"/>
      <c r="O611" s="359"/>
      <c r="P611" s="291" t="s">
        <v>307</v>
      </c>
      <c r="Q611" s="361" t="s">
        <v>307</v>
      </c>
      <c r="R611" s="359"/>
      <c r="S611" s="359"/>
      <c r="T611" s="359"/>
      <c r="U611" s="359"/>
      <c r="V611" s="359"/>
      <c r="W611" s="359"/>
      <c r="X611" s="359"/>
      <c r="Y611" s="359"/>
      <c r="Z611" s="359"/>
      <c r="AA611" s="359"/>
      <c r="AB611" s="359"/>
      <c r="AC611" s="359"/>
      <c r="AD611" s="349"/>
      <c r="AE611" s="349"/>
      <c r="AF611" s="349"/>
      <c r="AG611" s="349"/>
      <c r="AH611" s="349"/>
      <c r="AI611" s="349"/>
      <c r="AJ611" s="349"/>
      <c r="AK611" s="349"/>
      <c r="AL611" s="349"/>
      <c r="AM611" s="349"/>
      <c r="AN611" s="349"/>
      <c r="AO611" s="349"/>
      <c r="AP611" s="349"/>
      <c r="AQ611" s="349"/>
      <c r="AR611" s="349"/>
      <c r="AS611" s="349"/>
      <c r="AT611" s="349"/>
      <c r="AU611" s="349"/>
      <c r="AV611" s="349"/>
      <c r="AW611" s="349"/>
      <c r="AX611" s="349"/>
    </row>
    <row r="612" ht="15.75" customHeight="1">
      <c r="A612" s="306" t="s">
        <v>247</v>
      </c>
      <c r="B612" s="307" t="s">
        <v>6379</v>
      </c>
      <c r="C612" s="190" t="s">
        <v>6383</v>
      </c>
      <c r="D612" s="190" t="s">
        <v>6384</v>
      </c>
      <c r="E612" s="190" t="s">
        <v>6385</v>
      </c>
      <c r="F612" s="190"/>
      <c r="G612" s="293"/>
      <c r="H612" s="293"/>
      <c r="I612" s="359"/>
      <c r="J612" s="359"/>
      <c r="K612" s="360" t="s">
        <v>8066</v>
      </c>
      <c r="L612" s="369"/>
      <c r="M612" s="359"/>
      <c r="N612" s="359"/>
      <c r="O612" s="359"/>
      <c r="P612" s="291" t="s">
        <v>307</v>
      </c>
      <c r="Q612" s="361" t="s">
        <v>307</v>
      </c>
      <c r="R612" s="359"/>
      <c r="S612" s="359"/>
      <c r="T612" s="359"/>
      <c r="U612" s="359"/>
      <c r="V612" s="359"/>
      <c r="W612" s="359"/>
      <c r="X612" s="359"/>
      <c r="Y612" s="359"/>
      <c r="Z612" s="359"/>
      <c r="AA612" s="359"/>
      <c r="AB612" s="359"/>
      <c r="AC612" s="359"/>
      <c r="AD612" s="349"/>
      <c r="AE612" s="349"/>
      <c r="AF612" s="349"/>
      <c r="AG612" s="349"/>
      <c r="AH612" s="349"/>
      <c r="AI612" s="349"/>
      <c r="AJ612" s="349"/>
      <c r="AK612" s="349"/>
      <c r="AL612" s="349"/>
      <c r="AM612" s="349"/>
      <c r="AN612" s="349"/>
      <c r="AO612" s="349"/>
      <c r="AP612" s="349"/>
      <c r="AQ612" s="349"/>
      <c r="AR612" s="349"/>
      <c r="AS612" s="349"/>
      <c r="AT612" s="349"/>
      <c r="AU612" s="349"/>
      <c r="AV612" s="349"/>
      <c r="AW612" s="349"/>
      <c r="AX612" s="349"/>
    </row>
    <row r="613" ht="15.75" customHeight="1">
      <c r="A613" s="306" t="s">
        <v>112</v>
      </c>
      <c r="B613" s="380" t="s">
        <v>6386</v>
      </c>
      <c r="C613" s="190"/>
      <c r="D613" s="190"/>
      <c r="E613" s="190"/>
      <c r="F613" s="190"/>
      <c r="G613" s="349"/>
      <c r="H613" s="349"/>
      <c r="I613" s="349"/>
      <c r="J613" s="349"/>
      <c r="K613" s="349"/>
      <c r="L613" s="349"/>
      <c r="M613" s="349"/>
      <c r="N613" s="349"/>
      <c r="O613" s="349"/>
      <c r="P613" s="291" t="s">
        <v>307</v>
      </c>
      <c r="Q613" s="349"/>
      <c r="R613" s="349"/>
      <c r="S613" s="349"/>
      <c r="T613" s="380" t="s">
        <v>8067</v>
      </c>
      <c r="U613" s="349"/>
      <c r="V613" s="349"/>
      <c r="W613" s="349"/>
      <c r="X613" s="349"/>
      <c r="Y613" s="349"/>
      <c r="Z613" s="349"/>
      <c r="AA613" s="349"/>
      <c r="AB613" s="349"/>
      <c r="AC613" s="349"/>
      <c r="AD613" s="349"/>
      <c r="AE613" s="349"/>
      <c r="AF613" s="349"/>
      <c r="AG613" s="349"/>
      <c r="AH613" s="349"/>
      <c r="AI613" s="349"/>
      <c r="AJ613" s="349"/>
      <c r="AK613" s="349"/>
      <c r="AL613" s="349"/>
      <c r="AM613" s="349"/>
      <c r="AN613" s="349"/>
      <c r="AO613" s="349"/>
      <c r="AP613" s="349"/>
      <c r="AQ613" s="349"/>
      <c r="AR613" s="349"/>
      <c r="AS613" s="349"/>
      <c r="AT613" s="349"/>
      <c r="AU613" s="349"/>
      <c r="AV613" s="349"/>
      <c r="AW613" s="349"/>
      <c r="AX613" s="349"/>
    </row>
    <row r="614" ht="15.75" customHeight="1">
      <c r="A614" s="305" t="s">
        <v>385</v>
      </c>
      <c r="B614" s="223" t="s">
        <v>6394</v>
      </c>
      <c r="C614" s="190" t="s">
        <v>6395</v>
      </c>
      <c r="D614" s="190" t="s">
        <v>6396</v>
      </c>
      <c r="E614" s="190" t="s">
        <v>6397</v>
      </c>
      <c r="F614" s="190"/>
      <c r="G614" s="362"/>
      <c r="H614" s="362"/>
      <c r="I614" s="362"/>
      <c r="J614" s="362"/>
      <c r="K614" s="362"/>
      <c r="L614" s="362"/>
      <c r="M614" s="363"/>
      <c r="N614" s="363"/>
      <c r="O614" s="363"/>
      <c r="P614" s="291" t="s">
        <v>307</v>
      </c>
      <c r="Q614" s="362"/>
      <c r="R614" s="362"/>
      <c r="S614" s="362"/>
      <c r="T614" s="362"/>
      <c r="U614" s="364" t="s">
        <v>8068</v>
      </c>
      <c r="V614" s="362"/>
      <c r="W614" s="362"/>
      <c r="X614" s="362"/>
      <c r="Y614" s="362"/>
      <c r="Z614" s="362"/>
      <c r="AA614" s="362"/>
      <c r="AB614" s="362"/>
      <c r="AC614" s="362"/>
      <c r="AD614" s="349"/>
      <c r="AE614" s="349"/>
      <c r="AF614" s="349"/>
      <c r="AG614" s="349"/>
      <c r="AH614" s="349"/>
      <c r="AI614" s="349"/>
      <c r="AJ614" s="349"/>
      <c r="AK614" s="349"/>
      <c r="AL614" s="349"/>
      <c r="AM614" s="349"/>
      <c r="AN614" s="349"/>
      <c r="AO614" s="349"/>
      <c r="AP614" s="349"/>
      <c r="AQ614" s="349"/>
      <c r="AR614" s="349"/>
      <c r="AS614" s="349"/>
      <c r="AT614" s="349"/>
      <c r="AU614" s="349"/>
      <c r="AV614" s="349"/>
      <c r="AW614" s="349"/>
      <c r="AX614" s="349"/>
    </row>
    <row r="615" ht="15.75" customHeight="1">
      <c r="A615" s="221" t="s">
        <v>112</v>
      </c>
      <c r="B615" s="198" t="s">
        <v>6401</v>
      </c>
      <c r="C615" s="190"/>
      <c r="D615" s="190"/>
      <c r="E615" s="190"/>
      <c r="F615" s="190"/>
      <c r="G615" s="348"/>
      <c r="H615" s="348"/>
      <c r="I615" s="348"/>
      <c r="J615" s="348"/>
      <c r="K615" s="348"/>
      <c r="L615" s="348"/>
      <c r="M615" s="348"/>
      <c r="N615" s="348"/>
      <c r="O615" s="348"/>
      <c r="P615" s="291" t="s">
        <v>307</v>
      </c>
      <c r="Q615" s="348"/>
      <c r="R615" s="348"/>
      <c r="S615" s="348"/>
      <c r="T615" s="335" t="s">
        <v>8069</v>
      </c>
      <c r="U615" s="348"/>
      <c r="V615" s="348"/>
      <c r="W615" s="348"/>
      <c r="X615" s="348"/>
      <c r="Y615" s="348"/>
      <c r="Z615" s="348"/>
      <c r="AA615" s="348"/>
      <c r="AB615" s="348"/>
      <c r="AC615" s="348"/>
      <c r="AD615" s="349"/>
      <c r="AE615" s="349"/>
      <c r="AF615" s="349"/>
      <c r="AG615" s="349"/>
      <c r="AH615" s="349"/>
      <c r="AI615" s="349"/>
      <c r="AJ615" s="349"/>
      <c r="AK615" s="349"/>
      <c r="AL615" s="349"/>
      <c r="AM615" s="349"/>
      <c r="AN615" s="349"/>
      <c r="AO615" s="349"/>
      <c r="AP615" s="349"/>
      <c r="AQ615" s="349"/>
      <c r="AR615" s="349"/>
      <c r="AS615" s="349"/>
      <c r="AT615" s="349"/>
      <c r="AU615" s="349"/>
      <c r="AV615" s="349"/>
      <c r="AW615" s="349"/>
      <c r="AX615" s="349"/>
    </row>
    <row r="616" ht="15.75" customHeight="1">
      <c r="A616" s="221" t="s">
        <v>112</v>
      </c>
      <c r="B616" s="198" t="s">
        <v>6408</v>
      </c>
      <c r="C616" s="190" t="s">
        <v>6409</v>
      </c>
      <c r="D616" s="190" t="s">
        <v>6410</v>
      </c>
      <c r="E616" s="190" t="s">
        <v>6411</v>
      </c>
      <c r="F616" s="190"/>
      <c r="G616" s="348"/>
      <c r="H616" s="348"/>
      <c r="I616" s="348"/>
      <c r="J616" s="348"/>
      <c r="K616" s="348"/>
      <c r="L616" s="348"/>
      <c r="M616" s="348"/>
      <c r="N616" s="348"/>
      <c r="O616" s="348"/>
      <c r="P616" s="291" t="s">
        <v>307</v>
      </c>
      <c r="Q616" s="348"/>
      <c r="R616" s="348"/>
      <c r="S616" s="348"/>
      <c r="T616" s="335" t="s">
        <v>8070</v>
      </c>
      <c r="U616" s="348"/>
      <c r="V616" s="348"/>
      <c r="W616" s="348"/>
      <c r="X616" s="348"/>
      <c r="Y616" s="348"/>
      <c r="Z616" s="348"/>
      <c r="AA616" s="348"/>
      <c r="AB616" s="348"/>
      <c r="AC616" s="348"/>
      <c r="AD616" s="349"/>
      <c r="AE616" s="349"/>
      <c r="AF616" s="349"/>
      <c r="AG616" s="349"/>
      <c r="AH616" s="349"/>
      <c r="AI616" s="349"/>
      <c r="AJ616" s="349"/>
      <c r="AK616" s="349"/>
      <c r="AL616" s="349"/>
      <c r="AM616" s="349"/>
      <c r="AN616" s="349"/>
      <c r="AO616" s="349"/>
      <c r="AP616" s="349"/>
      <c r="AQ616" s="349"/>
      <c r="AR616" s="349"/>
      <c r="AS616" s="349"/>
      <c r="AT616" s="349"/>
      <c r="AU616" s="349"/>
      <c r="AV616" s="349"/>
      <c r="AW616" s="349"/>
      <c r="AX616" s="349"/>
    </row>
    <row r="617" ht="15.75" customHeight="1">
      <c r="A617" s="306" t="s">
        <v>247</v>
      </c>
      <c r="B617" s="307" t="s">
        <v>6416</v>
      </c>
      <c r="C617" s="190" t="s">
        <v>6422</v>
      </c>
      <c r="D617" s="190" t="s">
        <v>6423</v>
      </c>
      <c r="E617" s="190" t="s">
        <v>6424</v>
      </c>
      <c r="F617" s="190"/>
      <c r="G617" s="293"/>
      <c r="H617" s="293"/>
      <c r="I617" s="359"/>
      <c r="J617" s="359"/>
      <c r="K617" s="414" t="s">
        <v>8071</v>
      </c>
      <c r="L617" s="369"/>
      <c r="M617" s="359"/>
      <c r="N617" s="359"/>
      <c r="O617" s="359"/>
      <c r="P617" s="291" t="s">
        <v>307</v>
      </c>
      <c r="Q617" s="361" t="s">
        <v>307</v>
      </c>
      <c r="R617" s="359"/>
      <c r="S617" s="359"/>
      <c r="T617" s="359"/>
      <c r="U617" s="359"/>
      <c r="V617" s="359"/>
      <c r="W617" s="359"/>
      <c r="X617" s="359"/>
      <c r="Y617" s="359"/>
      <c r="Z617" s="359"/>
      <c r="AA617" s="359"/>
      <c r="AB617" s="359"/>
      <c r="AC617" s="359"/>
      <c r="AD617" s="349"/>
      <c r="AE617" s="349"/>
      <c r="AF617" s="349"/>
      <c r="AG617" s="349"/>
      <c r="AH617" s="349"/>
      <c r="AI617" s="349"/>
      <c r="AJ617" s="349"/>
      <c r="AK617" s="349"/>
      <c r="AL617" s="349"/>
      <c r="AM617" s="349"/>
      <c r="AN617" s="349"/>
      <c r="AO617" s="349"/>
      <c r="AP617" s="349"/>
      <c r="AQ617" s="349"/>
      <c r="AR617" s="349"/>
      <c r="AS617" s="349"/>
      <c r="AT617" s="349"/>
      <c r="AU617" s="349"/>
      <c r="AV617" s="349"/>
      <c r="AW617" s="349"/>
      <c r="AX617" s="349"/>
    </row>
    <row r="618" ht="15.75" customHeight="1">
      <c r="A618" s="305" t="s">
        <v>450</v>
      </c>
      <c r="B618" s="224" t="s">
        <v>6394</v>
      </c>
      <c r="C618" s="190" t="s">
        <v>6395</v>
      </c>
      <c r="D618" s="190" t="s">
        <v>6396</v>
      </c>
      <c r="E618" s="190" t="s">
        <v>6397</v>
      </c>
      <c r="F618" s="190"/>
      <c r="G618" s="362"/>
      <c r="H618" s="362"/>
      <c r="I618" s="362"/>
      <c r="J618" s="362"/>
      <c r="K618" s="362"/>
      <c r="L618" s="362"/>
      <c r="M618" s="362"/>
      <c r="N618" s="362"/>
      <c r="O618" s="362"/>
      <c r="P618" s="291" t="s">
        <v>307</v>
      </c>
      <c r="Q618" s="362"/>
      <c r="R618" s="362"/>
      <c r="S618" s="362"/>
      <c r="T618" s="362"/>
      <c r="U618" s="362"/>
      <c r="V618" s="362"/>
      <c r="W618" s="362"/>
      <c r="X618" s="362"/>
      <c r="Y618" s="362"/>
      <c r="Z618" s="362"/>
      <c r="AA618" s="362"/>
      <c r="AB618" s="362"/>
      <c r="AC618" s="362"/>
      <c r="AD618" s="349"/>
      <c r="AE618" s="349"/>
      <c r="AF618" s="349"/>
      <c r="AG618" s="349"/>
      <c r="AH618" s="349"/>
      <c r="AI618" s="349"/>
      <c r="AJ618" s="349"/>
      <c r="AK618" s="349"/>
      <c r="AL618" s="349"/>
      <c r="AM618" s="349"/>
      <c r="AN618" s="349"/>
      <c r="AO618" s="349"/>
      <c r="AP618" s="349"/>
      <c r="AQ618" s="349"/>
      <c r="AR618" s="349"/>
      <c r="AS618" s="349"/>
      <c r="AT618" s="349"/>
      <c r="AU618" s="349"/>
      <c r="AV618" s="349"/>
      <c r="AW618" s="349"/>
      <c r="AX618" s="349"/>
    </row>
    <row r="619" ht="15.75" customHeight="1">
      <c r="A619" s="297" t="s">
        <v>46</v>
      </c>
      <c r="B619" s="298" t="s">
        <v>6426</v>
      </c>
      <c r="C619" s="190" t="s">
        <v>6430</v>
      </c>
      <c r="D619" s="190" t="s">
        <v>6431</v>
      </c>
      <c r="E619" s="190" t="s">
        <v>6432</v>
      </c>
      <c r="F619" s="190"/>
      <c r="G619" s="293"/>
      <c r="H619" s="293"/>
      <c r="I619" s="351"/>
      <c r="J619" s="351"/>
      <c r="K619" s="351"/>
      <c r="L619" s="351"/>
      <c r="M619" s="351"/>
      <c r="N619" s="351"/>
      <c r="O619" s="351"/>
      <c r="P619" s="291" t="s">
        <v>307</v>
      </c>
      <c r="Q619" s="351"/>
      <c r="R619" s="351"/>
      <c r="S619" s="351"/>
      <c r="T619" s="351"/>
      <c r="U619" s="351"/>
      <c r="V619" s="351"/>
      <c r="W619" s="351"/>
      <c r="X619" s="351"/>
      <c r="Y619" s="351"/>
      <c r="Z619" s="351"/>
      <c r="AA619" s="351"/>
      <c r="AB619" s="351"/>
      <c r="AC619" s="351"/>
      <c r="AD619" s="349"/>
      <c r="AE619" s="349"/>
      <c r="AF619" s="349"/>
      <c r="AG619" s="349"/>
      <c r="AH619" s="349"/>
      <c r="AI619" s="349"/>
      <c r="AJ619" s="349"/>
      <c r="AK619" s="349"/>
      <c r="AL619" s="349"/>
      <c r="AM619" s="349"/>
      <c r="AN619" s="349"/>
      <c r="AO619" s="349"/>
      <c r="AP619" s="349"/>
      <c r="AQ619" s="349"/>
      <c r="AR619" s="349"/>
      <c r="AS619" s="349"/>
      <c r="AT619" s="349"/>
      <c r="AU619" s="349"/>
      <c r="AV619" s="349"/>
      <c r="AW619" s="349"/>
      <c r="AX619" s="349"/>
    </row>
    <row r="620" ht="15.75" customHeight="1">
      <c r="A620" s="299" t="s">
        <v>1060</v>
      </c>
      <c r="B620" s="300" t="s">
        <v>6433</v>
      </c>
      <c r="C620" s="190" t="s">
        <v>6440</v>
      </c>
      <c r="D620" s="190" t="s">
        <v>6441</v>
      </c>
      <c r="E620" s="190" t="s">
        <v>6442</v>
      </c>
      <c r="F620" s="190"/>
      <c r="G620" s="293"/>
      <c r="H620" s="293"/>
      <c r="I620" s="356"/>
      <c r="J620" s="355"/>
      <c r="K620" s="356"/>
      <c r="L620" s="356"/>
      <c r="M620" s="356"/>
      <c r="N620" s="356"/>
      <c r="O620" s="299" t="s">
        <v>8072</v>
      </c>
      <c r="P620" s="291" t="s">
        <v>307</v>
      </c>
      <c r="Q620" s="291" t="s">
        <v>307</v>
      </c>
      <c r="R620" s="356"/>
      <c r="S620" s="356"/>
      <c r="T620" s="356"/>
      <c r="U620" s="356"/>
      <c r="V620" s="356"/>
      <c r="W620" s="356"/>
      <c r="X620" s="356"/>
      <c r="Y620" s="356"/>
      <c r="Z620" s="356"/>
      <c r="AA620" s="356"/>
      <c r="AB620" s="356"/>
      <c r="AC620" s="356"/>
      <c r="AD620" s="349"/>
      <c r="AE620" s="349"/>
      <c r="AF620" s="349"/>
      <c r="AG620" s="349"/>
      <c r="AH620" s="349"/>
      <c r="AI620" s="349"/>
      <c r="AJ620" s="349"/>
      <c r="AK620" s="349"/>
      <c r="AL620" s="349"/>
      <c r="AM620" s="349"/>
      <c r="AN620" s="349"/>
      <c r="AO620" s="349"/>
      <c r="AP620" s="349"/>
      <c r="AQ620" s="349"/>
      <c r="AR620" s="349"/>
      <c r="AS620" s="349"/>
      <c r="AT620" s="349"/>
      <c r="AU620" s="349"/>
      <c r="AV620" s="349"/>
      <c r="AW620" s="349"/>
      <c r="AX620" s="349"/>
    </row>
    <row r="621" ht="15.75" customHeight="1">
      <c r="A621" s="306" t="s">
        <v>247</v>
      </c>
      <c r="B621" s="307" t="s">
        <v>6443</v>
      </c>
      <c r="C621" s="190" t="s">
        <v>6448</v>
      </c>
      <c r="D621" s="190" t="s">
        <v>6449</v>
      </c>
      <c r="E621" s="190" t="s">
        <v>6450</v>
      </c>
      <c r="F621" s="190"/>
      <c r="G621" s="415"/>
      <c r="H621" s="189"/>
      <c r="I621" s="189"/>
      <c r="J621" s="189"/>
      <c r="K621" s="189"/>
      <c r="L621" s="189"/>
      <c r="M621" s="189"/>
      <c r="N621" s="189"/>
      <c r="O621" s="189" t="s">
        <v>8073</v>
      </c>
      <c r="P621" s="291" t="s">
        <v>307</v>
      </c>
      <c r="Q621" s="189" t="s">
        <v>307</v>
      </c>
      <c r="R621" s="189"/>
      <c r="S621" s="194"/>
      <c r="T621" s="189"/>
      <c r="U621" s="189"/>
      <c r="V621" s="189"/>
      <c r="W621" s="189"/>
      <c r="X621" s="189"/>
      <c r="Y621" s="189"/>
      <c r="Z621" s="189"/>
      <c r="AA621" s="189"/>
      <c r="AB621" s="189"/>
      <c r="AC621" s="189"/>
      <c r="AD621" s="189"/>
      <c r="AE621" s="189"/>
      <c r="AF621" s="189"/>
      <c r="AG621" s="189"/>
      <c r="AH621" s="189"/>
      <c r="AI621" s="189"/>
      <c r="AJ621" s="189"/>
      <c r="AK621" s="189"/>
      <c r="AL621" s="189"/>
      <c r="AM621" s="189"/>
      <c r="AN621" s="189"/>
      <c r="AO621" s="189"/>
      <c r="AP621" s="189"/>
      <c r="AQ621" s="189"/>
      <c r="AR621" s="189"/>
      <c r="AS621" s="189"/>
      <c r="AT621" s="189"/>
      <c r="AU621" s="189"/>
      <c r="AV621" s="189"/>
      <c r="AW621" s="189"/>
      <c r="AX621" s="189"/>
    </row>
    <row r="622" ht="15.75" customHeight="1">
      <c r="A622" s="306" t="s">
        <v>247</v>
      </c>
      <c r="B622" s="307" t="s">
        <v>6451</v>
      </c>
      <c r="C622" s="190" t="s">
        <v>6455</v>
      </c>
      <c r="D622" s="190" t="s">
        <v>6456</v>
      </c>
      <c r="E622" s="190" t="s">
        <v>6457</v>
      </c>
      <c r="F622" s="190"/>
      <c r="G622" s="293"/>
      <c r="H622" s="293"/>
      <c r="I622" s="359"/>
      <c r="J622" s="359"/>
      <c r="K622" s="360" t="s">
        <v>8074</v>
      </c>
      <c r="L622" s="369"/>
      <c r="M622" s="359"/>
      <c r="N622" s="359"/>
      <c r="O622" s="306" t="s">
        <v>8073</v>
      </c>
      <c r="P622" s="291" t="s">
        <v>307</v>
      </c>
      <c r="Q622" s="361" t="s">
        <v>307</v>
      </c>
      <c r="R622" s="359"/>
      <c r="S622" s="359"/>
      <c r="T622" s="359"/>
      <c r="U622" s="359"/>
      <c r="V622" s="359"/>
      <c r="W622" s="359"/>
      <c r="X622" s="359"/>
      <c r="Y622" s="359"/>
      <c r="Z622" s="359"/>
      <c r="AA622" s="359"/>
      <c r="AB622" s="359"/>
      <c r="AC622" s="359"/>
      <c r="AD622" s="349"/>
      <c r="AE622" s="349"/>
      <c r="AF622" s="349"/>
      <c r="AG622" s="349"/>
      <c r="AH622" s="349"/>
      <c r="AI622" s="349"/>
      <c r="AJ622" s="349"/>
      <c r="AK622" s="349"/>
      <c r="AL622" s="349"/>
      <c r="AM622" s="349"/>
      <c r="AN622" s="349"/>
      <c r="AO622" s="349"/>
      <c r="AP622" s="349"/>
      <c r="AQ622" s="349"/>
      <c r="AR622" s="349"/>
      <c r="AS622" s="349"/>
      <c r="AT622" s="349"/>
      <c r="AU622" s="349"/>
      <c r="AV622" s="349"/>
      <c r="AW622" s="349"/>
      <c r="AX622" s="349"/>
    </row>
    <row r="623" ht="15.75" customHeight="1">
      <c r="A623" s="306" t="s">
        <v>247</v>
      </c>
      <c r="B623" s="307" t="s">
        <v>6458</v>
      </c>
      <c r="C623" s="190" t="s">
        <v>6463</v>
      </c>
      <c r="D623" s="190" t="s">
        <v>6464</v>
      </c>
      <c r="E623" s="190" t="s">
        <v>6465</v>
      </c>
      <c r="F623" s="190"/>
      <c r="G623" s="293"/>
      <c r="H623" s="293"/>
      <c r="I623" s="359"/>
      <c r="J623" s="359"/>
      <c r="K623" s="369"/>
      <c r="L623" s="369"/>
      <c r="M623" s="359"/>
      <c r="N623" s="359"/>
      <c r="O623" s="306" t="s">
        <v>8073</v>
      </c>
      <c r="P623" s="291" t="s">
        <v>307</v>
      </c>
      <c r="Q623" s="361" t="s">
        <v>307</v>
      </c>
      <c r="R623" s="359"/>
      <c r="S623" s="359"/>
      <c r="T623" s="359"/>
      <c r="U623" s="359"/>
      <c r="V623" s="359"/>
      <c r="W623" s="359"/>
      <c r="X623" s="359"/>
      <c r="Y623" s="359"/>
      <c r="Z623" s="359"/>
      <c r="AA623" s="359"/>
      <c r="AB623" s="359"/>
      <c r="AC623" s="359"/>
      <c r="AD623" s="349"/>
      <c r="AE623" s="349"/>
      <c r="AF623" s="349"/>
      <c r="AG623" s="349"/>
      <c r="AH623" s="349"/>
      <c r="AI623" s="349"/>
      <c r="AJ623" s="349"/>
      <c r="AK623" s="349"/>
      <c r="AL623" s="349"/>
      <c r="AM623" s="349"/>
      <c r="AN623" s="349"/>
      <c r="AO623" s="349"/>
      <c r="AP623" s="349"/>
      <c r="AQ623" s="349"/>
      <c r="AR623" s="349"/>
      <c r="AS623" s="349"/>
      <c r="AT623" s="349"/>
      <c r="AU623" s="349"/>
      <c r="AV623" s="349"/>
      <c r="AW623" s="349"/>
      <c r="AX623" s="349"/>
    </row>
    <row r="624" ht="15.75" customHeight="1">
      <c r="A624" s="221" t="s">
        <v>112</v>
      </c>
      <c r="B624" s="198" t="s">
        <v>6467</v>
      </c>
      <c r="C624" s="190" t="s">
        <v>6468</v>
      </c>
      <c r="D624" s="190" t="s">
        <v>6469</v>
      </c>
      <c r="E624" s="190" t="s">
        <v>6470</v>
      </c>
      <c r="F624" s="190"/>
      <c r="G624" s="348"/>
      <c r="H624" s="348"/>
      <c r="I624" s="348"/>
      <c r="J624" s="308"/>
      <c r="K624" s="348"/>
      <c r="L624" s="348"/>
      <c r="M624" s="348"/>
      <c r="N624" s="348"/>
      <c r="O624" s="308"/>
      <c r="P624" s="291" t="s">
        <v>307</v>
      </c>
      <c r="Q624" s="348"/>
      <c r="R624" s="348"/>
      <c r="S624" s="348"/>
      <c r="T624" s="335" t="s">
        <v>8075</v>
      </c>
      <c r="U624" s="348"/>
      <c r="V624" s="348"/>
      <c r="W624" s="348"/>
      <c r="X624" s="348"/>
      <c r="Y624" s="348"/>
      <c r="Z624" s="348"/>
      <c r="AA624" s="348"/>
      <c r="AB624" s="348"/>
      <c r="AC624" s="348"/>
      <c r="AD624" s="349"/>
      <c r="AE624" s="349"/>
      <c r="AF624" s="349"/>
      <c r="AG624" s="349"/>
      <c r="AH624" s="349"/>
      <c r="AI624" s="349"/>
      <c r="AJ624" s="349"/>
      <c r="AK624" s="349"/>
      <c r="AL624" s="349"/>
      <c r="AM624" s="349"/>
      <c r="AN624" s="349"/>
      <c r="AO624" s="349"/>
      <c r="AP624" s="349"/>
      <c r="AQ624" s="349"/>
      <c r="AR624" s="349"/>
      <c r="AS624" s="349"/>
      <c r="AT624" s="349"/>
      <c r="AU624" s="349"/>
      <c r="AV624" s="349"/>
      <c r="AW624" s="349"/>
      <c r="AX624" s="349"/>
    </row>
    <row r="625" ht="15.75" customHeight="1">
      <c r="A625" s="299" t="s">
        <v>1060</v>
      </c>
      <c r="B625" s="300" t="s">
        <v>6471</v>
      </c>
      <c r="C625" s="190" t="s">
        <v>6477</v>
      </c>
      <c r="D625" s="190" t="s">
        <v>6478</v>
      </c>
      <c r="E625" s="190" t="s">
        <v>6480</v>
      </c>
      <c r="F625" s="190"/>
      <c r="G625" s="293"/>
      <c r="H625" s="293"/>
      <c r="I625" s="356"/>
      <c r="J625" s="355"/>
      <c r="K625" s="291" t="s">
        <v>8076</v>
      </c>
      <c r="L625" s="291" t="s">
        <v>8077</v>
      </c>
      <c r="M625" s="356"/>
      <c r="N625" s="356"/>
      <c r="O625" s="392"/>
      <c r="P625" s="291" t="s">
        <v>307</v>
      </c>
      <c r="Q625" s="291" t="s">
        <v>307</v>
      </c>
      <c r="R625" s="356"/>
      <c r="S625" s="356"/>
      <c r="T625" s="356"/>
      <c r="U625" s="356"/>
      <c r="V625" s="356"/>
      <c r="W625" s="356"/>
      <c r="X625" s="356"/>
      <c r="Y625" s="356"/>
      <c r="Z625" s="356"/>
      <c r="AA625" s="356"/>
      <c r="AB625" s="356"/>
      <c r="AC625" s="356"/>
      <c r="AD625" s="349"/>
      <c r="AE625" s="349"/>
      <c r="AF625" s="349"/>
      <c r="AG625" s="349"/>
      <c r="AH625" s="349"/>
      <c r="AI625" s="349"/>
      <c r="AJ625" s="349"/>
      <c r="AK625" s="349"/>
      <c r="AL625" s="349"/>
      <c r="AM625" s="349"/>
      <c r="AN625" s="349"/>
      <c r="AO625" s="349"/>
      <c r="AP625" s="349"/>
      <c r="AQ625" s="349"/>
      <c r="AR625" s="349"/>
      <c r="AS625" s="349"/>
      <c r="AT625" s="349"/>
      <c r="AU625" s="349"/>
      <c r="AV625" s="349"/>
      <c r="AW625" s="349"/>
      <c r="AX625" s="349"/>
    </row>
    <row r="626" ht="15.75" customHeight="1">
      <c r="A626" s="297" t="s">
        <v>46</v>
      </c>
      <c r="B626" s="298" t="s">
        <v>6482</v>
      </c>
      <c r="C626" s="190" t="s">
        <v>6486</v>
      </c>
      <c r="D626" s="190" t="s">
        <v>6487</v>
      </c>
      <c r="E626" s="190" t="s">
        <v>6488</v>
      </c>
      <c r="F626" s="190"/>
      <c r="G626" s="293"/>
      <c r="H626" s="293"/>
      <c r="I626" s="351"/>
      <c r="J626" s="351"/>
      <c r="K626" s="351"/>
      <c r="L626" s="351"/>
      <c r="M626" s="351"/>
      <c r="N626" s="351"/>
      <c r="O626" s="351"/>
      <c r="P626" s="291" t="s">
        <v>307</v>
      </c>
      <c r="Q626" s="351"/>
      <c r="R626" s="351"/>
      <c r="S626" s="351"/>
      <c r="T626" s="351"/>
      <c r="U626" s="351"/>
      <c r="V626" s="351"/>
      <c r="W626" s="351"/>
      <c r="X626" s="351"/>
      <c r="Y626" s="351"/>
      <c r="Z626" s="351"/>
      <c r="AA626" s="351"/>
      <c r="AB626" s="351"/>
      <c r="AC626" s="351"/>
      <c r="AD626" s="349"/>
      <c r="AE626" s="349"/>
      <c r="AF626" s="349"/>
      <c r="AG626" s="349"/>
      <c r="AH626" s="349"/>
      <c r="AI626" s="349"/>
      <c r="AJ626" s="349"/>
      <c r="AK626" s="349"/>
      <c r="AL626" s="349"/>
      <c r="AM626" s="349"/>
      <c r="AN626" s="349"/>
      <c r="AO626" s="349"/>
      <c r="AP626" s="349"/>
      <c r="AQ626" s="349"/>
      <c r="AR626" s="349"/>
      <c r="AS626" s="349"/>
      <c r="AT626" s="349"/>
      <c r="AU626" s="349"/>
      <c r="AV626" s="349"/>
      <c r="AW626" s="349"/>
      <c r="AX626" s="349"/>
    </row>
    <row r="627" ht="15.75" customHeight="1">
      <c r="A627" s="299" t="s">
        <v>1060</v>
      </c>
      <c r="B627" s="300" t="s">
        <v>6489</v>
      </c>
      <c r="C627" s="190" t="s">
        <v>6494</v>
      </c>
      <c r="D627" s="190" t="s">
        <v>6496</v>
      </c>
      <c r="E627" s="190" t="s">
        <v>6499</v>
      </c>
      <c r="F627" s="190"/>
      <c r="G627" s="293"/>
      <c r="H627" s="293"/>
      <c r="I627" s="356"/>
      <c r="J627" s="355"/>
      <c r="K627" s="356"/>
      <c r="L627" s="356"/>
      <c r="M627" s="356"/>
      <c r="N627" s="356"/>
      <c r="O627" s="356"/>
      <c r="P627" s="291" t="s">
        <v>307</v>
      </c>
      <c r="Q627" s="356"/>
      <c r="R627" s="356"/>
      <c r="S627" s="356"/>
      <c r="T627" s="356"/>
      <c r="U627" s="356"/>
      <c r="V627" s="356"/>
      <c r="W627" s="356"/>
      <c r="X627" s="356"/>
      <c r="Y627" s="356"/>
      <c r="Z627" s="356"/>
      <c r="AA627" s="356"/>
      <c r="AB627" s="356"/>
      <c r="AC627" s="356"/>
      <c r="AD627" s="349"/>
      <c r="AE627" s="349"/>
      <c r="AF627" s="349"/>
      <c r="AG627" s="349"/>
      <c r="AH627" s="349"/>
      <c r="AI627" s="349"/>
      <c r="AJ627" s="349"/>
      <c r="AK627" s="349"/>
      <c r="AL627" s="349"/>
      <c r="AM627" s="349"/>
      <c r="AN627" s="349"/>
      <c r="AO627" s="349"/>
      <c r="AP627" s="349"/>
      <c r="AQ627" s="349"/>
      <c r="AR627" s="349"/>
      <c r="AS627" s="349"/>
      <c r="AT627" s="349"/>
      <c r="AU627" s="349"/>
      <c r="AV627" s="349"/>
      <c r="AW627" s="349"/>
      <c r="AX627" s="349"/>
    </row>
    <row r="628" ht="15.75" customHeight="1">
      <c r="A628" s="221" t="s">
        <v>256</v>
      </c>
      <c r="B628" s="198" t="s">
        <v>6500</v>
      </c>
      <c r="C628" s="190"/>
      <c r="D628" s="190"/>
      <c r="E628" s="190"/>
      <c r="F628" s="190"/>
      <c r="G628" s="348"/>
      <c r="H628" s="348"/>
      <c r="I628" s="348"/>
      <c r="J628" s="348"/>
      <c r="K628" s="348"/>
      <c r="L628" s="348"/>
      <c r="M628" s="348"/>
      <c r="N628" s="348"/>
      <c r="O628" s="348"/>
      <c r="P628" s="291" t="s">
        <v>307</v>
      </c>
      <c r="Q628" s="348"/>
      <c r="R628" s="348"/>
      <c r="S628" s="348"/>
      <c r="T628" s="335" t="s">
        <v>260</v>
      </c>
      <c r="U628" s="348"/>
      <c r="V628" s="348"/>
      <c r="W628" s="348"/>
      <c r="X628" s="348"/>
      <c r="Y628" s="348"/>
      <c r="Z628" s="348"/>
      <c r="AA628" s="348"/>
      <c r="AB628" s="348"/>
      <c r="AC628" s="348"/>
      <c r="AD628" s="349"/>
      <c r="AE628" s="349"/>
      <c r="AF628" s="349"/>
      <c r="AG628" s="349"/>
      <c r="AH628" s="349"/>
      <c r="AI628" s="349"/>
      <c r="AJ628" s="349"/>
      <c r="AK628" s="349"/>
      <c r="AL628" s="349"/>
      <c r="AM628" s="349"/>
      <c r="AN628" s="349"/>
      <c r="AO628" s="349"/>
      <c r="AP628" s="349"/>
      <c r="AQ628" s="349"/>
      <c r="AR628" s="349"/>
      <c r="AS628" s="349"/>
      <c r="AT628" s="349"/>
      <c r="AU628" s="349"/>
      <c r="AV628" s="349"/>
      <c r="AW628" s="349"/>
      <c r="AX628" s="349"/>
    </row>
    <row r="629" ht="15.75" customHeight="1">
      <c r="A629" s="221" t="s">
        <v>112</v>
      </c>
      <c r="B629" s="198" t="s">
        <v>6504</v>
      </c>
      <c r="C629" s="190"/>
      <c r="D629" s="190"/>
      <c r="E629" s="190"/>
      <c r="F629" s="190"/>
      <c r="G629" s="348"/>
      <c r="H629" s="348"/>
      <c r="I629" s="348"/>
      <c r="J629" s="348"/>
      <c r="K629" s="348"/>
      <c r="L629" s="348"/>
      <c r="M629" s="348"/>
      <c r="N629" s="348"/>
      <c r="O629" s="308"/>
      <c r="P629" s="291" t="s">
        <v>307</v>
      </c>
      <c r="Q629" s="348"/>
      <c r="R629" s="348"/>
      <c r="S629" s="348"/>
      <c r="T629" s="335" t="s">
        <v>8078</v>
      </c>
      <c r="U629" s="348"/>
      <c r="V629" s="348"/>
      <c r="W629" s="348"/>
      <c r="X629" s="348"/>
      <c r="Y629" s="348"/>
      <c r="Z629" s="348"/>
      <c r="AA629" s="348"/>
      <c r="AB629" s="348"/>
      <c r="AC629" s="348"/>
      <c r="AD629" s="349"/>
      <c r="AE629" s="349"/>
      <c r="AF629" s="349"/>
      <c r="AG629" s="349"/>
      <c r="AH629" s="349"/>
      <c r="AI629" s="349"/>
      <c r="AJ629" s="349"/>
      <c r="AK629" s="349"/>
      <c r="AL629" s="349"/>
      <c r="AM629" s="349"/>
      <c r="AN629" s="349"/>
      <c r="AO629" s="349"/>
      <c r="AP629" s="349"/>
      <c r="AQ629" s="349"/>
      <c r="AR629" s="349"/>
      <c r="AS629" s="349"/>
      <c r="AT629" s="349"/>
      <c r="AU629" s="349"/>
      <c r="AV629" s="349"/>
      <c r="AW629" s="349"/>
      <c r="AX629" s="349"/>
    </row>
    <row r="630" ht="15.75" customHeight="1">
      <c r="A630" s="221" t="s">
        <v>256</v>
      </c>
      <c r="B630" s="198" t="s">
        <v>6509</v>
      </c>
      <c r="C630" s="190"/>
      <c r="D630" s="190"/>
      <c r="E630" s="190"/>
      <c r="F630" s="190"/>
      <c r="G630" s="348"/>
      <c r="H630" s="348"/>
      <c r="I630" s="348"/>
      <c r="J630" s="348"/>
      <c r="K630" s="348"/>
      <c r="L630" s="348"/>
      <c r="M630" s="348"/>
      <c r="N630" s="348"/>
      <c r="O630" s="308"/>
      <c r="P630" s="291" t="s">
        <v>307</v>
      </c>
      <c r="Q630" s="348"/>
      <c r="R630" s="348"/>
      <c r="S630" s="348"/>
      <c r="T630" s="335" t="s">
        <v>260</v>
      </c>
      <c r="U630" s="348"/>
      <c r="V630" s="348"/>
      <c r="W630" s="348"/>
      <c r="X630" s="348"/>
      <c r="Y630" s="348"/>
      <c r="Z630" s="348"/>
      <c r="AA630" s="348"/>
      <c r="AB630" s="348"/>
      <c r="AC630" s="348"/>
      <c r="AD630" s="349"/>
      <c r="AE630" s="349"/>
      <c r="AF630" s="349"/>
      <c r="AG630" s="349"/>
      <c r="AH630" s="349"/>
      <c r="AI630" s="349"/>
      <c r="AJ630" s="349"/>
      <c r="AK630" s="349"/>
      <c r="AL630" s="349"/>
      <c r="AM630" s="349"/>
      <c r="AN630" s="349"/>
      <c r="AO630" s="349"/>
      <c r="AP630" s="349"/>
      <c r="AQ630" s="349"/>
      <c r="AR630" s="349"/>
      <c r="AS630" s="349"/>
      <c r="AT630" s="349"/>
      <c r="AU630" s="349"/>
      <c r="AV630" s="349"/>
      <c r="AW630" s="349"/>
      <c r="AX630" s="349"/>
    </row>
    <row r="631" ht="15.75" customHeight="1">
      <c r="A631" s="305" t="s">
        <v>385</v>
      </c>
      <c r="B631" s="223" t="s">
        <v>6513</v>
      </c>
      <c r="C631" s="190" t="s">
        <v>6514</v>
      </c>
      <c r="D631" s="190" t="s">
        <v>6515</v>
      </c>
      <c r="E631" s="190" t="s">
        <v>6516</v>
      </c>
      <c r="F631" s="190"/>
      <c r="G631" s="362"/>
      <c r="H631" s="362"/>
      <c r="I631" s="362"/>
      <c r="J631" s="362"/>
      <c r="K631" s="362"/>
      <c r="L631" s="362"/>
      <c r="M631" s="363"/>
      <c r="N631" s="363"/>
      <c r="O631" s="417" t="s">
        <v>8079</v>
      </c>
      <c r="P631" s="291" t="s">
        <v>307</v>
      </c>
      <c r="Q631" s="362"/>
      <c r="R631" s="362"/>
      <c r="S631" s="362"/>
      <c r="T631" s="362"/>
      <c r="U631" s="364" t="s">
        <v>6363</v>
      </c>
      <c r="V631" s="362"/>
      <c r="W631" s="362"/>
      <c r="X631" s="362"/>
      <c r="Y631" s="362"/>
      <c r="Z631" s="362"/>
      <c r="AA631" s="362"/>
      <c r="AB631" s="362"/>
      <c r="AC631" s="362"/>
      <c r="AD631" s="349"/>
      <c r="AE631" s="349"/>
      <c r="AF631" s="349"/>
      <c r="AG631" s="349"/>
      <c r="AH631" s="349"/>
      <c r="AI631" s="349"/>
      <c r="AJ631" s="349"/>
      <c r="AK631" s="349"/>
      <c r="AL631" s="349"/>
      <c r="AM631" s="349"/>
      <c r="AN631" s="349"/>
      <c r="AO631" s="349"/>
      <c r="AP631" s="349"/>
      <c r="AQ631" s="349"/>
      <c r="AR631" s="349"/>
      <c r="AS631" s="349"/>
      <c r="AT631" s="349"/>
      <c r="AU631" s="349"/>
      <c r="AV631" s="349"/>
      <c r="AW631" s="349"/>
      <c r="AX631" s="349"/>
    </row>
    <row r="632" ht="15.75" customHeight="1">
      <c r="A632" s="221" t="s">
        <v>112</v>
      </c>
      <c r="B632" s="198" t="s">
        <v>6521</v>
      </c>
      <c r="C632" s="190"/>
      <c r="D632" s="190"/>
      <c r="E632" s="190"/>
      <c r="F632" s="190"/>
      <c r="G632" s="348"/>
      <c r="H632" s="348"/>
      <c r="I632" s="348"/>
      <c r="J632" s="348"/>
      <c r="K632" s="348"/>
      <c r="L632" s="348"/>
      <c r="M632" s="348"/>
      <c r="N632" s="348"/>
      <c r="O632" s="348"/>
      <c r="P632" s="291" t="s">
        <v>307</v>
      </c>
      <c r="Q632" s="348"/>
      <c r="R632" s="348"/>
      <c r="S632" s="348"/>
      <c r="T632" s="335" t="s">
        <v>8080</v>
      </c>
      <c r="U632" s="348"/>
      <c r="V632" s="348"/>
      <c r="W632" s="348"/>
      <c r="X632" s="348"/>
      <c r="Y632" s="348"/>
      <c r="Z632" s="348"/>
      <c r="AA632" s="348"/>
      <c r="AB632" s="348"/>
      <c r="AC632" s="348"/>
      <c r="AD632" s="349"/>
      <c r="AE632" s="349"/>
      <c r="AF632" s="349"/>
      <c r="AG632" s="349"/>
      <c r="AH632" s="349"/>
      <c r="AI632" s="349"/>
      <c r="AJ632" s="349"/>
      <c r="AK632" s="349"/>
      <c r="AL632" s="349"/>
      <c r="AM632" s="349"/>
      <c r="AN632" s="349"/>
      <c r="AO632" s="349"/>
      <c r="AP632" s="349"/>
      <c r="AQ632" s="349"/>
      <c r="AR632" s="349"/>
      <c r="AS632" s="349"/>
      <c r="AT632" s="349"/>
      <c r="AU632" s="349"/>
      <c r="AV632" s="349"/>
      <c r="AW632" s="349"/>
      <c r="AX632" s="349"/>
    </row>
    <row r="633" ht="15.75" customHeight="1">
      <c r="A633" s="221" t="s">
        <v>112</v>
      </c>
      <c r="B633" s="198" t="s">
        <v>6527</v>
      </c>
      <c r="C633" s="190"/>
      <c r="D633" s="190"/>
      <c r="E633" s="190"/>
      <c r="F633" s="190"/>
      <c r="G633" s="348"/>
      <c r="H633" s="348"/>
      <c r="I633" s="348"/>
      <c r="J633" s="348"/>
      <c r="K633" s="348"/>
      <c r="L633" s="348"/>
      <c r="M633" s="348"/>
      <c r="N633" s="348"/>
      <c r="O633" s="348"/>
      <c r="P633" s="291" t="s">
        <v>307</v>
      </c>
      <c r="Q633" s="348"/>
      <c r="R633" s="348"/>
      <c r="S633" s="348"/>
      <c r="T633" s="335" t="s">
        <v>8081</v>
      </c>
      <c r="U633" s="348"/>
      <c r="V633" s="348"/>
      <c r="W633" s="348"/>
      <c r="X633" s="348"/>
      <c r="Y633" s="348"/>
      <c r="Z633" s="348"/>
      <c r="AA633" s="348"/>
      <c r="AB633" s="348"/>
      <c r="AC633" s="348"/>
      <c r="AD633" s="349"/>
      <c r="AE633" s="349"/>
      <c r="AF633" s="349"/>
      <c r="AG633" s="349"/>
      <c r="AH633" s="349"/>
      <c r="AI633" s="349"/>
      <c r="AJ633" s="349"/>
      <c r="AK633" s="349"/>
      <c r="AL633" s="349"/>
      <c r="AM633" s="349"/>
      <c r="AN633" s="349"/>
      <c r="AO633" s="349"/>
      <c r="AP633" s="349"/>
      <c r="AQ633" s="349"/>
      <c r="AR633" s="349"/>
      <c r="AS633" s="349"/>
      <c r="AT633" s="349"/>
      <c r="AU633" s="349"/>
      <c r="AV633" s="349"/>
      <c r="AW633" s="349"/>
      <c r="AX633" s="349"/>
    </row>
    <row r="634" ht="15.75" customHeight="1">
      <c r="A634" s="306" t="s">
        <v>247</v>
      </c>
      <c r="B634" s="307" t="s">
        <v>6531</v>
      </c>
      <c r="C634" s="190" t="s">
        <v>6535</v>
      </c>
      <c r="D634" s="190" t="s">
        <v>6536</v>
      </c>
      <c r="E634" s="190" t="s">
        <v>6537</v>
      </c>
      <c r="F634" s="190"/>
      <c r="G634" s="293"/>
      <c r="H634" s="293"/>
      <c r="I634" s="359"/>
      <c r="J634" s="359"/>
      <c r="K634" s="360" t="s">
        <v>8074</v>
      </c>
      <c r="L634" s="369"/>
      <c r="M634" s="359"/>
      <c r="N634" s="359"/>
      <c r="O634" s="306" t="s">
        <v>8082</v>
      </c>
      <c r="P634" s="291" t="s">
        <v>307</v>
      </c>
      <c r="Q634" s="361" t="s">
        <v>307</v>
      </c>
      <c r="R634" s="359"/>
      <c r="S634" s="359"/>
      <c r="T634" s="359"/>
      <c r="U634" s="359"/>
      <c r="V634" s="359"/>
      <c r="W634" s="359"/>
      <c r="X634" s="359"/>
      <c r="Y634" s="359"/>
      <c r="Z634" s="359"/>
      <c r="AA634" s="359"/>
      <c r="AB634" s="359"/>
      <c r="AC634" s="359"/>
      <c r="AD634" s="349"/>
      <c r="AE634" s="349"/>
      <c r="AF634" s="349"/>
      <c r="AG634" s="349"/>
      <c r="AH634" s="349"/>
      <c r="AI634" s="349"/>
      <c r="AJ634" s="349"/>
      <c r="AK634" s="349"/>
      <c r="AL634" s="349"/>
      <c r="AM634" s="349"/>
      <c r="AN634" s="349"/>
      <c r="AO634" s="349"/>
      <c r="AP634" s="349"/>
      <c r="AQ634" s="349"/>
      <c r="AR634" s="349"/>
      <c r="AS634" s="349"/>
      <c r="AT634" s="349"/>
      <c r="AU634" s="349"/>
      <c r="AV634" s="349"/>
      <c r="AW634" s="349"/>
      <c r="AX634" s="349"/>
    </row>
    <row r="635" ht="15.75" customHeight="1">
      <c r="A635" s="306" t="s">
        <v>247</v>
      </c>
      <c r="B635" s="307" t="s">
        <v>6538</v>
      </c>
      <c r="C635" s="190" t="s">
        <v>6543</v>
      </c>
      <c r="D635" s="190" t="s">
        <v>6544</v>
      </c>
      <c r="E635" s="190" t="s">
        <v>6545</v>
      </c>
      <c r="F635" s="190"/>
      <c r="G635" s="293"/>
      <c r="H635" s="293"/>
      <c r="I635" s="359"/>
      <c r="J635" s="359"/>
      <c r="K635" s="369"/>
      <c r="L635" s="369"/>
      <c r="M635" s="359"/>
      <c r="N635" s="359"/>
      <c r="O635" s="361" t="s">
        <v>8083</v>
      </c>
      <c r="P635" s="291" t="s">
        <v>307</v>
      </c>
      <c r="Q635" s="361" t="s">
        <v>307</v>
      </c>
      <c r="R635" s="359"/>
      <c r="S635" s="359"/>
      <c r="T635" s="359"/>
      <c r="U635" s="359"/>
      <c r="V635" s="359"/>
      <c r="W635" s="359"/>
      <c r="X635" s="359"/>
      <c r="Y635" s="359"/>
      <c r="Z635" s="359"/>
      <c r="AA635" s="359"/>
      <c r="AB635" s="359"/>
      <c r="AC635" s="359"/>
      <c r="AD635" s="349"/>
      <c r="AE635" s="349"/>
      <c r="AF635" s="349"/>
      <c r="AG635" s="349"/>
      <c r="AH635" s="349"/>
      <c r="AI635" s="349"/>
      <c r="AJ635" s="349"/>
      <c r="AK635" s="349"/>
      <c r="AL635" s="349"/>
      <c r="AM635" s="349"/>
      <c r="AN635" s="349"/>
      <c r="AO635" s="349"/>
      <c r="AP635" s="349"/>
      <c r="AQ635" s="349"/>
      <c r="AR635" s="349"/>
      <c r="AS635" s="349"/>
      <c r="AT635" s="349"/>
      <c r="AU635" s="349"/>
      <c r="AV635" s="349"/>
      <c r="AW635" s="349"/>
      <c r="AX635" s="349"/>
    </row>
    <row r="636" ht="15.75" customHeight="1">
      <c r="A636" s="221" t="s">
        <v>112</v>
      </c>
      <c r="B636" s="198" t="s">
        <v>6546</v>
      </c>
      <c r="C636" s="190" t="s">
        <v>6547</v>
      </c>
      <c r="D636" s="190" t="s">
        <v>6548</v>
      </c>
      <c r="E636" s="190" t="s">
        <v>6549</v>
      </c>
      <c r="F636" s="190"/>
      <c r="G636" s="348"/>
      <c r="H636" s="348"/>
      <c r="I636" s="348"/>
      <c r="J636" s="348"/>
      <c r="K636" s="348"/>
      <c r="L636" s="348"/>
      <c r="M636" s="348"/>
      <c r="N636" s="348"/>
      <c r="O636" s="348"/>
      <c r="P636" s="291" t="s">
        <v>307</v>
      </c>
      <c r="Q636" s="348"/>
      <c r="R636" s="348"/>
      <c r="S636" s="348"/>
      <c r="T636" s="335" t="s">
        <v>8084</v>
      </c>
      <c r="U636" s="348"/>
      <c r="V636" s="348"/>
      <c r="W636" s="348"/>
      <c r="X636" s="348"/>
      <c r="Y636" s="348"/>
      <c r="Z636" s="348"/>
      <c r="AA636" s="348"/>
      <c r="AB636" s="348"/>
      <c r="AC636" s="348"/>
      <c r="AD636" s="349"/>
      <c r="AE636" s="349"/>
      <c r="AF636" s="349"/>
      <c r="AG636" s="349"/>
      <c r="AH636" s="349"/>
      <c r="AI636" s="349"/>
      <c r="AJ636" s="349"/>
      <c r="AK636" s="349"/>
      <c r="AL636" s="349"/>
      <c r="AM636" s="349"/>
      <c r="AN636" s="349"/>
      <c r="AO636" s="349"/>
      <c r="AP636" s="349"/>
      <c r="AQ636" s="349"/>
      <c r="AR636" s="349"/>
      <c r="AS636" s="349"/>
      <c r="AT636" s="349"/>
      <c r="AU636" s="349"/>
      <c r="AV636" s="349"/>
      <c r="AW636" s="349"/>
      <c r="AX636" s="349"/>
    </row>
    <row r="637" ht="15.75" customHeight="1">
      <c r="A637" s="305" t="s">
        <v>450</v>
      </c>
      <c r="B637" s="224" t="s">
        <v>6513</v>
      </c>
      <c r="C637" s="190"/>
      <c r="D637" s="190"/>
      <c r="E637" s="190"/>
      <c r="F637" s="190"/>
      <c r="G637" s="362"/>
      <c r="H637" s="362"/>
      <c r="I637" s="362"/>
      <c r="J637" s="362"/>
      <c r="K637" s="362"/>
      <c r="L637" s="362"/>
      <c r="M637" s="362"/>
      <c r="N637" s="362"/>
      <c r="O637" s="419"/>
      <c r="P637" s="291" t="s">
        <v>307</v>
      </c>
      <c r="Q637" s="362"/>
      <c r="R637" s="362"/>
      <c r="S637" s="362"/>
      <c r="T637" s="362"/>
      <c r="U637" s="362"/>
      <c r="V637" s="362"/>
      <c r="W637" s="362"/>
      <c r="X637" s="362"/>
      <c r="Y637" s="362"/>
      <c r="Z637" s="362"/>
      <c r="AA637" s="362"/>
      <c r="AB637" s="362"/>
      <c r="AC637" s="362"/>
      <c r="AD637" s="349"/>
      <c r="AE637" s="349"/>
      <c r="AF637" s="349"/>
      <c r="AG637" s="349"/>
      <c r="AH637" s="349"/>
      <c r="AI637" s="349"/>
      <c r="AJ637" s="349"/>
      <c r="AK637" s="349"/>
      <c r="AL637" s="349"/>
      <c r="AM637" s="349"/>
      <c r="AN637" s="349"/>
      <c r="AO637" s="349"/>
      <c r="AP637" s="349"/>
      <c r="AQ637" s="349"/>
      <c r="AR637" s="349"/>
      <c r="AS637" s="349"/>
      <c r="AT637" s="349"/>
      <c r="AU637" s="349"/>
      <c r="AV637" s="349"/>
      <c r="AW637" s="349"/>
      <c r="AX637" s="349"/>
    </row>
    <row r="638" ht="15.75" customHeight="1">
      <c r="A638" s="221" t="s">
        <v>256</v>
      </c>
      <c r="B638" s="198" t="s">
        <v>6558</v>
      </c>
      <c r="C638" s="190"/>
      <c r="D638" s="190"/>
      <c r="E638" s="190"/>
      <c r="F638" s="190"/>
      <c r="G638" s="348"/>
      <c r="H638" s="348"/>
      <c r="I638" s="348"/>
      <c r="J638" s="348"/>
      <c r="K638" s="348"/>
      <c r="L638" s="348"/>
      <c r="M638" s="348"/>
      <c r="N638" s="348"/>
      <c r="O638" s="308"/>
      <c r="P638" s="291" t="s">
        <v>307</v>
      </c>
      <c r="Q638" s="348"/>
      <c r="R638" s="348"/>
      <c r="S638" s="348"/>
      <c r="T638" s="335" t="s">
        <v>260</v>
      </c>
      <c r="U638" s="348"/>
      <c r="V638" s="348"/>
      <c r="W638" s="348"/>
      <c r="X638" s="348"/>
      <c r="Y638" s="348"/>
      <c r="Z638" s="348"/>
      <c r="AA638" s="348"/>
      <c r="AB638" s="348"/>
      <c r="AC638" s="348"/>
      <c r="AD638" s="349"/>
      <c r="AE638" s="349"/>
      <c r="AF638" s="349"/>
      <c r="AG638" s="349"/>
      <c r="AH638" s="349"/>
      <c r="AI638" s="349"/>
      <c r="AJ638" s="349"/>
      <c r="AK638" s="349"/>
      <c r="AL638" s="349"/>
      <c r="AM638" s="349"/>
      <c r="AN638" s="349"/>
      <c r="AO638" s="349"/>
      <c r="AP638" s="349"/>
      <c r="AQ638" s="349"/>
      <c r="AR638" s="349"/>
      <c r="AS638" s="349"/>
      <c r="AT638" s="349"/>
      <c r="AU638" s="349"/>
      <c r="AV638" s="349"/>
      <c r="AW638" s="349"/>
      <c r="AX638" s="349"/>
    </row>
    <row r="639">
      <c r="A639" s="221" t="s">
        <v>112</v>
      </c>
      <c r="B639" s="198" t="s">
        <v>6563</v>
      </c>
      <c r="C639" s="190"/>
      <c r="D639" s="190"/>
      <c r="E639" s="190"/>
      <c r="F639" s="190"/>
      <c r="G639" s="420"/>
      <c r="H639" s="420"/>
      <c r="I639" s="420"/>
      <c r="J639" s="420"/>
      <c r="K639" s="420"/>
      <c r="L639" s="420"/>
      <c r="M639" s="420"/>
      <c r="N639" s="420"/>
      <c r="O639" s="420"/>
      <c r="P639" s="291" t="s">
        <v>307</v>
      </c>
      <c r="Q639" s="420"/>
      <c r="R639" s="420"/>
      <c r="S639" s="420"/>
      <c r="T639" s="421" t="s">
        <v>8085</v>
      </c>
      <c r="U639" s="420"/>
      <c r="V639" s="420"/>
      <c r="W639" s="420"/>
      <c r="X639" s="420"/>
      <c r="Y639" s="420"/>
      <c r="Z639" s="420"/>
      <c r="AA639" s="420"/>
      <c r="AB639" s="420"/>
      <c r="AC639" s="420"/>
      <c r="AD639" s="413"/>
      <c r="AE639" s="413"/>
      <c r="AF639" s="413"/>
      <c r="AG639" s="413"/>
      <c r="AH639" s="413"/>
      <c r="AI639" s="413"/>
      <c r="AJ639" s="413"/>
      <c r="AK639" s="413"/>
      <c r="AL639" s="413"/>
      <c r="AM639" s="413"/>
      <c r="AN639" s="413"/>
      <c r="AO639" s="413"/>
      <c r="AP639" s="413"/>
      <c r="AQ639" s="413"/>
      <c r="AR639" s="413"/>
      <c r="AS639" s="413"/>
      <c r="AT639" s="413"/>
      <c r="AU639" s="413"/>
      <c r="AV639" s="413"/>
      <c r="AW639" s="413"/>
      <c r="AX639" s="413"/>
    </row>
    <row r="640" ht="15.75" customHeight="1">
      <c r="A640" s="299" t="s">
        <v>1060</v>
      </c>
      <c r="B640" s="300" t="s">
        <v>6565</v>
      </c>
      <c r="C640" s="190" t="s">
        <v>6569</v>
      </c>
      <c r="D640" s="190" t="s">
        <v>6570</v>
      </c>
      <c r="E640" s="190" t="s">
        <v>6571</v>
      </c>
      <c r="F640" s="190"/>
      <c r="G640" s="293"/>
      <c r="H640" s="293"/>
      <c r="I640" s="356"/>
      <c r="J640" s="355"/>
      <c r="K640" s="356"/>
      <c r="L640" s="356"/>
      <c r="M640" s="356"/>
      <c r="N640" s="356"/>
      <c r="O640" s="356"/>
      <c r="P640" s="291" t="s">
        <v>307</v>
      </c>
      <c r="Q640" s="291" t="s">
        <v>307</v>
      </c>
      <c r="R640" s="356"/>
      <c r="S640" s="356"/>
      <c r="T640" s="356"/>
      <c r="U640" s="356"/>
      <c r="V640" s="356"/>
      <c r="W640" s="356"/>
      <c r="X640" s="356"/>
      <c r="Y640" s="356"/>
      <c r="Z640" s="356"/>
      <c r="AA640" s="356"/>
      <c r="AB640" s="356"/>
      <c r="AC640" s="356"/>
      <c r="AD640" s="349"/>
      <c r="AE640" s="349"/>
      <c r="AF640" s="349"/>
      <c r="AG640" s="349"/>
      <c r="AH640" s="349"/>
      <c r="AI640" s="349"/>
      <c r="AJ640" s="349"/>
      <c r="AK640" s="349"/>
      <c r="AL640" s="349"/>
      <c r="AM640" s="349"/>
      <c r="AN640" s="349"/>
      <c r="AO640" s="349"/>
      <c r="AP640" s="349"/>
      <c r="AQ640" s="349"/>
      <c r="AR640" s="349"/>
      <c r="AS640" s="349"/>
      <c r="AT640" s="349"/>
      <c r="AU640" s="349"/>
      <c r="AV640" s="349"/>
      <c r="AW640" s="349"/>
      <c r="AX640" s="349"/>
    </row>
    <row r="641" ht="15.75" customHeight="1">
      <c r="A641" s="301" t="s">
        <v>220</v>
      </c>
      <c r="B641" s="302" t="s">
        <v>6572</v>
      </c>
      <c r="C641" s="190" t="s">
        <v>6576</v>
      </c>
      <c r="D641" s="190" t="s">
        <v>6577</v>
      </c>
      <c r="E641" s="190" t="s">
        <v>6578</v>
      </c>
      <c r="F641" s="190"/>
      <c r="G641" s="293"/>
      <c r="H641" s="293"/>
      <c r="I641" s="366"/>
      <c r="J641" s="367"/>
      <c r="K641" s="366"/>
      <c r="L641" s="366"/>
      <c r="M641" s="366"/>
      <c r="N641" s="366"/>
      <c r="O641" s="368" t="s">
        <v>8086</v>
      </c>
      <c r="P641" s="291" t="s">
        <v>307</v>
      </c>
      <c r="Q641" s="368" t="s">
        <v>307</v>
      </c>
      <c r="R641" s="366"/>
      <c r="S641" s="366"/>
      <c r="T641" s="422"/>
      <c r="U641" s="366"/>
      <c r="V641" s="366"/>
      <c r="W641" s="366"/>
      <c r="X641" s="366"/>
      <c r="Y641" s="366"/>
      <c r="Z641" s="366"/>
      <c r="AA641" s="366"/>
      <c r="AB641" s="366"/>
      <c r="AC641" s="366"/>
      <c r="AD641" s="349"/>
      <c r="AE641" s="349"/>
      <c r="AF641" s="349"/>
      <c r="AG641" s="349"/>
      <c r="AH641" s="349"/>
      <c r="AI641" s="349"/>
      <c r="AJ641" s="349"/>
      <c r="AK641" s="349"/>
      <c r="AL641" s="349"/>
      <c r="AM641" s="349"/>
      <c r="AN641" s="349"/>
      <c r="AO641" s="349"/>
      <c r="AP641" s="349"/>
      <c r="AQ641" s="349"/>
      <c r="AR641" s="349"/>
      <c r="AS641" s="349"/>
      <c r="AT641" s="349"/>
      <c r="AU641" s="349"/>
      <c r="AV641" s="349"/>
      <c r="AW641" s="349"/>
      <c r="AX641" s="349"/>
    </row>
    <row r="642" ht="15.75" customHeight="1">
      <c r="A642" s="306" t="s">
        <v>247</v>
      </c>
      <c r="B642" s="307" t="s">
        <v>6580</v>
      </c>
      <c r="C642" s="190" t="s">
        <v>6584</v>
      </c>
      <c r="D642" s="190" t="s">
        <v>6585</v>
      </c>
      <c r="E642" s="190" t="s">
        <v>6586</v>
      </c>
      <c r="F642" s="190"/>
      <c r="G642" s="293"/>
      <c r="H642" s="293"/>
      <c r="I642" s="359"/>
      <c r="J642" s="359"/>
      <c r="K642" s="369"/>
      <c r="L642" s="369"/>
      <c r="M642" s="359"/>
      <c r="N642" s="359"/>
      <c r="O642" s="361" t="s">
        <v>8086</v>
      </c>
      <c r="P642" s="291" t="s">
        <v>307</v>
      </c>
      <c r="Q642" s="361" t="s">
        <v>307</v>
      </c>
      <c r="R642" s="359"/>
      <c r="S642" s="359"/>
      <c r="T642" s="391"/>
      <c r="U642" s="359"/>
      <c r="V642" s="359"/>
      <c r="W642" s="359"/>
      <c r="X642" s="359"/>
      <c r="Y642" s="359"/>
      <c r="Z642" s="359"/>
      <c r="AA642" s="359"/>
      <c r="AB642" s="359"/>
      <c r="AC642" s="359"/>
      <c r="AD642" s="349"/>
      <c r="AE642" s="349"/>
      <c r="AF642" s="349"/>
      <c r="AG642" s="349"/>
      <c r="AH642" s="349"/>
      <c r="AI642" s="349"/>
      <c r="AJ642" s="349"/>
      <c r="AK642" s="349"/>
      <c r="AL642" s="349"/>
      <c r="AM642" s="349"/>
      <c r="AN642" s="349"/>
      <c r="AO642" s="349"/>
      <c r="AP642" s="349"/>
      <c r="AQ642" s="349"/>
      <c r="AR642" s="349"/>
      <c r="AS642" s="349"/>
      <c r="AT642" s="349"/>
      <c r="AU642" s="349"/>
      <c r="AV642" s="349"/>
      <c r="AW642" s="349"/>
      <c r="AX642" s="349"/>
    </row>
    <row r="643" ht="15.75" customHeight="1">
      <c r="A643" s="221" t="s">
        <v>112</v>
      </c>
      <c r="B643" s="198" t="s">
        <v>6587</v>
      </c>
      <c r="C643" s="190" t="s">
        <v>6588</v>
      </c>
      <c r="D643" s="190"/>
      <c r="E643" s="190"/>
      <c r="F643" s="190"/>
      <c r="G643" s="348"/>
      <c r="H643" s="348"/>
      <c r="I643" s="348"/>
      <c r="J643" s="348"/>
      <c r="K643" s="348"/>
      <c r="L643" s="348"/>
      <c r="M643" s="348"/>
      <c r="N643" s="348"/>
      <c r="O643" s="348"/>
      <c r="P643" s="291" t="s">
        <v>307</v>
      </c>
      <c r="Q643" s="348"/>
      <c r="R643" s="348"/>
      <c r="S643" s="348"/>
      <c r="T643" s="335" t="s">
        <v>8087</v>
      </c>
      <c r="U643" s="348"/>
      <c r="V643" s="348"/>
      <c r="W643" s="348"/>
      <c r="X643" s="348"/>
      <c r="Y643" s="348"/>
      <c r="Z643" s="348"/>
      <c r="AA643" s="348"/>
      <c r="AB643" s="348"/>
      <c r="AC643" s="348"/>
      <c r="AD643" s="349"/>
      <c r="AE643" s="349"/>
      <c r="AF643" s="349"/>
      <c r="AG643" s="349"/>
      <c r="AH643" s="349"/>
      <c r="AI643" s="349"/>
      <c r="AJ643" s="349"/>
      <c r="AK643" s="349"/>
      <c r="AL643" s="349"/>
      <c r="AM643" s="349"/>
      <c r="AN643" s="349"/>
      <c r="AO643" s="349"/>
      <c r="AP643" s="349"/>
      <c r="AQ643" s="349"/>
      <c r="AR643" s="349"/>
      <c r="AS643" s="349"/>
      <c r="AT643" s="349"/>
      <c r="AU643" s="349"/>
      <c r="AV643" s="349"/>
      <c r="AW643" s="349"/>
      <c r="AX643" s="349"/>
    </row>
    <row r="644" ht="15.75" customHeight="1">
      <c r="A644" s="221" t="s">
        <v>112</v>
      </c>
      <c r="B644" s="198" t="s">
        <v>6593</v>
      </c>
      <c r="C644" s="190" t="s">
        <v>6594</v>
      </c>
      <c r="D644" s="190"/>
      <c r="E644" s="190"/>
      <c r="F644" s="190"/>
      <c r="G644" s="348"/>
      <c r="H644" s="348"/>
      <c r="I644" s="348"/>
      <c r="J644" s="348"/>
      <c r="K644" s="348"/>
      <c r="L644" s="348"/>
      <c r="M644" s="348"/>
      <c r="N644" s="348"/>
      <c r="O644" s="348"/>
      <c r="P644" s="291" t="s">
        <v>307</v>
      </c>
      <c r="Q644" s="348"/>
      <c r="R644" s="348"/>
      <c r="S644" s="348"/>
      <c r="T644" s="423" t="s">
        <v>8088</v>
      </c>
      <c r="U644" s="348"/>
      <c r="V644" s="348"/>
      <c r="W644" s="348"/>
      <c r="X644" s="348"/>
      <c r="Y644" s="348"/>
      <c r="Z644" s="348"/>
      <c r="AA644" s="348"/>
      <c r="AB644" s="348"/>
      <c r="AC644" s="348"/>
      <c r="AD644" s="349"/>
      <c r="AE644" s="349"/>
      <c r="AF644" s="349"/>
      <c r="AG644" s="349"/>
      <c r="AH644" s="349"/>
      <c r="AI644" s="349"/>
      <c r="AJ644" s="349"/>
      <c r="AK644" s="349"/>
      <c r="AL644" s="349"/>
      <c r="AM644" s="349"/>
      <c r="AN644" s="349"/>
      <c r="AO644" s="349"/>
      <c r="AP644" s="349"/>
      <c r="AQ644" s="349"/>
      <c r="AR644" s="349"/>
      <c r="AS644" s="349"/>
      <c r="AT644" s="349"/>
      <c r="AU644" s="349"/>
      <c r="AV644" s="349"/>
      <c r="AW644" s="349"/>
      <c r="AX644" s="349"/>
    </row>
    <row r="645" ht="15.75" customHeight="1">
      <c r="A645" s="221" t="s">
        <v>112</v>
      </c>
      <c r="B645" s="198" t="s">
        <v>6599</v>
      </c>
      <c r="C645" s="190" t="s">
        <v>6600</v>
      </c>
      <c r="D645" s="190"/>
      <c r="E645" s="190"/>
      <c r="F645" s="190"/>
      <c r="G645" s="348"/>
      <c r="H645" s="348"/>
      <c r="I645" s="348"/>
      <c r="J645" s="348"/>
      <c r="K645" s="348"/>
      <c r="L645" s="348"/>
      <c r="M645" s="348"/>
      <c r="N645" s="348"/>
      <c r="O645" s="348"/>
      <c r="P645" s="291" t="s">
        <v>307</v>
      </c>
      <c r="Q645" s="348"/>
      <c r="R645" s="348"/>
      <c r="S645" s="348"/>
      <c r="T645" s="335" t="s">
        <v>8089</v>
      </c>
      <c r="U645" s="348"/>
      <c r="V645" s="348"/>
      <c r="W645" s="348"/>
      <c r="X645" s="348"/>
      <c r="Y645" s="348"/>
      <c r="Z645" s="348"/>
      <c r="AA645" s="348"/>
      <c r="AB645" s="348"/>
      <c r="AC645" s="348"/>
      <c r="AD645" s="349"/>
      <c r="AE645" s="349"/>
      <c r="AF645" s="349"/>
      <c r="AG645" s="349"/>
      <c r="AH645" s="349"/>
      <c r="AI645" s="349"/>
      <c r="AJ645" s="349"/>
      <c r="AK645" s="349"/>
      <c r="AL645" s="349"/>
      <c r="AM645" s="349"/>
      <c r="AN645" s="349"/>
      <c r="AO645" s="349"/>
      <c r="AP645" s="349"/>
      <c r="AQ645" s="349"/>
      <c r="AR645" s="349"/>
      <c r="AS645" s="349"/>
      <c r="AT645" s="349"/>
      <c r="AU645" s="349"/>
      <c r="AV645" s="349"/>
      <c r="AW645" s="349"/>
      <c r="AX645" s="349"/>
    </row>
    <row r="646" ht="15.75" customHeight="1">
      <c r="A646" s="221" t="s">
        <v>112</v>
      </c>
      <c r="B646" s="198" t="s">
        <v>6602</v>
      </c>
      <c r="C646" s="190" t="s">
        <v>6603</v>
      </c>
      <c r="D646" s="190"/>
      <c r="E646" s="190"/>
      <c r="F646" s="190"/>
      <c r="G646" s="348"/>
      <c r="H646" s="348"/>
      <c r="I646" s="348"/>
      <c r="J646" s="348"/>
      <c r="K646" s="348"/>
      <c r="L646" s="348"/>
      <c r="M646" s="348"/>
      <c r="N646" s="348"/>
      <c r="O646" s="348"/>
      <c r="P646" s="291" t="s">
        <v>307</v>
      </c>
      <c r="Q646" s="348"/>
      <c r="R646" s="348"/>
      <c r="S646" s="348"/>
      <c r="T646" s="335" t="s">
        <v>8090</v>
      </c>
      <c r="U646" s="348"/>
      <c r="V646" s="348"/>
      <c r="W646" s="348"/>
      <c r="X646" s="348"/>
      <c r="Y646" s="348"/>
      <c r="Z646" s="348"/>
      <c r="AA646" s="348"/>
      <c r="AB646" s="348"/>
      <c r="AC646" s="348"/>
      <c r="AD646" s="349"/>
      <c r="AE646" s="349"/>
      <c r="AF646" s="349"/>
      <c r="AG646" s="349"/>
      <c r="AH646" s="349"/>
      <c r="AI646" s="349"/>
      <c r="AJ646" s="349"/>
      <c r="AK646" s="349"/>
      <c r="AL646" s="349"/>
      <c r="AM646" s="349"/>
      <c r="AN646" s="349"/>
      <c r="AO646" s="349"/>
      <c r="AP646" s="349"/>
      <c r="AQ646" s="349"/>
      <c r="AR646" s="349"/>
      <c r="AS646" s="349"/>
      <c r="AT646" s="349"/>
      <c r="AU646" s="349"/>
      <c r="AV646" s="349"/>
      <c r="AW646" s="349"/>
      <c r="AX646" s="349"/>
    </row>
    <row r="647" ht="15.75" customHeight="1">
      <c r="A647" s="221" t="s">
        <v>112</v>
      </c>
      <c r="B647" s="198" t="s">
        <v>6608</v>
      </c>
      <c r="C647" s="190" t="s">
        <v>6609</v>
      </c>
      <c r="D647" s="190"/>
      <c r="E647" s="190"/>
      <c r="F647" s="190"/>
      <c r="G647" s="348"/>
      <c r="H647" s="348"/>
      <c r="I647" s="348"/>
      <c r="J647" s="348"/>
      <c r="K647" s="348"/>
      <c r="L647" s="348"/>
      <c r="M647" s="348"/>
      <c r="N647" s="348"/>
      <c r="O647" s="308"/>
      <c r="P647" s="291" t="s">
        <v>307</v>
      </c>
      <c r="Q647" s="348"/>
      <c r="R647" s="348"/>
      <c r="S647" s="348"/>
      <c r="T647" s="335" t="s">
        <v>8091</v>
      </c>
      <c r="U647" s="348"/>
      <c r="V647" s="348"/>
      <c r="W647" s="348"/>
      <c r="X647" s="348"/>
      <c r="Y647" s="348"/>
      <c r="Z647" s="348"/>
      <c r="AA647" s="348"/>
      <c r="AB647" s="348"/>
      <c r="AC647" s="348"/>
      <c r="AD647" s="349"/>
      <c r="AE647" s="349"/>
      <c r="AF647" s="349"/>
      <c r="AG647" s="349"/>
      <c r="AH647" s="349"/>
      <c r="AI647" s="349"/>
      <c r="AJ647" s="349"/>
      <c r="AK647" s="349"/>
      <c r="AL647" s="349"/>
      <c r="AM647" s="349"/>
      <c r="AN647" s="349"/>
      <c r="AO647" s="349"/>
      <c r="AP647" s="349"/>
      <c r="AQ647" s="349"/>
      <c r="AR647" s="349"/>
      <c r="AS647" s="349"/>
      <c r="AT647" s="349"/>
      <c r="AU647" s="349"/>
      <c r="AV647" s="349"/>
      <c r="AW647" s="349"/>
      <c r="AX647" s="349"/>
    </row>
    <row r="648" ht="15.75" customHeight="1">
      <c r="A648" s="221" t="s">
        <v>112</v>
      </c>
      <c r="B648" s="198" t="s">
        <v>6610</v>
      </c>
      <c r="C648" s="190" t="s">
        <v>6611</v>
      </c>
      <c r="D648" s="190"/>
      <c r="E648" s="190"/>
      <c r="F648" s="190"/>
      <c r="G648" s="348"/>
      <c r="H648" s="348"/>
      <c r="I648" s="348"/>
      <c r="J648" s="348"/>
      <c r="K648" s="348"/>
      <c r="L648" s="348"/>
      <c r="M648" s="348"/>
      <c r="N648" s="348"/>
      <c r="O648" s="348"/>
      <c r="P648" s="291" t="s">
        <v>307</v>
      </c>
      <c r="Q648" s="348"/>
      <c r="R648" s="348"/>
      <c r="S648" s="348"/>
      <c r="T648" s="335" t="s">
        <v>8092</v>
      </c>
      <c r="U648" s="348"/>
      <c r="V648" s="348"/>
      <c r="W648" s="348"/>
      <c r="X648" s="348"/>
      <c r="Y648" s="348"/>
      <c r="Z648" s="348"/>
      <c r="AA648" s="348"/>
      <c r="AB648" s="348"/>
      <c r="AC648" s="348"/>
      <c r="AD648" s="349"/>
      <c r="AE648" s="349"/>
      <c r="AF648" s="349"/>
      <c r="AG648" s="349"/>
      <c r="AH648" s="349"/>
      <c r="AI648" s="349"/>
      <c r="AJ648" s="349"/>
      <c r="AK648" s="349"/>
      <c r="AL648" s="349"/>
      <c r="AM648" s="349"/>
      <c r="AN648" s="349"/>
      <c r="AO648" s="349"/>
      <c r="AP648" s="349"/>
      <c r="AQ648" s="349"/>
      <c r="AR648" s="349"/>
      <c r="AS648" s="349"/>
      <c r="AT648" s="349"/>
      <c r="AU648" s="349"/>
      <c r="AV648" s="349"/>
      <c r="AW648" s="349"/>
      <c r="AX648" s="349"/>
    </row>
    <row r="649" ht="15.75" customHeight="1">
      <c r="A649" s="221" t="s">
        <v>112</v>
      </c>
      <c r="B649" s="198" t="s">
        <v>6613</v>
      </c>
      <c r="C649" s="190" t="s">
        <v>6614</v>
      </c>
      <c r="D649" s="190"/>
      <c r="E649" s="190"/>
      <c r="F649" s="190"/>
      <c r="G649" s="348"/>
      <c r="H649" s="348"/>
      <c r="I649" s="348"/>
      <c r="J649" s="348"/>
      <c r="K649" s="348"/>
      <c r="L649" s="348"/>
      <c r="M649" s="348"/>
      <c r="N649" s="348"/>
      <c r="O649" s="348"/>
      <c r="P649" s="291" t="s">
        <v>307</v>
      </c>
      <c r="Q649" s="348"/>
      <c r="R649" s="348"/>
      <c r="S649" s="348"/>
      <c r="T649" s="335" t="s">
        <v>8093</v>
      </c>
      <c r="U649" s="348"/>
      <c r="V649" s="348"/>
      <c r="W649" s="348"/>
      <c r="X649" s="348"/>
      <c r="Y649" s="348"/>
      <c r="Z649" s="348"/>
      <c r="AA649" s="348"/>
      <c r="AB649" s="348"/>
      <c r="AC649" s="348"/>
      <c r="AD649" s="349"/>
      <c r="AE649" s="349"/>
      <c r="AF649" s="349"/>
      <c r="AG649" s="349"/>
      <c r="AH649" s="349"/>
      <c r="AI649" s="349"/>
      <c r="AJ649" s="349"/>
      <c r="AK649" s="349"/>
      <c r="AL649" s="349"/>
      <c r="AM649" s="349"/>
      <c r="AN649" s="349"/>
      <c r="AO649" s="349"/>
      <c r="AP649" s="349"/>
      <c r="AQ649" s="349"/>
      <c r="AR649" s="349"/>
      <c r="AS649" s="349"/>
      <c r="AT649" s="349"/>
      <c r="AU649" s="349"/>
      <c r="AV649" s="349"/>
      <c r="AW649" s="349"/>
      <c r="AX649" s="349"/>
    </row>
    <row r="650" ht="15.75" customHeight="1">
      <c r="A650" s="221" t="s">
        <v>112</v>
      </c>
      <c r="B650" s="198" t="s">
        <v>6618</v>
      </c>
      <c r="C650" s="190" t="s">
        <v>6619</v>
      </c>
      <c r="D650" s="190"/>
      <c r="E650" s="190"/>
      <c r="F650" s="190"/>
      <c r="G650" s="348"/>
      <c r="H650" s="348"/>
      <c r="I650" s="348"/>
      <c r="J650" s="348"/>
      <c r="K650" s="348"/>
      <c r="L650" s="348"/>
      <c r="M650" s="348"/>
      <c r="N650" s="348"/>
      <c r="O650" s="308"/>
      <c r="P650" s="291" t="s">
        <v>307</v>
      </c>
      <c r="Q650" s="348"/>
      <c r="R650" s="348"/>
      <c r="S650" s="348"/>
      <c r="T650" s="335" t="s">
        <v>8094</v>
      </c>
      <c r="U650" s="308"/>
      <c r="V650" s="348"/>
      <c r="W650" s="348"/>
      <c r="X650" s="348"/>
      <c r="Y650" s="348"/>
      <c r="Z650" s="348"/>
      <c r="AA650" s="348"/>
      <c r="AB650" s="348"/>
      <c r="AC650" s="348"/>
      <c r="AD650" s="349"/>
      <c r="AE650" s="349"/>
      <c r="AF650" s="349"/>
      <c r="AG650" s="349"/>
      <c r="AH650" s="349"/>
      <c r="AI650" s="349"/>
      <c r="AJ650" s="349"/>
      <c r="AK650" s="349"/>
      <c r="AL650" s="349"/>
      <c r="AM650" s="349"/>
      <c r="AN650" s="349"/>
      <c r="AO650" s="349"/>
      <c r="AP650" s="349"/>
      <c r="AQ650" s="349"/>
      <c r="AR650" s="349"/>
      <c r="AS650" s="349"/>
      <c r="AT650" s="349"/>
      <c r="AU650" s="349"/>
      <c r="AV650" s="349"/>
      <c r="AW650" s="349"/>
      <c r="AX650" s="349"/>
    </row>
    <row r="651" ht="15.75" customHeight="1">
      <c r="A651" s="221" t="s">
        <v>112</v>
      </c>
      <c r="B651" s="198" t="s">
        <v>6621</v>
      </c>
      <c r="C651" s="190"/>
      <c r="D651" s="190"/>
      <c r="E651" s="190"/>
      <c r="F651" s="190"/>
      <c r="G651" s="348"/>
      <c r="H651" s="348"/>
      <c r="I651" s="348"/>
      <c r="J651" s="348"/>
      <c r="K651" s="348"/>
      <c r="L651" s="348"/>
      <c r="M651" s="348"/>
      <c r="N651" s="348"/>
      <c r="O651" s="348"/>
      <c r="P651" s="291" t="s">
        <v>307</v>
      </c>
      <c r="Q651" s="348"/>
      <c r="R651" s="348"/>
      <c r="S651" s="348"/>
      <c r="T651" s="250" t="s">
        <v>8095</v>
      </c>
      <c r="U651" s="348"/>
      <c r="V651" s="348"/>
      <c r="W651" s="348"/>
      <c r="X651" s="348"/>
      <c r="Y651" s="348"/>
      <c r="Z651" s="348"/>
      <c r="AA651" s="348"/>
      <c r="AB651" s="348"/>
      <c r="AC651" s="348"/>
      <c r="AD651" s="349"/>
      <c r="AE651" s="349"/>
      <c r="AF651" s="349"/>
      <c r="AG651" s="349"/>
      <c r="AH651" s="349"/>
      <c r="AI651" s="349"/>
      <c r="AJ651" s="349"/>
      <c r="AK651" s="349"/>
      <c r="AL651" s="349"/>
      <c r="AM651" s="349"/>
      <c r="AN651" s="349"/>
      <c r="AO651" s="349"/>
      <c r="AP651" s="349"/>
      <c r="AQ651" s="349"/>
      <c r="AR651" s="349"/>
      <c r="AS651" s="349"/>
      <c r="AT651" s="349"/>
      <c r="AU651" s="349"/>
      <c r="AV651" s="349"/>
      <c r="AW651" s="349"/>
      <c r="AX651" s="349"/>
    </row>
    <row r="652" ht="15.75" customHeight="1">
      <c r="A652" s="299" t="s">
        <v>1060</v>
      </c>
      <c r="B652" s="300" t="s">
        <v>6622</v>
      </c>
      <c r="C652" s="190" t="s">
        <v>6629</v>
      </c>
      <c r="D652" s="190" t="s">
        <v>6630</v>
      </c>
      <c r="E652" s="190" t="s">
        <v>6631</v>
      </c>
      <c r="F652" s="190"/>
      <c r="G652" s="293"/>
      <c r="H652" s="293"/>
      <c r="I652" s="356"/>
      <c r="J652" s="355"/>
      <c r="K652" s="291" t="s">
        <v>8076</v>
      </c>
      <c r="L652" s="291" t="s">
        <v>8096</v>
      </c>
      <c r="M652" s="356"/>
      <c r="N652" s="356"/>
      <c r="O652" s="356"/>
      <c r="P652" s="291" t="s">
        <v>307</v>
      </c>
      <c r="Q652" s="291" t="s">
        <v>307</v>
      </c>
      <c r="R652" s="356"/>
      <c r="S652" s="356"/>
      <c r="T652" s="356"/>
      <c r="U652" s="356"/>
      <c r="V652" s="356"/>
      <c r="W652" s="356"/>
      <c r="X652" s="356"/>
      <c r="Y652" s="356"/>
      <c r="Z652" s="356"/>
      <c r="AA652" s="356"/>
      <c r="AB652" s="356"/>
      <c r="AC652" s="356"/>
      <c r="AD652" s="349"/>
      <c r="AE652" s="349"/>
      <c r="AF652" s="349"/>
      <c r="AG652" s="349"/>
      <c r="AH652" s="349"/>
      <c r="AI652" s="349"/>
      <c r="AJ652" s="349"/>
      <c r="AK652" s="349"/>
      <c r="AL652" s="349"/>
      <c r="AM652" s="349"/>
      <c r="AN652" s="349"/>
      <c r="AO652" s="349"/>
      <c r="AP652" s="349"/>
      <c r="AQ652" s="349"/>
      <c r="AR652" s="349"/>
      <c r="AS652" s="349"/>
      <c r="AT652" s="349"/>
      <c r="AU652" s="349"/>
      <c r="AV652" s="349"/>
      <c r="AW652" s="349"/>
      <c r="AX652" s="349"/>
    </row>
    <row r="653" ht="15.75" customHeight="1">
      <c r="A653" s="297" t="s">
        <v>46</v>
      </c>
      <c r="B653" s="298" t="s">
        <v>6632</v>
      </c>
      <c r="C653" s="190" t="s">
        <v>6634</v>
      </c>
      <c r="D653" s="282" t="s">
        <v>8097</v>
      </c>
      <c r="E653" s="282" t="s">
        <v>8098</v>
      </c>
      <c r="F653" s="190"/>
      <c r="G653" s="293"/>
      <c r="H653" s="293"/>
      <c r="I653" s="351"/>
      <c r="J653" s="351"/>
      <c r="K653" s="351"/>
      <c r="L653" s="351"/>
      <c r="M653" s="351"/>
      <c r="N653" s="351"/>
      <c r="O653" s="336" t="s">
        <v>7719</v>
      </c>
      <c r="P653" s="291"/>
      <c r="Q653" s="351"/>
      <c r="R653" s="351"/>
      <c r="S653" s="351"/>
      <c r="T653" s="351"/>
      <c r="U653" s="351"/>
      <c r="V653" s="351"/>
      <c r="W653" s="351"/>
      <c r="X653" s="351"/>
      <c r="Y653" s="351"/>
      <c r="Z653" s="351"/>
      <c r="AA653" s="351"/>
      <c r="AB653" s="351"/>
      <c r="AC653" s="351"/>
      <c r="AD653" s="349"/>
      <c r="AE653" s="349"/>
      <c r="AF653" s="349"/>
      <c r="AG653" s="349"/>
      <c r="AH653" s="349"/>
      <c r="AI653" s="349"/>
      <c r="AJ653" s="349"/>
      <c r="AK653" s="349"/>
      <c r="AL653" s="349"/>
      <c r="AM653" s="349"/>
      <c r="AN653" s="349"/>
      <c r="AO653" s="349"/>
      <c r="AP653" s="349"/>
      <c r="AQ653" s="349"/>
      <c r="AR653" s="349"/>
      <c r="AS653" s="349"/>
      <c r="AT653" s="349"/>
      <c r="AU653" s="349"/>
      <c r="AV653" s="349"/>
      <c r="AW653" s="349"/>
      <c r="AX653" s="349"/>
    </row>
    <row r="654" ht="15.75" customHeight="1">
      <c r="A654" s="221" t="s">
        <v>256</v>
      </c>
      <c r="B654" s="198" t="s">
        <v>6636</v>
      </c>
      <c r="C654" s="190"/>
      <c r="D654" s="190"/>
      <c r="E654" s="190"/>
      <c r="F654" s="190"/>
      <c r="G654" s="348"/>
      <c r="H654" s="348"/>
      <c r="I654" s="348"/>
      <c r="J654" s="348"/>
      <c r="K654" s="348"/>
      <c r="L654" s="348"/>
      <c r="M654" s="348"/>
      <c r="N654" s="348"/>
      <c r="O654" s="348"/>
      <c r="P654" s="291"/>
      <c r="Q654" s="348"/>
      <c r="R654" s="348"/>
      <c r="S654" s="348"/>
      <c r="T654" s="335" t="s">
        <v>260</v>
      </c>
      <c r="U654" s="348"/>
      <c r="V654" s="348"/>
      <c r="W654" s="348"/>
      <c r="X654" s="348"/>
      <c r="Y654" s="348"/>
      <c r="Z654" s="348"/>
      <c r="AA654" s="348"/>
      <c r="AB654" s="348"/>
      <c r="AC654" s="348"/>
      <c r="AD654" s="349"/>
      <c r="AE654" s="349"/>
      <c r="AF654" s="349"/>
      <c r="AG654" s="349"/>
      <c r="AH654" s="349"/>
      <c r="AI654" s="349"/>
      <c r="AJ654" s="349"/>
      <c r="AK654" s="349"/>
      <c r="AL654" s="349"/>
      <c r="AM654" s="349"/>
      <c r="AN654" s="349"/>
      <c r="AO654" s="349"/>
      <c r="AP654" s="349"/>
      <c r="AQ654" s="349"/>
      <c r="AR654" s="349"/>
      <c r="AS654" s="349"/>
      <c r="AT654" s="349"/>
      <c r="AU654" s="349"/>
      <c r="AV654" s="349"/>
      <c r="AW654" s="349"/>
      <c r="AX654" s="349"/>
    </row>
    <row r="655" ht="15.75" customHeight="1">
      <c r="A655" s="271" t="s">
        <v>385</v>
      </c>
      <c r="B655" s="165" t="s">
        <v>6639</v>
      </c>
      <c r="C655" s="190" t="s">
        <v>6640</v>
      </c>
      <c r="D655" s="190" t="s">
        <v>6641</v>
      </c>
      <c r="E655" s="190" t="s">
        <v>6642</v>
      </c>
      <c r="F655" s="190"/>
      <c r="G655" s="160"/>
      <c r="H655" s="160"/>
      <c r="I655" s="159"/>
      <c r="J655" s="159"/>
      <c r="K655" s="159"/>
      <c r="L655" s="159"/>
      <c r="M655" s="160"/>
      <c r="N655" s="160"/>
      <c r="O655" s="160"/>
      <c r="P655" s="291"/>
      <c r="Q655" s="159"/>
      <c r="R655" s="159"/>
      <c r="S655" s="159"/>
      <c r="T655" s="341"/>
      <c r="U655" s="424">
        <v>7.0</v>
      </c>
      <c r="V655" s="159"/>
      <c r="W655" s="159"/>
      <c r="X655" s="159"/>
      <c r="Y655" s="159"/>
      <c r="Z655" s="159"/>
      <c r="AA655" s="159"/>
      <c r="AB655" s="159"/>
      <c r="AC655" s="159"/>
      <c r="AD655" s="44"/>
      <c r="AE655" s="44"/>
      <c r="AF655" s="44"/>
      <c r="AG655" s="44"/>
      <c r="AH655" s="44"/>
      <c r="AI655" s="44"/>
      <c r="AJ655" s="44"/>
      <c r="AK655" s="44"/>
      <c r="AL655" s="44"/>
      <c r="AM655" s="44"/>
      <c r="AN655" s="44"/>
      <c r="AO655" s="44"/>
      <c r="AP655" s="44"/>
      <c r="AQ655" s="44"/>
      <c r="AR655" s="44"/>
      <c r="AS655" s="44"/>
      <c r="AT655" s="44"/>
      <c r="AU655" s="44"/>
      <c r="AV655" s="44"/>
      <c r="AW655" s="44"/>
      <c r="AX655" s="44"/>
    </row>
    <row r="656" ht="15.75" customHeight="1">
      <c r="A656" s="201" t="s">
        <v>112</v>
      </c>
      <c r="B656" s="202" t="s">
        <v>6647</v>
      </c>
      <c r="C656" s="190"/>
      <c r="D656" s="190"/>
      <c r="E656" s="190"/>
      <c r="F656" s="190"/>
      <c r="G656" s="71"/>
      <c r="H656" s="71"/>
      <c r="I656" s="71"/>
      <c r="J656" s="71"/>
      <c r="K656" s="71"/>
      <c r="L656" s="71"/>
      <c r="M656" s="71"/>
      <c r="N656" s="71"/>
      <c r="O656" s="71"/>
      <c r="P656" s="291"/>
      <c r="Q656" s="71"/>
      <c r="R656" s="71"/>
      <c r="S656" s="71"/>
      <c r="T656" s="425" t="s">
        <v>8099</v>
      </c>
      <c r="U656" s="71"/>
      <c r="V656" s="71"/>
      <c r="W656" s="71"/>
      <c r="X656" s="71"/>
      <c r="Y656" s="71"/>
      <c r="Z656" s="71"/>
      <c r="AA656" s="71"/>
      <c r="AB656" s="71"/>
      <c r="AC656" s="71"/>
      <c r="AD656" s="44"/>
      <c r="AE656" s="44"/>
      <c r="AF656" s="44"/>
      <c r="AG656" s="44"/>
      <c r="AH656" s="44"/>
      <c r="AI656" s="44"/>
      <c r="AJ656" s="44"/>
      <c r="AK656" s="44"/>
      <c r="AL656" s="44"/>
      <c r="AM656" s="44"/>
      <c r="AN656" s="44"/>
      <c r="AO656" s="44"/>
      <c r="AP656" s="44"/>
      <c r="AQ656" s="44"/>
      <c r="AR656" s="44"/>
      <c r="AS656" s="44"/>
      <c r="AT656" s="44"/>
      <c r="AU656" s="44"/>
      <c r="AV656" s="44"/>
      <c r="AW656" s="44"/>
      <c r="AX656" s="44"/>
    </row>
    <row r="657" ht="15.75" customHeight="1">
      <c r="A657" s="258" t="s">
        <v>247</v>
      </c>
      <c r="B657" s="259" t="s">
        <v>6649</v>
      </c>
      <c r="C657" s="190" t="s">
        <v>6654</v>
      </c>
      <c r="D657" s="282" t="s">
        <v>8100</v>
      </c>
      <c r="E657" s="190" t="s">
        <v>6656</v>
      </c>
      <c r="F657" s="190"/>
      <c r="G657" s="407"/>
      <c r="H657" s="407"/>
      <c r="I657" s="408"/>
      <c r="J657" s="408"/>
      <c r="K657" s="426" t="s">
        <v>4159</v>
      </c>
      <c r="L657" s="409"/>
      <c r="M657" s="408"/>
      <c r="N657" s="408"/>
      <c r="O657" s="408"/>
      <c r="P657" s="291"/>
      <c r="Q657" s="303" t="s">
        <v>307</v>
      </c>
      <c r="R657" s="408"/>
      <c r="S657" s="408"/>
      <c r="T657" s="408"/>
      <c r="U657" s="408"/>
      <c r="V657" s="408"/>
      <c r="W657" s="408"/>
      <c r="X657" s="408"/>
      <c r="Y657" s="408"/>
      <c r="Z657" s="408"/>
      <c r="AA657" s="408"/>
      <c r="AB657" s="408"/>
      <c r="AC657" s="408"/>
      <c r="AD657" s="44"/>
      <c r="AE657" s="44"/>
      <c r="AF657" s="44"/>
      <c r="AG657" s="44"/>
      <c r="AH657" s="44"/>
      <c r="AI657" s="44"/>
      <c r="AJ657" s="44"/>
      <c r="AK657" s="44"/>
      <c r="AL657" s="44"/>
      <c r="AM657" s="44"/>
      <c r="AN657" s="44"/>
      <c r="AO657" s="44"/>
      <c r="AP657" s="44"/>
      <c r="AQ657" s="44"/>
      <c r="AR657" s="44"/>
      <c r="AS657" s="44"/>
      <c r="AT657" s="44"/>
      <c r="AU657" s="44"/>
      <c r="AV657" s="44"/>
      <c r="AW657" s="44"/>
      <c r="AX657" s="44"/>
    </row>
    <row r="658" ht="15.75" customHeight="1">
      <c r="A658" s="258" t="s">
        <v>247</v>
      </c>
      <c r="B658" s="259" t="s">
        <v>6657</v>
      </c>
      <c r="C658" s="190" t="s">
        <v>6662</v>
      </c>
      <c r="D658" s="190" t="s">
        <v>6663</v>
      </c>
      <c r="E658" s="190" t="s">
        <v>6664</v>
      </c>
      <c r="F658" s="190" t="s">
        <v>8101</v>
      </c>
      <c r="G658" s="407"/>
      <c r="H658" s="407"/>
      <c r="I658" s="408"/>
      <c r="J658" s="408"/>
      <c r="K658" s="426" t="s">
        <v>4159</v>
      </c>
      <c r="L658" s="409"/>
      <c r="M658" s="408"/>
      <c r="N658" s="408"/>
      <c r="O658" s="303" t="s">
        <v>8102</v>
      </c>
      <c r="P658" s="291"/>
      <c r="Q658" s="303" t="s">
        <v>307</v>
      </c>
      <c r="R658" s="408"/>
      <c r="S658" s="408"/>
      <c r="T658" s="408"/>
      <c r="U658" s="408"/>
      <c r="V658" s="408"/>
      <c r="W658" s="408"/>
      <c r="X658" s="408"/>
      <c r="Y658" s="408"/>
      <c r="Z658" s="408"/>
      <c r="AA658" s="408"/>
      <c r="AB658" s="408"/>
      <c r="AC658" s="408"/>
      <c r="AD658" s="44"/>
      <c r="AE658" s="44"/>
      <c r="AF658" s="44"/>
      <c r="AG658" s="44"/>
      <c r="AH658" s="44"/>
      <c r="AI658" s="44"/>
      <c r="AJ658" s="44"/>
      <c r="AK658" s="44"/>
      <c r="AL658" s="44"/>
      <c r="AM658" s="44"/>
      <c r="AN658" s="44"/>
      <c r="AO658" s="44"/>
      <c r="AP658" s="44"/>
      <c r="AQ658" s="44"/>
      <c r="AR658" s="44"/>
      <c r="AS658" s="44"/>
      <c r="AT658" s="44"/>
      <c r="AU658" s="44"/>
      <c r="AV658" s="44"/>
      <c r="AW658" s="44"/>
      <c r="AX658" s="44"/>
    </row>
    <row r="659" ht="15.75" customHeight="1">
      <c r="A659" s="258" t="s">
        <v>247</v>
      </c>
      <c r="B659" s="259" t="s">
        <v>6665</v>
      </c>
      <c r="C659" s="190" t="s">
        <v>6670</v>
      </c>
      <c r="D659" s="282" t="s">
        <v>8103</v>
      </c>
      <c r="E659" s="190" t="s">
        <v>6672</v>
      </c>
      <c r="F659" s="190"/>
      <c r="G659" s="407"/>
      <c r="H659" s="407"/>
      <c r="I659" s="408"/>
      <c r="J659" s="408"/>
      <c r="K659" s="426" t="s">
        <v>4159</v>
      </c>
      <c r="L659" s="409"/>
      <c r="M659" s="408"/>
      <c r="N659" s="408"/>
      <c r="O659" s="408"/>
      <c r="P659" s="291"/>
      <c r="Q659" s="303" t="s">
        <v>307</v>
      </c>
      <c r="R659" s="408"/>
      <c r="S659" s="408"/>
      <c r="T659" s="408"/>
      <c r="U659" s="408"/>
      <c r="V659" s="408"/>
      <c r="W659" s="408"/>
      <c r="X659" s="408"/>
      <c r="Y659" s="408"/>
      <c r="Z659" s="408"/>
      <c r="AA659" s="408"/>
      <c r="AB659" s="408"/>
      <c r="AC659" s="408"/>
      <c r="AD659" s="44"/>
      <c r="AE659" s="44"/>
      <c r="AF659" s="44"/>
      <c r="AG659" s="44"/>
      <c r="AH659" s="44"/>
      <c r="AI659" s="44"/>
      <c r="AJ659" s="44"/>
      <c r="AK659" s="44"/>
      <c r="AL659" s="44"/>
      <c r="AM659" s="44"/>
      <c r="AN659" s="44"/>
      <c r="AO659" s="44"/>
      <c r="AP659" s="44"/>
      <c r="AQ659" s="44"/>
      <c r="AR659" s="44"/>
      <c r="AS659" s="44"/>
      <c r="AT659" s="44"/>
      <c r="AU659" s="44"/>
      <c r="AV659" s="44"/>
      <c r="AW659" s="44"/>
      <c r="AX659" s="44"/>
    </row>
    <row r="660" ht="15.75" customHeight="1">
      <c r="A660" s="258" t="s">
        <v>247</v>
      </c>
      <c r="B660" s="259" t="s">
        <v>6673</v>
      </c>
      <c r="C660" s="190" t="s">
        <v>6677</v>
      </c>
      <c r="D660" s="190" t="s">
        <v>6678</v>
      </c>
      <c r="E660" s="190" t="s">
        <v>6681</v>
      </c>
      <c r="F660" s="190" t="s">
        <v>8104</v>
      </c>
      <c r="G660" s="407"/>
      <c r="H660" s="407"/>
      <c r="I660" s="408"/>
      <c r="J660" s="408"/>
      <c r="K660" s="426" t="s">
        <v>4159</v>
      </c>
      <c r="L660" s="409"/>
      <c r="M660" s="408"/>
      <c r="N660" s="408"/>
      <c r="O660" s="303" t="s">
        <v>8105</v>
      </c>
      <c r="P660" s="291"/>
      <c r="Q660" s="303" t="s">
        <v>307</v>
      </c>
      <c r="R660" s="408"/>
      <c r="S660" s="408"/>
      <c r="T660" s="408"/>
      <c r="U660" s="408"/>
      <c r="V660" s="408"/>
      <c r="W660" s="408"/>
      <c r="X660" s="408"/>
      <c r="Y660" s="408"/>
      <c r="Z660" s="408"/>
      <c r="AA660" s="408"/>
      <c r="AB660" s="408"/>
      <c r="AC660" s="408"/>
      <c r="AD660" s="44"/>
      <c r="AE660" s="44"/>
      <c r="AF660" s="44"/>
      <c r="AG660" s="44"/>
      <c r="AH660" s="44"/>
      <c r="AI660" s="44"/>
      <c r="AJ660" s="44"/>
      <c r="AK660" s="44"/>
      <c r="AL660" s="44"/>
      <c r="AM660" s="44"/>
      <c r="AN660" s="44"/>
      <c r="AO660" s="44"/>
      <c r="AP660" s="44"/>
      <c r="AQ660" s="44"/>
      <c r="AR660" s="44"/>
      <c r="AS660" s="44"/>
      <c r="AT660" s="44"/>
      <c r="AU660" s="44"/>
      <c r="AV660" s="44"/>
      <c r="AW660" s="44"/>
      <c r="AX660" s="44"/>
    </row>
    <row r="661" ht="15.75" customHeight="1">
      <c r="A661" s="258" t="s">
        <v>247</v>
      </c>
      <c r="B661" s="259" t="s">
        <v>6682</v>
      </c>
      <c r="C661" s="190" t="s">
        <v>6686</v>
      </c>
      <c r="D661" s="282" t="s">
        <v>8106</v>
      </c>
      <c r="E661" s="190" t="s">
        <v>6688</v>
      </c>
      <c r="F661" s="190"/>
      <c r="G661" s="407"/>
      <c r="H661" s="407"/>
      <c r="I661" s="408"/>
      <c r="J661" s="408"/>
      <c r="K661" s="426" t="s">
        <v>4159</v>
      </c>
      <c r="L661" s="409"/>
      <c r="M661" s="408"/>
      <c r="N661" s="408"/>
      <c r="O661" s="408"/>
      <c r="P661" s="291"/>
      <c r="Q661" s="303" t="s">
        <v>307</v>
      </c>
      <c r="R661" s="408"/>
      <c r="S661" s="408"/>
      <c r="T661" s="408"/>
      <c r="U661" s="408"/>
      <c r="V661" s="408"/>
      <c r="W661" s="408"/>
      <c r="X661" s="408"/>
      <c r="Y661" s="408"/>
      <c r="Z661" s="408"/>
      <c r="AA661" s="408"/>
      <c r="AB661" s="408"/>
      <c r="AC661" s="408"/>
      <c r="AD661" s="44"/>
      <c r="AE661" s="44"/>
      <c r="AF661" s="44"/>
      <c r="AG661" s="44"/>
      <c r="AH661" s="44"/>
      <c r="AI661" s="44"/>
      <c r="AJ661" s="44"/>
      <c r="AK661" s="44"/>
      <c r="AL661" s="44"/>
      <c r="AM661" s="44"/>
      <c r="AN661" s="44"/>
      <c r="AO661" s="44"/>
      <c r="AP661" s="44"/>
      <c r="AQ661" s="44"/>
      <c r="AR661" s="44"/>
      <c r="AS661" s="44"/>
      <c r="AT661" s="44"/>
      <c r="AU661" s="44"/>
      <c r="AV661" s="44"/>
      <c r="AW661" s="44"/>
      <c r="AX661" s="44"/>
    </row>
    <row r="662" ht="15.75" customHeight="1">
      <c r="A662" s="258" t="s">
        <v>247</v>
      </c>
      <c r="B662" s="259" t="s">
        <v>6689</v>
      </c>
      <c r="C662" s="190" t="s">
        <v>6693</v>
      </c>
      <c r="D662" s="190" t="s">
        <v>6694</v>
      </c>
      <c r="E662" s="190" t="s">
        <v>6695</v>
      </c>
      <c r="F662" s="190" t="s">
        <v>8107</v>
      </c>
      <c r="G662" s="409"/>
      <c r="H662" s="409"/>
      <c r="I662" s="408"/>
      <c r="J662" s="408"/>
      <c r="K662" s="426" t="s">
        <v>4159</v>
      </c>
      <c r="L662" s="409"/>
      <c r="M662" s="408"/>
      <c r="N662" s="408"/>
      <c r="O662" s="303" t="s">
        <v>8108</v>
      </c>
      <c r="P662" s="291"/>
      <c r="Q662" s="303" t="s">
        <v>307</v>
      </c>
      <c r="R662" s="408"/>
      <c r="S662" s="408"/>
      <c r="T662" s="408"/>
      <c r="U662" s="408"/>
      <c r="V662" s="408"/>
      <c r="W662" s="408"/>
      <c r="X662" s="408"/>
      <c r="Y662" s="408"/>
      <c r="Z662" s="408"/>
      <c r="AA662" s="408"/>
      <c r="AB662" s="408"/>
      <c r="AC662" s="408"/>
      <c r="AD662" s="44"/>
      <c r="AE662" s="44"/>
      <c r="AF662" s="44"/>
      <c r="AG662" s="44"/>
      <c r="AH662" s="44"/>
      <c r="AI662" s="44"/>
      <c r="AJ662" s="44"/>
      <c r="AK662" s="44"/>
      <c r="AL662" s="44"/>
      <c r="AM662" s="44"/>
      <c r="AN662" s="44"/>
      <c r="AO662" s="44"/>
      <c r="AP662" s="44"/>
      <c r="AQ662" s="44"/>
      <c r="AR662" s="44"/>
      <c r="AS662" s="44"/>
      <c r="AT662" s="44"/>
      <c r="AU662" s="44"/>
      <c r="AV662" s="44"/>
      <c r="AW662" s="44"/>
      <c r="AX662" s="44"/>
    </row>
    <row r="663" ht="15.75" customHeight="1">
      <c r="A663" s="305" t="s">
        <v>450</v>
      </c>
      <c r="B663" s="224" t="s">
        <v>6639</v>
      </c>
      <c r="C663" s="190" t="s">
        <v>6640</v>
      </c>
      <c r="D663" s="190" t="s">
        <v>6641</v>
      </c>
      <c r="E663" s="190" t="s">
        <v>6642</v>
      </c>
      <c r="F663" s="190"/>
      <c r="G663" s="362"/>
      <c r="H663" s="362"/>
      <c r="I663" s="362"/>
      <c r="J663" s="362"/>
      <c r="K663" s="419"/>
      <c r="L663" s="362"/>
      <c r="M663" s="362"/>
      <c r="N663" s="362"/>
      <c r="O663" s="362"/>
      <c r="P663" s="291"/>
      <c r="Q663" s="362"/>
      <c r="R663" s="362"/>
      <c r="S663" s="362"/>
      <c r="T663" s="362"/>
      <c r="U663" s="362"/>
      <c r="V663" s="362"/>
      <c r="W663" s="362"/>
      <c r="X663" s="362"/>
      <c r="Y663" s="362"/>
      <c r="Z663" s="362"/>
      <c r="AA663" s="362"/>
      <c r="AB663" s="362"/>
      <c r="AC663" s="362"/>
      <c r="AD663" s="349"/>
      <c r="AE663" s="349"/>
      <c r="AF663" s="349"/>
      <c r="AG663" s="349"/>
      <c r="AH663" s="349"/>
      <c r="AI663" s="349"/>
      <c r="AJ663" s="349"/>
      <c r="AK663" s="349"/>
      <c r="AL663" s="349"/>
      <c r="AM663" s="349"/>
      <c r="AN663" s="349"/>
      <c r="AO663" s="349"/>
      <c r="AP663" s="349"/>
      <c r="AQ663" s="349"/>
      <c r="AR663" s="349"/>
      <c r="AS663" s="349"/>
      <c r="AT663" s="349"/>
      <c r="AU663" s="349"/>
      <c r="AV663" s="349"/>
      <c r="AW663" s="349"/>
      <c r="AX663" s="349"/>
    </row>
    <row r="664" ht="15.75" customHeight="1">
      <c r="A664" s="320"/>
      <c r="B664" s="321"/>
      <c r="C664" s="190"/>
      <c r="D664" s="190"/>
      <c r="E664" s="190"/>
      <c r="F664" s="190"/>
      <c r="G664" s="349"/>
      <c r="H664" s="349"/>
      <c r="I664" s="349"/>
      <c r="J664" s="349"/>
      <c r="K664" s="349"/>
      <c r="L664" s="349"/>
      <c r="M664" s="349"/>
      <c r="N664" s="349"/>
      <c r="O664" s="320"/>
      <c r="P664" s="291"/>
      <c r="Q664" s="349"/>
      <c r="R664" s="349"/>
      <c r="S664" s="349"/>
      <c r="T664" s="349"/>
      <c r="U664" s="349"/>
      <c r="V664" s="349"/>
      <c r="W664" s="349"/>
      <c r="X664" s="349"/>
      <c r="Y664" s="349"/>
      <c r="Z664" s="349"/>
      <c r="AA664" s="349"/>
      <c r="AB664" s="349"/>
      <c r="AC664" s="349"/>
      <c r="AD664" s="349"/>
      <c r="AE664" s="349"/>
      <c r="AF664" s="349"/>
      <c r="AG664" s="349"/>
      <c r="AH664" s="349"/>
      <c r="AI664" s="349"/>
      <c r="AJ664" s="349"/>
      <c r="AK664" s="349"/>
      <c r="AL664" s="349"/>
      <c r="AM664" s="349"/>
      <c r="AN664" s="349"/>
      <c r="AO664" s="349"/>
      <c r="AP664" s="349"/>
      <c r="AQ664" s="349"/>
      <c r="AR664" s="349"/>
      <c r="AS664" s="349"/>
      <c r="AT664" s="349"/>
      <c r="AU664" s="349"/>
      <c r="AV664" s="349"/>
      <c r="AW664" s="349"/>
      <c r="AX664" s="349"/>
    </row>
    <row r="665" ht="15.75" customHeight="1">
      <c r="A665" s="320"/>
      <c r="B665" s="321"/>
      <c r="C665" s="190"/>
      <c r="D665" s="190"/>
      <c r="E665" s="190"/>
      <c r="F665" s="190"/>
      <c r="G665" s="349"/>
      <c r="H665" s="349"/>
      <c r="I665" s="349"/>
      <c r="J665" s="349"/>
      <c r="K665" s="349"/>
      <c r="L665" s="349"/>
      <c r="M665" s="349"/>
      <c r="N665" s="349"/>
      <c r="O665" s="349"/>
      <c r="P665" s="291"/>
      <c r="Q665" s="349"/>
      <c r="R665" s="349"/>
      <c r="S665" s="349"/>
      <c r="T665" s="349"/>
      <c r="U665" s="349"/>
      <c r="V665" s="349"/>
      <c r="W665" s="349"/>
      <c r="X665" s="349"/>
      <c r="Y665" s="349"/>
      <c r="Z665" s="349"/>
      <c r="AA665" s="349"/>
      <c r="AB665" s="349"/>
      <c r="AC665" s="349"/>
      <c r="AD665" s="349"/>
      <c r="AE665" s="349"/>
      <c r="AF665" s="349"/>
      <c r="AG665" s="349"/>
      <c r="AH665" s="349"/>
      <c r="AI665" s="349"/>
      <c r="AJ665" s="349"/>
      <c r="AK665" s="349"/>
      <c r="AL665" s="349"/>
      <c r="AM665" s="349"/>
      <c r="AN665" s="349"/>
      <c r="AO665" s="349"/>
      <c r="AP665" s="349"/>
      <c r="AQ665" s="349"/>
      <c r="AR665" s="349"/>
      <c r="AS665" s="349"/>
      <c r="AT665" s="349"/>
      <c r="AU665" s="349"/>
      <c r="AV665" s="349"/>
      <c r="AW665" s="349"/>
      <c r="AX665" s="349"/>
    </row>
    <row r="666" ht="15.75" customHeight="1">
      <c r="A666" s="306" t="s">
        <v>247</v>
      </c>
      <c r="B666" s="307" t="s">
        <v>6705</v>
      </c>
      <c r="C666" s="190" t="s">
        <v>6710</v>
      </c>
      <c r="D666" s="190" t="s">
        <v>6711</v>
      </c>
      <c r="E666" s="190" t="s">
        <v>6712</v>
      </c>
      <c r="F666" s="190"/>
      <c r="G666" s="293"/>
      <c r="H666" s="293"/>
      <c r="I666" s="359"/>
      <c r="J666" s="359"/>
      <c r="K666" s="369"/>
      <c r="L666" s="369"/>
      <c r="M666" s="359"/>
      <c r="N666" s="359"/>
      <c r="O666" s="359"/>
      <c r="P666" s="291"/>
      <c r="Q666" s="361" t="s">
        <v>307</v>
      </c>
      <c r="R666" s="359"/>
      <c r="S666" s="359"/>
      <c r="T666" s="359"/>
      <c r="U666" s="359"/>
      <c r="V666" s="359"/>
      <c r="W666" s="359"/>
      <c r="X666" s="359"/>
      <c r="Y666" s="359"/>
      <c r="Z666" s="359"/>
      <c r="AA666" s="359"/>
      <c r="AB666" s="359"/>
      <c r="AC666" s="359"/>
      <c r="AD666" s="349"/>
      <c r="AE666" s="349"/>
      <c r="AF666" s="349"/>
      <c r="AG666" s="349"/>
      <c r="AH666" s="349"/>
      <c r="AI666" s="349"/>
      <c r="AJ666" s="349"/>
      <c r="AK666" s="349"/>
      <c r="AL666" s="349"/>
      <c r="AM666" s="349"/>
      <c r="AN666" s="349"/>
      <c r="AO666" s="349"/>
      <c r="AP666" s="349"/>
      <c r="AQ666" s="349"/>
      <c r="AR666" s="349"/>
      <c r="AS666" s="349"/>
      <c r="AT666" s="349"/>
      <c r="AU666" s="349"/>
      <c r="AV666" s="349"/>
      <c r="AW666" s="349"/>
      <c r="AX666" s="349"/>
    </row>
    <row r="667" ht="15.75" customHeight="1">
      <c r="A667" s="297" t="s">
        <v>46</v>
      </c>
      <c r="B667" s="298" t="s">
        <v>6713</v>
      </c>
      <c r="C667" s="190" t="s">
        <v>6717</v>
      </c>
      <c r="D667" s="190" t="s">
        <v>6718</v>
      </c>
      <c r="E667" s="190" t="s">
        <v>6719</v>
      </c>
      <c r="F667" s="190"/>
      <c r="G667" s="293"/>
      <c r="H667" s="293"/>
      <c r="I667" s="351"/>
      <c r="J667" s="351"/>
      <c r="K667" s="351"/>
      <c r="L667" s="351"/>
      <c r="M667" s="351"/>
      <c r="N667" s="351"/>
      <c r="O667" s="402"/>
      <c r="P667" s="291"/>
      <c r="Q667" s="351"/>
      <c r="R667" s="351"/>
      <c r="S667" s="351"/>
      <c r="T667" s="351"/>
      <c r="U667" s="351"/>
      <c r="V667" s="351"/>
      <c r="W667" s="351"/>
      <c r="X667" s="351"/>
      <c r="Y667" s="351"/>
      <c r="Z667" s="351"/>
      <c r="AA667" s="351"/>
      <c r="AB667" s="351"/>
      <c r="AC667" s="351"/>
      <c r="AD667" s="349"/>
      <c r="AE667" s="349"/>
      <c r="AF667" s="349"/>
      <c r="AG667" s="349"/>
      <c r="AH667" s="349"/>
      <c r="AI667" s="349"/>
      <c r="AJ667" s="349"/>
      <c r="AK667" s="349"/>
      <c r="AL667" s="349"/>
      <c r="AM667" s="349"/>
      <c r="AN667" s="349"/>
      <c r="AO667" s="349"/>
      <c r="AP667" s="349"/>
      <c r="AQ667" s="349"/>
      <c r="AR667" s="349"/>
      <c r="AS667" s="349"/>
      <c r="AT667" s="349"/>
      <c r="AU667" s="349"/>
      <c r="AV667" s="349"/>
      <c r="AW667" s="349"/>
      <c r="AX667" s="349"/>
    </row>
    <row r="668" ht="15.75" customHeight="1">
      <c r="A668" s="306" t="s">
        <v>247</v>
      </c>
      <c r="B668" s="307" t="s">
        <v>6721</v>
      </c>
      <c r="C668" s="190" t="s">
        <v>6726</v>
      </c>
      <c r="D668" s="190" t="s">
        <v>6727</v>
      </c>
      <c r="E668" s="190" t="s">
        <v>6728</v>
      </c>
      <c r="F668" s="190"/>
      <c r="G668" s="293"/>
      <c r="H668" s="293"/>
      <c r="I668" s="359"/>
      <c r="J668" s="359"/>
      <c r="K668" s="360" t="s">
        <v>8109</v>
      </c>
      <c r="L668" s="369"/>
      <c r="M668" s="359"/>
      <c r="N668" s="359"/>
      <c r="O668" s="306" t="s">
        <v>7719</v>
      </c>
      <c r="P668" s="291"/>
      <c r="Q668" s="361" t="s">
        <v>307</v>
      </c>
      <c r="R668" s="359"/>
      <c r="S668" s="359"/>
      <c r="T668" s="359"/>
      <c r="U668" s="391"/>
      <c r="V668" s="359"/>
      <c r="W668" s="359"/>
      <c r="X668" s="359"/>
      <c r="Y668" s="359"/>
      <c r="Z668" s="359"/>
      <c r="AA668" s="359"/>
      <c r="AB668" s="359"/>
      <c r="AC668" s="359"/>
      <c r="AD668" s="349"/>
      <c r="AE668" s="349"/>
      <c r="AF668" s="349"/>
      <c r="AG668" s="349"/>
      <c r="AH668" s="349"/>
      <c r="AI668" s="349"/>
      <c r="AJ668" s="349"/>
      <c r="AK668" s="349"/>
      <c r="AL668" s="349"/>
      <c r="AM668" s="349"/>
      <c r="AN668" s="349"/>
      <c r="AO668" s="349"/>
      <c r="AP668" s="349"/>
      <c r="AQ668" s="349"/>
      <c r="AR668" s="349"/>
      <c r="AS668" s="349"/>
      <c r="AT668" s="349"/>
      <c r="AU668" s="349"/>
      <c r="AV668" s="349"/>
      <c r="AW668" s="349"/>
      <c r="AX668" s="349"/>
    </row>
    <row r="669" ht="15.75" customHeight="1">
      <c r="A669" s="299" t="s">
        <v>1060</v>
      </c>
      <c r="B669" s="300" t="s">
        <v>6729</v>
      </c>
      <c r="C669" s="190" t="s">
        <v>6733</v>
      </c>
      <c r="D669" s="190" t="s">
        <v>6734</v>
      </c>
      <c r="E669" s="190" t="s">
        <v>6735</v>
      </c>
      <c r="F669" s="190"/>
      <c r="G669" s="293"/>
      <c r="H669" s="293"/>
      <c r="I669" s="356"/>
      <c r="J669" s="355"/>
      <c r="K669" s="356"/>
      <c r="L669" s="356"/>
      <c r="M669" s="356"/>
      <c r="N669" s="356"/>
      <c r="O669" s="291" t="s">
        <v>7719</v>
      </c>
      <c r="P669" s="291"/>
      <c r="Q669" s="291" t="s">
        <v>307</v>
      </c>
      <c r="R669" s="356"/>
      <c r="S669" s="356"/>
      <c r="T669" s="392"/>
      <c r="U669" s="356"/>
      <c r="V669" s="356"/>
      <c r="W669" s="356"/>
      <c r="X669" s="356"/>
      <c r="Y669" s="356"/>
      <c r="Z669" s="356"/>
      <c r="AA669" s="356"/>
      <c r="AB669" s="356"/>
      <c r="AC669" s="356"/>
      <c r="AD669" s="349"/>
      <c r="AE669" s="349"/>
      <c r="AF669" s="349"/>
      <c r="AG669" s="349"/>
      <c r="AH669" s="349"/>
      <c r="AI669" s="349"/>
      <c r="AJ669" s="349"/>
      <c r="AK669" s="349"/>
      <c r="AL669" s="349"/>
      <c r="AM669" s="349"/>
      <c r="AN669" s="349"/>
      <c r="AO669" s="349"/>
      <c r="AP669" s="349"/>
      <c r="AQ669" s="349"/>
      <c r="AR669" s="349"/>
      <c r="AS669" s="349"/>
      <c r="AT669" s="349"/>
      <c r="AU669" s="349"/>
      <c r="AV669" s="349"/>
      <c r="AW669" s="349"/>
      <c r="AX669" s="349"/>
    </row>
    <row r="670" ht="15.75" customHeight="1">
      <c r="A670" s="306" t="s">
        <v>247</v>
      </c>
      <c r="B670" s="307" t="s">
        <v>6736</v>
      </c>
      <c r="C670" s="190" t="s">
        <v>6741</v>
      </c>
      <c r="D670" s="190" t="s">
        <v>6742</v>
      </c>
      <c r="E670" s="190" t="s">
        <v>6744</v>
      </c>
      <c r="F670" s="190"/>
      <c r="G670" s="293"/>
      <c r="H670" s="293"/>
      <c r="I670" s="359"/>
      <c r="J670" s="359"/>
      <c r="K670" s="360" t="s">
        <v>8110</v>
      </c>
      <c r="L670" s="369"/>
      <c r="M670" s="359"/>
      <c r="N670" s="359"/>
      <c r="O670" s="361" t="s">
        <v>8111</v>
      </c>
      <c r="P670" s="291"/>
      <c r="Q670" s="361" t="s">
        <v>307</v>
      </c>
      <c r="R670" s="359"/>
      <c r="S670" s="359"/>
      <c r="T670" s="359"/>
      <c r="U670" s="359"/>
      <c r="V670" s="359"/>
      <c r="W670" s="359"/>
      <c r="X670" s="359"/>
      <c r="Y670" s="359"/>
      <c r="Z670" s="359"/>
      <c r="AA670" s="359"/>
      <c r="AB670" s="359"/>
      <c r="AC670" s="359"/>
      <c r="AD670" s="349"/>
      <c r="AE670" s="349"/>
      <c r="AF670" s="349"/>
      <c r="AG670" s="349"/>
      <c r="AH670" s="349"/>
      <c r="AI670" s="349"/>
      <c r="AJ670" s="349"/>
      <c r="AK670" s="349"/>
      <c r="AL670" s="349"/>
      <c r="AM670" s="349"/>
      <c r="AN670" s="349"/>
      <c r="AO670" s="349"/>
      <c r="AP670" s="349"/>
      <c r="AQ670" s="349"/>
      <c r="AR670" s="349"/>
      <c r="AS670" s="349"/>
      <c r="AT670" s="349"/>
      <c r="AU670" s="349"/>
      <c r="AV670" s="349"/>
      <c r="AW670" s="349"/>
      <c r="AX670" s="349"/>
    </row>
    <row r="671" ht="15.75" customHeight="1">
      <c r="A671" s="306" t="s">
        <v>247</v>
      </c>
      <c r="B671" s="307" t="s">
        <v>6745</v>
      </c>
      <c r="C671" s="190" t="s">
        <v>6749</v>
      </c>
      <c r="D671" s="190" t="s">
        <v>6750</v>
      </c>
      <c r="E671" s="190" t="s">
        <v>6751</v>
      </c>
      <c r="F671" s="190"/>
      <c r="G671" s="293"/>
      <c r="H671" s="293"/>
      <c r="I671" s="359"/>
      <c r="J671" s="359"/>
      <c r="K671" s="369"/>
      <c r="L671" s="369"/>
      <c r="M671" s="359"/>
      <c r="N671" s="359"/>
      <c r="O671" s="361" t="s">
        <v>8111</v>
      </c>
      <c r="P671" s="291"/>
      <c r="Q671" s="361" t="s">
        <v>307</v>
      </c>
      <c r="R671" s="359"/>
      <c r="S671" s="359"/>
      <c r="T671" s="359"/>
      <c r="U671" s="359"/>
      <c r="V671" s="359"/>
      <c r="W671" s="359"/>
      <c r="X671" s="359"/>
      <c r="Y671" s="359"/>
      <c r="Z671" s="359"/>
      <c r="AA671" s="359"/>
      <c r="AB671" s="359"/>
      <c r="AC671" s="359"/>
      <c r="AD671" s="349"/>
      <c r="AE671" s="349"/>
      <c r="AF671" s="349"/>
      <c r="AG671" s="349"/>
      <c r="AH671" s="349"/>
      <c r="AI671" s="349"/>
      <c r="AJ671" s="349"/>
      <c r="AK671" s="349"/>
      <c r="AL671" s="349"/>
      <c r="AM671" s="349"/>
      <c r="AN671" s="349"/>
      <c r="AO671" s="349"/>
      <c r="AP671" s="349"/>
      <c r="AQ671" s="349"/>
      <c r="AR671" s="349"/>
      <c r="AS671" s="349"/>
      <c r="AT671" s="349"/>
      <c r="AU671" s="349"/>
      <c r="AV671" s="349"/>
      <c r="AW671" s="349"/>
      <c r="AX671" s="349"/>
    </row>
    <row r="672" ht="15.75" customHeight="1">
      <c r="A672" s="221" t="s">
        <v>112</v>
      </c>
      <c r="B672" s="198" t="s">
        <v>6752</v>
      </c>
      <c r="C672" s="190"/>
      <c r="D672" s="190"/>
      <c r="E672" s="190"/>
      <c r="F672" s="190"/>
      <c r="G672" s="348"/>
      <c r="H672" s="348"/>
      <c r="I672" s="348"/>
      <c r="J672" s="348"/>
      <c r="K672" s="348"/>
      <c r="L672" s="348"/>
      <c r="M672" s="348"/>
      <c r="N672" s="348"/>
      <c r="O672" s="348"/>
      <c r="P672" s="291"/>
      <c r="Q672" s="348"/>
      <c r="R672" s="348"/>
      <c r="S672" s="348"/>
      <c r="T672" s="335" t="s">
        <v>8112</v>
      </c>
      <c r="U672" s="348"/>
      <c r="V672" s="348"/>
      <c r="W672" s="348"/>
      <c r="X672" s="348"/>
      <c r="Y672" s="348"/>
      <c r="Z672" s="348"/>
      <c r="AA672" s="348"/>
      <c r="AB672" s="348"/>
      <c r="AC672" s="348"/>
      <c r="AD672" s="349"/>
      <c r="AE672" s="349"/>
      <c r="AF672" s="349"/>
      <c r="AG672" s="349"/>
      <c r="AH672" s="349"/>
      <c r="AI672" s="349"/>
      <c r="AJ672" s="349"/>
      <c r="AK672" s="349"/>
      <c r="AL672" s="349"/>
      <c r="AM672" s="349"/>
      <c r="AN672" s="349"/>
      <c r="AO672" s="349"/>
      <c r="AP672" s="349"/>
      <c r="AQ672" s="349"/>
      <c r="AR672" s="349"/>
      <c r="AS672" s="349"/>
      <c r="AT672" s="349"/>
      <c r="AU672" s="349"/>
      <c r="AV672" s="349"/>
      <c r="AW672" s="349"/>
      <c r="AX672" s="349"/>
    </row>
    <row r="673" ht="15.75" customHeight="1">
      <c r="A673" s="299" t="s">
        <v>1060</v>
      </c>
      <c r="B673" s="300" t="s">
        <v>6754</v>
      </c>
      <c r="C673" s="190" t="s">
        <v>6758</v>
      </c>
      <c r="D673" s="190" t="s">
        <v>6759</v>
      </c>
      <c r="E673" s="190" t="s">
        <v>6760</v>
      </c>
      <c r="F673" s="190"/>
      <c r="G673" s="293"/>
      <c r="H673" s="293"/>
      <c r="I673" s="356"/>
      <c r="J673" s="355"/>
      <c r="K673" s="356"/>
      <c r="L673" s="356"/>
      <c r="M673" s="356"/>
      <c r="N673" s="356"/>
      <c r="O673" s="291" t="s">
        <v>8111</v>
      </c>
      <c r="P673" s="291"/>
      <c r="Q673" s="291" t="s">
        <v>307</v>
      </c>
      <c r="R673" s="356"/>
      <c r="S673" s="356"/>
      <c r="T673" s="356"/>
      <c r="U673" s="356"/>
      <c r="V673" s="356"/>
      <c r="W673" s="356"/>
      <c r="X673" s="356"/>
      <c r="Y673" s="356"/>
      <c r="Z673" s="356"/>
      <c r="AA673" s="356"/>
      <c r="AB673" s="356"/>
      <c r="AC673" s="356"/>
      <c r="AD673" s="349"/>
      <c r="AE673" s="349"/>
      <c r="AF673" s="349"/>
      <c r="AG673" s="349"/>
      <c r="AH673" s="349"/>
      <c r="AI673" s="349"/>
      <c r="AJ673" s="349"/>
      <c r="AK673" s="349"/>
      <c r="AL673" s="349"/>
      <c r="AM673" s="349"/>
      <c r="AN673" s="349"/>
      <c r="AO673" s="349"/>
      <c r="AP673" s="349"/>
      <c r="AQ673" s="349"/>
      <c r="AR673" s="349"/>
      <c r="AS673" s="349"/>
      <c r="AT673" s="349"/>
      <c r="AU673" s="349"/>
      <c r="AV673" s="349"/>
      <c r="AW673" s="349"/>
      <c r="AX673" s="349"/>
    </row>
    <row r="674" ht="15.75" customHeight="1">
      <c r="A674" s="299" t="s">
        <v>1060</v>
      </c>
      <c r="B674" s="300" t="s">
        <v>6761</v>
      </c>
      <c r="C674" s="190" t="s">
        <v>6767</v>
      </c>
      <c r="D674" s="190" t="s">
        <v>6768</v>
      </c>
      <c r="E674" s="190" t="s">
        <v>6769</v>
      </c>
      <c r="F674" s="190"/>
      <c r="G674" s="293"/>
      <c r="H674" s="293"/>
      <c r="I674" s="356"/>
      <c r="J674" s="355"/>
      <c r="K674" s="356"/>
      <c r="L674" s="356"/>
      <c r="M674" s="356"/>
      <c r="N674" s="356"/>
      <c r="O674" s="392"/>
      <c r="P674" s="291"/>
      <c r="Q674" s="291" t="s">
        <v>307</v>
      </c>
      <c r="R674" s="356"/>
      <c r="S674" s="356"/>
      <c r="T674" s="356"/>
      <c r="U674" s="356"/>
      <c r="V674" s="356"/>
      <c r="W674" s="356"/>
      <c r="X674" s="356"/>
      <c r="Y674" s="356"/>
      <c r="Z674" s="356"/>
      <c r="AA674" s="356"/>
      <c r="AB674" s="356"/>
      <c r="AC674" s="356"/>
      <c r="AD674" s="349"/>
      <c r="AE674" s="349"/>
      <c r="AF674" s="349"/>
      <c r="AG674" s="349"/>
      <c r="AH674" s="349"/>
      <c r="AI674" s="349"/>
      <c r="AJ674" s="349"/>
      <c r="AK674" s="349"/>
      <c r="AL674" s="349"/>
      <c r="AM674" s="349"/>
      <c r="AN674" s="349"/>
      <c r="AO674" s="349"/>
      <c r="AP674" s="349"/>
      <c r="AQ674" s="349"/>
      <c r="AR674" s="349"/>
      <c r="AS674" s="349"/>
      <c r="AT674" s="349"/>
      <c r="AU674" s="349"/>
      <c r="AV674" s="349"/>
      <c r="AW674" s="349"/>
      <c r="AX674" s="349"/>
    </row>
    <row r="675" ht="15.75" customHeight="1">
      <c r="A675" s="306" t="s">
        <v>247</v>
      </c>
      <c r="B675" s="307" t="s">
        <v>6770</v>
      </c>
      <c r="C675" s="190" t="s">
        <v>6774</v>
      </c>
      <c r="D675" s="190" t="s">
        <v>6775</v>
      </c>
      <c r="E675" s="190" t="s">
        <v>6776</v>
      </c>
      <c r="F675" s="190"/>
      <c r="G675" s="293"/>
      <c r="H675" s="293"/>
      <c r="I675" s="359"/>
      <c r="J675" s="359"/>
      <c r="K675" s="360" t="s">
        <v>8109</v>
      </c>
      <c r="L675" s="369"/>
      <c r="M675" s="359"/>
      <c r="N675" s="359"/>
      <c r="O675" s="361" t="s">
        <v>8113</v>
      </c>
      <c r="P675" s="291"/>
      <c r="Q675" s="361" t="s">
        <v>307</v>
      </c>
      <c r="R675" s="359"/>
      <c r="S675" s="359"/>
      <c r="T675" s="391"/>
      <c r="U675" s="359"/>
      <c r="V675" s="359"/>
      <c r="W675" s="359"/>
      <c r="X675" s="359"/>
      <c r="Y675" s="359"/>
      <c r="Z675" s="359"/>
      <c r="AA675" s="359"/>
      <c r="AB675" s="359"/>
      <c r="AC675" s="359"/>
      <c r="AD675" s="349"/>
      <c r="AE675" s="349"/>
      <c r="AF675" s="349"/>
      <c r="AG675" s="349"/>
      <c r="AH675" s="349"/>
      <c r="AI675" s="349"/>
      <c r="AJ675" s="349"/>
      <c r="AK675" s="349"/>
      <c r="AL675" s="349"/>
      <c r="AM675" s="349"/>
      <c r="AN675" s="349"/>
      <c r="AO675" s="349"/>
      <c r="AP675" s="349"/>
      <c r="AQ675" s="349"/>
      <c r="AR675" s="349"/>
      <c r="AS675" s="349"/>
      <c r="AT675" s="349"/>
      <c r="AU675" s="349"/>
      <c r="AV675" s="349"/>
      <c r="AW675" s="349"/>
      <c r="AX675" s="349"/>
    </row>
    <row r="676" ht="15.75" customHeight="1">
      <c r="A676" s="306" t="s">
        <v>247</v>
      </c>
      <c r="B676" s="307" t="s">
        <v>6777</v>
      </c>
      <c r="C676" s="190" t="s">
        <v>6782</v>
      </c>
      <c r="D676" s="190" t="s">
        <v>6783</v>
      </c>
      <c r="E676" s="190" t="s">
        <v>6784</v>
      </c>
      <c r="F676" s="190"/>
      <c r="G676" s="293"/>
      <c r="H676" s="293"/>
      <c r="I676" s="359"/>
      <c r="J676" s="359"/>
      <c r="K676" s="427"/>
      <c r="L676" s="369"/>
      <c r="M676" s="359"/>
      <c r="N676" s="359"/>
      <c r="O676" s="361" t="s">
        <v>8113</v>
      </c>
      <c r="P676" s="291"/>
      <c r="Q676" s="361" t="s">
        <v>307</v>
      </c>
      <c r="R676" s="359"/>
      <c r="S676" s="359"/>
      <c r="T676" s="359"/>
      <c r="U676" s="359"/>
      <c r="V676" s="359"/>
      <c r="W676" s="359"/>
      <c r="X676" s="359"/>
      <c r="Y676" s="359"/>
      <c r="Z676" s="359"/>
      <c r="AA676" s="359"/>
      <c r="AB676" s="359"/>
      <c r="AC676" s="359"/>
      <c r="AD676" s="349"/>
      <c r="AE676" s="349"/>
      <c r="AF676" s="349"/>
      <c r="AG676" s="349"/>
      <c r="AH676" s="349"/>
      <c r="AI676" s="349"/>
      <c r="AJ676" s="349"/>
      <c r="AK676" s="349"/>
      <c r="AL676" s="349"/>
      <c r="AM676" s="349"/>
      <c r="AN676" s="349"/>
      <c r="AO676" s="349"/>
      <c r="AP676" s="349"/>
      <c r="AQ676" s="349"/>
      <c r="AR676" s="349"/>
      <c r="AS676" s="349"/>
      <c r="AT676" s="349"/>
      <c r="AU676" s="349"/>
      <c r="AV676" s="349"/>
      <c r="AW676" s="349"/>
      <c r="AX676" s="349"/>
    </row>
    <row r="677" ht="15.75" customHeight="1">
      <c r="A677" s="297" t="s">
        <v>46</v>
      </c>
      <c r="B677" s="298" t="s">
        <v>6785</v>
      </c>
      <c r="C677" s="190" t="s">
        <v>6788</v>
      </c>
      <c r="D677" s="190" t="s">
        <v>6789</v>
      </c>
      <c r="E677" s="190" t="s">
        <v>6789</v>
      </c>
      <c r="F677" s="190"/>
      <c r="G677" s="293"/>
      <c r="H677" s="293"/>
      <c r="I677" s="351"/>
      <c r="J677" s="351"/>
      <c r="K677" s="351"/>
      <c r="L677" s="351"/>
      <c r="M677" s="351"/>
      <c r="N677" s="351"/>
      <c r="O677" s="402"/>
      <c r="P677" s="291"/>
      <c r="Q677" s="351"/>
      <c r="R677" s="351"/>
      <c r="S677" s="351"/>
      <c r="T677" s="351"/>
      <c r="U677" s="351"/>
      <c r="V677" s="351"/>
      <c r="W677" s="351"/>
      <c r="X677" s="351"/>
      <c r="Y677" s="351"/>
      <c r="Z677" s="351"/>
      <c r="AA677" s="351"/>
      <c r="AB677" s="351"/>
      <c r="AC677" s="351"/>
      <c r="AD677" s="349"/>
      <c r="AE677" s="349"/>
      <c r="AF677" s="349"/>
      <c r="AG677" s="349"/>
      <c r="AH677" s="349"/>
      <c r="AI677" s="349"/>
      <c r="AJ677" s="349"/>
      <c r="AK677" s="349"/>
      <c r="AL677" s="349"/>
      <c r="AM677" s="349"/>
      <c r="AN677" s="349"/>
      <c r="AO677" s="349"/>
      <c r="AP677" s="349"/>
      <c r="AQ677" s="349"/>
      <c r="AR677" s="349"/>
      <c r="AS677" s="349"/>
      <c r="AT677" s="349"/>
      <c r="AU677" s="349"/>
      <c r="AV677" s="349"/>
      <c r="AW677" s="349"/>
      <c r="AX677" s="349"/>
    </row>
    <row r="678" ht="15.75" customHeight="1">
      <c r="A678" s="299" t="s">
        <v>1060</v>
      </c>
      <c r="B678" s="300" t="s">
        <v>6792</v>
      </c>
      <c r="C678" s="190" t="s">
        <v>6798</v>
      </c>
      <c r="D678" s="190" t="s">
        <v>6799</v>
      </c>
      <c r="E678" s="190" t="s">
        <v>6801</v>
      </c>
      <c r="F678" s="190"/>
      <c r="G678" s="293"/>
      <c r="H678" s="293"/>
      <c r="I678" s="356"/>
      <c r="J678" s="355"/>
      <c r="K678" s="392"/>
      <c r="L678" s="356"/>
      <c r="M678" s="356"/>
      <c r="N678" s="356"/>
      <c r="O678" s="356"/>
      <c r="P678" s="291"/>
      <c r="Q678" s="291" t="s">
        <v>307</v>
      </c>
      <c r="R678" s="356"/>
      <c r="S678" s="356"/>
      <c r="T678" s="356"/>
      <c r="U678" s="356"/>
      <c r="V678" s="356"/>
      <c r="W678" s="356"/>
      <c r="X678" s="356"/>
      <c r="Y678" s="356"/>
      <c r="Z678" s="356"/>
      <c r="AA678" s="356"/>
      <c r="AB678" s="356"/>
      <c r="AC678" s="356"/>
      <c r="AD678" s="349"/>
      <c r="AE678" s="349"/>
      <c r="AF678" s="349"/>
      <c r="AG678" s="349"/>
      <c r="AH678" s="349"/>
      <c r="AI678" s="349"/>
      <c r="AJ678" s="349"/>
      <c r="AK678" s="349"/>
      <c r="AL678" s="349"/>
      <c r="AM678" s="349"/>
      <c r="AN678" s="349"/>
      <c r="AO678" s="349"/>
      <c r="AP678" s="349"/>
      <c r="AQ678" s="349"/>
      <c r="AR678" s="349"/>
      <c r="AS678" s="349"/>
      <c r="AT678" s="349"/>
      <c r="AU678" s="349"/>
      <c r="AV678" s="349"/>
      <c r="AW678" s="349"/>
      <c r="AX678" s="349"/>
    </row>
    <row r="679" ht="15.75" customHeight="1">
      <c r="A679" s="306" t="s">
        <v>247</v>
      </c>
      <c r="B679" s="307" t="s">
        <v>6802</v>
      </c>
      <c r="C679" s="190" t="s">
        <v>6806</v>
      </c>
      <c r="D679" s="190" t="s">
        <v>6807</v>
      </c>
      <c r="E679" s="190" t="s">
        <v>6808</v>
      </c>
      <c r="F679" s="190"/>
      <c r="G679" s="293"/>
      <c r="H679" s="293"/>
      <c r="I679" s="359"/>
      <c r="J679" s="359"/>
      <c r="K679" s="427"/>
      <c r="L679" s="369"/>
      <c r="M679" s="359"/>
      <c r="N679" s="359"/>
      <c r="O679" s="361" t="s">
        <v>8114</v>
      </c>
      <c r="P679" s="291"/>
      <c r="Q679" s="361" t="s">
        <v>307</v>
      </c>
      <c r="R679" s="359"/>
      <c r="S679" s="359"/>
      <c r="T679" s="359"/>
      <c r="U679" s="359"/>
      <c r="V679" s="359"/>
      <c r="W679" s="359"/>
      <c r="X679" s="359"/>
      <c r="Y679" s="359"/>
      <c r="Z679" s="359"/>
      <c r="AA679" s="359"/>
      <c r="AB679" s="359"/>
      <c r="AC679" s="359"/>
      <c r="AD679" s="349"/>
      <c r="AE679" s="349"/>
      <c r="AF679" s="349"/>
      <c r="AG679" s="349"/>
      <c r="AH679" s="349"/>
      <c r="AI679" s="349"/>
      <c r="AJ679" s="349"/>
      <c r="AK679" s="349"/>
      <c r="AL679" s="349"/>
      <c r="AM679" s="349"/>
      <c r="AN679" s="349"/>
      <c r="AO679" s="349"/>
      <c r="AP679" s="349"/>
      <c r="AQ679" s="349"/>
      <c r="AR679" s="349"/>
      <c r="AS679" s="349"/>
      <c r="AT679" s="349"/>
      <c r="AU679" s="349"/>
      <c r="AV679" s="349"/>
      <c r="AW679" s="349"/>
      <c r="AX679" s="349"/>
    </row>
    <row r="680" ht="15.75" customHeight="1">
      <c r="A680" s="306" t="s">
        <v>247</v>
      </c>
      <c r="B680" s="307" t="s">
        <v>6809</v>
      </c>
      <c r="C680" s="190" t="s">
        <v>6814</v>
      </c>
      <c r="D680" s="190" t="s">
        <v>6815</v>
      </c>
      <c r="E680" s="190" t="s">
        <v>6816</v>
      </c>
      <c r="F680" s="190"/>
      <c r="G680" s="293"/>
      <c r="H680" s="293"/>
      <c r="I680" s="359"/>
      <c r="J680" s="359"/>
      <c r="K680" s="369"/>
      <c r="L680" s="369"/>
      <c r="M680" s="359"/>
      <c r="N680" s="359"/>
      <c r="O680" s="359"/>
      <c r="P680" s="291"/>
      <c r="Q680" s="361" t="s">
        <v>307</v>
      </c>
      <c r="R680" s="359"/>
      <c r="S680" s="359"/>
      <c r="T680" s="391"/>
      <c r="U680" s="359"/>
      <c r="V680" s="359"/>
      <c r="W680" s="359"/>
      <c r="X680" s="359"/>
      <c r="Y680" s="359"/>
      <c r="Z680" s="359"/>
      <c r="AA680" s="359"/>
      <c r="AB680" s="359"/>
      <c r="AC680" s="359"/>
      <c r="AD680" s="349"/>
      <c r="AE680" s="349"/>
      <c r="AF680" s="349"/>
      <c r="AG680" s="349"/>
      <c r="AH680" s="349"/>
      <c r="AI680" s="349"/>
      <c r="AJ680" s="349"/>
      <c r="AK680" s="349"/>
      <c r="AL680" s="349"/>
      <c r="AM680" s="349"/>
      <c r="AN680" s="349"/>
      <c r="AO680" s="349"/>
      <c r="AP680" s="349"/>
      <c r="AQ680" s="349"/>
      <c r="AR680" s="349"/>
      <c r="AS680" s="349"/>
      <c r="AT680" s="349"/>
      <c r="AU680" s="349"/>
      <c r="AV680" s="349"/>
      <c r="AW680" s="349"/>
      <c r="AX680" s="349"/>
    </row>
    <row r="681" ht="15.75" customHeight="1">
      <c r="A681" s="221" t="s">
        <v>256</v>
      </c>
      <c r="B681" s="198" t="s">
        <v>6817</v>
      </c>
      <c r="C681" s="190"/>
      <c r="D681" s="190"/>
      <c r="E681" s="190"/>
      <c r="F681" s="190"/>
      <c r="G681" s="348"/>
      <c r="H681" s="348"/>
      <c r="I681" s="348"/>
      <c r="J681" s="348"/>
      <c r="K681" s="348"/>
      <c r="L681" s="348"/>
      <c r="M681" s="348"/>
      <c r="N681" s="348"/>
      <c r="O681" s="348"/>
      <c r="P681" s="291"/>
      <c r="Q681" s="348"/>
      <c r="R681" s="348"/>
      <c r="S681" s="348"/>
      <c r="T681" s="335" t="s">
        <v>260</v>
      </c>
      <c r="U681" s="348"/>
      <c r="V681" s="348"/>
      <c r="W681" s="348"/>
      <c r="X681" s="348"/>
      <c r="Y681" s="348"/>
      <c r="Z681" s="348"/>
      <c r="AA681" s="348"/>
      <c r="AB681" s="348"/>
      <c r="AC681" s="348"/>
      <c r="AD681" s="349"/>
      <c r="AE681" s="349"/>
      <c r="AF681" s="349"/>
      <c r="AG681" s="349"/>
      <c r="AH681" s="349"/>
      <c r="AI681" s="349"/>
      <c r="AJ681" s="349"/>
      <c r="AK681" s="349"/>
      <c r="AL681" s="349"/>
      <c r="AM681" s="349"/>
      <c r="AN681" s="349"/>
      <c r="AO681" s="349"/>
      <c r="AP681" s="349"/>
      <c r="AQ681" s="349"/>
      <c r="AR681" s="349"/>
      <c r="AS681" s="349"/>
      <c r="AT681" s="349"/>
      <c r="AU681" s="349"/>
      <c r="AV681" s="349"/>
      <c r="AW681" s="349"/>
      <c r="AX681" s="349"/>
    </row>
    <row r="682" ht="15.75" customHeight="1">
      <c r="A682" s="221" t="s">
        <v>112</v>
      </c>
      <c r="B682" s="198" t="s">
        <v>6822</v>
      </c>
      <c r="C682" s="190"/>
      <c r="D682" s="190"/>
      <c r="E682" s="190"/>
      <c r="F682" s="190"/>
      <c r="G682" s="348"/>
      <c r="H682" s="348"/>
      <c r="I682" s="348"/>
      <c r="J682" s="348"/>
      <c r="K682" s="348"/>
      <c r="L682" s="348"/>
      <c r="M682" s="348"/>
      <c r="N682" s="348"/>
      <c r="O682" s="348"/>
      <c r="P682" s="291"/>
      <c r="Q682" s="348"/>
      <c r="R682" s="348"/>
      <c r="S682" s="348"/>
      <c r="T682" s="335" t="s">
        <v>8115</v>
      </c>
      <c r="U682" s="348"/>
      <c r="V682" s="348"/>
      <c r="W682" s="348"/>
      <c r="X682" s="348"/>
      <c r="Y682" s="348"/>
      <c r="Z682" s="348"/>
      <c r="AA682" s="348"/>
      <c r="AB682" s="348"/>
      <c r="AC682" s="348"/>
      <c r="AD682" s="349"/>
      <c r="AE682" s="349"/>
      <c r="AF682" s="349"/>
      <c r="AG682" s="349"/>
      <c r="AH682" s="349"/>
      <c r="AI682" s="349"/>
      <c r="AJ682" s="349"/>
      <c r="AK682" s="349"/>
      <c r="AL682" s="349"/>
      <c r="AM682" s="349"/>
      <c r="AN682" s="349"/>
      <c r="AO682" s="349"/>
      <c r="AP682" s="349"/>
      <c r="AQ682" s="349"/>
      <c r="AR682" s="349"/>
      <c r="AS682" s="349"/>
      <c r="AT682" s="349"/>
      <c r="AU682" s="349"/>
      <c r="AV682" s="349"/>
      <c r="AW682" s="349"/>
      <c r="AX682" s="349"/>
    </row>
    <row r="683" ht="15.75" customHeight="1">
      <c r="A683" s="320"/>
      <c r="B683" s="321"/>
      <c r="C683" s="190"/>
      <c r="D683" s="190"/>
      <c r="E683" s="190"/>
      <c r="F683" s="190"/>
      <c r="G683" s="349"/>
      <c r="H683" s="349"/>
      <c r="I683" s="349"/>
      <c r="J683" s="349"/>
      <c r="K683" s="349"/>
      <c r="L683" s="349"/>
      <c r="M683" s="349"/>
      <c r="N683" s="349"/>
      <c r="O683" s="349"/>
      <c r="P683" s="291"/>
      <c r="Q683" s="349"/>
      <c r="R683" s="349"/>
      <c r="S683" s="349"/>
      <c r="T683" s="349"/>
      <c r="U683" s="349"/>
      <c r="V683" s="349"/>
      <c r="W683" s="349"/>
      <c r="X683" s="349"/>
      <c r="Y683" s="349"/>
      <c r="Z683" s="349"/>
      <c r="AA683" s="349"/>
      <c r="AB683" s="349"/>
      <c r="AC683" s="349"/>
      <c r="AD683" s="349"/>
      <c r="AE683" s="349"/>
      <c r="AF683" s="349"/>
      <c r="AG683" s="349"/>
      <c r="AH683" s="349"/>
      <c r="AI683" s="349"/>
      <c r="AJ683" s="349"/>
      <c r="AK683" s="349"/>
      <c r="AL683" s="349"/>
      <c r="AM683" s="349"/>
      <c r="AN683" s="349"/>
      <c r="AO683" s="349"/>
      <c r="AP683" s="349"/>
      <c r="AQ683" s="349"/>
      <c r="AR683" s="349"/>
      <c r="AS683" s="349"/>
      <c r="AT683" s="349"/>
      <c r="AU683" s="349"/>
      <c r="AV683" s="349"/>
      <c r="AW683" s="349"/>
      <c r="AX683" s="349"/>
    </row>
    <row r="684" ht="15.75" customHeight="1">
      <c r="A684" s="221" t="s">
        <v>256</v>
      </c>
      <c r="B684" s="198" t="s">
        <v>6826</v>
      </c>
      <c r="C684" s="190"/>
      <c r="D684" s="190"/>
      <c r="E684" s="190"/>
      <c r="F684" s="190"/>
      <c r="G684" s="348"/>
      <c r="H684" s="348"/>
      <c r="I684" s="348"/>
      <c r="J684" s="348"/>
      <c r="K684" s="348"/>
      <c r="L684" s="348"/>
      <c r="M684" s="348"/>
      <c r="N684" s="348"/>
      <c r="O684" s="348"/>
      <c r="P684" s="291"/>
      <c r="Q684" s="348"/>
      <c r="R684" s="348"/>
      <c r="S684" s="348"/>
      <c r="T684" s="335" t="s">
        <v>260</v>
      </c>
      <c r="U684" s="348"/>
      <c r="V684" s="348"/>
      <c r="W684" s="348"/>
      <c r="X684" s="348"/>
      <c r="Y684" s="348"/>
      <c r="Z684" s="348"/>
      <c r="AA684" s="348"/>
      <c r="AB684" s="348"/>
      <c r="AC684" s="348"/>
      <c r="AD684" s="349"/>
      <c r="AE684" s="349"/>
      <c r="AF684" s="349"/>
      <c r="AG684" s="349"/>
      <c r="AH684" s="349"/>
      <c r="AI684" s="349"/>
      <c r="AJ684" s="349"/>
      <c r="AK684" s="349"/>
      <c r="AL684" s="349"/>
      <c r="AM684" s="349"/>
      <c r="AN684" s="349"/>
      <c r="AO684" s="349"/>
      <c r="AP684" s="349"/>
      <c r="AQ684" s="349"/>
      <c r="AR684" s="349"/>
      <c r="AS684" s="349"/>
      <c r="AT684" s="349"/>
      <c r="AU684" s="349"/>
      <c r="AV684" s="349"/>
      <c r="AW684" s="349"/>
      <c r="AX684" s="349"/>
    </row>
    <row r="685" ht="15.75" customHeight="1">
      <c r="A685" s="299" t="s">
        <v>1060</v>
      </c>
      <c r="B685" s="300" t="s">
        <v>6830</v>
      </c>
      <c r="C685" s="190" t="s">
        <v>6834</v>
      </c>
      <c r="D685" s="190" t="s">
        <v>6835</v>
      </c>
      <c r="E685" s="190" t="s">
        <v>6836</v>
      </c>
      <c r="F685" s="190"/>
      <c r="G685" s="293"/>
      <c r="H685" s="293"/>
      <c r="I685" s="356"/>
      <c r="J685" s="355"/>
      <c r="K685" s="356"/>
      <c r="L685" s="356"/>
      <c r="M685" s="356"/>
      <c r="N685" s="356"/>
      <c r="O685" s="356"/>
      <c r="P685" s="291"/>
      <c r="Q685" s="291" t="s">
        <v>307</v>
      </c>
      <c r="R685" s="356"/>
      <c r="S685" s="356"/>
      <c r="T685" s="356"/>
      <c r="U685" s="356"/>
      <c r="V685" s="356"/>
      <c r="W685" s="356"/>
      <c r="X685" s="356"/>
      <c r="Y685" s="300" t="s">
        <v>7027</v>
      </c>
      <c r="Z685" s="356"/>
      <c r="AA685" s="356"/>
      <c r="AB685" s="356"/>
      <c r="AC685" s="356"/>
      <c r="AD685" s="349"/>
      <c r="AE685" s="349"/>
      <c r="AF685" s="349"/>
      <c r="AG685" s="349"/>
      <c r="AH685" s="349"/>
      <c r="AI685" s="349"/>
      <c r="AJ685" s="349"/>
      <c r="AK685" s="349"/>
      <c r="AL685" s="349"/>
      <c r="AM685" s="349"/>
      <c r="AN685" s="349"/>
      <c r="AO685" s="349"/>
      <c r="AP685" s="349"/>
      <c r="AQ685" s="349"/>
      <c r="AR685" s="349"/>
      <c r="AS685" s="349"/>
      <c r="AT685" s="349"/>
      <c r="AU685" s="349"/>
      <c r="AV685" s="349"/>
      <c r="AW685" s="349"/>
      <c r="AX685" s="349"/>
    </row>
    <row r="686" ht="15.75" customHeight="1">
      <c r="A686" s="299" t="s">
        <v>6837</v>
      </c>
      <c r="B686" s="300" t="s">
        <v>6839</v>
      </c>
      <c r="C686" s="190" t="s">
        <v>6843</v>
      </c>
      <c r="D686" s="190" t="s">
        <v>6844</v>
      </c>
      <c r="E686" s="190" t="s">
        <v>6845</v>
      </c>
      <c r="F686" s="190" t="s">
        <v>3364</v>
      </c>
      <c r="G686" s="293" t="s">
        <v>6226</v>
      </c>
      <c r="H686" s="293" t="s">
        <v>3366</v>
      </c>
      <c r="I686" s="356"/>
      <c r="J686" s="355"/>
      <c r="K686" s="356"/>
      <c r="L686" s="356"/>
      <c r="M686" s="356"/>
      <c r="N686" s="356"/>
      <c r="O686" s="291" t="s">
        <v>8116</v>
      </c>
      <c r="P686" s="291"/>
      <c r="Q686" s="291" t="s">
        <v>307</v>
      </c>
      <c r="R686" s="356"/>
      <c r="S686" s="356"/>
      <c r="T686" s="356"/>
      <c r="U686" s="356"/>
      <c r="V686" s="356"/>
      <c r="W686" s="356"/>
      <c r="X686" s="356"/>
      <c r="Y686" s="356"/>
      <c r="Z686" s="356"/>
      <c r="AA686" s="356"/>
      <c r="AB686" s="356"/>
      <c r="AC686" s="356"/>
      <c r="AD686" s="349"/>
      <c r="AE686" s="349"/>
      <c r="AF686" s="349"/>
      <c r="AG686" s="349"/>
      <c r="AH686" s="349"/>
      <c r="AI686" s="349"/>
      <c r="AJ686" s="349"/>
      <c r="AK686" s="349"/>
      <c r="AL686" s="349"/>
      <c r="AM686" s="349"/>
      <c r="AN686" s="349"/>
      <c r="AO686" s="349"/>
      <c r="AP686" s="349"/>
      <c r="AQ686" s="349"/>
      <c r="AR686" s="349"/>
      <c r="AS686" s="349"/>
      <c r="AT686" s="349"/>
      <c r="AU686" s="349"/>
      <c r="AV686" s="349"/>
      <c r="AW686" s="349"/>
      <c r="AX686" s="349"/>
    </row>
    <row r="687" ht="15.75" customHeight="1">
      <c r="A687" s="301" t="s">
        <v>220</v>
      </c>
      <c r="B687" s="302" t="s">
        <v>6846</v>
      </c>
      <c r="C687" s="190" t="s">
        <v>6851</v>
      </c>
      <c r="D687" s="190" t="s">
        <v>6852</v>
      </c>
      <c r="E687" s="190" t="s">
        <v>6853</v>
      </c>
      <c r="F687" s="190"/>
      <c r="G687" s="293"/>
      <c r="H687" s="293"/>
      <c r="I687" s="366"/>
      <c r="J687" s="367"/>
      <c r="K687" s="366"/>
      <c r="L687" s="366"/>
      <c r="M687" s="366"/>
      <c r="N687" s="366"/>
      <c r="O687" s="368" t="s">
        <v>8117</v>
      </c>
      <c r="P687" s="291"/>
      <c r="Q687" s="366"/>
      <c r="R687" s="366"/>
      <c r="S687" s="366"/>
      <c r="T687" s="366"/>
      <c r="U687" s="366"/>
      <c r="V687" s="366"/>
      <c r="W687" s="366"/>
      <c r="X687" s="366"/>
      <c r="Y687" s="366"/>
      <c r="Z687" s="366"/>
      <c r="AA687" s="366"/>
      <c r="AB687" s="366"/>
      <c r="AC687" s="366"/>
      <c r="AD687" s="349"/>
      <c r="AE687" s="349"/>
      <c r="AF687" s="349"/>
      <c r="AG687" s="349"/>
      <c r="AH687" s="349"/>
      <c r="AI687" s="349"/>
      <c r="AJ687" s="349"/>
      <c r="AK687" s="349"/>
      <c r="AL687" s="349"/>
      <c r="AM687" s="349"/>
      <c r="AN687" s="349"/>
      <c r="AO687" s="349"/>
      <c r="AP687" s="349"/>
      <c r="AQ687" s="349"/>
      <c r="AR687" s="349"/>
      <c r="AS687" s="349"/>
      <c r="AT687" s="349"/>
      <c r="AU687" s="349"/>
      <c r="AV687" s="349"/>
      <c r="AW687" s="349"/>
      <c r="AX687" s="349"/>
    </row>
    <row r="688" ht="15.75" customHeight="1">
      <c r="A688" s="221" t="s">
        <v>112</v>
      </c>
      <c r="B688" s="198" t="s">
        <v>6854</v>
      </c>
      <c r="C688" s="190"/>
      <c r="D688" s="190"/>
      <c r="E688" s="190"/>
      <c r="F688" s="190"/>
      <c r="G688" s="348"/>
      <c r="H688" s="348"/>
      <c r="I688" s="348"/>
      <c r="J688" s="348"/>
      <c r="K688" s="348"/>
      <c r="L688" s="348"/>
      <c r="M688" s="348"/>
      <c r="N688" s="348"/>
      <c r="O688" s="348"/>
      <c r="P688" s="291"/>
      <c r="Q688" s="348"/>
      <c r="R688" s="348"/>
      <c r="S688" s="348"/>
      <c r="T688" s="335" t="s">
        <v>8118</v>
      </c>
      <c r="U688" s="348"/>
      <c r="V688" s="348"/>
      <c r="W688" s="348"/>
      <c r="X688" s="348"/>
      <c r="Y688" s="348"/>
      <c r="Z688" s="348"/>
      <c r="AA688" s="348"/>
      <c r="AB688" s="348"/>
      <c r="AC688" s="348"/>
      <c r="AD688" s="349"/>
      <c r="AE688" s="349"/>
      <c r="AF688" s="349"/>
      <c r="AG688" s="349"/>
      <c r="AH688" s="349"/>
      <c r="AI688" s="349"/>
      <c r="AJ688" s="349"/>
      <c r="AK688" s="349"/>
      <c r="AL688" s="349"/>
      <c r="AM688" s="349"/>
      <c r="AN688" s="349"/>
      <c r="AO688" s="349"/>
      <c r="AP688" s="349"/>
      <c r="AQ688" s="349"/>
      <c r="AR688" s="349"/>
      <c r="AS688" s="349"/>
      <c r="AT688" s="349"/>
      <c r="AU688" s="349"/>
      <c r="AV688" s="349"/>
      <c r="AW688" s="349"/>
      <c r="AX688" s="349"/>
    </row>
    <row r="689" ht="15.75" customHeight="1">
      <c r="A689" s="299" t="s">
        <v>1060</v>
      </c>
      <c r="B689" s="300" t="s">
        <v>6856</v>
      </c>
      <c r="C689" s="190" t="s">
        <v>6860</v>
      </c>
      <c r="D689" s="190" t="s">
        <v>6861</v>
      </c>
      <c r="E689" s="190" t="s">
        <v>6862</v>
      </c>
      <c r="F689" s="190"/>
      <c r="G689" s="293"/>
      <c r="H689" s="293"/>
      <c r="I689" s="356"/>
      <c r="J689" s="355"/>
      <c r="K689" s="356"/>
      <c r="L689" s="356"/>
      <c r="M689" s="356"/>
      <c r="N689" s="356"/>
      <c r="O689" s="291" t="s">
        <v>8116</v>
      </c>
      <c r="P689" s="291"/>
      <c r="Q689" s="291" t="s">
        <v>307</v>
      </c>
      <c r="R689" s="356"/>
      <c r="S689" s="356"/>
      <c r="T689" s="356"/>
      <c r="U689" s="356"/>
      <c r="V689" s="356"/>
      <c r="W689" s="356"/>
      <c r="X689" s="356"/>
      <c r="Y689" s="356"/>
      <c r="Z689" s="356"/>
      <c r="AA689" s="356"/>
      <c r="AB689" s="356"/>
      <c r="AC689" s="356"/>
      <c r="AD689" s="349"/>
      <c r="AE689" s="349"/>
      <c r="AF689" s="349"/>
      <c r="AG689" s="349"/>
      <c r="AH689" s="349"/>
      <c r="AI689" s="349"/>
      <c r="AJ689" s="349"/>
      <c r="AK689" s="349"/>
      <c r="AL689" s="349"/>
      <c r="AM689" s="349"/>
      <c r="AN689" s="349"/>
      <c r="AO689" s="349"/>
      <c r="AP689" s="349"/>
      <c r="AQ689" s="349"/>
      <c r="AR689" s="349"/>
      <c r="AS689" s="349"/>
      <c r="AT689" s="349"/>
      <c r="AU689" s="349"/>
      <c r="AV689" s="349"/>
      <c r="AW689" s="349"/>
      <c r="AX689" s="349"/>
    </row>
    <row r="690" ht="15.75" customHeight="1">
      <c r="A690" s="306" t="s">
        <v>247</v>
      </c>
      <c r="B690" s="307" t="s">
        <v>6863</v>
      </c>
      <c r="C690" s="190" t="s">
        <v>6868</v>
      </c>
      <c r="D690" s="190" t="s">
        <v>6869</v>
      </c>
      <c r="E690" s="190" t="s">
        <v>6870</v>
      </c>
      <c r="F690" s="190"/>
      <c r="G690" s="293"/>
      <c r="H690" s="293"/>
      <c r="I690" s="359"/>
      <c r="J690" s="359"/>
      <c r="K690" s="369"/>
      <c r="L690" s="369"/>
      <c r="M690" s="359"/>
      <c r="N690" s="359"/>
      <c r="O690" s="361" t="s">
        <v>8116</v>
      </c>
      <c r="P690" s="291"/>
      <c r="Q690" s="361" t="s">
        <v>307</v>
      </c>
      <c r="R690" s="359"/>
      <c r="S690" s="359"/>
      <c r="T690" s="359"/>
      <c r="U690" s="359"/>
      <c r="V690" s="359"/>
      <c r="W690" s="359"/>
      <c r="X690" s="359"/>
      <c r="Y690" s="359"/>
      <c r="Z690" s="359"/>
      <c r="AA690" s="359"/>
      <c r="AB690" s="359"/>
      <c r="AC690" s="359"/>
      <c r="AD690" s="349"/>
      <c r="AE690" s="349"/>
      <c r="AF690" s="349"/>
      <c r="AG690" s="349"/>
      <c r="AH690" s="349"/>
      <c r="AI690" s="349"/>
      <c r="AJ690" s="349"/>
      <c r="AK690" s="349"/>
      <c r="AL690" s="349"/>
      <c r="AM690" s="349"/>
      <c r="AN690" s="349"/>
      <c r="AO690" s="349"/>
      <c r="AP690" s="349"/>
      <c r="AQ690" s="349"/>
      <c r="AR690" s="349"/>
      <c r="AS690" s="349"/>
      <c r="AT690" s="349"/>
      <c r="AU690" s="349"/>
      <c r="AV690" s="349"/>
      <c r="AW690" s="349"/>
      <c r="AX690" s="349"/>
    </row>
    <row r="691" ht="15.75" customHeight="1">
      <c r="A691" s="306" t="s">
        <v>247</v>
      </c>
      <c r="B691" s="307" t="s">
        <v>6871</v>
      </c>
      <c r="C691" s="190" t="s">
        <v>6875</v>
      </c>
      <c r="D691" s="190" t="s">
        <v>6876</v>
      </c>
      <c r="E691" s="190" t="s">
        <v>6878</v>
      </c>
      <c r="F691" s="190"/>
      <c r="G691" s="293"/>
      <c r="H691" s="293"/>
      <c r="I691" s="359"/>
      <c r="J691" s="359"/>
      <c r="K691" s="369"/>
      <c r="L691" s="369"/>
      <c r="M691" s="359"/>
      <c r="N691" s="359"/>
      <c r="O691" s="361" t="s">
        <v>8119</v>
      </c>
      <c r="P691" s="291"/>
      <c r="Q691" s="361" t="s">
        <v>307</v>
      </c>
      <c r="R691" s="359"/>
      <c r="S691" s="359"/>
      <c r="T691" s="359"/>
      <c r="U691" s="359"/>
      <c r="V691" s="359"/>
      <c r="W691" s="359"/>
      <c r="X691" s="359"/>
      <c r="Y691" s="359"/>
      <c r="Z691" s="359"/>
      <c r="AA691" s="359"/>
      <c r="AB691" s="359"/>
      <c r="AC691" s="359"/>
      <c r="AD691" s="349"/>
      <c r="AE691" s="349"/>
      <c r="AF691" s="349"/>
      <c r="AG691" s="349"/>
      <c r="AH691" s="349"/>
      <c r="AI691" s="349"/>
      <c r="AJ691" s="349"/>
      <c r="AK691" s="349"/>
      <c r="AL691" s="349"/>
      <c r="AM691" s="349"/>
      <c r="AN691" s="349"/>
      <c r="AO691" s="349"/>
      <c r="AP691" s="349"/>
      <c r="AQ691" s="349"/>
      <c r="AR691" s="349"/>
      <c r="AS691" s="349"/>
      <c r="AT691" s="349"/>
      <c r="AU691" s="349"/>
      <c r="AV691" s="349"/>
      <c r="AW691" s="349"/>
      <c r="AX691" s="349"/>
    </row>
    <row r="692" ht="15.75" customHeight="1">
      <c r="A692" s="320"/>
      <c r="B692" s="321"/>
      <c r="C692" s="190"/>
      <c r="D692" s="190"/>
      <c r="E692" s="190"/>
      <c r="F692" s="190"/>
      <c r="G692" s="349"/>
      <c r="H692" s="349"/>
      <c r="I692" s="349"/>
      <c r="J692" s="349"/>
      <c r="K692" s="349"/>
      <c r="L692" s="349"/>
      <c r="M692" s="349"/>
      <c r="N692" s="349"/>
      <c r="O692" s="349"/>
      <c r="P692" s="291"/>
      <c r="Q692" s="349"/>
      <c r="R692" s="349"/>
      <c r="S692" s="349"/>
      <c r="T692" s="349"/>
      <c r="U692" s="349"/>
      <c r="V692" s="349"/>
      <c r="W692" s="349"/>
      <c r="X692" s="349"/>
      <c r="Y692" s="349"/>
      <c r="Z692" s="349"/>
      <c r="AA692" s="349"/>
      <c r="AB692" s="349"/>
      <c r="AC692" s="349"/>
      <c r="AD692" s="349"/>
      <c r="AE692" s="349"/>
      <c r="AF692" s="349"/>
      <c r="AG692" s="349"/>
      <c r="AH692" s="349"/>
      <c r="AI692" s="349"/>
      <c r="AJ692" s="349"/>
      <c r="AK692" s="349"/>
      <c r="AL692" s="349"/>
      <c r="AM692" s="349"/>
      <c r="AN692" s="349"/>
      <c r="AO692" s="349"/>
      <c r="AP692" s="349"/>
      <c r="AQ692" s="349"/>
      <c r="AR692" s="349"/>
      <c r="AS692" s="349"/>
      <c r="AT692" s="349"/>
      <c r="AU692" s="349"/>
      <c r="AV692" s="349"/>
      <c r="AW692" s="349"/>
      <c r="AX692" s="349"/>
    </row>
    <row r="693" ht="15.75" customHeight="1">
      <c r="A693" s="305" t="s">
        <v>385</v>
      </c>
      <c r="B693" s="223" t="s">
        <v>6879</v>
      </c>
      <c r="C693" s="190" t="s">
        <v>6880</v>
      </c>
      <c r="D693" s="190"/>
      <c r="E693" s="190"/>
      <c r="F693" s="190"/>
      <c r="G693" s="362"/>
      <c r="H693" s="362"/>
      <c r="I693" s="362"/>
      <c r="J693" s="362"/>
      <c r="K693" s="362"/>
      <c r="L693" s="362"/>
      <c r="M693" s="363"/>
      <c r="N693" s="363"/>
      <c r="O693" s="363"/>
      <c r="P693" s="291"/>
      <c r="Q693" s="362"/>
      <c r="R693" s="362"/>
      <c r="S693" s="362"/>
      <c r="T693" s="362"/>
      <c r="U693" s="364" t="s">
        <v>8120</v>
      </c>
      <c r="V693" s="362"/>
      <c r="W693" s="362"/>
      <c r="X693" s="362"/>
      <c r="Y693" s="362"/>
      <c r="Z693" s="362"/>
      <c r="AA693" s="362"/>
      <c r="AB693" s="362"/>
      <c r="AC693" s="362"/>
      <c r="AD693" s="349"/>
      <c r="AE693" s="349"/>
      <c r="AF693" s="349"/>
      <c r="AG693" s="349"/>
      <c r="AH693" s="349"/>
      <c r="AI693" s="349"/>
      <c r="AJ693" s="349"/>
      <c r="AK693" s="349"/>
      <c r="AL693" s="349"/>
      <c r="AM693" s="349"/>
      <c r="AN693" s="349"/>
      <c r="AO693" s="349"/>
      <c r="AP693" s="349"/>
      <c r="AQ693" s="349"/>
      <c r="AR693" s="349"/>
      <c r="AS693" s="349"/>
      <c r="AT693" s="349"/>
      <c r="AU693" s="349"/>
      <c r="AV693" s="349"/>
      <c r="AW693" s="349"/>
      <c r="AX693" s="349"/>
    </row>
    <row r="694" ht="15.75" customHeight="1">
      <c r="A694" s="221" t="s">
        <v>112</v>
      </c>
      <c r="B694" s="198" t="s">
        <v>6885</v>
      </c>
      <c r="C694" s="190"/>
      <c r="D694" s="190"/>
      <c r="E694" s="190"/>
      <c r="F694" s="190"/>
      <c r="G694" s="348"/>
      <c r="H694" s="348"/>
      <c r="I694" s="348"/>
      <c r="J694" s="348"/>
      <c r="K694" s="348"/>
      <c r="L694" s="348"/>
      <c r="M694" s="348"/>
      <c r="N694" s="348"/>
      <c r="O694" s="348"/>
      <c r="P694" s="291"/>
      <c r="Q694" s="348"/>
      <c r="R694" s="348"/>
      <c r="S694" s="348"/>
      <c r="T694" s="335" t="s">
        <v>8121</v>
      </c>
      <c r="U694" s="348"/>
      <c r="V694" s="348"/>
      <c r="W694" s="348"/>
      <c r="X694" s="348"/>
      <c r="Y694" s="348"/>
      <c r="Z694" s="348"/>
      <c r="AA694" s="348"/>
      <c r="AB694" s="348"/>
      <c r="AC694" s="348"/>
      <c r="AD694" s="349"/>
      <c r="AE694" s="349"/>
      <c r="AF694" s="349"/>
      <c r="AG694" s="349"/>
      <c r="AH694" s="349"/>
      <c r="AI694" s="349"/>
      <c r="AJ694" s="349"/>
      <c r="AK694" s="349"/>
      <c r="AL694" s="349"/>
      <c r="AM694" s="349"/>
      <c r="AN694" s="349"/>
      <c r="AO694" s="349"/>
      <c r="AP694" s="349"/>
      <c r="AQ694" s="349"/>
      <c r="AR694" s="349"/>
      <c r="AS694" s="349"/>
      <c r="AT694" s="349"/>
      <c r="AU694" s="349"/>
      <c r="AV694" s="349"/>
      <c r="AW694" s="349"/>
      <c r="AX694" s="349"/>
    </row>
    <row r="695" ht="15.75" customHeight="1">
      <c r="A695" s="221" t="s">
        <v>112</v>
      </c>
      <c r="B695" s="198" t="s">
        <v>6886</v>
      </c>
      <c r="C695" s="190"/>
      <c r="D695" s="190"/>
      <c r="E695" s="190"/>
      <c r="F695" s="190"/>
      <c r="G695" s="348"/>
      <c r="H695" s="348"/>
      <c r="I695" s="348"/>
      <c r="J695" s="348"/>
      <c r="K695" s="348"/>
      <c r="L695" s="348"/>
      <c r="M695" s="348"/>
      <c r="N695" s="348"/>
      <c r="O695" s="348"/>
      <c r="P695" s="291"/>
      <c r="Q695" s="348"/>
      <c r="R695" s="348"/>
      <c r="S695" s="348"/>
      <c r="T695" s="335" t="s">
        <v>8122</v>
      </c>
      <c r="U695" s="308"/>
      <c r="V695" s="348"/>
      <c r="W695" s="348"/>
      <c r="X695" s="348"/>
      <c r="Y695" s="348"/>
      <c r="Z695" s="348"/>
      <c r="AA695" s="348"/>
      <c r="AB695" s="348"/>
      <c r="AC695" s="348"/>
      <c r="AD695" s="349"/>
      <c r="AE695" s="349"/>
      <c r="AF695" s="349"/>
      <c r="AG695" s="349"/>
      <c r="AH695" s="349"/>
      <c r="AI695" s="349"/>
      <c r="AJ695" s="349"/>
      <c r="AK695" s="349"/>
      <c r="AL695" s="349"/>
      <c r="AM695" s="349"/>
      <c r="AN695" s="349"/>
      <c r="AO695" s="349"/>
      <c r="AP695" s="349"/>
      <c r="AQ695" s="349"/>
      <c r="AR695" s="349"/>
      <c r="AS695" s="349"/>
      <c r="AT695" s="349"/>
      <c r="AU695" s="349"/>
      <c r="AV695" s="349"/>
      <c r="AW695" s="349"/>
      <c r="AX695" s="349"/>
    </row>
    <row r="696" ht="15.75" customHeight="1">
      <c r="A696" s="221" t="s">
        <v>112</v>
      </c>
      <c r="B696" s="198" t="s">
        <v>6889</v>
      </c>
      <c r="C696" s="190"/>
      <c r="D696" s="190"/>
      <c r="E696" s="190"/>
      <c r="F696" s="190"/>
      <c r="G696" s="348"/>
      <c r="H696" s="348"/>
      <c r="I696" s="348"/>
      <c r="J696" s="348"/>
      <c r="K696" s="348"/>
      <c r="L696" s="348"/>
      <c r="M696" s="348"/>
      <c r="N696" s="348"/>
      <c r="O696" s="348"/>
      <c r="P696" s="291"/>
      <c r="Q696" s="348"/>
      <c r="R696" s="348"/>
      <c r="S696" s="348"/>
      <c r="T696" s="250" t="s">
        <v>8123</v>
      </c>
      <c r="U696" s="348"/>
      <c r="V696" s="348"/>
      <c r="W696" s="348"/>
      <c r="X696" s="348"/>
      <c r="Y696" s="348"/>
      <c r="Z696" s="348"/>
      <c r="AA696" s="348"/>
      <c r="AB696" s="348"/>
      <c r="AC696" s="348"/>
      <c r="AD696" s="349"/>
      <c r="AE696" s="349"/>
      <c r="AF696" s="349"/>
      <c r="AG696" s="349"/>
      <c r="AH696" s="349"/>
      <c r="AI696" s="349"/>
      <c r="AJ696" s="349"/>
      <c r="AK696" s="349"/>
      <c r="AL696" s="349"/>
      <c r="AM696" s="349"/>
      <c r="AN696" s="349"/>
      <c r="AO696" s="349"/>
      <c r="AP696" s="349"/>
      <c r="AQ696" s="349"/>
      <c r="AR696" s="349"/>
      <c r="AS696" s="349"/>
      <c r="AT696" s="349"/>
      <c r="AU696" s="349"/>
      <c r="AV696" s="349"/>
      <c r="AW696" s="349"/>
      <c r="AX696" s="349"/>
    </row>
    <row r="697" ht="15.75" customHeight="1">
      <c r="A697" s="306" t="s">
        <v>247</v>
      </c>
      <c r="B697" s="307" t="s">
        <v>6892</v>
      </c>
      <c r="C697" s="190" t="s">
        <v>6896</v>
      </c>
      <c r="D697" s="190" t="s">
        <v>6897</v>
      </c>
      <c r="E697" s="190" t="s">
        <v>6898</v>
      </c>
      <c r="F697" s="190"/>
      <c r="G697" s="293"/>
      <c r="H697" s="293"/>
      <c r="I697" s="359"/>
      <c r="J697" s="359"/>
      <c r="K697" s="360" t="s">
        <v>8109</v>
      </c>
      <c r="L697" s="369"/>
      <c r="M697" s="359"/>
      <c r="N697" s="359"/>
      <c r="O697" s="361" t="s">
        <v>8124</v>
      </c>
      <c r="P697" s="291"/>
      <c r="Q697" s="361" t="s">
        <v>307</v>
      </c>
      <c r="R697" s="359"/>
      <c r="S697" s="359"/>
      <c r="T697" s="391"/>
      <c r="U697" s="359"/>
      <c r="V697" s="359"/>
      <c r="W697" s="359"/>
      <c r="X697" s="359"/>
      <c r="Y697" s="359"/>
      <c r="Z697" s="359"/>
      <c r="AA697" s="359"/>
      <c r="AB697" s="359"/>
      <c r="AC697" s="359"/>
      <c r="AD697" s="349"/>
      <c r="AE697" s="349"/>
      <c r="AF697" s="349"/>
      <c r="AG697" s="349"/>
      <c r="AH697" s="349"/>
      <c r="AI697" s="349"/>
      <c r="AJ697" s="349"/>
      <c r="AK697" s="349"/>
      <c r="AL697" s="349"/>
      <c r="AM697" s="349"/>
      <c r="AN697" s="349"/>
      <c r="AO697" s="349"/>
      <c r="AP697" s="349"/>
      <c r="AQ697" s="349"/>
      <c r="AR697" s="349"/>
      <c r="AS697" s="349"/>
      <c r="AT697" s="349"/>
      <c r="AU697" s="349"/>
      <c r="AV697" s="349"/>
      <c r="AW697" s="349"/>
      <c r="AX697" s="349"/>
    </row>
    <row r="698" ht="15.75" customHeight="1">
      <c r="A698" s="305" t="s">
        <v>450</v>
      </c>
      <c r="B698" s="224" t="s">
        <v>6879</v>
      </c>
      <c r="C698" s="190" t="s">
        <v>6880</v>
      </c>
      <c r="D698" s="190"/>
      <c r="E698" s="190"/>
      <c r="F698" s="190"/>
      <c r="G698" s="362"/>
      <c r="H698" s="362"/>
      <c r="I698" s="362"/>
      <c r="J698" s="362"/>
      <c r="K698" s="362"/>
      <c r="L698" s="362"/>
      <c r="M698" s="362"/>
      <c r="N698" s="362"/>
      <c r="O698" s="362"/>
      <c r="P698" s="291"/>
      <c r="Q698" s="362"/>
      <c r="R698" s="362"/>
      <c r="S698" s="362"/>
      <c r="T698" s="362"/>
      <c r="U698" s="362"/>
      <c r="V698" s="362"/>
      <c r="W698" s="362"/>
      <c r="X698" s="362"/>
      <c r="Y698" s="362"/>
      <c r="Z698" s="362"/>
      <c r="AA698" s="362"/>
      <c r="AB698" s="362"/>
      <c r="AC698" s="362"/>
      <c r="AD698" s="349"/>
      <c r="AE698" s="349"/>
      <c r="AF698" s="349"/>
      <c r="AG698" s="349"/>
      <c r="AH698" s="349"/>
      <c r="AI698" s="349"/>
      <c r="AJ698" s="349"/>
      <c r="AK698" s="349"/>
      <c r="AL698" s="349"/>
      <c r="AM698" s="349"/>
      <c r="AN698" s="349"/>
      <c r="AO698" s="349"/>
      <c r="AP698" s="349"/>
      <c r="AQ698" s="349"/>
      <c r="AR698" s="349"/>
      <c r="AS698" s="349"/>
      <c r="AT698" s="349"/>
      <c r="AU698" s="349"/>
      <c r="AV698" s="349"/>
      <c r="AW698" s="349"/>
      <c r="AX698" s="349"/>
    </row>
    <row r="699" ht="15.75" customHeight="1">
      <c r="A699" s="221" t="s">
        <v>256</v>
      </c>
      <c r="B699" s="198" t="s">
        <v>6899</v>
      </c>
      <c r="C699" s="190"/>
      <c r="D699" s="190"/>
      <c r="E699" s="190"/>
      <c r="F699" s="190"/>
      <c r="G699" s="348"/>
      <c r="H699" s="348"/>
      <c r="I699" s="348"/>
      <c r="J699" s="348"/>
      <c r="K699" s="348"/>
      <c r="L699" s="348"/>
      <c r="M699" s="348"/>
      <c r="N699" s="348"/>
      <c r="O699" s="348"/>
      <c r="P699" s="291"/>
      <c r="Q699" s="348"/>
      <c r="R699" s="348"/>
      <c r="S699" s="348"/>
      <c r="T699" s="335" t="s">
        <v>260</v>
      </c>
      <c r="U699" s="348"/>
      <c r="V699" s="348"/>
      <c r="W699" s="348"/>
      <c r="X699" s="348"/>
      <c r="Y699" s="348"/>
      <c r="Z699" s="348"/>
      <c r="AA699" s="348"/>
      <c r="AB699" s="348"/>
      <c r="AC699" s="348"/>
      <c r="AD699" s="349"/>
      <c r="AE699" s="349"/>
      <c r="AF699" s="349"/>
      <c r="AG699" s="349"/>
      <c r="AH699" s="349"/>
      <c r="AI699" s="349"/>
      <c r="AJ699" s="349"/>
      <c r="AK699" s="349"/>
      <c r="AL699" s="349"/>
      <c r="AM699" s="349"/>
      <c r="AN699" s="349"/>
      <c r="AO699" s="349"/>
      <c r="AP699" s="349"/>
      <c r="AQ699" s="349"/>
      <c r="AR699" s="349"/>
      <c r="AS699" s="349"/>
      <c r="AT699" s="349"/>
      <c r="AU699" s="349"/>
      <c r="AV699" s="349"/>
      <c r="AW699" s="349"/>
      <c r="AX699" s="349"/>
    </row>
    <row r="700" ht="15.75" customHeight="1">
      <c r="A700" s="221" t="s">
        <v>112</v>
      </c>
      <c r="B700" s="198" t="s">
        <v>6900</v>
      </c>
      <c r="C700" s="190"/>
      <c r="D700" s="190"/>
      <c r="E700" s="190"/>
      <c r="F700" s="190"/>
      <c r="G700" s="348"/>
      <c r="H700" s="348"/>
      <c r="I700" s="348"/>
      <c r="J700" s="348"/>
      <c r="K700" s="348"/>
      <c r="L700" s="348"/>
      <c r="M700" s="348"/>
      <c r="N700" s="348"/>
      <c r="O700" s="348"/>
      <c r="P700" s="291"/>
      <c r="Q700" s="348"/>
      <c r="R700" s="348"/>
      <c r="S700" s="348"/>
      <c r="T700" s="335" t="s">
        <v>8125</v>
      </c>
      <c r="U700" s="308"/>
      <c r="V700" s="348"/>
      <c r="W700" s="348"/>
      <c r="X700" s="348"/>
      <c r="Y700" s="348"/>
      <c r="Z700" s="348"/>
      <c r="AA700" s="348"/>
      <c r="AB700" s="348"/>
      <c r="AC700" s="348"/>
      <c r="AD700" s="349"/>
      <c r="AE700" s="349"/>
      <c r="AF700" s="349"/>
      <c r="AG700" s="349"/>
      <c r="AH700" s="349"/>
      <c r="AI700" s="349"/>
      <c r="AJ700" s="349"/>
      <c r="AK700" s="349"/>
      <c r="AL700" s="349"/>
      <c r="AM700" s="349"/>
      <c r="AN700" s="349"/>
      <c r="AO700" s="349"/>
      <c r="AP700" s="349"/>
      <c r="AQ700" s="349"/>
      <c r="AR700" s="349"/>
      <c r="AS700" s="349"/>
      <c r="AT700" s="349"/>
      <c r="AU700" s="349"/>
      <c r="AV700" s="349"/>
      <c r="AW700" s="349"/>
      <c r="AX700" s="349"/>
    </row>
    <row r="701" ht="15.75" customHeight="1">
      <c r="A701" s="306" t="s">
        <v>247</v>
      </c>
      <c r="B701" s="307" t="s">
        <v>6901</v>
      </c>
      <c r="C701" s="190" t="s">
        <v>6906</v>
      </c>
      <c r="D701" s="190" t="s">
        <v>6907</v>
      </c>
      <c r="E701" s="190" t="s">
        <v>6908</v>
      </c>
      <c r="F701" s="190"/>
      <c r="G701" s="293"/>
      <c r="H701" s="293"/>
      <c r="I701" s="359"/>
      <c r="J701" s="359"/>
      <c r="K701" s="369"/>
      <c r="L701" s="369"/>
      <c r="M701" s="359"/>
      <c r="N701" s="428"/>
      <c r="O701" s="306" t="s">
        <v>8116</v>
      </c>
      <c r="P701" s="291"/>
      <c r="Q701" s="361" t="s">
        <v>307</v>
      </c>
      <c r="R701" s="359"/>
      <c r="S701" s="359"/>
      <c r="T701" s="359"/>
      <c r="U701" s="391"/>
      <c r="V701" s="359"/>
      <c r="W701" s="359"/>
      <c r="X701" s="359"/>
      <c r="Y701" s="359"/>
      <c r="Z701" s="359"/>
      <c r="AA701" s="359"/>
      <c r="AB701" s="359"/>
      <c r="AC701" s="359"/>
      <c r="AD701" s="349"/>
      <c r="AE701" s="349"/>
      <c r="AF701" s="349"/>
      <c r="AG701" s="349"/>
      <c r="AH701" s="349"/>
      <c r="AI701" s="349"/>
      <c r="AJ701" s="349"/>
      <c r="AK701" s="349"/>
      <c r="AL701" s="349"/>
      <c r="AM701" s="349"/>
      <c r="AN701" s="349"/>
      <c r="AO701" s="349"/>
      <c r="AP701" s="349"/>
      <c r="AQ701" s="349"/>
      <c r="AR701" s="349"/>
      <c r="AS701" s="349"/>
      <c r="AT701" s="349"/>
      <c r="AU701" s="349"/>
      <c r="AV701" s="349"/>
      <c r="AW701" s="349"/>
      <c r="AX701" s="349"/>
    </row>
    <row r="702" ht="15.75" customHeight="1">
      <c r="A702" s="306" t="s">
        <v>247</v>
      </c>
      <c r="B702" s="307" t="s">
        <v>6909</v>
      </c>
      <c r="C702" s="190" t="s">
        <v>6913</v>
      </c>
      <c r="D702" s="190" t="s">
        <v>6914</v>
      </c>
      <c r="E702" s="190" t="s">
        <v>6915</v>
      </c>
      <c r="F702" s="190"/>
      <c r="G702" s="293"/>
      <c r="H702" s="293"/>
      <c r="I702" s="359"/>
      <c r="J702" s="359"/>
      <c r="K702" s="369"/>
      <c r="L702" s="369"/>
      <c r="M702" s="359"/>
      <c r="N702" s="428"/>
      <c r="O702" s="306" t="s">
        <v>8116</v>
      </c>
      <c r="P702" s="291"/>
      <c r="Q702" s="361" t="s">
        <v>307</v>
      </c>
      <c r="R702" s="359"/>
      <c r="S702" s="359"/>
      <c r="T702" s="359"/>
      <c r="U702" s="391"/>
      <c r="V702" s="359"/>
      <c r="W702" s="359"/>
      <c r="X702" s="359"/>
      <c r="Y702" s="359"/>
      <c r="Z702" s="359"/>
      <c r="AA702" s="359"/>
      <c r="AB702" s="359"/>
      <c r="AC702" s="359"/>
      <c r="AD702" s="349"/>
      <c r="AE702" s="349"/>
      <c r="AF702" s="349"/>
      <c r="AG702" s="349"/>
      <c r="AH702" s="349"/>
      <c r="AI702" s="349"/>
      <c r="AJ702" s="349"/>
      <c r="AK702" s="349"/>
      <c r="AL702" s="349"/>
      <c r="AM702" s="349"/>
      <c r="AN702" s="349"/>
      <c r="AO702" s="349"/>
      <c r="AP702" s="349"/>
      <c r="AQ702" s="349"/>
      <c r="AR702" s="349"/>
      <c r="AS702" s="349"/>
      <c r="AT702" s="349"/>
      <c r="AU702" s="349"/>
      <c r="AV702" s="349"/>
      <c r="AW702" s="349"/>
      <c r="AX702" s="349"/>
    </row>
    <row r="703" ht="15.75" customHeight="1">
      <c r="A703" s="221" t="s">
        <v>112</v>
      </c>
      <c r="B703" s="198" t="s">
        <v>6916</v>
      </c>
      <c r="C703" s="190"/>
      <c r="D703" s="190"/>
      <c r="E703" s="190"/>
      <c r="F703" s="190"/>
      <c r="G703" s="348"/>
      <c r="H703" s="348"/>
      <c r="I703" s="348"/>
      <c r="J703" s="348"/>
      <c r="K703" s="348"/>
      <c r="L703" s="348"/>
      <c r="M703" s="348"/>
      <c r="N703" s="420"/>
      <c r="O703" s="308"/>
      <c r="P703" s="291"/>
      <c r="Q703" s="348"/>
      <c r="R703" s="348"/>
      <c r="S703" s="348"/>
      <c r="T703" s="335" t="s">
        <v>8126</v>
      </c>
      <c r="U703" s="308"/>
      <c r="V703" s="348"/>
      <c r="W703" s="348"/>
      <c r="X703" s="348"/>
      <c r="Y703" s="348"/>
      <c r="Z703" s="348"/>
      <c r="AA703" s="348"/>
      <c r="AB703" s="348"/>
      <c r="AC703" s="348"/>
      <c r="AD703" s="349"/>
      <c r="AE703" s="349"/>
      <c r="AF703" s="349"/>
      <c r="AG703" s="349"/>
      <c r="AH703" s="349"/>
      <c r="AI703" s="349"/>
      <c r="AJ703" s="349"/>
      <c r="AK703" s="349"/>
      <c r="AL703" s="349"/>
      <c r="AM703" s="349"/>
      <c r="AN703" s="349"/>
      <c r="AO703" s="349"/>
      <c r="AP703" s="349"/>
      <c r="AQ703" s="349"/>
      <c r="AR703" s="349"/>
      <c r="AS703" s="349"/>
      <c r="AT703" s="349"/>
      <c r="AU703" s="349"/>
      <c r="AV703" s="349"/>
      <c r="AW703" s="349"/>
      <c r="AX703" s="349"/>
    </row>
    <row r="704" ht="15.75" customHeight="1">
      <c r="A704" s="299" t="s">
        <v>1060</v>
      </c>
      <c r="B704" s="300" t="s">
        <v>6919</v>
      </c>
      <c r="C704" s="190" t="s">
        <v>6923</v>
      </c>
      <c r="D704" s="190" t="s">
        <v>6924</v>
      </c>
      <c r="E704" s="190" t="s">
        <v>6925</v>
      </c>
      <c r="F704" s="190"/>
      <c r="G704" s="293"/>
      <c r="H704" s="293"/>
      <c r="I704" s="356"/>
      <c r="J704" s="355"/>
      <c r="K704" s="356"/>
      <c r="L704" s="356"/>
      <c r="M704" s="356"/>
      <c r="N704" s="429"/>
      <c r="O704" s="299" t="s">
        <v>8116</v>
      </c>
      <c r="P704" s="291"/>
      <c r="Q704" s="291" t="s">
        <v>307</v>
      </c>
      <c r="R704" s="356"/>
      <c r="S704" s="356"/>
      <c r="T704" s="356"/>
      <c r="U704" s="392"/>
      <c r="V704" s="356"/>
      <c r="W704" s="356"/>
      <c r="X704" s="356"/>
      <c r="Y704" s="356"/>
      <c r="Z704" s="356"/>
      <c r="AA704" s="356"/>
      <c r="AB704" s="356"/>
      <c r="AC704" s="356"/>
      <c r="AD704" s="349"/>
      <c r="AE704" s="349"/>
      <c r="AF704" s="349"/>
      <c r="AG704" s="349"/>
      <c r="AH704" s="349"/>
      <c r="AI704" s="349"/>
      <c r="AJ704" s="349"/>
      <c r="AK704" s="349"/>
      <c r="AL704" s="349"/>
      <c r="AM704" s="349"/>
      <c r="AN704" s="349"/>
      <c r="AO704" s="349"/>
      <c r="AP704" s="349"/>
      <c r="AQ704" s="349"/>
      <c r="AR704" s="349"/>
      <c r="AS704" s="349"/>
      <c r="AT704" s="349"/>
      <c r="AU704" s="349"/>
      <c r="AV704" s="349"/>
      <c r="AW704" s="349"/>
      <c r="AX704" s="349"/>
    </row>
    <row r="705" ht="15.75" customHeight="1">
      <c r="A705" s="297" t="s">
        <v>46</v>
      </c>
      <c r="B705" s="298" t="s">
        <v>6926</v>
      </c>
      <c r="C705" s="190" t="s">
        <v>6930</v>
      </c>
      <c r="D705" s="190" t="s">
        <v>6931</v>
      </c>
      <c r="E705" s="190" t="s">
        <v>6932</v>
      </c>
      <c r="F705" s="190"/>
      <c r="G705" s="293"/>
      <c r="H705" s="293"/>
      <c r="I705" s="351"/>
      <c r="J705" s="351"/>
      <c r="K705" s="351"/>
      <c r="L705" s="351"/>
      <c r="M705" s="351"/>
      <c r="N705" s="430"/>
      <c r="O705" s="351"/>
      <c r="P705" s="291"/>
      <c r="Q705" s="351"/>
      <c r="R705" s="351"/>
      <c r="S705" s="430"/>
      <c r="T705" s="402"/>
      <c r="U705" s="402"/>
      <c r="V705" s="351"/>
      <c r="W705" s="351"/>
      <c r="X705" s="351"/>
      <c r="Y705" s="351"/>
      <c r="Z705" s="351"/>
      <c r="AA705" s="351"/>
      <c r="AB705" s="351"/>
      <c r="AC705" s="351"/>
      <c r="AD705" s="349"/>
      <c r="AE705" s="349"/>
      <c r="AF705" s="349"/>
      <c r="AG705" s="349"/>
      <c r="AH705" s="349"/>
      <c r="AI705" s="349"/>
      <c r="AJ705" s="349"/>
      <c r="AK705" s="349"/>
      <c r="AL705" s="349"/>
      <c r="AM705" s="349"/>
      <c r="AN705" s="349"/>
      <c r="AO705" s="349"/>
      <c r="AP705" s="349"/>
      <c r="AQ705" s="349"/>
      <c r="AR705" s="349"/>
      <c r="AS705" s="349"/>
      <c r="AT705" s="349"/>
      <c r="AU705" s="349"/>
      <c r="AV705" s="349"/>
      <c r="AW705" s="349"/>
      <c r="AX705" s="349"/>
    </row>
    <row r="706" ht="15.75" customHeight="1">
      <c r="A706" s="221" t="s">
        <v>256</v>
      </c>
      <c r="B706" s="198" t="s">
        <v>6933</v>
      </c>
      <c r="C706" s="190"/>
      <c r="D706" s="190"/>
      <c r="E706" s="190"/>
      <c r="F706" s="190"/>
      <c r="G706" s="348"/>
      <c r="H706" s="348"/>
      <c r="I706" s="348"/>
      <c r="J706" s="348"/>
      <c r="K706" s="348"/>
      <c r="L706" s="348"/>
      <c r="M706" s="348"/>
      <c r="N706" s="420"/>
      <c r="O706" s="348"/>
      <c r="P706" s="291"/>
      <c r="Q706" s="348"/>
      <c r="R706" s="348"/>
      <c r="S706" s="348"/>
      <c r="T706" s="335" t="s">
        <v>260</v>
      </c>
      <c r="U706" s="308"/>
      <c r="V706" s="348"/>
      <c r="W706" s="348"/>
      <c r="X706" s="348"/>
      <c r="Y706" s="348"/>
      <c r="Z706" s="348"/>
      <c r="AA706" s="348"/>
      <c r="AB706" s="348"/>
      <c r="AC706" s="348"/>
      <c r="AD706" s="349"/>
      <c r="AE706" s="349"/>
      <c r="AF706" s="349"/>
      <c r="AG706" s="349"/>
      <c r="AH706" s="349"/>
      <c r="AI706" s="349"/>
      <c r="AJ706" s="349"/>
      <c r="AK706" s="349"/>
      <c r="AL706" s="349"/>
      <c r="AM706" s="349"/>
      <c r="AN706" s="349"/>
      <c r="AO706" s="349"/>
      <c r="AP706" s="349"/>
      <c r="AQ706" s="349"/>
      <c r="AR706" s="349"/>
      <c r="AS706" s="349"/>
      <c r="AT706" s="349"/>
      <c r="AU706" s="349"/>
      <c r="AV706" s="349"/>
      <c r="AW706" s="349"/>
      <c r="AX706" s="349"/>
    </row>
    <row r="707" ht="15.75" customHeight="1">
      <c r="A707" s="305" t="s">
        <v>385</v>
      </c>
      <c r="B707" s="223" t="s">
        <v>6934</v>
      </c>
      <c r="C707" s="190" t="s">
        <v>6935</v>
      </c>
      <c r="D707" s="190" t="s">
        <v>6936</v>
      </c>
      <c r="E707" s="190" t="s">
        <v>6937</v>
      </c>
      <c r="F707" s="190"/>
      <c r="G707" s="362"/>
      <c r="H707" s="362"/>
      <c r="I707" s="362"/>
      <c r="J707" s="362"/>
      <c r="K707" s="362"/>
      <c r="L707" s="362"/>
      <c r="M707" s="363"/>
      <c r="N707" s="363"/>
      <c r="O707" s="363"/>
      <c r="P707" s="291"/>
      <c r="Q707" s="362"/>
      <c r="R707" s="362"/>
      <c r="S707" s="362"/>
      <c r="T707" s="362"/>
      <c r="U707" s="417" t="s">
        <v>8068</v>
      </c>
      <c r="V707" s="362"/>
      <c r="W707" s="362"/>
      <c r="X707" s="362"/>
      <c r="Y707" s="362"/>
      <c r="Z707" s="362"/>
      <c r="AA707" s="362"/>
      <c r="AB707" s="362"/>
      <c r="AC707" s="362"/>
      <c r="AD707" s="349"/>
      <c r="AE707" s="349"/>
      <c r="AF707" s="349"/>
      <c r="AG707" s="349"/>
      <c r="AH707" s="349"/>
      <c r="AI707" s="349"/>
      <c r="AJ707" s="349"/>
      <c r="AK707" s="349"/>
      <c r="AL707" s="349"/>
      <c r="AM707" s="349"/>
      <c r="AN707" s="349"/>
      <c r="AO707" s="349"/>
      <c r="AP707" s="349"/>
      <c r="AQ707" s="349"/>
      <c r="AR707" s="349"/>
      <c r="AS707" s="349"/>
      <c r="AT707" s="349"/>
      <c r="AU707" s="349"/>
      <c r="AV707" s="349"/>
      <c r="AW707" s="349"/>
      <c r="AX707" s="349"/>
    </row>
    <row r="708" ht="15.75" customHeight="1">
      <c r="A708" s="221" t="s">
        <v>112</v>
      </c>
      <c r="B708" s="198" t="s">
        <v>6938</v>
      </c>
      <c r="C708" s="190"/>
      <c r="D708" s="190"/>
      <c r="E708" s="190"/>
      <c r="F708" s="190"/>
      <c r="G708" s="348"/>
      <c r="H708" s="348"/>
      <c r="I708" s="348"/>
      <c r="J708" s="348"/>
      <c r="K708" s="348"/>
      <c r="L708" s="348"/>
      <c r="M708" s="348"/>
      <c r="N708" s="348"/>
      <c r="O708" s="348"/>
      <c r="P708" s="291"/>
      <c r="Q708" s="348"/>
      <c r="R708" s="348"/>
      <c r="S708" s="348"/>
      <c r="T708" s="335" t="s">
        <v>8069</v>
      </c>
      <c r="U708" s="308"/>
      <c r="V708" s="348"/>
      <c r="W708" s="348"/>
      <c r="X708" s="348"/>
      <c r="Y708" s="348"/>
      <c r="Z708" s="348"/>
      <c r="AA708" s="348"/>
      <c r="AB708" s="348"/>
      <c r="AC708" s="348"/>
      <c r="AD708" s="349"/>
      <c r="AE708" s="349"/>
      <c r="AF708" s="349"/>
      <c r="AG708" s="349"/>
      <c r="AH708" s="349"/>
      <c r="AI708" s="349"/>
      <c r="AJ708" s="349"/>
      <c r="AK708" s="349"/>
      <c r="AL708" s="349"/>
      <c r="AM708" s="349"/>
      <c r="AN708" s="349"/>
      <c r="AO708" s="349"/>
      <c r="AP708" s="349"/>
      <c r="AQ708" s="349"/>
      <c r="AR708" s="349"/>
      <c r="AS708" s="349"/>
      <c r="AT708" s="349"/>
      <c r="AU708" s="349"/>
      <c r="AV708" s="349"/>
      <c r="AW708" s="349"/>
      <c r="AX708" s="349"/>
    </row>
    <row r="709" ht="15.75" customHeight="1">
      <c r="A709" s="221" t="s">
        <v>112</v>
      </c>
      <c r="B709" s="198" t="s">
        <v>6939</v>
      </c>
      <c r="C709" s="190"/>
      <c r="D709" s="190"/>
      <c r="E709" s="190"/>
      <c r="F709" s="190"/>
      <c r="G709" s="348"/>
      <c r="H709" s="348"/>
      <c r="I709" s="348"/>
      <c r="J709" s="348"/>
      <c r="K709" s="348"/>
      <c r="L709" s="348"/>
      <c r="M709" s="348"/>
      <c r="N709" s="348"/>
      <c r="O709" s="308"/>
      <c r="P709" s="291"/>
      <c r="Q709" s="348"/>
      <c r="R709" s="348"/>
      <c r="S709" s="348"/>
      <c r="T709" s="335" t="s">
        <v>8127</v>
      </c>
      <c r="U709" s="308"/>
      <c r="V709" s="348"/>
      <c r="W709" s="348"/>
      <c r="X709" s="348"/>
      <c r="Y709" s="348"/>
      <c r="Z709" s="348"/>
      <c r="AA709" s="348"/>
      <c r="AB709" s="348"/>
      <c r="AC709" s="348"/>
      <c r="AD709" s="349"/>
      <c r="AE709" s="349"/>
      <c r="AF709" s="349"/>
      <c r="AG709" s="349"/>
      <c r="AH709" s="349"/>
      <c r="AI709" s="349"/>
      <c r="AJ709" s="349"/>
      <c r="AK709" s="349"/>
      <c r="AL709" s="349"/>
      <c r="AM709" s="349"/>
      <c r="AN709" s="349"/>
      <c r="AO709" s="349"/>
      <c r="AP709" s="349"/>
      <c r="AQ709" s="349"/>
      <c r="AR709" s="349"/>
      <c r="AS709" s="349"/>
      <c r="AT709" s="349"/>
      <c r="AU709" s="349"/>
      <c r="AV709" s="349"/>
      <c r="AW709" s="349"/>
      <c r="AX709" s="349"/>
    </row>
    <row r="710" ht="15.75" customHeight="1">
      <c r="A710" s="299" t="s">
        <v>1060</v>
      </c>
      <c r="B710" s="300" t="s">
        <v>6940</v>
      </c>
      <c r="C710" s="190" t="s">
        <v>6944</v>
      </c>
      <c r="D710" s="190" t="s">
        <v>6945</v>
      </c>
      <c r="E710" s="190" t="s">
        <v>6946</v>
      </c>
      <c r="F710" s="190"/>
      <c r="G710" s="293"/>
      <c r="H710" s="293"/>
      <c r="I710" s="356"/>
      <c r="J710" s="355"/>
      <c r="K710" s="356"/>
      <c r="L710" s="356"/>
      <c r="M710" s="356"/>
      <c r="N710" s="356"/>
      <c r="O710" s="356"/>
      <c r="P710" s="291"/>
      <c r="Q710" s="291" t="s">
        <v>307</v>
      </c>
      <c r="R710" s="356"/>
      <c r="S710" s="356"/>
      <c r="T710" s="392"/>
      <c r="U710" s="356"/>
      <c r="V710" s="356"/>
      <c r="W710" s="356"/>
      <c r="X710" s="356"/>
      <c r="Y710" s="356"/>
      <c r="Z710" s="356"/>
      <c r="AA710" s="356"/>
      <c r="AB710" s="356"/>
      <c r="AC710" s="356"/>
      <c r="AD710" s="349"/>
      <c r="AE710" s="349"/>
      <c r="AF710" s="349"/>
      <c r="AG710" s="349"/>
      <c r="AH710" s="349"/>
      <c r="AI710" s="349"/>
      <c r="AJ710" s="349"/>
      <c r="AK710" s="349"/>
      <c r="AL710" s="349"/>
      <c r="AM710" s="349"/>
      <c r="AN710" s="349"/>
      <c r="AO710" s="349"/>
      <c r="AP710" s="349"/>
      <c r="AQ710" s="349"/>
      <c r="AR710" s="349"/>
      <c r="AS710" s="349"/>
      <c r="AT710" s="349"/>
      <c r="AU710" s="349"/>
      <c r="AV710" s="349"/>
      <c r="AW710" s="349"/>
      <c r="AX710" s="349"/>
    </row>
    <row r="711" ht="15.75" customHeight="1">
      <c r="A711" s="299" t="s">
        <v>6837</v>
      </c>
      <c r="B711" s="300" t="s">
        <v>6947</v>
      </c>
      <c r="C711" s="190" t="s">
        <v>6951</v>
      </c>
      <c r="D711" s="190" t="s">
        <v>6952</v>
      </c>
      <c r="E711" s="190" t="s">
        <v>6953</v>
      </c>
      <c r="F711" s="190"/>
      <c r="G711" s="293"/>
      <c r="H711" s="293"/>
      <c r="I711" s="356"/>
      <c r="J711" s="355"/>
      <c r="K711" s="356"/>
      <c r="L711" s="356"/>
      <c r="M711" s="356"/>
      <c r="N711" s="356"/>
      <c r="O711" s="291" t="s">
        <v>8128</v>
      </c>
      <c r="P711" s="291"/>
      <c r="Q711" s="291" t="s">
        <v>307</v>
      </c>
      <c r="R711" s="356"/>
      <c r="S711" s="356"/>
      <c r="T711" s="392"/>
      <c r="U711" s="356"/>
      <c r="V711" s="356"/>
      <c r="W711" s="356"/>
      <c r="X711" s="356"/>
      <c r="Y711" s="356"/>
      <c r="Z711" s="356"/>
      <c r="AA711" s="356"/>
      <c r="AB711" s="356"/>
      <c r="AC711" s="356"/>
      <c r="AD711" s="349"/>
      <c r="AE711" s="349"/>
      <c r="AF711" s="349"/>
      <c r="AG711" s="349"/>
      <c r="AH711" s="349"/>
      <c r="AI711" s="349"/>
      <c r="AJ711" s="349"/>
      <c r="AK711" s="349"/>
      <c r="AL711" s="349"/>
      <c r="AM711" s="349"/>
      <c r="AN711" s="349"/>
      <c r="AO711" s="349"/>
      <c r="AP711" s="349"/>
      <c r="AQ711" s="349"/>
      <c r="AR711" s="349"/>
      <c r="AS711" s="349"/>
      <c r="AT711" s="349"/>
      <c r="AU711" s="349"/>
      <c r="AV711" s="349"/>
      <c r="AW711" s="349"/>
      <c r="AX711" s="349"/>
    </row>
    <row r="712" ht="15.75" customHeight="1">
      <c r="A712" s="301" t="s">
        <v>220</v>
      </c>
      <c r="B712" s="302" t="s">
        <v>6954</v>
      </c>
      <c r="C712" s="190" t="s">
        <v>6958</v>
      </c>
      <c r="D712" s="190" t="s">
        <v>6959</v>
      </c>
      <c r="E712" s="190" t="s">
        <v>6960</v>
      </c>
      <c r="F712" s="190"/>
      <c r="G712" s="293"/>
      <c r="H712" s="293"/>
      <c r="I712" s="366"/>
      <c r="J712" s="367"/>
      <c r="K712" s="366"/>
      <c r="L712" s="366"/>
      <c r="M712" s="366"/>
      <c r="N712" s="366"/>
      <c r="O712" s="301" t="s">
        <v>8129</v>
      </c>
      <c r="P712" s="291"/>
      <c r="Q712" s="368" t="s">
        <v>307</v>
      </c>
      <c r="R712" s="366"/>
      <c r="S712" s="366"/>
      <c r="T712" s="366"/>
      <c r="U712" s="366"/>
      <c r="V712" s="366"/>
      <c r="W712" s="366"/>
      <c r="X712" s="366"/>
      <c r="Y712" s="366"/>
      <c r="Z712" s="366"/>
      <c r="AA712" s="366"/>
      <c r="AB712" s="366"/>
      <c r="AC712" s="366"/>
      <c r="AD712" s="349"/>
      <c r="AE712" s="349"/>
      <c r="AF712" s="349"/>
      <c r="AG712" s="349"/>
      <c r="AH712" s="349"/>
      <c r="AI712" s="349"/>
      <c r="AJ712" s="349"/>
      <c r="AK712" s="349"/>
      <c r="AL712" s="349"/>
      <c r="AM712" s="349"/>
      <c r="AN712" s="349"/>
      <c r="AO712" s="349"/>
      <c r="AP712" s="349"/>
      <c r="AQ712" s="349"/>
      <c r="AR712" s="349"/>
      <c r="AS712" s="349"/>
      <c r="AT712" s="349"/>
      <c r="AU712" s="349"/>
      <c r="AV712" s="349"/>
      <c r="AW712" s="349"/>
      <c r="AX712" s="349"/>
    </row>
    <row r="713" ht="15.75" customHeight="1">
      <c r="A713" s="221" t="s">
        <v>112</v>
      </c>
      <c r="B713" s="198" t="s">
        <v>6961</v>
      </c>
      <c r="C713" s="190"/>
      <c r="D713" s="190"/>
      <c r="E713" s="190"/>
      <c r="F713" s="190"/>
      <c r="G713" s="348"/>
      <c r="H713" s="348"/>
      <c r="I713" s="348"/>
      <c r="J713" s="348"/>
      <c r="K713" s="348"/>
      <c r="L713" s="348"/>
      <c r="M713" s="348"/>
      <c r="N713" s="348"/>
      <c r="O713" s="308"/>
      <c r="P713" s="291"/>
      <c r="Q713" s="348"/>
      <c r="R713" s="348"/>
      <c r="S713" s="348"/>
      <c r="T713" s="335" t="s">
        <v>8130</v>
      </c>
      <c r="U713" s="348"/>
      <c r="V713" s="348"/>
      <c r="W713" s="348"/>
      <c r="X713" s="348"/>
      <c r="Y713" s="348"/>
      <c r="Z713" s="348"/>
      <c r="AA713" s="348"/>
      <c r="AB713" s="348"/>
      <c r="AC713" s="348"/>
      <c r="AD713" s="349"/>
      <c r="AE713" s="349"/>
      <c r="AF713" s="349"/>
      <c r="AG713" s="349"/>
      <c r="AH713" s="349"/>
      <c r="AI713" s="349"/>
      <c r="AJ713" s="349"/>
      <c r="AK713" s="349"/>
      <c r="AL713" s="349"/>
      <c r="AM713" s="349"/>
      <c r="AN713" s="349"/>
      <c r="AO713" s="349"/>
      <c r="AP713" s="349"/>
      <c r="AQ713" s="349"/>
      <c r="AR713" s="349"/>
      <c r="AS713" s="349"/>
      <c r="AT713" s="349"/>
      <c r="AU713" s="349"/>
      <c r="AV713" s="349"/>
      <c r="AW713" s="349"/>
      <c r="AX713" s="349"/>
    </row>
    <row r="714" ht="15.75" customHeight="1">
      <c r="A714" s="306" t="s">
        <v>247</v>
      </c>
      <c r="B714" s="307" t="s">
        <v>6965</v>
      </c>
      <c r="C714" s="190" t="s">
        <v>6970</v>
      </c>
      <c r="D714" s="190" t="s">
        <v>6971</v>
      </c>
      <c r="E714" s="190" t="s">
        <v>6972</v>
      </c>
      <c r="F714" s="190"/>
      <c r="G714" s="293"/>
      <c r="H714" s="293"/>
      <c r="I714" s="359"/>
      <c r="J714" s="359"/>
      <c r="K714" s="369"/>
      <c r="L714" s="369"/>
      <c r="M714" s="359"/>
      <c r="N714" s="359"/>
      <c r="O714" s="361" t="s">
        <v>8128</v>
      </c>
      <c r="P714" s="291"/>
      <c r="Q714" s="361" t="s">
        <v>307</v>
      </c>
      <c r="R714" s="359"/>
      <c r="S714" s="359"/>
      <c r="T714" s="391"/>
      <c r="U714" s="359"/>
      <c r="V714" s="359"/>
      <c r="W714" s="359"/>
      <c r="X714" s="359"/>
      <c r="Y714" s="359"/>
      <c r="Z714" s="359"/>
      <c r="AA714" s="359"/>
      <c r="AB714" s="359"/>
      <c r="AC714" s="359"/>
      <c r="AD714" s="349"/>
      <c r="AE714" s="349"/>
      <c r="AF714" s="349"/>
      <c r="AG714" s="349"/>
      <c r="AH714" s="349"/>
      <c r="AI714" s="349"/>
      <c r="AJ714" s="349"/>
      <c r="AK714" s="349"/>
      <c r="AL714" s="349"/>
      <c r="AM714" s="349"/>
      <c r="AN714" s="349"/>
      <c r="AO714" s="349"/>
      <c r="AP714" s="349"/>
      <c r="AQ714" s="349"/>
      <c r="AR714" s="349"/>
      <c r="AS714" s="349"/>
      <c r="AT714" s="349"/>
      <c r="AU714" s="349"/>
      <c r="AV714" s="349"/>
      <c r="AW714" s="349"/>
      <c r="AX714" s="349"/>
    </row>
    <row r="715" ht="15.75" customHeight="1">
      <c r="A715" s="306" t="s">
        <v>247</v>
      </c>
      <c r="B715" s="307" t="s">
        <v>6973</v>
      </c>
      <c r="C715" s="190" t="s">
        <v>6977</v>
      </c>
      <c r="D715" s="190" t="s">
        <v>6978</v>
      </c>
      <c r="E715" s="190" t="s">
        <v>6979</v>
      </c>
      <c r="F715" s="190"/>
      <c r="G715" s="293"/>
      <c r="H715" s="293"/>
      <c r="I715" s="359"/>
      <c r="J715" s="359"/>
      <c r="K715" s="360" t="s">
        <v>8110</v>
      </c>
      <c r="L715" s="369"/>
      <c r="M715" s="359"/>
      <c r="N715" s="359"/>
      <c r="O715" s="361" t="s">
        <v>8128</v>
      </c>
      <c r="P715" s="291"/>
      <c r="Q715" s="361" t="s">
        <v>307</v>
      </c>
      <c r="R715" s="359"/>
      <c r="S715" s="359"/>
      <c r="T715" s="359"/>
      <c r="U715" s="359"/>
      <c r="V715" s="359"/>
      <c r="W715" s="359"/>
      <c r="X715" s="359"/>
      <c r="Y715" s="359"/>
      <c r="Z715" s="359"/>
      <c r="AA715" s="359"/>
      <c r="AB715" s="359"/>
      <c r="AC715" s="359"/>
      <c r="AD715" s="349"/>
      <c r="AE715" s="349"/>
      <c r="AF715" s="349"/>
      <c r="AG715" s="349"/>
      <c r="AH715" s="349"/>
      <c r="AI715" s="349"/>
      <c r="AJ715" s="349"/>
      <c r="AK715" s="349"/>
      <c r="AL715" s="349"/>
      <c r="AM715" s="349"/>
      <c r="AN715" s="349"/>
      <c r="AO715" s="349"/>
      <c r="AP715" s="349"/>
      <c r="AQ715" s="349"/>
      <c r="AR715" s="349"/>
      <c r="AS715" s="349"/>
      <c r="AT715" s="349"/>
      <c r="AU715" s="349"/>
      <c r="AV715" s="349"/>
      <c r="AW715" s="349"/>
      <c r="AX715" s="349"/>
    </row>
    <row r="716" ht="15.75" customHeight="1">
      <c r="A716" s="306" t="s">
        <v>247</v>
      </c>
      <c r="B716" s="307" t="s">
        <v>6980</v>
      </c>
      <c r="C716" s="190" t="s">
        <v>6984</v>
      </c>
      <c r="D716" s="190" t="s">
        <v>6985</v>
      </c>
      <c r="E716" s="190" t="s">
        <v>6986</v>
      </c>
      <c r="F716" s="190"/>
      <c r="G716" s="293"/>
      <c r="H716" s="293"/>
      <c r="I716" s="359"/>
      <c r="J716" s="359"/>
      <c r="K716" s="369"/>
      <c r="L716" s="369"/>
      <c r="M716" s="359"/>
      <c r="N716" s="359"/>
      <c r="O716" s="359"/>
      <c r="P716" s="291"/>
      <c r="Q716" s="361" t="s">
        <v>307</v>
      </c>
      <c r="R716" s="359"/>
      <c r="S716" s="359"/>
      <c r="T716" s="359"/>
      <c r="U716" s="359"/>
      <c r="V716" s="359"/>
      <c r="W716" s="359"/>
      <c r="X716" s="359"/>
      <c r="Y716" s="359"/>
      <c r="Z716" s="359"/>
      <c r="AA716" s="359"/>
      <c r="AB716" s="359"/>
      <c r="AC716" s="359"/>
      <c r="AD716" s="349"/>
      <c r="AE716" s="349"/>
      <c r="AF716" s="349"/>
      <c r="AG716" s="349"/>
      <c r="AH716" s="349"/>
      <c r="AI716" s="349"/>
      <c r="AJ716" s="349"/>
      <c r="AK716" s="349"/>
      <c r="AL716" s="349"/>
      <c r="AM716" s="349"/>
      <c r="AN716" s="349"/>
      <c r="AO716" s="349"/>
      <c r="AP716" s="349"/>
      <c r="AQ716" s="349"/>
      <c r="AR716" s="349"/>
      <c r="AS716" s="349"/>
      <c r="AT716" s="349"/>
      <c r="AU716" s="349"/>
      <c r="AV716" s="349"/>
      <c r="AW716" s="349"/>
      <c r="AX716" s="349"/>
    </row>
    <row r="717" ht="15.75" customHeight="1">
      <c r="A717" s="305" t="s">
        <v>450</v>
      </c>
      <c r="B717" s="224" t="s">
        <v>6934</v>
      </c>
      <c r="C717" s="190" t="s">
        <v>6935</v>
      </c>
      <c r="D717" s="190" t="s">
        <v>6936</v>
      </c>
      <c r="E717" s="190" t="s">
        <v>6937</v>
      </c>
      <c r="F717" s="190"/>
      <c r="G717" s="362"/>
      <c r="H717" s="362"/>
      <c r="I717" s="362"/>
      <c r="J717" s="362"/>
      <c r="K717" s="362"/>
      <c r="L717" s="362"/>
      <c r="M717" s="362"/>
      <c r="N717" s="362"/>
      <c r="O717" s="419"/>
      <c r="P717" s="291"/>
      <c r="Q717" s="362"/>
      <c r="R717" s="362"/>
      <c r="S717" s="362"/>
      <c r="T717" s="362"/>
      <c r="U717" s="362"/>
      <c r="V717" s="362"/>
      <c r="W717" s="362"/>
      <c r="X717" s="362"/>
      <c r="Y717" s="362"/>
      <c r="Z717" s="362"/>
      <c r="AA717" s="362"/>
      <c r="AB717" s="362"/>
      <c r="AC717" s="362"/>
      <c r="AD717" s="349"/>
      <c r="AE717" s="349"/>
      <c r="AF717" s="349"/>
      <c r="AG717" s="349"/>
      <c r="AH717" s="349"/>
      <c r="AI717" s="349"/>
      <c r="AJ717" s="349"/>
      <c r="AK717" s="349"/>
      <c r="AL717" s="349"/>
      <c r="AM717" s="349"/>
      <c r="AN717" s="349"/>
      <c r="AO717" s="349"/>
      <c r="AP717" s="349"/>
      <c r="AQ717" s="349"/>
      <c r="AR717" s="349"/>
      <c r="AS717" s="349"/>
      <c r="AT717" s="349"/>
      <c r="AU717" s="349"/>
      <c r="AV717" s="349"/>
      <c r="AW717" s="349"/>
      <c r="AX717" s="349"/>
    </row>
    <row r="718" ht="15.75" customHeight="1">
      <c r="A718" s="221" t="s">
        <v>256</v>
      </c>
      <c r="B718" s="198" t="s">
        <v>6990</v>
      </c>
      <c r="C718" s="190"/>
      <c r="D718" s="190"/>
      <c r="E718" s="190"/>
      <c r="F718" s="190"/>
      <c r="G718" s="348"/>
      <c r="H718" s="348"/>
      <c r="I718" s="348"/>
      <c r="J718" s="348"/>
      <c r="K718" s="348"/>
      <c r="L718" s="348"/>
      <c r="M718" s="348"/>
      <c r="N718" s="348"/>
      <c r="O718" s="308"/>
      <c r="P718" s="291"/>
      <c r="Q718" s="348"/>
      <c r="R718" s="348"/>
      <c r="S718" s="348"/>
      <c r="T718" s="335" t="s">
        <v>260</v>
      </c>
      <c r="U718" s="348"/>
      <c r="V718" s="348"/>
      <c r="W718" s="348"/>
      <c r="X718" s="348"/>
      <c r="Y718" s="348"/>
      <c r="Z718" s="348"/>
      <c r="AA718" s="348"/>
      <c r="AB718" s="348"/>
      <c r="AC718" s="348"/>
      <c r="AD718" s="349"/>
      <c r="AE718" s="349"/>
      <c r="AF718" s="349"/>
      <c r="AG718" s="349"/>
      <c r="AH718" s="349"/>
      <c r="AI718" s="349"/>
      <c r="AJ718" s="349"/>
      <c r="AK718" s="349"/>
      <c r="AL718" s="349"/>
      <c r="AM718" s="349"/>
      <c r="AN718" s="349"/>
      <c r="AO718" s="349"/>
      <c r="AP718" s="349"/>
      <c r="AQ718" s="349"/>
      <c r="AR718" s="349"/>
      <c r="AS718" s="349"/>
      <c r="AT718" s="349"/>
      <c r="AU718" s="349"/>
      <c r="AV718" s="349"/>
      <c r="AW718" s="349"/>
      <c r="AX718" s="349"/>
    </row>
    <row r="719" ht="15.75" customHeight="1">
      <c r="A719" s="221" t="s">
        <v>112</v>
      </c>
      <c r="B719" s="198" t="s">
        <v>6994</v>
      </c>
      <c r="C719" s="190"/>
      <c r="D719" s="190"/>
      <c r="E719" s="190"/>
      <c r="F719" s="190"/>
      <c r="G719" s="348"/>
      <c r="H719" s="348"/>
      <c r="I719" s="348"/>
      <c r="J719" s="348"/>
      <c r="K719" s="348"/>
      <c r="L719" s="348"/>
      <c r="M719" s="348"/>
      <c r="N719" s="348"/>
      <c r="O719" s="348"/>
      <c r="P719" s="291"/>
      <c r="Q719" s="348"/>
      <c r="R719" s="348"/>
      <c r="S719" s="348"/>
      <c r="T719" s="250" t="s">
        <v>8131</v>
      </c>
      <c r="U719" s="348"/>
      <c r="V719" s="348"/>
      <c r="W719" s="348"/>
      <c r="X719" s="348"/>
      <c r="Y719" s="348"/>
      <c r="Z719" s="348"/>
      <c r="AA719" s="348"/>
      <c r="AB719" s="348"/>
      <c r="AC719" s="348"/>
      <c r="AD719" s="349"/>
      <c r="AE719" s="349"/>
      <c r="AF719" s="349"/>
      <c r="AG719" s="349"/>
      <c r="AH719" s="349"/>
      <c r="AI719" s="349"/>
      <c r="AJ719" s="349"/>
      <c r="AK719" s="349"/>
      <c r="AL719" s="349"/>
      <c r="AM719" s="349"/>
      <c r="AN719" s="349"/>
      <c r="AO719" s="349"/>
      <c r="AP719" s="349"/>
      <c r="AQ719" s="349"/>
      <c r="AR719" s="349"/>
      <c r="AS719" s="349"/>
      <c r="AT719" s="349"/>
      <c r="AU719" s="349"/>
      <c r="AV719" s="349"/>
      <c r="AW719" s="349"/>
      <c r="AX719" s="349"/>
    </row>
    <row r="720" ht="15.75" customHeight="1">
      <c r="A720" s="320"/>
      <c r="B720" s="321"/>
      <c r="C720" s="190"/>
      <c r="D720" s="190"/>
      <c r="E720" s="190"/>
      <c r="F720" s="190"/>
      <c r="G720" s="349"/>
      <c r="H720" s="349"/>
      <c r="I720" s="349"/>
      <c r="J720" s="349"/>
      <c r="K720" s="349"/>
      <c r="L720" s="349"/>
      <c r="M720" s="349"/>
      <c r="N720" s="349"/>
      <c r="O720" s="349"/>
      <c r="P720" s="291"/>
      <c r="Q720" s="349"/>
      <c r="R720" s="349"/>
      <c r="S720" s="349"/>
      <c r="T720" s="320"/>
      <c r="U720" s="349"/>
      <c r="V720" s="349"/>
      <c r="W720" s="349"/>
      <c r="X720" s="349"/>
      <c r="Y720" s="349"/>
      <c r="Z720" s="349"/>
      <c r="AA720" s="349"/>
      <c r="AB720" s="349"/>
      <c r="AC720" s="349"/>
      <c r="AD720" s="349"/>
      <c r="AE720" s="349"/>
      <c r="AF720" s="349"/>
      <c r="AG720" s="349"/>
      <c r="AH720" s="349"/>
      <c r="AI720" s="349"/>
      <c r="AJ720" s="349"/>
      <c r="AK720" s="349"/>
      <c r="AL720" s="349"/>
      <c r="AM720" s="349"/>
      <c r="AN720" s="349"/>
      <c r="AO720" s="349"/>
      <c r="AP720" s="349"/>
      <c r="AQ720" s="349"/>
      <c r="AR720" s="349"/>
      <c r="AS720" s="349"/>
      <c r="AT720" s="349"/>
      <c r="AU720" s="349"/>
      <c r="AV720" s="349"/>
      <c r="AW720" s="349"/>
      <c r="AX720" s="349"/>
    </row>
    <row r="721" ht="15.75" customHeight="1">
      <c r="A721" s="310" t="s">
        <v>278</v>
      </c>
      <c r="B721" s="311" t="s">
        <v>6995</v>
      </c>
      <c r="C721" s="190" t="s">
        <v>6996</v>
      </c>
      <c r="D721" s="190"/>
      <c r="E721" s="190"/>
      <c r="F721" s="190"/>
      <c r="G721" s="354"/>
      <c r="H721" s="354"/>
      <c r="I721" s="354"/>
      <c r="J721" s="365"/>
      <c r="K721" s="354"/>
      <c r="L721" s="354"/>
      <c r="M721" s="365"/>
      <c r="N721" s="365"/>
      <c r="O721" s="365"/>
      <c r="P721" s="291"/>
      <c r="Q721" s="354"/>
      <c r="R721" s="354"/>
      <c r="S721" s="354"/>
      <c r="T721" s="313"/>
      <c r="U721" s="354"/>
      <c r="V721" s="354"/>
      <c r="W721" s="354"/>
      <c r="X721" s="354"/>
      <c r="Y721" s="354"/>
      <c r="Z721" s="354"/>
      <c r="AA721" s="354"/>
      <c r="AB721" s="354"/>
      <c r="AC721" s="354"/>
      <c r="AD721" s="354"/>
      <c r="AE721" s="354"/>
      <c r="AF721" s="354"/>
      <c r="AG721" s="354"/>
      <c r="AH721" s="354"/>
      <c r="AI721" s="354"/>
      <c r="AJ721" s="354"/>
      <c r="AK721" s="354"/>
      <c r="AL721" s="354"/>
      <c r="AM721" s="354"/>
      <c r="AN721" s="354"/>
      <c r="AO721" s="349"/>
      <c r="AP721" s="349"/>
      <c r="AQ721" s="349"/>
      <c r="AR721" s="349"/>
      <c r="AS721" s="349"/>
      <c r="AT721" s="349"/>
      <c r="AU721" s="349"/>
      <c r="AV721" s="349"/>
      <c r="AW721" s="349"/>
      <c r="AX721" s="349"/>
    </row>
    <row r="722" ht="15.75" customHeight="1">
      <c r="A722" s="221" t="s">
        <v>256</v>
      </c>
      <c r="B722" s="198" t="s">
        <v>6997</v>
      </c>
      <c r="C722" s="190"/>
      <c r="D722" s="190"/>
      <c r="E722" s="190"/>
      <c r="F722" s="190"/>
      <c r="G722" s="348"/>
      <c r="H722" s="348"/>
      <c r="I722" s="348"/>
      <c r="J722" s="348"/>
      <c r="K722" s="348"/>
      <c r="L722" s="348"/>
      <c r="M722" s="348"/>
      <c r="N722" s="348"/>
      <c r="O722" s="348"/>
      <c r="P722" s="291"/>
      <c r="Q722" s="348"/>
      <c r="R722" s="348"/>
      <c r="S722" s="348"/>
      <c r="T722" s="250" t="s">
        <v>260</v>
      </c>
      <c r="U722" s="348"/>
      <c r="V722" s="348"/>
      <c r="W722" s="348"/>
      <c r="X722" s="348"/>
      <c r="Y722" s="348"/>
      <c r="Z722" s="348"/>
      <c r="AA722" s="348"/>
      <c r="AB722" s="348"/>
      <c r="AC722" s="348"/>
      <c r="AD722" s="349"/>
      <c r="AE722" s="349"/>
      <c r="AF722" s="349"/>
      <c r="AG722" s="349"/>
      <c r="AH722" s="349"/>
      <c r="AI722" s="349"/>
      <c r="AJ722" s="349"/>
      <c r="AK722" s="349"/>
      <c r="AL722" s="349"/>
      <c r="AM722" s="349"/>
      <c r="AN722" s="349"/>
      <c r="AO722" s="349"/>
      <c r="AP722" s="349"/>
      <c r="AQ722" s="349"/>
      <c r="AR722" s="349"/>
      <c r="AS722" s="349"/>
      <c r="AT722" s="349"/>
      <c r="AU722" s="349"/>
      <c r="AV722" s="349"/>
      <c r="AW722" s="349"/>
      <c r="AX722" s="349"/>
    </row>
    <row r="723" ht="15.75" customHeight="1">
      <c r="A723" s="199" t="s">
        <v>7001</v>
      </c>
      <c r="B723" s="147" t="s">
        <v>7002</v>
      </c>
      <c r="C723" s="190" t="s">
        <v>7008</v>
      </c>
      <c r="D723" s="190" t="s">
        <v>7009</v>
      </c>
      <c r="E723" s="190" t="s">
        <v>7010</v>
      </c>
      <c r="F723" s="147" t="s">
        <v>8132</v>
      </c>
      <c r="G723" s="147" t="s">
        <v>8133</v>
      </c>
      <c r="H723" s="147" t="s">
        <v>8134</v>
      </c>
      <c r="I723" s="127"/>
      <c r="J723" s="138"/>
      <c r="K723" s="145" t="s">
        <v>8135</v>
      </c>
      <c r="L723" s="127"/>
      <c r="M723" s="127"/>
      <c r="N723" s="127"/>
      <c r="O723" s="127"/>
      <c r="P723" s="291"/>
      <c r="Q723" s="145" t="s">
        <v>307</v>
      </c>
      <c r="R723" s="127"/>
      <c r="S723" s="127"/>
      <c r="T723" s="278"/>
      <c r="U723" s="127"/>
      <c r="V723" s="127"/>
      <c r="W723" s="127"/>
      <c r="X723" s="127"/>
      <c r="Y723" s="127"/>
      <c r="Z723" s="127"/>
      <c r="AA723" s="127"/>
      <c r="AB723" s="127"/>
      <c r="AC723" s="127"/>
      <c r="AD723" s="127"/>
      <c r="AE723" s="127"/>
      <c r="AF723" s="127"/>
      <c r="AG723" s="127"/>
      <c r="AH723" s="127"/>
      <c r="AI723" s="127"/>
      <c r="AJ723" s="127"/>
      <c r="AK723" s="127"/>
      <c r="AL723" s="127"/>
      <c r="AM723" s="127"/>
      <c r="AN723" s="127"/>
      <c r="AO723" s="44"/>
      <c r="AP723" s="44"/>
      <c r="AQ723" s="44"/>
      <c r="AR723" s="44"/>
      <c r="AS723" s="44"/>
      <c r="AT723" s="44"/>
      <c r="AU723" s="44"/>
      <c r="AV723" s="44"/>
      <c r="AW723" s="44"/>
      <c r="AX723" s="44"/>
    </row>
    <row r="724" ht="15.75" customHeight="1">
      <c r="A724" s="258" t="s">
        <v>247</v>
      </c>
      <c r="B724" s="259" t="s">
        <v>7011</v>
      </c>
      <c r="C724" s="190" t="s">
        <v>7015</v>
      </c>
      <c r="D724" s="190" t="s">
        <v>7016</v>
      </c>
      <c r="E724" s="190" t="s">
        <v>7017</v>
      </c>
      <c r="F724" s="407"/>
      <c r="G724" s="407"/>
      <c r="H724" s="407"/>
      <c r="I724" s="408"/>
      <c r="J724" s="408"/>
      <c r="K724" s="409"/>
      <c r="L724" s="409"/>
      <c r="M724" s="408"/>
      <c r="N724" s="408"/>
      <c r="O724" s="303" t="s">
        <v>8136</v>
      </c>
      <c r="P724" s="291"/>
      <c r="Q724" s="303" t="s">
        <v>307</v>
      </c>
      <c r="R724" s="408"/>
      <c r="S724" s="408"/>
      <c r="T724" s="432"/>
      <c r="U724" s="408"/>
      <c r="V724" s="408"/>
      <c r="W724" s="408"/>
      <c r="X724" s="408"/>
      <c r="Y724" s="408"/>
      <c r="Z724" s="408"/>
      <c r="AA724" s="408"/>
      <c r="AB724" s="408"/>
      <c r="AC724" s="408"/>
      <c r="AD724" s="127"/>
      <c r="AE724" s="127"/>
      <c r="AF724" s="127"/>
      <c r="AG724" s="127"/>
      <c r="AH724" s="127"/>
      <c r="AI724" s="127"/>
      <c r="AJ724" s="127"/>
      <c r="AK724" s="127"/>
      <c r="AL724" s="127"/>
      <c r="AM724" s="127"/>
      <c r="AN724" s="127"/>
      <c r="AO724" s="44"/>
      <c r="AP724" s="44"/>
      <c r="AQ724" s="44"/>
      <c r="AR724" s="44"/>
      <c r="AS724" s="44"/>
      <c r="AT724" s="44"/>
      <c r="AU724" s="44"/>
      <c r="AV724" s="44"/>
      <c r="AW724" s="44"/>
      <c r="AX724" s="44"/>
    </row>
    <row r="725" ht="15.75" customHeight="1">
      <c r="A725" s="199" t="s">
        <v>7001</v>
      </c>
      <c r="B725" s="147" t="s">
        <v>7018</v>
      </c>
      <c r="C725" s="190" t="s">
        <v>7024</v>
      </c>
      <c r="D725" s="190" t="s">
        <v>7025</v>
      </c>
      <c r="E725" s="190" t="s">
        <v>7026</v>
      </c>
      <c r="F725" s="147" t="s">
        <v>8137</v>
      </c>
      <c r="G725" s="147" t="s">
        <v>8138</v>
      </c>
      <c r="H725" s="147" t="s">
        <v>8139</v>
      </c>
      <c r="I725" s="127"/>
      <c r="J725" s="138"/>
      <c r="K725" s="145" t="s">
        <v>8135</v>
      </c>
      <c r="L725" s="127"/>
      <c r="M725" s="127"/>
      <c r="N725" s="127"/>
      <c r="O725" s="127"/>
      <c r="P725" s="291"/>
      <c r="Q725" s="145" t="s">
        <v>307</v>
      </c>
      <c r="R725" s="127"/>
      <c r="S725" s="127"/>
      <c r="T725" s="278"/>
      <c r="U725" s="127"/>
      <c r="V725" s="127"/>
      <c r="W725" s="127"/>
      <c r="X725" s="127"/>
      <c r="Y725" s="127"/>
      <c r="Z725" s="127"/>
      <c r="AA725" s="127"/>
      <c r="AB725" s="127"/>
      <c r="AC725" s="127"/>
      <c r="AD725" s="127"/>
      <c r="AE725" s="127"/>
      <c r="AF725" s="127"/>
      <c r="AG725" s="127"/>
      <c r="AH725" s="127"/>
      <c r="AI725" s="127"/>
      <c r="AJ725" s="127"/>
      <c r="AK725" s="127"/>
      <c r="AL725" s="127"/>
      <c r="AM725" s="127"/>
      <c r="AN725" s="127"/>
      <c r="AO725" s="44"/>
      <c r="AP725" s="44"/>
      <c r="AQ725" s="44"/>
      <c r="AR725" s="44"/>
      <c r="AS725" s="44"/>
      <c r="AT725" s="44"/>
      <c r="AU725" s="44"/>
      <c r="AV725" s="44"/>
      <c r="AW725" s="44"/>
      <c r="AX725" s="44"/>
    </row>
    <row r="726" ht="15.75" customHeight="1">
      <c r="A726" s="258" t="s">
        <v>247</v>
      </c>
      <c r="B726" s="259" t="s">
        <v>7028</v>
      </c>
      <c r="C726" s="190" t="s">
        <v>7032</v>
      </c>
      <c r="D726" s="190" t="s">
        <v>7033</v>
      </c>
      <c r="E726" s="190" t="s">
        <v>7034</v>
      </c>
      <c r="F726" s="407"/>
      <c r="G726" s="407"/>
      <c r="H726" s="407"/>
      <c r="I726" s="408"/>
      <c r="J726" s="408"/>
      <c r="K726" s="409"/>
      <c r="L726" s="409"/>
      <c r="M726" s="408"/>
      <c r="N726" s="408"/>
      <c r="O726" s="303" t="s">
        <v>8140</v>
      </c>
      <c r="P726" s="291"/>
      <c r="Q726" s="303" t="s">
        <v>307</v>
      </c>
      <c r="R726" s="408"/>
      <c r="S726" s="408"/>
      <c r="T726" s="432"/>
      <c r="U726" s="408"/>
      <c r="V726" s="408"/>
      <c r="W726" s="408"/>
      <c r="X726" s="408"/>
      <c r="Y726" s="408"/>
      <c r="Z726" s="408"/>
      <c r="AA726" s="408"/>
      <c r="AB726" s="408"/>
      <c r="AC726" s="408"/>
      <c r="AD726" s="127"/>
      <c r="AE726" s="127"/>
      <c r="AF726" s="127"/>
      <c r="AG726" s="127"/>
      <c r="AH726" s="127"/>
      <c r="AI726" s="127"/>
      <c r="AJ726" s="127"/>
      <c r="AK726" s="127"/>
      <c r="AL726" s="127"/>
      <c r="AM726" s="127"/>
      <c r="AN726" s="127"/>
      <c r="AO726" s="44"/>
      <c r="AP726" s="44"/>
      <c r="AQ726" s="44"/>
      <c r="AR726" s="44"/>
      <c r="AS726" s="44"/>
      <c r="AT726" s="44"/>
      <c r="AU726" s="44"/>
      <c r="AV726" s="44"/>
      <c r="AW726" s="44"/>
      <c r="AX726" s="44"/>
    </row>
    <row r="727" ht="15.75" customHeight="1">
      <c r="A727" s="299" t="s">
        <v>2456</v>
      </c>
      <c r="B727" s="300" t="s">
        <v>7035</v>
      </c>
      <c r="C727" s="190" t="s">
        <v>7039</v>
      </c>
      <c r="D727" s="190" t="s">
        <v>7040</v>
      </c>
      <c r="E727" s="190" t="s">
        <v>7041</v>
      </c>
      <c r="F727" s="190"/>
      <c r="G727" s="293"/>
      <c r="H727" s="293"/>
      <c r="I727" s="356"/>
      <c r="J727" s="355"/>
      <c r="K727" s="356"/>
      <c r="L727" s="356"/>
      <c r="M727" s="356"/>
      <c r="N727" s="356"/>
      <c r="O727" s="356"/>
      <c r="P727" s="291"/>
      <c r="Q727" s="291" t="s">
        <v>307</v>
      </c>
      <c r="R727" s="356"/>
      <c r="S727" s="356"/>
      <c r="T727" s="392"/>
      <c r="U727" s="356"/>
      <c r="V727" s="356"/>
      <c r="W727" s="356"/>
      <c r="X727" s="356"/>
      <c r="Y727" s="356"/>
      <c r="Z727" s="356"/>
      <c r="AA727" s="356"/>
      <c r="AB727" s="356"/>
      <c r="AC727" s="356"/>
      <c r="AD727" s="356"/>
      <c r="AE727" s="356"/>
      <c r="AF727" s="356"/>
      <c r="AG727" s="356"/>
      <c r="AH727" s="356"/>
      <c r="AI727" s="356"/>
      <c r="AJ727" s="356"/>
      <c r="AK727" s="356"/>
      <c r="AL727" s="356"/>
      <c r="AM727" s="356"/>
      <c r="AN727" s="356"/>
      <c r="AO727" s="349"/>
      <c r="AP727" s="349"/>
      <c r="AQ727" s="349"/>
      <c r="AR727" s="349"/>
      <c r="AS727" s="349"/>
      <c r="AT727" s="349"/>
      <c r="AU727" s="349"/>
      <c r="AV727" s="349"/>
      <c r="AW727" s="349"/>
      <c r="AX727" s="349"/>
    </row>
    <row r="728" ht="15.75" customHeight="1">
      <c r="A728" s="306" t="s">
        <v>247</v>
      </c>
      <c r="B728" s="307" t="s">
        <v>7042</v>
      </c>
      <c r="C728" s="190" t="s">
        <v>7047</v>
      </c>
      <c r="D728" s="190" t="s">
        <v>7048</v>
      </c>
      <c r="E728" s="190" t="s">
        <v>7049</v>
      </c>
      <c r="F728" s="190"/>
      <c r="G728" s="293"/>
      <c r="H728" s="293"/>
      <c r="I728" s="359"/>
      <c r="J728" s="359"/>
      <c r="K728" s="360" t="s">
        <v>4159</v>
      </c>
      <c r="L728" s="369"/>
      <c r="M728" s="359"/>
      <c r="N728" s="359"/>
      <c r="O728" s="361" t="s">
        <v>8141</v>
      </c>
      <c r="P728" s="291"/>
      <c r="Q728" s="361" t="s">
        <v>307</v>
      </c>
      <c r="R728" s="359"/>
      <c r="S728" s="359"/>
      <c r="T728" s="391"/>
      <c r="U728" s="359"/>
      <c r="V728" s="359"/>
      <c r="W728" s="359"/>
      <c r="X728" s="359"/>
      <c r="Y728" s="359"/>
      <c r="Z728" s="359"/>
      <c r="AA728" s="359"/>
      <c r="AB728" s="359"/>
      <c r="AC728" s="359"/>
      <c r="AD728" s="359"/>
      <c r="AE728" s="359"/>
      <c r="AF728" s="359"/>
      <c r="AG728" s="359"/>
      <c r="AH728" s="359"/>
      <c r="AI728" s="359"/>
      <c r="AJ728" s="359"/>
      <c r="AK728" s="359"/>
      <c r="AL728" s="359"/>
      <c r="AM728" s="359"/>
      <c r="AN728" s="359"/>
      <c r="AO728" s="349"/>
      <c r="AP728" s="349"/>
      <c r="AQ728" s="349"/>
      <c r="AR728" s="349"/>
      <c r="AS728" s="349"/>
      <c r="AT728" s="349"/>
      <c r="AU728" s="349"/>
      <c r="AV728" s="349"/>
      <c r="AW728" s="349"/>
      <c r="AX728" s="349"/>
    </row>
    <row r="729" ht="15.75" customHeight="1">
      <c r="A729" s="299" t="s">
        <v>7001</v>
      </c>
      <c r="B729" s="300" t="s">
        <v>7050</v>
      </c>
      <c r="C729" s="190" t="s">
        <v>7054</v>
      </c>
      <c r="D729" s="190" t="s">
        <v>7055</v>
      </c>
      <c r="E729" s="190" t="s">
        <v>7056</v>
      </c>
      <c r="F729" s="190" t="s">
        <v>3364</v>
      </c>
      <c r="G729" s="293" t="s">
        <v>6226</v>
      </c>
      <c r="H729" s="293" t="s">
        <v>3366</v>
      </c>
      <c r="I729" s="356"/>
      <c r="J729" s="355"/>
      <c r="K729" s="356"/>
      <c r="L729" s="356"/>
      <c r="M729" s="356"/>
      <c r="N729" s="356"/>
      <c r="O729" s="291" t="s">
        <v>8141</v>
      </c>
      <c r="P729" s="291"/>
      <c r="Q729" s="291" t="s">
        <v>307</v>
      </c>
      <c r="R729" s="356"/>
      <c r="S729" s="356"/>
      <c r="T729" s="392"/>
      <c r="U729" s="356"/>
      <c r="V729" s="356"/>
      <c r="W729" s="356"/>
      <c r="X729" s="356"/>
      <c r="Y729" s="149" t="s">
        <v>1448</v>
      </c>
      <c r="Z729" s="356"/>
      <c r="AA729" s="356"/>
      <c r="AB729" s="356"/>
      <c r="AC729" s="356"/>
      <c r="AD729" s="356"/>
      <c r="AE729" s="356"/>
      <c r="AF729" s="356"/>
      <c r="AG729" s="356"/>
      <c r="AH729" s="356"/>
      <c r="AI729" s="356"/>
      <c r="AJ729" s="356"/>
      <c r="AK729" s="356"/>
      <c r="AL729" s="356"/>
      <c r="AM729" s="356"/>
      <c r="AN729" s="356"/>
      <c r="AO729" s="349"/>
      <c r="AP729" s="349"/>
      <c r="AQ729" s="349"/>
      <c r="AR729" s="349"/>
      <c r="AS729" s="349"/>
      <c r="AT729" s="349"/>
      <c r="AU729" s="349"/>
      <c r="AV729" s="349"/>
      <c r="AW729" s="349"/>
      <c r="AX729" s="349"/>
    </row>
    <row r="730" ht="15.75" customHeight="1">
      <c r="A730" s="301" t="s">
        <v>220</v>
      </c>
      <c r="B730" s="302" t="s">
        <v>7057</v>
      </c>
      <c r="C730" s="190" t="s">
        <v>7061</v>
      </c>
      <c r="D730" s="190" t="s">
        <v>7062</v>
      </c>
      <c r="E730" s="190" t="s">
        <v>7063</v>
      </c>
      <c r="F730" s="190"/>
      <c r="G730" s="293"/>
      <c r="H730" s="293"/>
      <c r="I730" s="366"/>
      <c r="J730" s="367"/>
      <c r="K730" s="366"/>
      <c r="L730" s="366"/>
      <c r="M730" s="366"/>
      <c r="N730" s="366"/>
      <c r="O730" s="368" t="s">
        <v>8142</v>
      </c>
      <c r="P730" s="291"/>
      <c r="Q730" s="368" t="s">
        <v>307</v>
      </c>
      <c r="R730" s="366"/>
      <c r="S730" s="366"/>
      <c r="T730" s="422"/>
      <c r="U730" s="366"/>
      <c r="V730" s="366"/>
      <c r="W730" s="366"/>
      <c r="X730" s="366"/>
      <c r="Y730" s="366"/>
      <c r="Z730" s="366"/>
      <c r="AA730" s="366"/>
      <c r="AB730" s="366"/>
      <c r="AC730" s="366"/>
      <c r="AD730" s="366"/>
      <c r="AE730" s="366"/>
      <c r="AF730" s="366"/>
      <c r="AG730" s="366"/>
      <c r="AH730" s="366"/>
      <c r="AI730" s="366"/>
      <c r="AJ730" s="366"/>
      <c r="AK730" s="366"/>
      <c r="AL730" s="366"/>
      <c r="AM730" s="366"/>
      <c r="AN730" s="366"/>
      <c r="AO730" s="349"/>
      <c r="AP730" s="349"/>
      <c r="AQ730" s="349"/>
      <c r="AR730" s="349"/>
      <c r="AS730" s="349"/>
      <c r="AT730" s="349"/>
      <c r="AU730" s="349"/>
      <c r="AV730" s="349"/>
      <c r="AW730" s="349"/>
      <c r="AX730" s="349"/>
    </row>
    <row r="731" ht="15.75" customHeight="1">
      <c r="A731" s="299" t="s">
        <v>2456</v>
      </c>
      <c r="B731" s="300" t="s">
        <v>7064</v>
      </c>
      <c r="C731" s="190" t="s">
        <v>7069</v>
      </c>
      <c r="D731" s="190" t="s">
        <v>7070</v>
      </c>
      <c r="E731" s="190" t="s">
        <v>7071</v>
      </c>
      <c r="F731" s="190"/>
      <c r="G731" s="293"/>
      <c r="H731" s="293"/>
      <c r="I731" s="356"/>
      <c r="J731" s="355"/>
      <c r="K731" s="356"/>
      <c r="L731" s="356"/>
      <c r="M731" s="356"/>
      <c r="N731" s="356"/>
      <c r="O731" s="356"/>
      <c r="P731" s="291"/>
      <c r="Q731" s="291" t="s">
        <v>307</v>
      </c>
      <c r="R731" s="356"/>
      <c r="S731" s="356"/>
      <c r="T731" s="392"/>
      <c r="U731" s="356"/>
      <c r="V731" s="356"/>
      <c r="W731" s="356"/>
      <c r="X731" s="356"/>
      <c r="Y731" s="356"/>
      <c r="Z731" s="356"/>
      <c r="AA731" s="356"/>
      <c r="AB731" s="356"/>
      <c r="AC731" s="356"/>
      <c r="AD731" s="356"/>
      <c r="AE731" s="356"/>
      <c r="AF731" s="356"/>
      <c r="AG731" s="356"/>
      <c r="AH731" s="356"/>
      <c r="AI731" s="356"/>
      <c r="AJ731" s="356"/>
      <c r="AK731" s="356"/>
      <c r="AL731" s="356"/>
      <c r="AM731" s="356"/>
      <c r="AN731" s="356"/>
      <c r="AO731" s="349"/>
      <c r="AP731" s="349"/>
      <c r="AQ731" s="349"/>
      <c r="AR731" s="349"/>
      <c r="AS731" s="349"/>
      <c r="AT731" s="349"/>
      <c r="AU731" s="349"/>
      <c r="AV731" s="349"/>
      <c r="AW731" s="349"/>
      <c r="AX731" s="349"/>
    </row>
    <row r="732" ht="15.75" customHeight="1">
      <c r="A732" s="306" t="s">
        <v>247</v>
      </c>
      <c r="B732" s="307" t="s">
        <v>7072</v>
      </c>
      <c r="C732" s="190" t="s">
        <v>7076</v>
      </c>
      <c r="D732" s="190" t="s">
        <v>7077</v>
      </c>
      <c r="E732" s="190" t="s">
        <v>7078</v>
      </c>
      <c r="F732" s="190"/>
      <c r="G732" s="293"/>
      <c r="H732" s="293"/>
      <c r="I732" s="359"/>
      <c r="J732" s="359"/>
      <c r="K732" s="360" t="s">
        <v>4159</v>
      </c>
      <c r="L732" s="369"/>
      <c r="M732" s="359"/>
      <c r="N732" s="359"/>
      <c r="O732" s="361" t="s">
        <v>8143</v>
      </c>
      <c r="P732" s="291"/>
      <c r="Q732" s="361" t="s">
        <v>307</v>
      </c>
      <c r="R732" s="359"/>
      <c r="S732" s="359"/>
      <c r="T732" s="359"/>
      <c r="U732" s="359"/>
      <c r="V732" s="359"/>
      <c r="W732" s="359"/>
      <c r="X732" s="359"/>
      <c r="Y732" s="359"/>
      <c r="Z732" s="359"/>
      <c r="AA732" s="359"/>
      <c r="AB732" s="359"/>
      <c r="AC732" s="359"/>
      <c r="AD732" s="359"/>
      <c r="AE732" s="359"/>
      <c r="AF732" s="359"/>
      <c r="AG732" s="359"/>
      <c r="AH732" s="359"/>
      <c r="AI732" s="359"/>
      <c r="AJ732" s="359"/>
      <c r="AK732" s="359"/>
      <c r="AL732" s="359"/>
      <c r="AM732" s="359"/>
      <c r="AN732" s="359"/>
      <c r="AO732" s="349"/>
      <c r="AP732" s="349"/>
      <c r="AQ732" s="349"/>
      <c r="AR732" s="349"/>
      <c r="AS732" s="349"/>
      <c r="AT732" s="349"/>
      <c r="AU732" s="349"/>
      <c r="AV732" s="349"/>
      <c r="AW732" s="349"/>
      <c r="AX732" s="349"/>
    </row>
    <row r="733" ht="15.75" customHeight="1">
      <c r="A733" s="299" t="s">
        <v>7079</v>
      </c>
      <c r="B733" s="300" t="s">
        <v>7080</v>
      </c>
      <c r="C733" s="190" t="s">
        <v>7084</v>
      </c>
      <c r="D733" s="190" t="s">
        <v>7085</v>
      </c>
      <c r="E733" s="190" t="s">
        <v>7087</v>
      </c>
      <c r="F733" s="190" t="s">
        <v>3364</v>
      </c>
      <c r="G733" s="293" t="s">
        <v>6226</v>
      </c>
      <c r="H733" s="293" t="s">
        <v>3366</v>
      </c>
      <c r="I733" s="356"/>
      <c r="J733" s="355"/>
      <c r="K733" s="356"/>
      <c r="L733" s="356"/>
      <c r="M733" s="356"/>
      <c r="N733" s="356"/>
      <c r="O733" s="291" t="s">
        <v>8143</v>
      </c>
      <c r="P733" s="291"/>
      <c r="Q733" s="291" t="s">
        <v>307</v>
      </c>
      <c r="R733" s="356"/>
      <c r="S733" s="356"/>
      <c r="T733" s="356"/>
      <c r="U733" s="356"/>
      <c r="V733" s="356"/>
      <c r="W733" s="356"/>
      <c r="X733" s="356"/>
      <c r="Y733" s="356"/>
      <c r="Z733" s="356"/>
      <c r="AA733" s="356"/>
      <c r="AB733" s="356"/>
      <c r="AC733" s="356"/>
      <c r="AD733" s="356"/>
      <c r="AE733" s="356"/>
      <c r="AF733" s="356"/>
      <c r="AG733" s="356"/>
      <c r="AH733" s="356"/>
      <c r="AI733" s="356"/>
      <c r="AJ733" s="356"/>
      <c r="AK733" s="356"/>
      <c r="AL733" s="356"/>
      <c r="AM733" s="356"/>
      <c r="AN733" s="356"/>
      <c r="AO733" s="349"/>
      <c r="AP733" s="349"/>
      <c r="AQ733" s="349"/>
      <c r="AR733" s="349"/>
      <c r="AS733" s="349"/>
      <c r="AT733" s="349"/>
      <c r="AU733" s="349"/>
      <c r="AV733" s="349"/>
      <c r="AW733" s="349"/>
      <c r="AX733" s="349"/>
    </row>
    <row r="734" ht="15.75" customHeight="1">
      <c r="A734" s="301" t="s">
        <v>220</v>
      </c>
      <c r="B734" s="302" t="s">
        <v>7088</v>
      </c>
      <c r="C734" s="190" t="s">
        <v>7092</v>
      </c>
      <c r="D734" s="190" t="s">
        <v>7093</v>
      </c>
      <c r="E734" s="190" t="s">
        <v>7094</v>
      </c>
      <c r="F734" s="190"/>
      <c r="G734" s="293"/>
      <c r="H734" s="293"/>
      <c r="I734" s="366"/>
      <c r="J734" s="367"/>
      <c r="K734" s="366"/>
      <c r="L734" s="366"/>
      <c r="M734" s="366"/>
      <c r="N734" s="366"/>
      <c r="O734" s="301" t="s">
        <v>8144</v>
      </c>
      <c r="P734" s="291"/>
      <c r="Q734" s="368" t="s">
        <v>307</v>
      </c>
      <c r="R734" s="366"/>
      <c r="S734" s="366"/>
      <c r="T734" s="366"/>
      <c r="U734" s="422"/>
      <c r="V734" s="366"/>
      <c r="W734" s="366"/>
      <c r="X734" s="366"/>
      <c r="Y734" s="366"/>
      <c r="Z734" s="366"/>
      <c r="AA734" s="366"/>
      <c r="AB734" s="366"/>
      <c r="AC734" s="366"/>
      <c r="AD734" s="366"/>
      <c r="AE734" s="366"/>
      <c r="AF734" s="366"/>
      <c r="AG734" s="366"/>
      <c r="AH734" s="366"/>
      <c r="AI734" s="366"/>
      <c r="AJ734" s="366"/>
      <c r="AK734" s="366"/>
      <c r="AL734" s="366"/>
      <c r="AM734" s="366"/>
      <c r="AN734" s="366"/>
      <c r="AO734" s="349"/>
      <c r="AP734" s="349"/>
      <c r="AQ734" s="349"/>
      <c r="AR734" s="349"/>
      <c r="AS734" s="349"/>
      <c r="AT734" s="349"/>
      <c r="AU734" s="349"/>
      <c r="AV734" s="349"/>
      <c r="AW734" s="349"/>
      <c r="AX734" s="349"/>
    </row>
    <row r="735" ht="15.75" customHeight="1">
      <c r="A735" s="299" t="s">
        <v>2456</v>
      </c>
      <c r="B735" s="300" t="s">
        <v>7095</v>
      </c>
      <c r="C735" s="190" t="s">
        <v>7099</v>
      </c>
      <c r="D735" s="190" t="s">
        <v>7100</v>
      </c>
      <c r="E735" s="190" t="s">
        <v>7101</v>
      </c>
      <c r="F735" s="190"/>
      <c r="G735" s="293"/>
      <c r="H735" s="293"/>
      <c r="I735" s="356"/>
      <c r="J735" s="355"/>
      <c r="K735" s="356"/>
      <c r="L735" s="356"/>
      <c r="M735" s="356"/>
      <c r="N735" s="356"/>
      <c r="O735" s="356"/>
      <c r="P735" s="291"/>
      <c r="Q735" s="291" t="s">
        <v>307</v>
      </c>
      <c r="R735" s="356"/>
      <c r="S735" s="356"/>
      <c r="T735" s="392"/>
      <c r="U735" s="356"/>
      <c r="V735" s="356"/>
      <c r="W735" s="356"/>
      <c r="X735" s="356"/>
      <c r="Y735" s="356"/>
      <c r="Z735" s="356"/>
      <c r="AA735" s="356"/>
      <c r="AB735" s="356"/>
      <c r="AC735" s="356"/>
      <c r="AD735" s="356"/>
      <c r="AE735" s="356"/>
      <c r="AF735" s="356"/>
      <c r="AG735" s="356"/>
      <c r="AH735" s="356"/>
      <c r="AI735" s="356"/>
      <c r="AJ735" s="356"/>
      <c r="AK735" s="356"/>
      <c r="AL735" s="356"/>
      <c r="AM735" s="356"/>
      <c r="AN735" s="356"/>
      <c r="AO735" s="349"/>
      <c r="AP735" s="349"/>
      <c r="AQ735" s="349"/>
      <c r="AR735" s="349"/>
      <c r="AS735" s="349"/>
      <c r="AT735" s="349"/>
      <c r="AU735" s="349"/>
      <c r="AV735" s="349"/>
      <c r="AW735" s="349"/>
      <c r="AX735" s="349"/>
    </row>
    <row r="736" ht="15.75" customHeight="1">
      <c r="A736" s="306" t="s">
        <v>247</v>
      </c>
      <c r="B736" s="307" t="s">
        <v>7102</v>
      </c>
      <c r="C736" s="190" t="s">
        <v>7107</v>
      </c>
      <c r="D736" s="190" t="s">
        <v>7108</v>
      </c>
      <c r="E736" s="190" t="s">
        <v>7109</v>
      </c>
      <c r="F736" s="190"/>
      <c r="G736" s="293"/>
      <c r="H736" s="293"/>
      <c r="I736" s="359"/>
      <c r="J736" s="359"/>
      <c r="K736" s="360" t="s">
        <v>4159</v>
      </c>
      <c r="L736" s="369"/>
      <c r="M736" s="359"/>
      <c r="N736" s="359"/>
      <c r="O736" s="361" t="s">
        <v>8145</v>
      </c>
      <c r="P736" s="291"/>
      <c r="Q736" s="361" t="s">
        <v>307</v>
      </c>
      <c r="R736" s="359"/>
      <c r="S736" s="359"/>
      <c r="T736" s="359"/>
      <c r="U736" s="359"/>
      <c r="V736" s="359"/>
      <c r="W736" s="359"/>
      <c r="X736" s="359"/>
      <c r="Y736" s="359"/>
      <c r="Z736" s="359"/>
      <c r="AA736" s="359"/>
      <c r="AB736" s="359"/>
      <c r="AC736" s="359"/>
      <c r="AD736" s="359"/>
      <c r="AE736" s="359"/>
      <c r="AF736" s="359"/>
      <c r="AG736" s="359"/>
      <c r="AH736" s="359"/>
      <c r="AI736" s="359"/>
      <c r="AJ736" s="359"/>
      <c r="AK736" s="359"/>
      <c r="AL736" s="359"/>
      <c r="AM736" s="359"/>
      <c r="AN736" s="359"/>
      <c r="AO736" s="349"/>
      <c r="AP736" s="349"/>
      <c r="AQ736" s="349"/>
      <c r="AR736" s="349"/>
      <c r="AS736" s="349"/>
      <c r="AT736" s="349"/>
      <c r="AU736" s="349"/>
      <c r="AV736" s="349"/>
      <c r="AW736" s="349"/>
      <c r="AX736" s="349"/>
    </row>
    <row r="737" ht="15.75" customHeight="1">
      <c r="A737" s="299" t="s">
        <v>7001</v>
      </c>
      <c r="B737" s="300" t="s">
        <v>7110</v>
      </c>
      <c r="C737" s="190" t="s">
        <v>7114</v>
      </c>
      <c r="D737" s="190" t="s">
        <v>7115</v>
      </c>
      <c r="E737" s="190" t="s">
        <v>7116</v>
      </c>
      <c r="F737" s="190" t="s">
        <v>3364</v>
      </c>
      <c r="G737" s="293" t="s">
        <v>6226</v>
      </c>
      <c r="H737" s="293" t="s">
        <v>3366</v>
      </c>
      <c r="I737" s="356"/>
      <c r="J737" s="355"/>
      <c r="K737" s="356"/>
      <c r="L737" s="356"/>
      <c r="M737" s="356"/>
      <c r="N737" s="356"/>
      <c r="O737" s="291" t="s">
        <v>8145</v>
      </c>
      <c r="P737" s="291"/>
      <c r="Q737" s="291" t="s">
        <v>307</v>
      </c>
      <c r="R737" s="356"/>
      <c r="S737" s="356"/>
      <c r="T737" s="356"/>
      <c r="U737" s="356"/>
      <c r="V737" s="356"/>
      <c r="W737" s="356"/>
      <c r="X737" s="356"/>
      <c r="Y737" s="149" t="s">
        <v>1448</v>
      </c>
      <c r="Z737" s="356"/>
      <c r="AA737" s="356"/>
      <c r="AB737" s="356"/>
      <c r="AC737" s="356"/>
      <c r="AD737" s="356"/>
      <c r="AE737" s="356"/>
      <c r="AF737" s="356"/>
      <c r="AG737" s="356"/>
      <c r="AH737" s="356"/>
      <c r="AI737" s="356"/>
      <c r="AJ737" s="356"/>
      <c r="AK737" s="356"/>
      <c r="AL737" s="356"/>
      <c r="AM737" s="356"/>
      <c r="AN737" s="356"/>
      <c r="AO737" s="349"/>
      <c r="AP737" s="349"/>
      <c r="AQ737" s="349"/>
      <c r="AR737" s="349"/>
      <c r="AS737" s="349"/>
      <c r="AT737" s="349"/>
      <c r="AU737" s="349"/>
      <c r="AV737" s="349"/>
      <c r="AW737" s="349"/>
      <c r="AX737" s="349"/>
    </row>
    <row r="738" ht="15.75" customHeight="1">
      <c r="A738" s="301" t="s">
        <v>220</v>
      </c>
      <c r="B738" s="302" t="s">
        <v>7117</v>
      </c>
      <c r="C738" s="190" t="s">
        <v>7119</v>
      </c>
      <c r="D738" s="190" t="s">
        <v>7120</v>
      </c>
      <c r="E738" s="190" t="s">
        <v>7121</v>
      </c>
      <c r="F738" s="190"/>
      <c r="G738" s="293"/>
      <c r="H738" s="293"/>
      <c r="I738" s="366"/>
      <c r="J738" s="367"/>
      <c r="K738" s="366"/>
      <c r="L738" s="366"/>
      <c r="M738" s="366"/>
      <c r="N738" s="366"/>
      <c r="O738" s="368" t="s">
        <v>8146</v>
      </c>
      <c r="P738" s="291"/>
      <c r="Q738" s="368" t="s">
        <v>307</v>
      </c>
      <c r="R738" s="366"/>
      <c r="S738" s="366"/>
      <c r="T738" s="366"/>
      <c r="U738" s="366"/>
      <c r="V738" s="366"/>
      <c r="W738" s="366"/>
      <c r="X738" s="366"/>
      <c r="Y738" s="366"/>
      <c r="Z738" s="366"/>
      <c r="AA738" s="366"/>
      <c r="AB738" s="366"/>
      <c r="AC738" s="366"/>
      <c r="AD738" s="366"/>
      <c r="AE738" s="366"/>
      <c r="AF738" s="366"/>
      <c r="AG738" s="366"/>
      <c r="AH738" s="366"/>
      <c r="AI738" s="366"/>
      <c r="AJ738" s="366"/>
      <c r="AK738" s="366"/>
      <c r="AL738" s="366"/>
      <c r="AM738" s="366"/>
      <c r="AN738" s="366"/>
      <c r="AO738" s="349"/>
      <c r="AP738" s="349"/>
      <c r="AQ738" s="349"/>
      <c r="AR738" s="349"/>
      <c r="AS738" s="349"/>
      <c r="AT738" s="349"/>
      <c r="AU738" s="349"/>
      <c r="AV738" s="349"/>
      <c r="AW738" s="349"/>
      <c r="AX738" s="349"/>
    </row>
    <row r="739" ht="15.75" customHeight="1">
      <c r="A739" s="299" t="s">
        <v>2456</v>
      </c>
      <c r="B739" s="300" t="s">
        <v>7122</v>
      </c>
      <c r="C739" s="190" t="s">
        <v>7126</v>
      </c>
      <c r="D739" s="190" t="s">
        <v>7127</v>
      </c>
      <c r="E739" s="190" t="s">
        <v>7128</v>
      </c>
      <c r="F739" s="190"/>
      <c r="G739" s="293"/>
      <c r="H739" s="293"/>
      <c r="I739" s="356"/>
      <c r="J739" s="355"/>
      <c r="K739" s="356"/>
      <c r="L739" s="356"/>
      <c r="M739" s="356"/>
      <c r="N739" s="356"/>
      <c r="O739" s="356"/>
      <c r="P739" s="291"/>
      <c r="Q739" s="291" t="s">
        <v>307</v>
      </c>
      <c r="R739" s="356"/>
      <c r="S739" s="356"/>
      <c r="T739" s="356"/>
      <c r="U739" s="356"/>
      <c r="V739" s="356"/>
      <c r="W739" s="356"/>
      <c r="X739" s="356"/>
      <c r="Y739" s="356"/>
      <c r="Z739" s="356"/>
      <c r="AA739" s="356"/>
      <c r="AB739" s="356"/>
      <c r="AC739" s="356"/>
      <c r="AD739" s="356"/>
      <c r="AE739" s="356"/>
      <c r="AF739" s="356"/>
      <c r="AG739" s="356"/>
      <c r="AH739" s="356"/>
      <c r="AI739" s="356"/>
      <c r="AJ739" s="356"/>
      <c r="AK739" s="356"/>
      <c r="AL739" s="356"/>
      <c r="AM739" s="356"/>
      <c r="AN739" s="356"/>
      <c r="AO739" s="349"/>
      <c r="AP739" s="349"/>
      <c r="AQ739" s="349"/>
      <c r="AR739" s="349"/>
      <c r="AS739" s="349"/>
      <c r="AT739" s="349"/>
      <c r="AU739" s="349"/>
      <c r="AV739" s="349"/>
      <c r="AW739" s="349"/>
      <c r="AX739" s="349"/>
    </row>
    <row r="740" ht="15.75" customHeight="1">
      <c r="A740" s="306" t="s">
        <v>247</v>
      </c>
      <c r="B740" s="307" t="s">
        <v>7129</v>
      </c>
      <c r="C740" s="190" t="s">
        <v>7133</v>
      </c>
      <c r="D740" s="190" t="s">
        <v>7134</v>
      </c>
      <c r="E740" s="190" t="s">
        <v>7135</v>
      </c>
      <c r="F740" s="190"/>
      <c r="G740" s="293"/>
      <c r="H740" s="293"/>
      <c r="I740" s="359"/>
      <c r="J740" s="359"/>
      <c r="K740" s="360" t="s">
        <v>4159</v>
      </c>
      <c r="L740" s="369"/>
      <c r="M740" s="359"/>
      <c r="N740" s="359"/>
      <c r="O740" s="361" t="s">
        <v>8147</v>
      </c>
      <c r="P740" s="291"/>
      <c r="Q740" s="361" t="s">
        <v>307</v>
      </c>
      <c r="R740" s="359"/>
      <c r="S740" s="359"/>
      <c r="T740" s="359"/>
      <c r="U740" s="359"/>
      <c r="V740" s="359"/>
      <c r="W740" s="359"/>
      <c r="X740" s="359"/>
      <c r="Y740" s="359"/>
      <c r="Z740" s="359"/>
      <c r="AA740" s="359"/>
      <c r="AB740" s="359"/>
      <c r="AC740" s="359"/>
      <c r="AD740" s="359"/>
      <c r="AE740" s="359"/>
      <c r="AF740" s="359"/>
      <c r="AG740" s="359"/>
      <c r="AH740" s="359"/>
      <c r="AI740" s="359"/>
      <c r="AJ740" s="359"/>
      <c r="AK740" s="359"/>
      <c r="AL740" s="359"/>
      <c r="AM740" s="359"/>
      <c r="AN740" s="359"/>
      <c r="AO740" s="349"/>
      <c r="AP740" s="349"/>
      <c r="AQ740" s="349"/>
      <c r="AR740" s="349"/>
      <c r="AS740" s="349"/>
      <c r="AT740" s="349"/>
      <c r="AU740" s="349"/>
      <c r="AV740" s="349"/>
      <c r="AW740" s="349"/>
      <c r="AX740" s="349"/>
    </row>
    <row r="741" ht="15.75" customHeight="1">
      <c r="A741" s="299" t="s">
        <v>7079</v>
      </c>
      <c r="B741" s="300" t="s">
        <v>7136</v>
      </c>
      <c r="C741" s="190" t="s">
        <v>7140</v>
      </c>
      <c r="D741" s="190" t="s">
        <v>7141</v>
      </c>
      <c r="E741" s="190" t="s">
        <v>7142</v>
      </c>
      <c r="F741" s="190" t="s">
        <v>3364</v>
      </c>
      <c r="G741" s="293" t="s">
        <v>6226</v>
      </c>
      <c r="H741" s="293" t="s">
        <v>3366</v>
      </c>
      <c r="I741" s="356"/>
      <c r="J741" s="355"/>
      <c r="K741" s="356"/>
      <c r="L741" s="356"/>
      <c r="M741" s="356"/>
      <c r="N741" s="356"/>
      <c r="O741" s="291" t="s">
        <v>8147</v>
      </c>
      <c r="P741" s="291"/>
      <c r="Q741" s="291" t="s">
        <v>307</v>
      </c>
      <c r="R741" s="356"/>
      <c r="S741" s="356"/>
      <c r="T741" s="356"/>
      <c r="U741" s="356"/>
      <c r="V741" s="356"/>
      <c r="W741" s="356"/>
      <c r="X741" s="356"/>
      <c r="Y741" s="356"/>
      <c r="Z741" s="356"/>
      <c r="AA741" s="356"/>
      <c r="AB741" s="356"/>
      <c r="AC741" s="356"/>
      <c r="AD741" s="356"/>
      <c r="AE741" s="356"/>
      <c r="AF741" s="356"/>
      <c r="AG741" s="356"/>
      <c r="AH741" s="356"/>
      <c r="AI741" s="356"/>
      <c r="AJ741" s="356"/>
      <c r="AK741" s="356"/>
      <c r="AL741" s="356"/>
      <c r="AM741" s="356"/>
      <c r="AN741" s="356"/>
      <c r="AO741" s="349"/>
      <c r="AP741" s="349"/>
      <c r="AQ741" s="349"/>
      <c r="AR741" s="349"/>
      <c r="AS741" s="349"/>
      <c r="AT741" s="349"/>
      <c r="AU741" s="349"/>
      <c r="AV741" s="349"/>
      <c r="AW741" s="349"/>
      <c r="AX741" s="349"/>
    </row>
    <row r="742" ht="15.75" customHeight="1">
      <c r="A742" s="301" t="s">
        <v>220</v>
      </c>
      <c r="B742" s="302" t="s">
        <v>7143</v>
      </c>
      <c r="C742" s="190" t="s">
        <v>7147</v>
      </c>
      <c r="D742" s="190" t="s">
        <v>7148</v>
      </c>
      <c r="E742" s="190" t="s">
        <v>7149</v>
      </c>
      <c r="F742" s="190"/>
      <c r="G742" s="293"/>
      <c r="H742" s="293"/>
      <c r="I742" s="366"/>
      <c r="J742" s="367"/>
      <c r="K742" s="366"/>
      <c r="L742" s="366"/>
      <c r="M742" s="366"/>
      <c r="N742" s="366"/>
      <c r="O742" s="301" t="s">
        <v>8148</v>
      </c>
      <c r="P742" s="291"/>
      <c r="Q742" s="368" t="s">
        <v>307</v>
      </c>
      <c r="R742" s="366"/>
      <c r="S742" s="366"/>
      <c r="T742" s="366"/>
      <c r="U742" s="366"/>
      <c r="V742" s="366"/>
      <c r="W742" s="366"/>
      <c r="X742" s="366"/>
      <c r="Y742" s="366"/>
      <c r="Z742" s="366"/>
      <c r="AA742" s="366"/>
      <c r="AB742" s="366"/>
      <c r="AC742" s="366"/>
      <c r="AD742" s="366"/>
      <c r="AE742" s="366"/>
      <c r="AF742" s="366"/>
      <c r="AG742" s="366"/>
      <c r="AH742" s="366"/>
      <c r="AI742" s="366"/>
      <c r="AJ742" s="366"/>
      <c r="AK742" s="366"/>
      <c r="AL742" s="366"/>
      <c r="AM742" s="366"/>
      <c r="AN742" s="366"/>
      <c r="AO742" s="349"/>
      <c r="AP742" s="349"/>
      <c r="AQ742" s="349"/>
      <c r="AR742" s="349"/>
      <c r="AS742" s="349"/>
      <c r="AT742" s="349"/>
      <c r="AU742" s="349"/>
      <c r="AV742" s="349"/>
      <c r="AW742" s="349"/>
      <c r="AX742" s="349"/>
    </row>
    <row r="743" ht="15.75" customHeight="1">
      <c r="A743" s="299" t="s">
        <v>2456</v>
      </c>
      <c r="B743" s="300" t="s">
        <v>7151</v>
      </c>
      <c r="C743" s="190" t="s">
        <v>7156</v>
      </c>
      <c r="D743" s="190" t="s">
        <v>7157</v>
      </c>
      <c r="E743" s="190" t="s">
        <v>7158</v>
      </c>
      <c r="F743" s="190"/>
      <c r="G743" s="293"/>
      <c r="H743" s="293"/>
      <c r="I743" s="356"/>
      <c r="J743" s="355"/>
      <c r="K743" s="356"/>
      <c r="L743" s="356"/>
      <c r="M743" s="356"/>
      <c r="N743" s="356"/>
      <c r="O743" s="392"/>
      <c r="P743" s="291"/>
      <c r="Q743" s="291" t="s">
        <v>307</v>
      </c>
      <c r="R743" s="356"/>
      <c r="S743" s="356"/>
      <c r="T743" s="356"/>
      <c r="U743" s="356"/>
      <c r="V743" s="356"/>
      <c r="W743" s="356"/>
      <c r="X743" s="356"/>
      <c r="Y743" s="356"/>
      <c r="Z743" s="356"/>
      <c r="AA743" s="356"/>
      <c r="AB743" s="356"/>
      <c r="AC743" s="356"/>
      <c r="AD743" s="356"/>
      <c r="AE743" s="356"/>
      <c r="AF743" s="356"/>
      <c r="AG743" s="356"/>
      <c r="AH743" s="356"/>
      <c r="AI743" s="356"/>
      <c r="AJ743" s="356"/>
      <c r="AK743" s="356"/>
      <c r="AL743" s="356"/>
      <c r="AM743" s="356"/>
      <c r="AN743" s="356"/>
      <c r="AO743" s="349"/>
      <c r="AP743" s="349"/>
      <c r="AQ743" s="349"/>
      <c r="AR743" s="349"/>
      <c r="AS743" s="349"/>
      <c r="AT743" s="349"/>
      <c r="AU743" s="349"/>
      <c r="AV743" s="349"/>
      <c r="AW743" s="349"/>
      <c r="AX743" s="349"/>
    </row>
    <row r="744" ht="15.75" customHeight="1">
      <c r="A744" s="306" t="s">
        <v>247</v>
      </c>
      <c r="B744" s="307" t="s">
        <v>7159</v>
      </c>
      <c r="C744" s="190" t="s">
        <v>7163</v>
      </c>
      <c r="D744" s="190" t="s">
        <v>7164</v>
      </c>
      <c r="E744" s="190" t="s">
        <v>7165</v>
      </c>
      <c r="F744" s="190"/>
      <c r="G744" s="293"/>
      <c r="H744" s="293"/>
      <c r="I744" s="359"/>
      <c r="J744" s="359"/>
      <c r="K744" s="360" t="s">
        <v>4159</v>
      </c>
      <c r="L744" s="369"/>
      <c r="M744" s="359"/>
      <c r="N744" s="359"/>
      <c r="O744" s="306" t="s">
        <v>8149</v>
      </c>
      <c r="P744" s="291"/>
      <c r="Q744" s="361" t="s">
        <v>307</v>
      </c>
      <c r="R744" s="359"/>
      <c r="S744" s="359"/>
      <c r="T744" s="359"/>
      <c r="U744" s="359"/>
      <c r="V744" s="359"/>
      <c r="W744" s="359"/>
      <c r="X744" s="359"/>
      <c r="Y744" s="359"/>
      <c r="Z744" s="359"/>
      <c r="AA744" s="359"/>
      <c r="AB744" s="359"/>
      <c r="AC744" s="359"/>
      <c r="AD744" s="359"/>
      <c r="AE744" s="359"/>
      <c r="AF744" s="359"/>
      <c r="AG744" s="359"/>
      <c r="AH744" s="359"/>
      <c r="AI744" s="359"/>
      <c r="AJ744" s="359"/>
      <c r="AK744" s="359"/>
      <c r="AL744" s="359"/>
      <c r="AM744" s="359"/>
      <c r="AN744" s="359"/>
      <c r="AO744" s="349"/>
      <c r="AP744" s="349"/>
      <c r="AQ744" s="349"/>
      <c r="AR744" s="349"/>
      <c r="AS744" s="349"/>
      <c r="AT744" s="349"/>
      <c r="AU744" s="349"/>
      <c r="AV744" s="349"/>
      <c r="AW744" s="349"/>
      <c r="AX744" s="349"/>
    </row>
    <row r="745" ht="15.75" customHeight="1">
      <c r="A745" s="299" t="s">
        <v>7001</v>
      </c>
      <c r="B745" s="300" t="s">
        <v>7166</v>
      </c>
      <c r="C745" s="190" t="s">
        <v>7170</v>
      </c>
      <c r="D745" s="190" t="s">
        <v>7171</v>
      </c>
      <c r="E745" s="190" t="s">
        <v>7172</v>
      </c>
      <c r="F745" s="190" t="s">
        <v>3364</v>
      </c>
      <c r="G745" s="293" t="s">
        <v>6226</v>
      </c>
      <c r="H745" s="293" t="s">
        <v>3366</v>
      </c>
      <c r="I745" s="356"/>
      <c r="J745" s="355"/>
      <c r="K745" s="356"/>
      <c r="L745" s="356"/>
      <c r="M745" s="356"/>
      <c r="N745" s="356"/>
      <c r="O745" s="299" t="s">
        <v>8149</v>
      </c>
      <c r="P745" s="291"/>
      <c r="Q745" s="291" t="s">
        <v>307</v>
      </c>
      <c r="R745" s="356"/>
      <c r="S745" s="356"/>
      <c r="T745" s="356"/>
      <c r="U745" s="356"/>
      <c r="V745" s="356"/>
      <c r="W745" s="356"/>
      <c r="X745" s="356"/>
      <c r="Y745" s="149" t="s">
        <v>1448</v>
      </c>
      <c r="Z745" s="356"/>
      <c r="AA745" s="356"/>
      <c r="AB745" s="356"/>
      <c r="AC745" s="356"/>
      <c r="AD745" s="356"/>
      <c r="AE745" s="356"/>
      <c r="AF745" s="356"/>
      <c r="AG745" s="356"/>
      <c r="AH745" s="356"/>
      <c r="AI745" s="356"/>
      <c r="AJ745" s="356"/>
      <c r="AK745" s="356"/>
      <c r="AL745" s="356"/>
      <c r="AM745" s="356"/>
      <c r="AN745" s="356"/>
      <c r="AO745" s="349"/>
      <c r="AP745" s="349"/>
      <c r="AQ745" s="349"/>
      <c r="AR745" s="349"/>
      <c r="AS745" s="349"/>
      <c r="AT745" s="349"/>
      <c r="AU745" s="349"/>
      <c r="AV745" s="349"/>
      <c r="AW745" s="349"/>
      <c r="AX745" s="349"/>
    </row>
    <row r="746" ht="15.75" customHeight="1">
      <c r="A746" s="301" t="s">
        <v>220</v>
      </c>
      <c r="B746" s="302" t="s">
        <v>7173</v>
      </c>
      <c r="C746" s="190" t="s">
        <v>7177</v>
      </c>
      <c r="D746" s="190" t="s">
        <v>7178</v>
      </c>
      <c r="E746" s="190" t="s">
        <v>7179</v>
      </c>
      <c r="F746" s="190"/>
      <c r="G746" s="293"/>
      <c r="H746" s="293"/>
      <c r="I746" s="366"/>
      <c r="J746" s="367"/>
      <c r="K746" s="366"/>
      <c r="L746" s="366"/>
      <c r="M746" s="366"/>
      <c r="N746" s="366"/>
      <c r="O746" s="368" t="s">
        <v>8150</v>
      </c>
      <c r="P746" s="291"/>
      <c r="Q746" s="368" t="s">
        <v>307</v>
      </c>
      <c r="R746" s="366"/>
      <c r="S746" s="366"/>
      <c r="T746" s="422"/>
      <c r="U746" s="366"/>
      <c r="V746" s="366"/>
      <c r="W746" s="366"/>
      <c r="X746" s="366"/>
      <c r="Y746" s="366"/>
      <c r="Z746" s="366"/>
      <c r="AA746" s="366"/>
      <c r="AB746" s="366"/>
      <c r="AC746" s="366"/>
      <c r="AD746" s="366"/>
      <c r="AE746" s="366"/>
      <c r="AF746" s="366"/>
      <c r="AG746" s="366"/>
      <c r="AH746" s="366"/>
      <c r="AI746" s="366"/>
      <c r="AJ746" s="366"/>
      <c r="AK746" s="366"/>
      <c r="AL746" s="366"/>
      <c r="AM746" s="366"/>
      <c r="AN746" s="366"/>
      <c r="AO746" s="349"/>
      <c r="AP746" s="349"/>
      <c r="AQ746" s="349"/>
      <c r="AR746" s="349"/>
      <c r="AS746" s="349"/>
      <c r="AT746" s="349"/>
      <c r="AU746" s="349"/>
      <c r="AV746" s="349"/>
      <c r="AW746" s="349"/>
      <c r="AX746" s="349"/>
    </row>
    <row r="747" ht="15.75" customHeight="1">
      <c r="A747" s="299" t="s">
        <v>2456</v>
      </c>
      <c r="B747" s="300" t="s">
        <v>7180</v>
      </c>
      <c r="C747" s="190" t="s">
        <v>7184</v>
      </c>
      <c r="D747" s="190" t="s">
        <v>7185</v>
      </c>
      <c r="E747" s="190" t="s">
        <v>7187</v>
      </c>
      <c r="F747" s="190"/>
      <c r="G747" s="293"/>
      <c r="H747" s="293"/>
      <c r="I747" s="356"/>
      <c r="J747" s="355"/>
      <c r="K747" s="356"/>
      <c r="L747" s="356"/>
      <c r="M747" s="356"/>
      <c r="N747" s="356"/>
      <c r="O747" s="392"/>
      <c r="P747" s="291"/>
      <c r="Q747" s="291" t="s">
        <v>307</v>
      </c>
      <c r="R747" s="356"/>
      <c r="S747" s="356"/>
      <c r="T747" s="356"/>
      <c r="U747" s="356"/>
      <c r="V747" s="356"/>
      <c r="W747" s="356"/>
      <c r="X747" s="356"/>
      <c r="Y747" s="356"/>
      <c r="Z747" s="356"/>
      <c r="AA747" s="356"/>
      <c r="AB747" s="356"/>
      <c r="AC747" s="356"/>
      <c r="AD747" s="356"/>
      <c r="AE747" s="356"/>
      <c r="AF747" s="356"/>
      <c r="AG747" s="356"/>
      <c r="AH747" s="356"/>
      <c r="AI747" s="356"/>
      <c r="AJ747" s="356"/>
      <c r="AK747" s="356"/>
      <c r="AL747" s="356"/>
      <c r="AM747" s="356"/>
      <c r="AN747" s="356"/>
      <c r="AO747" s="349"/>
      <c r="AP747" s="349"/>
      <c r="AQ747" s="349"/>
      <c r="AR747" s="349"/>
      <c r="AS747" s="349"/>
      <c r="AT747" s="349"/>
      <c r="AU747" s="349"/>
      <c r="AV747" s="349"/>
      <c r="AW747" s="349"/>
      <c r="AX747" s="349"/>
    </row>
    <row r="748" ht="15.75" customHeight="1">
      <c r="A748" s="306" t="s">
        <v>247</v>
      </c>
      <c r="B748" s="307" t="s">
        <v>7188</v>
      </c>
      <c r="C748" s="190" t="s">
        <v>7192</v>
      </c>
      <c r="D748" s="190" t="s">
        <v>7193</v>
      </c>
      <c r="E748" s="190" t="s">
        <v>7194</v>
      </c>
      <c r="F748" s="190"/>
      <c r="G748" s="293"/>
      <c r="H748" s="293"/>
      <c r="I748" s="359"/>
      <c r="J748" s="359"/>
      <c r="K748" s="360" t="s">
        <v>4159</v>
      </c>
      <c r="L748" s="369"/>
      <c r="M748" s="359"/>
      <c r="N748" s="359"/>
      <c r="O748" s="361" t="s">
        <v>8151</v>
      </c>
      <c r="P748" s="291"/>
      <c r="Q748" s="361" t="s">
        <v>307</v>
      </c>
      <c r="R748" s="359"/>
      <c r="S748" s="359"/>
      <c r="T748" s="359"/>
      <c r="U748" s="359"/>
      <c r="V748" s="359"/>
      <c r="W748" s="359"/>
      <c r="X748" s="359"/>
      <c r="Y748" s="359"/>
      <c r="Z748" s="359"/>
      <c r="AA748" s="359"/>
      <c r="AB748" s="359"/>
      <c r="AC748" s="359"/>
      <c r="AD748" s="359"/>
      <c r="AE748" s="359"/>
      <c r="AF748" s="359"/>
      <c r="AG748" s="359"/>
      <c r="AH748" s="359"/>
      <c r="AI748" s="359"/>
      <c r="AJ748" s="359"/>
      <c r="AK748" s="359"/>
      <c r="AL748" s="359"/>
      <c r="AM748" s="359"/>
      <c r="AN748" s="359"/>
      <c r="AO748" s="349"/>
      <c r="AP748" s="349"/>
      <c r="AQ748" s="349"/>
      <c r="AR748" s="349"/>
      <c r="AS748" s="349"/>
      <c r="AT748" s="349"/>
      <c r="AU748" s="349"/>
      <c r="AV748" s="349"/>
      <c r="AW748" s="349"/>
      <c r="AX748" s="349"/>
    </row>
    <row r="749" ht="15.75" customHeight="1">
      <c r="A749" s="299" t="s">
        <v>7079</v>
      </c>
      <c r="B749" s="300" t="s">
        <v>7195</v>
      </c>
      <c r="C749" s="190" t="s">
        <v>7199</v>
      </c>
      <c r="D749" s="190" t="s">
        <v>7200</v>
      </c>
      <c r="E749" s="190" t="s">
        <v>7201</v>
      </c>
      <c r="F749" s="190" t="s">
        <v>3364</v>
      </c>
      <c r="G749" s="293" t="s">
        <v>6226</v>
      </c>
      <c r="H749" s="293" t="s">
        <v>3366</v>
      </c>
      <c r="I749" s="356"/>
      <c r="J749" s="355"/>
      <c r="K749" s="356"/>
      <c r="L749" s="356"/>
      <c r="M749" s="356"/>
      <c r="N749" s="356"/>
      <c r="O749" s="299" t="s">
        <v>8151</v>
      </c>
      <c r="P749" s="291"/>
      <c r="Q749" s="291" t="s">
        <v>307</v>
      </c>
      <c r="R749" s="356"/>
      <c r="S749" s="356"/>
      <c r="T749" s="356"/>
      <c r="U749" s="356"/>
      <c r="V749" s="356"/>
      <c r="W749" s="356"/>
      <c r="X749" s="356"/>
      <c r="Y749" s="356"/>
      <c r="Z749" s="356"/>
      <c r="AA749" s="356"/>
      <c r="AB749" s="356"/>
      <c r="AC749" s="356"/>
      <c r="AD749" s="356"/>
      <c r="AE749" s="356"/>
      <c r="AF749" s="356"/>
      <c r="AG749" s="356"/>
      <c r="AH749" s="356"/>
      <c r="AI749" s="356"/>
      <c r="AJ749" s="356"/>
      <c r="AK749" s="356"/>
      <c r="AL749" s="356"/>
      <c r="AM749" s="356"/>
      <c r="AN749" s="356"/>
      <c r="AO749" s="349"/>
      <c r="AP749" s="349"/>
      <c r="AQ749" s="349"/>
      <c r="AR749" s="349"/>
      <c r="AS749" s="349"/>
      <c r="AT749" s="349"/>
      <c r="AU749" s="349"/>
      <c r="AV749" s="349"/>
      <c r="AW749" s="349"/>
      <c r="AX749" s="349"/>
    </row>
    <row r="750" ht="15.75" customHeight="1">
      <c r="A750" s="301" t="s">
        <v>220</v>
      </c>
      <c r="B750" s="302" t="s">
        <v>7203</v>
      </c>
      <c r="C750" s="190" t="s">
        <v>7204</v>
      </c>
      <c r="D750" s="190" t="s">
        <v>7205</v>
      </c>
      <c r="E750" s="190" t="s">
        <v>7206</v>
      </c>
      <c r="F750" s="190"/>
      <c r="G750" s="293"/>
      <c r="H750" s="293"/>
      <c r="I750" s="366"/>
      <c r="J750" s="367"/>
      <c r="K750" s="366"/>
      <c r="L750" s="366"/>
      <c r="M750" s="366"/>
      <c r="N750" s="366"/>
      <c r="O750" s="301" t="s">
        <v>8152</v>
      </c>
      <c r="P750" s="291"/>
      <c r="Q750" s="368" t="s">
        <v>307</v>
      </c>
      <c r="R750" s="366"/>
      <c r="S750" s="366"/>
      <c r="T750" s="366"/>
      <c r="U750" s="366"/>
      <c r="V750" s="366"/>
      <c r="W750" s="366"/>
      <c r="X750" s="366"/>
      <c r="Y750" s="366"/>
      <c r="Z750" s="366"/>
      <c r="AA750" s="366"/>
      <c r="AB750" s="366"/>
      <c r="AC750" s="366"/>
      <c r="AD750" s="366"/>
      <c r="AE750" s="366"/>
      <c r="AF750" s="366"/>
      <c r="AG750" s="366"/>
      <c r="AH750" s="366"/>
      <c r="AI750" s="366"/>
      <c r="AJ750" s="366"/>
      <c r="AK750" s="366"/>
      <c r="AL750" s="366"/>
      <c r="AM750" s="366"/>
      <c r="AN750" s="366"/>
      <c r="AO750" s="349"/>
      <c r="AP750" s="349"/>
      <c r="AQ750" s="349"/>
      <c r="AR750" s="349"/>
      <c r="AS750" s="349"/>
      <c r="AT750" s="349"/>
      <c r="AU750" s="349"/>
      <c r="AV750" s="349"/>
      <c r="AW750" s="349"/>
      <c r="AX750" s="349"/>
    </row>
    <row r="751" ht="15.75" customHeight="1">
      <c r="A751" s="299" t="s">
        <v>2456</v>
      </c>
      <c r="B751" s="300" t="s">
        <v>7207</v>
      </c>
      <c r="C751" s="190" t="s">
        <v>7211</v>
      </c>
      <c r="D751" s="190" t="s">
        <v>7212</v>
      </c>
      <c r="E751" s="190" t="s">
        <v>7213</v>
      </c>
      <c r="F751" s="190"/>
      <c r="G751" s="293"/>
      <c r="H751" s="293"/>
      <c r="I751" s="356"/>
      <c r="J751" s="355"/>
      <c r="K751" s="356"/>
      <c r="L751" s="356"/>
      <c r="M751" s="356"/>
      <c r="N751" s="356"/>
      <c r="O751" s="356"/>
      <c r="P751" s="291"/>
      <c r="Q751" s="291" t="s">
        <v>307</v>
      </c>
      <c r="R751" s="356"/>
      <c r="S751" s="356"/>
      <c r="T751" s="356"/>
      <c r="U751" s="356"/>
      <c r="V751" s="356"/>
      <c r="W751" s="356"/>
      <c r="X751" s="356"/>
      <c r="Y751" s="356"/>
      <c r="Z751" s="356"/>
      <c r="AA751" s="356"/>
      <c r="AB751" s="356"/>
      <c r="AC751" s="356"/>
      <c r="AD751" s="356"/>
      <c r="AE751" s="356"/>
      <c r="AF751" s="356"/>
      <c r="AG751" s="356"/>
      <c r="AH751" s="356"/>
      <c r="AI751" s="356"/>
      <c r="AJ751" s="356"/>
      <c r="AK751" s="356"/>
      <c r="AL751" s="356"/>
      <c r="AM751" s="356"/>
      <c r="AN751" s="356"/>
      <c r="AO751" s="349"/>
      <c r="AP751" s="349"/>
      <c r="AQ751" s="349"/>
      <c r="AR751" s="349"/>
      <c r="AS751" s="349"/>
      <c r="AT751" s="349"/>
      <c r="AU751" s="349"/>
      <c r="AV751" s="349"/>
      <c r="AW751" s="349"/>
      <c r="AX751" s="349"/>
    </row>
    <row r="752" ht="15.75" customHeight="1">
      <c r="A752" s="306" t="s">
        <v>247</v>
      </c>
      <c r="B752" s="307" t="s">
        <v>7215</v>
      </c>
      <c r="C752" s="190" t="s">
        <v>7220</v>
      </c>
      <c r="D752" s="190" t="s">
        <v>7221</v>
      </c>
      <c r="E752" s="190" t="s">
        <v>7222</v>
      </c>
      <c r="F752" s="190"/>
      <c r="G752" s="293"/>
      <c r="H752" s="293"/>
      <c r="I752" s="359"/>
      <c r="J752" s="359"/>
      <c r="K752" s="360" t="s">
        <v>4159</v>
      </c>
      <c r="L752" s="369"/>
      <c r="M752" s="359"/>
      <c r="N752" s="359"/>
      <c r="O752" s="361" t="s">
        <v>8153</v>
      </c>
      <c r="P752" s="291"/>
      <c r="Q752" s="361" t="s">
        <v>307</v>
      </c>
      <c r="R752" s="359"/>
      <c r="S752" s="359"/>
      <c r="T752" s="359"/>
      <c r="U752" s="359"/>
      <c r="V752" s="359"/>
      <c r="W752" s="359"/>
      <c r="X752" s="359"/>
      <c r="Y752" s="359"/>
      <c r="Z752" s="359"/>
      <c r="AA752" s="359"/>
      <c r="AB752" s="359"/>
      <c r="AC752" s="359"/>
      <c r="AD752" s="359"/>
      <c r="AE752" s="359"/>
      <c r="AF752" s="359"/>
      <c r="AG752" s="359"/>
      <c r="AH752" s="359"/>
      <c r="AI752" s="359"/>
      <c r="AJ752" s="359"/>
      <c r="AK752" s="359"/>
      <c r="AL752" s="359"/>
      <c r="AM752" s="359"/>
      <c r="AN752" s="359"/>
      <c r="AO752" s="349"/>
      <c r="AP752" s="349"/>
      <c r="AQ752" s="349"/>
      <c r="AR752" s="349"/>
      <c r="AS752" s="349"/>
      <c r="AT752" s="349"/>
      <c r="AU752" s="349"/>
      <c r="AV752" s="349"/>
      <c r="AW752" s="349"/>
      <c r="AX752" s="349"/>
    </row>
    <row r="753" ht="15.75" customHeight="1">
      <c r="A753" s="299" t="s">
        <v>7001</v>
      </c>
      <c r="B753" s="300" t="s">
        <v>7223</v>
      </c>
      <c r="C753" s="190" t="s">
        <v>7228</v>
      </c>
      <c r="D753" s="190" t="s">
        <v>7229</v>
      </c>
      <c r="E753" s="190" t="s">
        <v>7230</v>
      </c>
      <c r="F753" s="190" t="s">
        <v>3364</v>
      </c>
      <c r="G753" s="293" t="s">
        <v>6226</v>
      </c>
      <c r="H753" s="293" t="s">
        <v>3366</v>
      </c>
      <c r="I753" s="356"/>
      <c r="J753" s="355"/>
      <c r="K753" s="356"/>
      <c r="L753" s="356"/>
      <c r="M753" s="356"/>
      <c r="N753" s="356"/>
      <c r="O753" s="299" t="s">
        <v>8153</v>
      </c>
      <c r="P753" s="291"/>
      <c r="Q753" s="291" t="s">
        <v>307</v>
      </c>
      <c r="R753" s="356"/>
      <c r="S753" s="356"/>
      <c r="T753" s="356"/>
      <c r="U753" s="356"/>
      <c r="V753" s="356"/>
      <c r="W753" s="356"/>
      <c r="X753" s="356"/>
      <c r="Y753" s="149" t="s">
        <v>1448</v>
      </c>
      <c r="Z753" s="356"/>
      <c r="AA753" s="356"/>
      <c r="AB753" s="356"/>
      <c r="AC753" s="356"/>
      <c r="AD753" s="356"/>
      <c r="AE753" s="356"/>
      <c r="AF753" s="356"/>
      <c r="AG753" s="356"/>
      <c r="AH753" s="356"/>
      <c r="AI753" s="356"/>
      <c r="AJ753" s="356"/>
      <c r="AK753" s="356"/>
      <c r="AL753" s="356"/>
      <c r="AM753" s="356"/>
      <c r="AN753" s="356"/>
      <c r="AO753" s="349"/>
      <c r="AP753" s="349"/>
      <c r="AQ753" s="349"/>
      <c r="AR753" s="349"/>
      <c r="AS753" s="349"/>
      <c r="AT753" s="349"/>
      <c r="AU753" s="349"/>
      <c r="AV753" s="349"/>
      <c r="AW753" s="349"/>
      <c r="AX753" s="349"/>
    </row>
    <row r="754" ht="15.75" customHeight="1">
      <c r="A754" s="301" t="s">
        <v>220</v>
      </c>
      <c r="B754" s="302" t="s">
        <v>7231</v>
      </c>
      <c r="C754" s="190" t="s">
        <v>7235</v>
      </c>
      <c r="D754" s="190" t="s">
        <v>7236</v>
      </c>
      <c r="E754" s="190" t="s">
        <v>7237</v>
      </c>
      <c r="F754" s="190"/>
      <c r="G754" s="293"/>
      <c r="H754" s="293"/>
      <c r="I754" s="366"/>
      <c r="J754" s="367"/>
      <c r="K754" s="366"/>
      <c r="L754" s="366"/>
      <c r="M754" s="366"/>
      <c r="N754" s="366"/>
      <c r="O754" s="368" t="s">
        <v>8154</v>
      </c>
      <c r="P754" s="291"/>
      <c r="Q754" s="368" t="s">
        <v>307</v>
      </c>
      <c r="R754" s="366"/>
      <c r="S754" s="366"/>
      <c r="T754" s="366"/>
      <c r="U754" s="366"/>
      <c r="V754" s="366"/>
      <c r="W754" s="366"/>
      <c r="X754" s="366"/>
      <c r="Y754" s="366"/>
      <c r="Z754" s="366"/>
      <c r="AA754" s="366"/>
      <c r="AB754" s="366"/>
      <c r="AC754" s="366"/>
      <c r="AD754" s="366"/>
      <c r="AE754" s="366"/>
      <c r="AF754" s="366"/>
      <c r="AG754" s="366"/>
      <c r="AH754" s="366"/>
      <c r="AI754" s="366"/>
      <c r="AJ754" s="366"/>
      <c r="AK754" s="366"/>
      <c r="AL754" s="366"/>
      <c r="AM754" s="366"/>
      <c r="AN754" s="366"/>
      <c r="AO754" s="349"/>
      <c r="AP754" s="349"/>
      <c r="AQ754" s="349"/>
      <c r="AR754" s="349"/>
      <c r="AS754" s="349"/>
      <c r="AT754" s="349"/>
      <c r="AU754" s="349"/>
      <c r="AV754" s="349"/>
      <c r="AW754" s="349"/>
      <c r="AX754" s="349"/>
    </row>
    <row r="755" ht="15.75" customHeight="1">
      <c r="A755" s="299" t="s">
        <v>2456</v>
      </c>
      <c r="B755" s="300" t="s">
        <v>7238</v>
      </c>
      <c r="C755" s="190" t="s">
        <v>7243</v>
      </c>
      <c r="D755" s="190" t="s">
        <v>7244</v>
      </c>
      <c r="E755" s="190" t="s">
        <v>7245</v>
      </c>
      <c r="F755" s="190"/>
      <c r="G755" s="293"/>
      <c r="H755" s="293"/>
      <c r="I755" s="356"/>
      <c r="J755" s="355"/>
      <c r="K755" s="356"/>
      <c r="L755" s="356"/>
      <c r="M755" s="356"/>
      <c r="N755" s="356"/>
      <c r="O755" s="356"/>
      <c r="P755" s="291"/>
      <c r="Q755" s="291" t="s">
        <v>307</v>
      </c>
      <c r="R755" s="356"/>
      <c r="S755" s="356"/>
      <c r="T755" s="356"/>
      <c r="U755" s="356"/>
      <c r="V755" s="356"/>
      <c r="W755" s="356"/>
      <c r="X755" s="356"/>
      <c r="Y755" s="356"/>
      <c r="Z755" s="356"/>
      <c r="AA755" s="356"/>
      <c r="AB755" s="356"/>
      <c r="AC755" s="356"/>
      <c r="AD755" s="356"/>
      <c r="AE755" s="356"/>
      <c r="AF755" s="356"/>
      <c r="AG755" s="356"/>
      <c r="AH755" s="356"/>
      <c r="AI755" s="356"/>
      <c r="AJ755" s="356"/>
      <c r="AK755" s="356"/>
      <c r="AL755" s="356"/>
      <c r="AM755" s="356"/>
      <c r="AN755" s="356"/>
      <c r="AO755" s="349"/>
      <c r="AP755" s="349"/>
      <c r="AQ755" s="349"/>
      <c r="AR755" s="349"/>
      <c r="AS755" s="349"/>
      <c r="AT755" s="349"/>
      <c r="AU755" s="349"/>
      <c r="AV755" s="349"/>
      <c r="AW755" s="349"/>
      <c r="AX755" s="349"/>
    </row>
    <row r="756" ht="15.75" customHeight="1">
      <c r="A756" s="306" t="s">
        <v>247</v>
      </c>
      <c r="B756" s="307" t="s">
        <v>7246</v>
      </c>
      <c r="C756" s="190" t="s">
        <v>7250</v>
      </c>
      <c r="D756" s="190" t="s">
        <v>7251</v>
      </c>
      <c r="E756" s="190" t="s">
        <v>7252</v>
      </c>
      <c r="F756" s="190"/>
      <c r="G756" s="293"/>
      <c r="H756" s="293"/>
      <c r="I756" s="359"/>
      <c r="J756" s="359"/>
      <c r="K756" s="360" t="s">
        <v>4159</v>
      </c>
      <c r="L756" s="369"/>
      <c r="M756" s="359"/>
      <c r="N756" s="359"/>
      <c r="O756" s="361" t="s">
        <v>8155</v>
      </c>
      <c r="P756" s="291"/>
      <c r="Q756" s="361" t="s">
        <v>307</v>
      </c>
      <c r="R756" s="359"/>
      <c r="S756" s="359"/>
      <c r="T756" s="359"/>
      <c r="U756" s="359"/>
      <c r="V756" s="359"/>
      <c r="W756" s="359"/>
      <c r="X756" s="359"/>
      <c r="Y756" s="359"/>
      <c r="Z756" s="359"/>
      <c r="AA756" s="359"/>
      <c r="AB756" s="359"/>
      <c r="AC756" s="359"/>
      <c r="AD756" s="359"/>
      <c r="AE756" s="359"/>
      <c r="AF756" s="359"/>
      <c r="AG756" s="359"/>
      <c r="AH756" s="359"/>
      <c r="AI756" s="359"/>
      <c r="AJ756" s="359"/>
      <c r="AK756" s="359"/>
      <c r="AL756" s="359"/>
      <c r="AM756" s="359"/>
      <c r="AN756" s="359"/>
      <c r="AO756" s="349"/>
      <c r="AP756" s="349"/>
      <c r="AQ756" s="349"/>
      <c r="AR756" s="349"/>
      <c r="AS756" s="349"/>
      <c r="AT756" s="349"/>
      <c r="AU756" s="349"/>
      <c r="AV756" s="349"/>
      <c r="AW756" s="349"/>
      <c r="AX756" s="349"/>
    </row>
    <row r="757" ht="15.75" customHeight="1">
      <c r="A757" s="299" t="s">
        <v>7079</v>
      </c>
      <c r="B757" s="300" t="s">
        <v>7253</v>
      </c>
      <c r="C757" s="190" t="s">
        <v>7257</v>
      </c>
      <c r="D757" s="190" t="s">
        <v>7258</v>
      </c>
      <c r="E757" s="190" t="s">
        <v>7259</v>
      </c>
      <c r="F757" s="190" t="s">
        <v>3364</v>
      </c>
      <c r="G757" s="293" t="s">
        <v>6226</v>
      </c>
      <c r="H757" s="293" t="s">
        <v>3366</v>
      </c>
      <c r="I757" s="356"/>
      <c r="J757" s="355"/>
      <c r="K757" s="356"/>
      <c r="L757" s="356"/>
      <c r="M757" s="356"/>
      <c r="N757" s="356"/>
      <c r="O757" s="299" t="s">
        <v>8155</v>
      </c>
      <c r="P757" s="291"/>
      <c r="Q757" s="291" t="s">
        <v>307</v>
      </c>
      <c r="R757" s="356"/>
      <c r="S757" s="356"/>
      <c r="T757" s="356"/>
      <c r="U757" s="356"/>
      <c r="V757" s="356"/>
      <c r="W757" s="356"/>
      <c r="X757" s="356"/>
      <c r="Y757" s="356"/>
      <c r="Z757" s="356"/>
      <c r="AA757" s="356"/>
      <c r="AB757" s="356"/>
      <c r="AC757" s="356"/>
      <c r="AD757" s="356"/>
      <c r="AE757" s="356"/>
      <c r="AF757" s="356"/>
      <c r="AG757" s="356"/>
      <c r="AH757" s="356"/>
      <c r="AI757" s="356"/>
      <c r="AJ757" s="356"/>
      <c r="AK757" s="356"/>
      <c r="AL757" s="356"/>
      <c r="AM757" s="356"/>
      <c r="AN757" s="356"/>
      <c r="AO757" s="349"/>
      <c r="AP757" s="349"/>
      <c r="AQ757" s="349"/>
      <c r="AR757" s="349"/>
      <c r="AS757" s="349"/>
      <c r="AT757" s="349"/>
      <c r="AU757" s="349"/>
      <c r="AV757" s="349"/>
      <c r="AW757" s="349"/>
      <c r="AX757" s="349"/>
    </row>
    <row r="758" ht="15.75" customHeight="1">
      <c r="A758" s="301" t="s">
        <v>220</v>
      </c>
      <c r="B758" s="302" t="s">
        <v>7260</v>
      </c>
      <c r="C758" s="190" t="s">
        <v>7265</v>
      </c>
      <c r="D758" s="190" t="s">
        <v>7266</v>
      </c>
      <c r="E758" s="190" t="s">
        <v>7267</v>
      </c>
      <c r="F758" s="190"/>
      <c r="G758" s="293"/>
      <c r="H758" s="293"/>
      <c r="I758" s="366"/>
      <c r="J758" s="367"/>
      <c r="K758" s="366"/>
      <c r="L758" s="366"/>
      <c r="M758" s="366"/>
      <c r="N758" s="366"/>
      <c r="O758" s="301" t="s">
        <v>8156</v>
      </c>
      <c r="P758" s="291"/>
      <c r="Q758" s="368" t="s">
        <v>307</v>
      </c>
      <c r="R758" s="366"/>
      <c r="S758" s="366"/>
      <c r="T758" s="366"/>
      <c r="U758" s="366"/>
      <c r="V758" s="366"/>
      <c r="W758" s="366"/>
      <c r="X758" s="366"/>
      <c r="Y758" s="366"/>
      <c r="Z758" s="366"/>
      <c r="AA758" s="366"/>
      <c r="AB758" s="366"/>
      <c r="AC758" s="366"/>
      <c r="AD758" s="366"/>
      <c r="AE758" s="366"/>
      <c r="AF758" s="366"/>
      <c r="AG758" s="366"/>
      <c r="AH758" s="366"/>
      <c r="AI758" s="366"/>
      <c r="AJ758" s="366"/>
      <c r="AK758" s="366"/>
      <c r="AL758" s="366"/>
      <c r="AM758" s="366"/>
      <c r="AN758" s="366"/>
      <c r="AO758" s="349"/>
      <c r="AP758" s="349"/>
      <c r="AQ758" s="349"/>
      <c r="AR758" s="349"/>
      <c r="AS758" s="349"/>
      <c r="AT758" s="349"/>
      <c r="AU758" s="349"/>
      <c r="AV758" s="349"/>
      <c r="AW758" s="349"/>
      <c r="AX758" s="349"/>
    </row>
    <row r="759" ht="15.75" customHeight="1">
      <c r="A759" s="299" t="s">
        <v>7268</v>
      </c>
      <c r="B759" s="300" t="s">
        <v>7269</v>
      </c>
      <c r="C759" s="190" t="s">
        <v>7273</v>
      </c>
      <c r="D759" s="190" t="s">
        <v>7274</v>
      </c>
      <c r="E759" s="190" t="s">
        <v>7275</v>
      </c>
      <c r="F759" s="190" t="s">
        <v>8157</v>
      </c>
      <c r="G759" s="293" t="s">
        <v>8158</v>
      </c>
      <c r="H759" s="293" t="s">
        <v>8159</v>
      </c>
      <c r="I759" s="356"/>
      <c r="J759" s="355"/>
      <c r="K759" s="291" t="s">
        <v>4890</v>
      </c>
      <c r="L759" s="356"/>
      <c r="M759" s="356"/>
      <c r="N759" s="356"/>
      <c r="O759" s="356"/>
      <c r="P759" s="291"/>
      <c r="Q759" s="291" t="s">
        <v>307</v>
      </c>
      <c r="R759" s="356"/>
      <c r="S759" s="356"/>
      <c r="T759" s="392"/>
      <c r="U759" s="356"/>
      <c r="V759" s="356"/>
      <c r="W759" s="356"/>
      <c r="X759" s="356"/>
      <c r="Y759" s="356"/>
      <c r="Z759" s="356"/>
      <c r="AA759" s="356"/>
      <c r="AB759" s="356"/>
      <c r="AC759" s="356"/>
      <c r="AD759" s="349"/>
      <c r="AE759" s="349"/>
      <c r="AF759" s="349"/>
      <c r="AG759" s="349"/>
      <c r="AH759" s="349"/>
      <c r="AI759" s="349"/>
      <c r="AJ759" s="349"/>
      <c r="AK759" s="349"/>
      <c r="AL759" s="354"/>
      <c r="AM759" s="354"/>
      <c r="AN759" s="354"/>
      <c r="AO759" s="349"/>
      <c r="AP759" s="349"/>
      <c r="AQ759" s="349"/>
      <c r="AR759" s="349"/>
      <c r="AS759" s="349"/>
      <c r="AT759" s="349"/>
      <c r="AU759" s="349"/>
      <c r="AV759" s="349"/>
      <c r="AW759" s="349"/>
      <c r="AX759" s="349"/>
    </row>
    <row r="760" ht="15.75" customHeight="1">
      <c r="A760" s="306" t="s">
        <v>247</v>
      </c>
      <c r="B760" s="307" t="s">
        <v>7276</v>
      </c>
      <c r="C760" s="190" t="s">
        <v>7281</v>
      </c>
      <c r="D760" s="190" t="s">
        <v>7282</v>
      </c>
      <c r="E760" s="190" t="s">
        <v>7283</v>
      </c>
      <c r="F760" s="190"/>
      <c r="G760" s="293"/>
      <c r="H760" s="293"/>
      <c r="I760" s="359"/>
      <c r="J760" s="359"/>
      <c r="K760" s="361" t="s">
        <v>3195</v>
      </c>
      <c r="L760" s="369"/>
      <c r="M760" s="359"/>
      <c r="N760" s="359"/>
      <c r="O760" s="433" t="s">
        <v>8160</v>
      </c>
      <c r="P760" s="291"/>
      <c r="Q760" s="359"/>
      <c r="R760" s="359"/>
      <c r="S760" s="359"/>
      <c r="T760" s="359"/>
      <c r="U760" s="359"/>
      <c r="V760" s="359"/>
      <c r="W760" s="359"/>
      <c r="X760" s="359"/>
      <c r="Y760" s="359"/>
      <c r="Z760" s="359"/>
      <c r="AA760" s="359"/>
      <c r="AB760" s="359"/>
      <c r="AC760" s="359"/>
      <c r="AD760" s="349"/>
      <c r="AE760" s="349"/>
      <c r="AF760" s="349"/>
      <c r="AG760" s="349"/>
      <c r="AH760" s="349"/>
      <c r="AI760" s="349"/>
      <c r="AJ760" s="349"/>
      <c r="AK760" s="349"/>
      <c r="AL760" s="354"/>
      <c r="AM760" s="354"/>
      <c r="AN760" s="354"/>
      <c r="AO760" s="349"/>
      <c r="AP760" s="349"/>
      <c r="AQ760" s="349"/>
      <c r="AR760" s="349"/>
      <c r="AS760" s="349"/>
      <c r="AT760" s="349"/>
      <c r="AU760" s="349"/>
      <c r="AV760" s="349"/>
      <c r="AW760" s="349"/>
      <c r="AX760" s="349"/>
    </row>
    <row r="761" ht="15.75" customHeight="1">
      <c r="A761" s="306" t="s">
        <v>247</v>
      </c>
      <c r="B761" s="307" t="s">
        <v>7284</v>
      </c>
      <c r="C761" s="190" t="s">
        <v>7288</v>
      </c>
      <c r="D761" s="190" t="s">
        <v>7289</v>
      </c>
      <c r="E761" s="190" t="s">
        <v>7290</v>
      </c>
      <c r="F761" s="190" t="s">
        <v>8161</v>
      </c>
      <c r="G761" s="293" t="s">
        <v>8162</v>
      </c>
      <c r="H761" s="293" t="s">
        <v>8163</v>
      </c>
      <c r="I761" s="291"/>
      <c r="J761" s="359"/>
      <c r="K761" s="369"/>
      <c r="L761" s="369"/>
      <c r="M761" s="359"/>
      <c r="N761" s="359"/>
      <c r="O761" s="391"/>
      <c r="P761" s="291"/>
      <c r="Q761" s="361" t="s">
        <v>307</v>
      </c>
      <c r="R761" s="359"/>
      <c r="S761" s="359"/>
      <c r="T761" s="359"/>
      <c r="U761" s="359"/>
      <c r="V761" s="359"/>
      <c r="W761" s="359"/>
      <c r="X761" s="359"/>
      <c r="Y761" s="359"/>
      <c r="Z761" s="359"/>
      <c r="AA761" s="359"/>
      <c r="AB761" s="359"/>
      <c r="AC761" s="359"/>
      <c r="AD761" s="349"/>
      <c r="AE761" s="349"/>
      <c r="AF761" s="349"/>
      <c r="AG761" s="349"/>
      <c r="AH761" s="349"/>
      <c r="AI761" s="349"/>
      <c r="AJ761" s="349"/>
      <c r="AK761" s="349"/>
      <c r="AL761" s="354"/>
      <c r="AM761" s="354"/>
      <c r="AN761" s="354"/>
      <c r="AO761" s="349"/>
      <c r="AP761" s="349"/>
      <c r="AQ761" s="349"/>
      <c r="AR761" s="349"/>
      <c r="AS761" s="349"/>
      <c r="AT761" s="349"/>
      <c r="AU761" s="349"/>
      <c r="AV761" s="349"/>
      <c r="AW761" s="349"/>
      <c r="AX761" s="349"/>
    </row>
    <row r="762" ht="15.75" customHeight="1">
      <c r="A762" s="221" t="s">
        <v>256</v>
      </c>
      <c r="B762" s="198" t="s">
        <v>7291</v>
      </c>
      <c r="C762" s="190"/>
      <c r="D762" s="190"/>
      <c r="E762" s="190"/>
      <c r="F762" s="190"/>
      <c r="G762" s="348"/>
      <c r="H762" s="348"/>
      <c r="I762" s="348"/>
      <c r="J762" s="348"/>
      <c r="K762" s="348"/>
      <c r="L762" s="348"/>
      <c r="M762" s="348"/>
      <c r="N762" s="348"/>
      <c r="O762" s="308"/>
      <c r="P762" s="291"/>
      <c r="Q762" s="348"/>
      <c r="R762" s="348"/>
      <c r="S762" s="348"/>
      <c r="T762" s="335" t="s">
        <v>260</v>
      </c>
      <c r="U762" s="348"/>
      <c r="V762" s="348"/>
      <c r="W762" s="348"/>
      <c r="X762" s="348"/>
      <c r="Y762" s="348"/>
      <c r="Z762" s="348"/>
      <c r="AA762" s="348"/>
      <c r="AB762" s="348"/>
      <c r="AC762" s="348"/>
      <c r="AD762" s="349"/>
      <c r="AE762" s="349"/>
      <c r="AF762" s="349"/>
      <c r="AG762" s="349"/>
      <c r="AH762" s="349"/>
      <c r="AI762" s="349"/>
      <c r="AJ762" s="349"/>
      <c r="AK762" s="349"/>
      <c r="AL762" s="349"/>
      <c r="AM762" s="349"/>
      <c r="AN762" s="349"/>
      <c r="AO762" s="349"/>
      <c r="AP762" s="349"/>
      <c r="AQ762" s="349"/>
      <c r="AR762" s="349"/>
      <c r="AS762" s="349"/>
      <c r="AT762" s="349"/>
      <c r="AU762" s="349"/>
      <c r="AV762" s="349"/>
      <c r="AW762" s="349"/>
      <c r="AX762" s="349"/>
    </row>
    <row r="763" ht="15.75" customHeight="1">
      <c r="A763" s="221" t="s">
        <v>112</v>
      </c>
      <c r="B763" s="198" t="s">
        <v>7292</v>
      </c>
      <c r="C763" s="190"/>
      <c r="D763" s="190"/>
      <c r="E763" s="190"/>
      <c r="F763" s="190"/>
      <c r="G763" s="348"/>
      <c r="H763" s="348"/>
      <c r="I763" s="348"/>
      <c r="J763" s="348"/>
      <c r="K763" s="348"/>
      <c r="L763" s="348"/>
      <c r="M763" s="348"/>
      <c r="N763" s="348"/>
      <c r="O763" s="348"/>
      <c r="P763" s="291"/>
      <c r="Q763" s="348"/>
      <c r="R763" s="348"/>
      <c r="S763" s="348"/>
      <c r="T763" s="335" t="s">
        <v>8164</v>
      </c>
      <c r="U763" s="308"/>
      <c r="V763" s="348"/>
      <c r="W763" s="348"/>
      <c r="X763" s="348"/>
      <c r="Y763" s="348"/>
      <c r="Z763" s="348"/>
      <c r="AA763" s="348"/>
      <c r="AB763" s="348"/>
      <c r="AC763" s="348"/>
      <c r="AD763" s="349"/>
      <c r="AE763" s="349"/>
      <c r="AF763" s="349"/>
      <c r="AG763" s="349"/>
      <c r="AH763" s="349"/>
      <c r="AI763" s="349"/>
      <c r="AJ763" s="349"/>
      <c r="AK763" s="349"/>
      <c r="AL763" s="349"/>
      <c r="AM763" s="349"/>
      <c r="AN763" s="349"/>
      <c r="AO763" s="349"/>
      <c r="AP763" s="349"/>
      <c r="AQ763" s="349"/>
      <c r="AR763" s="349"/>
      <c r="AS763" s="349"/>
      <c r="AT763" s="349"/>
      <c r="AU763" s="349"/>
      <c r="AV763" s="349"/>
      <c r="AW763" s="349"/>
      <c r="AX763" s="349"/>
    </row>
    <row r="764" ht="15.75" customHeight="1">
      <c r="A764" s="310" t="s">
        <v>331</v>
      </c>
      <c r="B764" s="315" t="s">
        <v>6995</v>
      </c>
      <c r="C764" s="190" t="s">
        <v>6996</v>
      </c>
      <c r="D764" s="190"/>
      <c r="E764" s="190"/>
      <c r="F764" s="190"/>
      <c r="G764" s="354"/>
      <c r="H764" s="354"/>
      <c r="I764" s="354"/>
      <c r="J764" s="354"/>
      <c r="K764" s="354"/>
      <c r="L764" s="354"/>
      <c r="M764" s="354"/>
      <c r="N764" s="354"/>
      <c r="O764" s="354"/>
      <c r="P764" s="291"/>
      <c r="Q764" s="354"/>
      <c r="R764" s="354"/>
      <c r="S764" s="354"/>
      <c r="T764" s="313"/>
      <c r="U764" s="354"/>
      <c r="V764" s="354"/>
      <c r="W764" s="354"/>
      <c r="X764" s="354"/>
      <c r="Y764" s="354"/>
      <c r="Z764" s="354"/>
      <c r="AA764" s="354"/>
      <c r="AB764" s="354"/>
      <c r="AC764" s="354"/>
      <c r="AD764" s="354"/>
      <c r="AE764" s="354"/>
      <c r="AF764" s="354"/>
      <c r="AG764" s="354"/>
      <c r="AH764" s="354"/>
      <c r="AI764" s="354"/>
      <c r="AJ764" s="354"/>
      <c r="AK764" s="354"/>
      <c r="AL764" s="354"/>
      <c r="AM764" s="354"/>
      <c r="AN764" s="354"/>
      <c r="AO764" s="349"/>
      <c r="AP764" s="349"/>
      <c r="AQ764" s="349"/>
      <c r="AR764" s="349"/>
      <c r="AS764" s="349"/>
      <c r="AT764" s="349"/>
      <c r="AU764" s="349"/>
      <c r="AV764" s="349"/>
      <c r="AW764" s="349"/>
      <c r="AX764" s="349"/>
    </row>
    <row r="765" ht="15.75" customHeight="1">
      <c r="A765" s="221" t="s">
        <v>256</v>
      </c>
      <c r="B765" s="198" t="s">
        <v>7293</v>
      </c>
      <c r="C765" s="190"/>
      <c r="D765" s="190"/>
      <c r="E765" s="190"/>
      <c r="F765" s="190"/>
      <c r="G765" s="348"/>
      <c r="H765" s="348"/>
      <c r="I765" s="348"/>
      <c r="J765" s="348"/>
      <c r="K765" s="348"/>
      <c r="L765" s="348"/>
      <c r="M765" s="348"/>
      <c r="N765" s="348"/>
      <c r="O765" s="348"/>
      <c r="P765" s="291"/>
      <c r="Q765" s="348"/>
      <c r="R765" s="348"/>
      <c r="S765" s="348"/>
      <c r="T765" s="250" t="s">
        <v>260</v>
      </c>
      <c r="U765" s="348"/>
      <c r="V765" s="348"/>
      <c r="W765" s="348"/>
      <c r="X765" s="348"/>
      <c r="Y765" s="348"/>
      <c r="Z765" s="348"/>
      <c r="AA765" s="348"/>
      <c r="AB765" s="348"/>
      <c r="AC765" s="348"/>
      <c r="AD765" s="349"/>
      <c r="AE765" s="349"/>
      <c r="AF765" s="349"/>
      <c r="AG765" s="349"/>
      <c r="AH765" s="349"/>
      <c r="AI765" s="349"/>
      <c r="AJ765" s="349"/>
      <c r="AK765" s="349"/>
      <c r="AL765" s="349"/>
      <c r="AM765" s="349"/>
      <c r="AN765" s="349"/>
      <c r="AO765" s="349"/>
      <c r="AP765" s="349"/>
      <c r="AQ765" s="349"/>
      <c r="AR765" s="349"/>
      <c r="AS765" s="349"/>
      <c r="AT765" s="349"/>
      <c r="AU765" s="349"/>
      <c r="AV765" s="349"/>
      <c r="AW765" s="349"/>
      <c r="AX765" s="349"/>
    </row>
    <row r="766" ht="15.75" customHeight="1">
      <c r="A766" s="310" t="s">
        <v>278</v>
      </c>
      <c r="B766" s="311" t="s">
        <v>7294</v>
      </c>
      <c r="C766" s="190" t="s">
        <v>7295</v>
      </c>
      <c r="D766" s="190" t="s">
        <v>7296</v>
      </c>
      <c r="E766" s="190" t="s">
        <v>7297</v>
      </c>
      <c r="F766" s="190"/>
      <c r="G766" s="354"/>
      <c r="H766" s="354"/>
      <c r="I766" s="354"/>
      <c r="J766" s="337" t="s">
        <v>987</v>
      </c>
      <c r="K766" s="354"/>
      <c r="L766" s="354"/>
      <c r="M766" s="365"/>
      <c r="N766" s="365"/>
      <c r="O766" s="365"/>
      <c r="P766" s="291"/>
      <c r="Q766" s="354"/>
      <c r="R766" s="354"/>
      <c r="S766" s="354"/>
      <c r="T766" s="313"/>
      <c r="U766" s="354"/>
      <c r="V766" s="354"/>
      <c r="W766" s="354"/>
      <c r="X766" s="354"/>
      <c r="Y766" s="354"/>
      <c r="Z766" s="354"/>
      <c r="AA766" s="354"/>
      <c r="AB766" s="354"/>
      <c r="AC766" s="354"/>
      <c r="AD766" s="349"/>
      <c r="AE766" s="349"/>
      <c r="AF766" s="349"/>
      <c r="AG766" s="349"/>
      <c r="AH766" s="349"/>
      <c r="AI766" s="349"/>
      <c r="AJ766" s="349"/>
      <c r="AK766" s="349"/>
      <c r="AL766" s="349"/>
      <c r="AM766" s="349"/>
      <c r="AN766" s="349"/>
      <c r="AO766" s="349"/>
      <c r="AP766" s="349"/>
      <c r="AQ766" s="349"/>
      <c r="AR766" s="349"/>
      <c r="AS766" s="349"/>
      <c r="AT766" s="349"/>
      <c r="AU766" s="349"/>
      <c r="AV766" s="349"/>
      <c r="AW766" s="349"/>
      <c r="AX766" s="349"/>
    </row>
    <row r="767" ht="15.75" customHeight="1">
      <c r="A767" s="299" t="s">
        <v>1060</v>
      </c>
      <c r="B767" s="300" t="s">
        <v>7298</v>
      </c>
      <c r="C767" s="190" t="s">
        <v>7302</v>
      </c>
      <c r="D767" s="190" t="s">
        <v>7303</v>
      </c>
      <c r="E767" s="190" t="s">
        <v>7305</v>
      </c>
      <c r="F767" s="190"/>
      <c r="G767" s="293"/>
      <c r="H767" s="293"/>
      <c r="I767" s="356"/>
      <c r="J767" s="340" t="s">
        <v>5</v>
      </c>
      <c r="K767" s="356"/>
      <c r="L767" s="356"/>
      <c r="M767" s="356"/>
      <c r="N767" s="356"/>
      <c r="O767" s="392"/>
      <c r="P767" s="291"/>
      <c r="Q767" s="356"/>
      <c r="R767" s="356"/>
      <c r="S767" s="356"/>
      <c r="T767" s="356"/>
      <c r="U767" s="356"/>
      <c r="V767" s="356"/>
      <c r="W767" s="356"/>
      <c r="X767" s="356"/>
      <c r="Y767" s="356"/>
      <c r="Z767" s="356"/>
      <c r="AA767" s="356"/>
      <c r="AB767" s="356"/>
      <c r="AC767" s="356"/>
      <c r="AD767" s="349"/>
      <c r="AE767" s="349"/>
      <c r="AF767" s="349"/>
      <c r="AG767" s="349"/>
      <c r="AH767" s="349"/>
      <c r="AI767" s="349"/>
      <c r="AJ767" s="349"/>
      <c r="AK767" s="349"/>
      <c r="AL767" s="356"/>
      <c r="AM767" s="356"/>
      <c r="AN767" s="356"/>
      <c r="AO767" s="349"/>
      <c r="AP767" s="349"/>
      <c r="AQ767" s="349"/>
      <c r="AR767" s="349"/>
      <c r="AS767" s="349"/>
      <c r="AT767" s="349"/>
      <c r="AU767" s="349"/>
      <c r="AV767" s="349"/>
      <c r="AW767" s="349"/>
      <c r="AX767" s="349"/>
    </row>
    <row r="768" ht="15.75" customHeight="1">
      <c r="A768" s="299" t="s">
        <v>1060</v>
      </c>
      <c r="B768" s="300" t="s">
        <v>7306</v>
      </c>
      <c r="C768" s="190" t="s">
        <v>7310</v>
      </c>
      <c r="D768" s="190" t="s">
        <v>7311</v>
      </c>
      <c r="E768" s="190" t="s">
        <v>7312</v>
      </c>
      <c r="F768" s="190"/>
      <c r="G768" s="293"/>
      <c r="H768" s="293"/>
      <c r="I768" s="356"/>
      <c r="J768" s="340" t="s">
        <v>3474</v>
      </c>
      <c r="K768" s="356"/>
      <c r="L768" s="356"/>
      <c r="M768" s="356"/>
      <c r="N768" s="356"/>
      <c r="O768" s="356"/>
      <c r="P768" s="291"/>
      <c r="Q768" s="291" t="s">
        <v>307</v>
      </c>
      <c r="R768" s="356"/>
      <c r="S768" s="356"/>
      <c r="T768" s="356"/>
      <c r="U768" s="356"/>
      <c r="V768" s="356"/>
      <c r="W768" s="356"/>
      <c r="X768" s="356"/>
      <c r="Y768" s="356"/>
      <c r="Z768" s="356"/>
      <c r="AA768" s="356"/>
      <c r="AB768" s="356"/>
      <c r="AC768" s="356"/>
      <c r="AD768" s="349"/>
      <c r="AE768" s="349"/>
      <c r="AF768" s="349"/>
      <c r="AG768" s="349"/>
      <c r="AH768" s="349"/>
      <c r="AI768" s="349"/>
      <c r="AJ768" s="349"/>
      <c r="AK768" s="349"/>
      <c r="AL768" s="356"/>
      <c r="AM768" s="356"/>
      <c r="AN768" s="356"/>
      <c r="AO768" s="349"/>
      <c r="AP768" s="349"/>
      <c r="AQ768" s="349"/>
      <c r="AR768" s="349"/>
      <c r="AS768" s="349"/>
      <c r="AT768" s="349"/>
      <c r="AU768" s="349"/>
      <c r="AV768" s="349"/>
      <c r="AW768" s="349"/>
      <c r="AX768" s="349"/>
    </row>
    <row r="769" ht="15.75" customHeight="1">
      <c r="A769" s="299" t="s">
        <v>1060</v>
      </c>
      <c r="B769" s="300" t="s">
        <v>7313</v>
      </c>
      <c r="C769" s="190" t="s">
        <v>7317</v>
      </c>
      <c r="D769" s="190" t="s">
        <v>7318</v>
      </c>
      <c r="E769" s="190" t="s">
        <v>7319</v>
      </c>
      <c r="F769" s="190"/>
      <c r="G769" s="293"/>
      <c r="H769" s="293"/>
      <c r="I769" s="356"/>
      <c r="J769" s="340" t="s">
        <v>3474</v>
      </c>
      <c r="K769" s="356"/>
      <c r="L769" s="356"/>
      <c r="M769" s="356"/>
      <c r="N769" s="356"/>
      <c r="O769" s="392"/>
      <c r="P769" s="291"/>
      <c r="Q769" s="291" t="s">
        <v>307</v>
      </c>
      <c r="R769" s="356"/>
      <c r="S769" s="356"/>
      <c r="T769" s="356"/>
      <c r="U769" s="356"/>
      <c r="V769" s="356"/>
      <c r="W769" s="356"/>
      <c r="X769" s="356"/>
      <c r="Y769" s="356"/>
      <c r="Z769" s="356"/>
      <c r="AA769" s="356"/>
      <c r="AB769" s="356"/>
      <c r="AC769" s="356"/>
      <c r="AD769" s="349"/>
      <c r="AE769" s="349"/>
      <c r="AF769" s="349"/>
      <c r="AG769" s="349"/>
      <c r="AH769" s="349"/>
      <c r="AI769" s="349"/>
      <c r="AJ769" s="349"/>
      <c r="AK769" s="349"/>
      <c r="AL769" s="356"/>
      <c r="AM769" s="356"/>
      <c r="AN769" s="356"/>
      <c r="AO769" s="349"/>
      <c r="AP769" s="349"/>
      <c r="AQ769" s="349"/>
      <c r="AR769" s="349"/>
      <c r="AS769" s="349"/>
      <c r="AT769" s="349"/>
      <c r="AU769" s="349"/>
      <c r="AV769" s="349"/>
      <c r="AW769" s="349"/>
      <c r="AX769" s="349"/>
    </row>
    <row r="770" ht="15.75" customHeight="1">
      <c r="A770" s="299" t="s">
        <v>1060</v>
      </c>
      <c r="B770" s="300" t="s">
        <v>7320</v>
      </c>
      <c r="C770" s="190" t="s">
        <v>7324</v>
      </c>
      <c r="D770" s="190" t="s">
        <v>7325</v>
      </c>
      <c r="E770" s="190" t="s">
        <v>7326</v>
      </c>
      <c r="F770" s="190"/>
      <c r="G770" s="293"/>
      <c r="H770" s="293"/>
      <c r="I770" s="356"/>
      <c r="J770" s="340" t="s">
        <v>3474</v>
      </c>
      <c r="K770" s="356"/>
      <c r="L770" s="356"/>
      <c r="M770" s="356"/>
      <c r="N770" s="356"/>
      <c r="O770" s="392"/>
      <c r="P770" s="291"/>
      <c r="Q770" s="291" t="s">
        <v>307</v>
      </c>
      <c r="R770" s="356"/>
      <c r="S770" s="356"/>
      <c r="T770" s="356"/>
      <c r="U770" s="356"/>
      <c r="V770" s="356"/>
      <c r="W770" s="356"/>
      <c r="X770" s="356"/>
      <c r="Y770" s="356"/>
      <c r="Z770" s="356"/>
      <c r="AA770" s="356"/>
      <c r="AB770" s="356"/>
      <c r="AC770" s="356"/>
      <c r="AD770" s="349"/>
      <c r="AE770" s="349"/>
      <c r="AF770" s="349"/>
      <c r="AG770" s="349"/>
      <c r="AH770" s="349"/>
      <c r="AI770" s="349"/>
      <c r="AJ770" s="349"/>
      <c r="AK770" s="349"/>
      <c r="AL770" s="356"/>
      <c r="AM770" s="356"/>
      <c r="AN770" s="356"/>
      <c r="AO770" s="349"/>
      <c r="AP770" s="349"/>
      <c r="AQ770" s="349"/>
      <c r="AR770" s="349"/>
      <c r="AS770" s="349"/>
      <c r="AT770" s="349"/>
      <c r="AU770" s="349"/>
      <c r="AV770" s="349"/>
      <c r="AW770" s="349"/>
      <c r="AX770" s="349"/>
    </row>
    <row r="771" ht="15.75" customHeight="1">
      <c r="A771" s="299" t="s">
        <v>1060</v>
      </c>
      <c r="B771" s="300" t="s">
        <v>7327</v>
      </c>
      <c r="C771" s="190" t="s">
        <v>7331</v>
      </c>
      <c r="D771" s="190" t="s">
        <v>7332</v>
      </c>
      <c r="E771" s="190" t="s">
        <v>7333</v>
      </c>
      <c r="F771" s="190"/>
      <c r="G771" s="293"/>
      <c r="H771" s="293"/>
      <c r="I771" s="356"/>
      <c r="J771" s="340" t="s">
        <v>3474</v>
      </c>
      <c r="K771" s="356"/>
      <c r="L771" s="356"/>
      <c r="M771" s="356"/>
      <c r="N771" s="356"/>
      <c r="O771" s="356"/>
      <c r="P771" s="291"/>
      <c r="Q771" s="291" t="s">
        <v>307</v>
      </c>
      <c r="R771" s="356"/>
      <c r="S771" s="356"/>
      <c r="T771" s="392"/>
      <c r="U771" s="356"/>
      <c r="V771" s="356"/>
      <c r="W771" s="356"/>
      <c r="X771" s="356"/>
      <c r="Y771" s="356"/>
      <c r="Z771" s="356"/>
      <c r="AA771" s="356"/>
      <c r="AB771" s="356"/>
      <c r="AC771" s="356"/>
      <c r="AD771" s="349"/>
      <c r="AE771" s="349"/>
      <c r="AF771" s="349"/>
      <c r="AG771" s="349"/>
      <c r="AH771" s="349"/>
      <c r="AI771" s="349"/>
      <c r="AJ771" s="349"/>
      <c r="AK771" s="349"/>
      <c r="AL771" s="356"/>
      <c r="AM771" s="356"/>
      <c r="AN771" s="356"/>
      <c r="AO771" s="349"/>
      <c r="AP771" s="349"/>
      <c r="AQ771" s="349"/>
      <c r="AR771" s="349"/>
      <c r="AS771" s="349"/>
      <c r="AT771" s="349"/>
      <c r="AU771" s="349"/>
      <c r="AV771" s="349"/>
      <c r="AW771" s="349"/>
      <c r="AX771" s="349"/>
    </row>
    <row r="772" ht="15.75" customHeight="1">
      <c r="A772" s="299" t="s">
        <v>1060</v>
      </c>
      <c r="B772" s="300" t="s">
        <v>7334</v>
      </c>
      <c r="C772" s="190" t="s">
        <v>7338</v>
      </c>
      <c r="D772" s="190" t="s">
        <v>7339</v>
      </c>
      <c r="E772" s="190" t="s">
        <v>7340</v>
      </c>
      <c r="F772" s="190"/>
      <c r="G772" s="293"/>
      <c r="H772" s="293"/>
      <c r="I772" s="356"/>
      <c r="J772" s="340" t="s">
        <v>3474</v>
      </c>
      <c r="K772" s="356"/>
      <c r="L772" s="356"/>
      <c r="M772" s="356"/>
      <c r="N772" s="356"/>
      <c r="O772" s="392"/>
      <c r="P772" s="291"/>
      <c r="Q772" s="291" t="s">
        <v>307</v>
      </c>
      <c r="R772" s="356"/>
      <c r="S772" s="356"/>
      <c r="T772" s="356"/>
      <c r="U772" s="356"/>
      <c r="V772" s="356"/>
      <c r="W772" s="356"/>
      <c r="X772" s="356"/>
      <c r="Y772" s="356"/>
      <c r="Z772" s="356"/>
      <c r="AA772" s="356"/>
      <c r="AB772" s="356"/>
      <c r="AC772" s="356"/>
      <c r="AD772" s="349"/>
      <c r="AE772" s="349"/>
      <c r="AF772" s="349"/>
      <c r="AG772" s="349"/>
      <c r="AH772" s="349"/>
      <c r="AI772" s="349"/>
      <c r="AJ772" s="349"/>
      <c r="AK772" s="349"/>
      <c r="AL772" s="356"/>
      <c r="AM772" s="356"/>
      <c r="AN772" s="356"/>
      <c r="AO772" s="349"/>
      <c r="AP772" s="349"/>
      <c r="AQ772" s="349"/>
      <c r="AR772" s="349"/>
      <c r="AS772" s="349"/>
      <c r="AT772" s="349"/>
      <c r="AU772" s="349"/>
      <c r="AV772" s="349"/>
      <c r="AW772" s="349"/>
      <c r="AX772" s="349"/>
    </row>
    <row r="773" ht="15.75" customHeight="1">
      <c r="A773" s="310" t="s">
        <v>331</v>
      </c>
      <c r="B773" s="315" t="s">
        <v>7294</v>
      </c>
      <c r="C773" s="190" t="s">
        <v>7295</v>
      </c>
      <c r="D773" s="190" t="s">
        <v>7296</v>
      </c>
      <c r="E773" s="190" t="s">
        <v>7297</v>
      </c>
      <c r="F773" s="190"/>
      <c r="G773" s="354"/>
      <c r="H773" s="354"/>
      <c r="I773" s="354"/>
      <c r="J773" s="354"/>
      <c r="K773" s="354"/>
      <c r="L773" s="354"/>
      <c r="M773" s="354"/>
      <c r="N773" s="354"/>
      <c r="O773" s="354"/>
      <c r="P773" s="291"/>
      <c r="Q773" s="354"/>
      <c r="R773" s="354"/>
      <c r="S773" s="354"/>
      <c r="T773" s="354"/>
      <c r="U773" s="354"/>
      <c r="V773" s="354"/>
      <c r="W773" s="354"/>
      <c r="X773" s="354"/>
      <c r="Y773" s="354"/>
      <c r="Z773" s="354"/>
      <c r="AA773" s="354"/>
      <c r="AB773" s="354"/>
      <c r="AC773" s="354"/>
      <c r="AD773" s="349"/>
      <c r="AE773" s="349"/>
      <c r="AF773" s="349"/>
      <c r="AG773" s="349"/>
      <c r="AH773" s="349"/>
      <c r="AI773" s="349"/>
      <c r="AJ773" s="349"/>
      <c r="AK773" s="349"/>
      <c r="AL773" s="356"/>
      <c r="AM773" s="356"/>
      <c r="AN773" s="356"/>
      <c r="AO773" s="349"/>
      <c r="AP773" s="349"/>
      <c r="AQ773" s="349"/>
      <c r="AR773" s="349"/>
      <c r="AS773" s="349"/>
      <c r="AT773" s="349"/>
      <c r="AU773" s="349"/>
      <c r="AV773" s="349"/>
      <c r="AW773" s="349"/>
      <c r="AX773" s="349"/>
    </row>
    <row r="774" ht="15.75" customHeight="1">
      <c r="A774" s="301" t="s">
        <v>220</v>
      </c>
      <c r="B774" s="302" t="s">
        <v>7341</v>
      </c>
      <c r="C774" s="190" t="s">
        <v>7346</v>
      </c>
      <c r="D774" s="190" t="s">
        <v>7347</v>
      </c>
      <c r="E774" s="190" t="s">
        <v>7348</v>
      </c>
      <c r="F774" s="190"/>
      <c r="G774" s="293"/>
      <c r="H774" s="293"/>
      <c r="I774" s="366"/>
      <c r="J774" s="367"/>
      <c r="K774" s="366"/>
      <c r="L774" s="366"/>
      <c r="M774" s="366"/>
      <c r="N774" s="366"/>
      <c r="O774" s="368" t="s">
        <v>8165</v>
      </c>
      <c r="P774" s="291"/>
      <c r="Q774" s="368" t="s">
        <v>307</v>
      </c>
      <c r="R774" s="366"/>
      <c r="S774" s="366"/>
      <c r="T774" s="366"/>
      <c r="U774" s="422"/>
      <c r="V774" s="366"/>
      <c r="W774" s="366"/>
      <c r="X774" s="366"/>
      <c r="Y774" s="366"/>
      <c r="Z774" s="366"/>
      <c r="AA774" s="366"/>
      <c r="AB774" s="366"/>
      <c r="AC774" s="366"/>
      <c r="AD774" s="349"/>
      <c r="AE774" s="349"/>
      <c r="AF774" s="349"/>
      <c r="AG774" s="349"/>
      <c r="AH774" s="349"/>
      <c r="AI774" s="349"/>
      <c r="AJ774" s="349"/>
      <c r="AK774" s="349"/>
      <c r="AL774" s="356"/>
      <c r="AM774" s="356"/>
      <c r="AN774" s="356"/>
      <c r="AO774" s="349"/>
      <c r="AP774" s="349"/>
      <c r="AQ774" s="349"/>
      <c r="AR774" s="349"/>
      <c r="AS774" s="349"/>
      <c r="AT774" s="349"/>
      <c r="AU774" s="349"/>
      <c r="AV774" s="349"/>
      <c r="AW774" s="349"/>
      <c r="AX774" s="349"/>
    </row>
    <row r="775" ht="15.75" customHeight="1">
      <c r="A775" s="306" t="s">
        <v>247</v>
      </c>
      <c r="B775" s="307" t="s">
        <v>7349</v>
      </c>
      <c r="C775" s="190" t="s">
        <v>7353</v>
      </c>
      <c r="D775" s="190" t="s">
        <v>7354</v>
      </c>
      <c r="E775" s="190" t="s">
        <v>7355</v>
      </c>
      <c r="F775" s="190"/>
      <c r="G775" s="293"/>
      <c r="H775" s="293"/>
      <c r="I775" s="359"/>
      <c r="J775" s="359"/>
      <c r="K775" s="369"/>
      <c r="L775" s="369"/>
      <c r="M775" s="359"/>
      <c r="N775" s="359"/>
      <c r="O775" s="361" t="s">
        <v>8166</v>
      </c>
      <c r="P775" s="291"/>
      <c r="Q775" s="361" t="s">
        <v>307</v>
      </c>
      <c r="R775" s="359"/>
      <c r="S775" s="359"/>
      <c r="T775" s="391"/>
      <c r="U775" s="359"/>
      <c r="V775" s="359"/>
      <c r="W775" s="359"/>
      <c r="X775" s="359"/>
      <c r="Y775" s="359"/>
      <c r="Z775" s="359"/>
      <c r="AA775" s="359"/>
      <c r="AB775" s="359"/>
      <c r="AC775" s="359"/>
      <c r="AD775" s="349"/>
      <c r="AE775" s="349"/>
      <c r="AF775" s="349"/>
      <c r="AG775" s="349"/>
      <c r="AH775" s="349"/>
      <c r="AI775" s="349"/>
      <c r="AJ775" s="349"/>
      <c r="AK775" s="349"/>
      <c r="AL775" s="356"/>
      <c r="AM775" s="356"/>
      <c r="AN775" s="356"/>
      <c r="AO775" s="349"/>
      <c r="AP775" s="349"/>
      <c r="AQ775" s="349"/>
      <c r="AR775" s="349"/>
      <c r="AS775" s="349"/>
      <c r="AT775" s="349"/>
      <c r="AU775" s="349"/>
      <c r="AV775" s="349"/>
      <c r="AW775" s="349"/>
      <c r="AX775" s="349"/>
    </row>
    <row r="776" ht="15.75" customHeight="1">
      <c r="A776" s="299" t="s">
        <v>1060</v>
      </c>
      <c r="B776" s="300" t="s">
        <v>7356</v>
      </c>
      <c r="C776" s="190" t="s">
        <v>7360</v>
      </c>
      <c r="D776" s="190" t="s">
        <v>7361</v>
      </c>
      <c r="E776" s="190" t="s">
        <v>7363</v>
      </c>
      <c r="F776" s="190"/>
      <c r="G776" s="293"/>
      <c r="H776" s="293"/>
      <c r="I776" s="356"/>
      <c r="J776" s="355"/>
      <c r="K776" s="356"/>
      <c r="L776" s="356"/>
      <c r="M776" s="356"/>
      <c r="N776" s="356"/>
      <c r="O776" s="291" t="s">
        <v>8116</v>
      </c>
      <c r="P776" s="291"/>
      <c r="Q776" s="291" t="s">
        <v>307</v>
      </c>
      <c r="R776" s="356"/>
      <c r="S776" s="356"/>
      <c r="T776" s="392"/>
      <c r="U776" s="356"/>
      <c r="V776" s="356"/>
      <c r="W776" s="356"/>
      <c r="X776" s="356"/>
      <c r="Y776" s="356"/>
      <c r="Z776" s="356"/>
      <c r="AA776" s="356"/>
      <c r="AB776" s="356"/>
      <c r="AC776" s="356"/>
      <c r="AD776" s="349"/>
      <c r="AE776" s="349"/>
      <c r="AF776" s="349"/>
      <c r="AG776" s="349"/>
      <c r="AH776" s="349"/>
      <c r="AI776" s="349"/>
      <c r="AJ776" s="349"/>
      <c r="AK776" s="349"/>
      <c r="AL776" s="356"/>
      <c r="AM776" s="356"/>
      <c r="AN776" s="356"/>
      <c r="AO776" s="349"/>
      <c r="AP776" s="349"/>
      <c r="AQ776" s="349"/>
      <c r="AR776" s="349"/>
      <c r="AS776" s="349"/>
      <c r="AT776" s="349"/>
      <c r="AU776" s="349"/>
      <c r="AV776" s="349"/>
      <c r="AW776" s="349"/>
      <c r="AX776" s="349"/>
    </row>
    <row r="777" ht="15.75" customHeight="1">
      <c r="A777" s="301" t="s">
        <v>220</v>
      </c>
      <c r="B777" s="302" t="s">
        <v>7364</v>
      </c>
      <c r="C777" s="190" t="s">
        <v>7368</v>
      </c>
      <c r="D777" s="190" t="s">
        <v>7369</v>
      </c>
      <c r="E777" s="190" t="s">
        <v>7370</v>
      </c>
      <c r="F777" s="190"/>
      <c r="G777" s="293"/>
      <c r="H777" s="293"/>
      <c r="I777" s="366"/>
      <c r="J777" s="367"/>
      <c r="K777" s="366"/>
      <c r="L777" s="366"/>
      <c r="M777" s="366"/>
      <c r="N777" s="366"/>
      <c r="O777" s="368" t="s">
        <v>8167</v>
      </c>
      <c r="P777" s="291"/>
      <c r="Q777" s="368" t="s">
        <v>307</v>
      </c>
      <c r="R777" s="366"/>
      <c r="S777" s="366"/>
      <c r="T777" s="366"/>
      <c r="U777" s="366"/>
      <c r="V777" s="366"/>
      <c r="W777" s="366"/>
      <c r="X777" s="366"/>
      <c r="Y777" s="366"/>
      <c r="Z777" s="366"/>
      <c r="AA777" s="366"/>
      <c r="AB777" s="366"/>
      <c r="AC777" s="366"/>
      <c r="AD777" s="349"/>
      <c r="AE777" s="349"/>
      <c r="AF777" s="349"/>
      <c r="AG777" s="349"/>
      <c r="AH777" s="349"/>
      <c r="AI777" s="349"/>
      <c r="AJ777" s="349"/>
      <c r="AK777" s="349"/>
      <c r="AL777" s="356"/>
      <c r="AM777" s="356"/>
      <c r="AN777" s="356"/>
      <c r="AO777" s="349"/>
      <c r="AP777" s="349"/>
      <c r="AQ777" s="349"/>
      <c r="AR777" s="349"/>
      <c r="AS777" s="349"/>
      <c r="AT777" s="349"/>
      <c r="AU777" s="349"/>
      <c r="AV777" s="349"/>
      <c r="AW777" s="349"/>
      <c r="AX777" s="349"/>
    </row>
    <row r="778" ht="15.75" customHeight="1">
      <c r="A778" s="299" t="s">
        <v>1060</v>
      </c>
      <c r="B778" s="300" t="s">
        <v>7371</v>
      </c>
      <c r="C778" s="190" t="s">
        <v>7375</v>
      </c>
      <c r="D778" s="190" t="s">
        <v>7376</v>
      </c>
      <c r="E778" s="190" t="s">
        <v>7377</v>
      </c>
      <c r="F778" s="190"/>
      <c r="G778" s="293"/>
      <c r="H778" s="293"/>
      <c r="I778" s="356"/>
      <c r="J778" s="355"/>
      <c r="K778" s="356"/>
      <c r="L778" s="356"/>
      <c r="M778" s="356"/>
      <c r="N778" s="356"/>
      <c r="O778" s="392"/>
      <c r="P778" s="291"/>
      <c r="Q778" s="291" t="s">
        <v>307</v>
      </c>
      <c r="R778" s="356"/>
      <c r="S778" s="356"/>
      <c r="T778" s="356"/>
      <c r="U778" s="356"/>
      <c r="V778" s="356"/>
      <c r="W778" s="356"/>
      <c r="X778" s="356"/>
      <c r="Y778" s="356"/>
      <c r="Z778" s="356"/>
      <c r="AA778" s="356"/>
      <c r="AB778" s="356"/>
      <c r="AC778" s="356"/>
      <c r="AD778" s="349"/>
      <c r="AE778" s="349"/>
      <c r="AF778" s="349"/>
      <c r="AG778" s="349"/>
      <c r="AH778" s="349"/>
      <c r="AI778" s="349"/>
      <c r="AJ778" s="349"/>
      <c r="AK778" s="349"/>
      <c r="AL778" s="356"/>
      <c r="AM778" s="356"/>
      <c r="AN778" s="356"/>
      <c r="AO778" s="349"/>
      <c r="AP778" s="349"/>
      <c r="AQ778" s="349"/>
      <c r="AR778" s="349"/>
      <c r="AS778" s="349"/>
      <c r="AT778" s="349"/>
      <c r="AU778" s="349"/>
      <c r="AV778" s="349"/>
      <c r="AW778" s="349"/>
      <c r="AX778" s="349"/>
    </row>
    <row r="779" ht="15.75" customHeight="1">
      <c r="A779" s="301" t="s">
        <v>220</v>
      </c>
      <c r="B779" s="302" t="s">
        <v>7378</v>
      </c>
      <c r="C779" s="190" t="s">
        <v>7382</v>
      </c>
      <c r="D779" s="190" t="s">
        <v>7384</v>
      </c>
      <c r="E779" s="190" t="s">
        <v>7385</v>
      </c>
      <c r="F779" s="190"/>
      <c r="G779" s="293"/>
      <c r="H779" s="293"/>
      <c r="I779" s="366"/>
      <c r="J779" s="367"/>
      <c r="K779" s="366"/>
      <c r="L779" s="366"/>
      <c r="M779" s="366"/>
      <c r="N779" s="366"/>
      <c r="O779" s="301" t="s">
        <v>8168</v>
      </c>
      <c r="P779" s="291"/>
      <c r="Q779" s="368" t="s">
        <v>307</v>
      </c>
      <c r="R779" s="366"/>
      <c r="S779" s="366"/>
      <c r="T779" s="366"/>
      <c r="U779" s="366"/>
      <c r="V779" s="366"/>
      <c r="W779" s="366"/>
      <c r="X779" s="366"/>
      <c r="Y779" s="366"/>
      <c r="Z779" s="366"/>
      <c r="AA779" s="366"/>
      <c r="AB779" s="366"/>
      <c r="AC779" s="366"/>
      <c r="AD779" s="349"/>
      <c r="AE779" s="349"/>
      <c r="AF779" s="349"/>
      <c r="AG779" s="349"/>
      <c r="AH779" s="349"/>
      <c r="AI779" s="349"/>
      <c r="AJ779" s="349"/>
      <c r="AK779" s="349"/>
      <c r="AL779" s="356"/>
      <c r="AM779" s="356"/>
      <c r="AN779" s="356"/>
      <c r="AO779" s="349"/>
      <c r="AP779" s="349"/>
      <c r="AQ779" s="349"/>
      <c r="AR779" s="349"/>
      <c r="AS779" s="349"/>
      <c r="AT779" s="349"/>
      <c r="AU779" s="349"/>
      <c r="AV779" s="349"/>
      <c r="AW779" s="349"/>
      <c r="AX779" s="349"/>
    </row>
    <row r="780" ht="15.75" customHeight="1">
      <c r="A780" s="221" t="s">
        <v>256</v>
      </c>
      <c r="B780" s="198" t="s">
        <v>7386</v>
      </c>
      <c r="C780" s="190"/>
      <c r="D780" s="190"/>
      <c r="E780" s="190"/>
      <c r="F780" s="190"/>
      <c r="G780" s="348"/>
      <c r="H780" s="348"/>
      <c r="I780" s="348"/>
      <c r="J780" s="348"/>
      <c r="K780" s="348"/>
      <c r="L780" s="348"/>
      <c r="M780" s="348"/>
      <c r="N780" s="348"/>
      <c r="O780" s="348"/>
      <c r="P780" s="291"/>
      <c r="Q780" s="348"/>
      <c r="R780" s="348"/>
      <c r="S780" s="348"/>
      <c r="T780" s="250" t="s">
        <v>260</v>
      </c>
      <c r="U780" s="348"/>
      <c r="V780" s="348"/>
      <c r="W780" s="348"/>
      <c r="X780" s="348"/>
      <c r="Y780" s="348"/>
      <c r="Z780" s="348"/>
      <c r="AA780" s="348"/>
      <c r="AB780" s="348"/>
      <c r="AC780" s="348"/>
      <c r="AD780" s="349"/>
      <c r="AE780" s="349"/>
      <c r="AF780" s="349"/>
      <c r="AG780" s="349"/>
      <c r="AH780" s="349"/>
      <c r="AI780" s="349"/>
      <c r="AJ780" s="349"/>
      <c r="AK780" s="349"/>
      <c r="AL780" s="349"/>
      <c r="AM780" s="349"/>
      <c r="AN780" s="349"/>
      <c r="AO780" s="349"/>
      <c r="AP780" s="349"/>
      <c r="AQ780" s="349"/>
      <c r="AR780" s="349"/>
      <c r="AS780" s="349"/>
      <c r="AT780" s="349"/>
      <c r="AU780" s="349"/>
      <c r="AV780" s="349"/>
      <c r="AW780" s="349"/>
      <c r="AX780" s="349"/>
    </row>
    <row r="781" ht="15.75" customHeight="1">
      <c r="A781" s="221" t="s">
        <v>112</v>
      </c>
      <c r="B781" s="198" t="s">
        <v>7387</v>
      </c>
      <c r="C781" s="190"/>
      <c r="D781" s="190"/>
      <c r="E781" s="190"/>
      <c r="F781" s="190"/>
      <c r="G781" s="348"/>
      <c r="H781" s="348"/>
      <c r="I781" s="348"/>
      <c r="J781" s="348"/>
      <c r="K781" s="348"/>
      <c r="L781" s="348"/>
      <c r="M781" s="348"/>
      <c r="N781" s="348"/>
      <c r="O781" s="308"/>
      <c r="P781" s="291"/>
      <c r="Q781" s="348"/>
      <c r="R781" s="348"/>
      <c r="S781" s="348"/>
      <c r="T781" s="250" t="s">
        <v>8169</v>
      </c>
      <c r="U781" s="348"/>
      <c r="V781" s="348"/>
      <c r="W781" s="348"/>
      <c r="X781" s="348"/>
      <c r="Y781" s="348"/>
      <c r="Z781" s="348"/>
      <c r="AA781" s="348"/>
      <c r="AB781" s="348"/>
      <c r="AC781" s="348"/>
      <c r="AD781" s="349"/>
      <c r="AE781" s="349"/>
      <c r="AF781" s="349"/>
      <c r="AG781" s="349"/>
      <c r="AH781" s="349"/>
      <c r="AI781" s="349"/>
      <c r="AJ781" s="349"/>
      <c r="AK781" s="349"/>
      <c r="AL781" s="349"/>
      <c r="AM781" s="349"/>
      <c r="AN781" s="349"/>
      <c r="AO781" s="349"/>
      <c r="AP781" s="349"/>
      <c r="AQ781" s="349"/>
      <c r="AR781" s="349"/>
      <c r="AS781" s="349"/>
      <c r="AT781" s="349"/>
      <c r="AU781" s="349"/>
      <c r="AV781" s="349"/>
      <c r="AW781" s="349"/>
      <c r="AX781" s="349"/>
    </row>
    <row r="782" ht="15.75" customHeight="1">
      <c r="A782" s="221" t="s">
        <v>256</v>
      </c>
      <c r="B782" s="198" t="s">
        <v>7388</v>
      </c>
      <c r="C782" s="190"/>
      <c r="D782" s="190"/>
      <c r="E782" s="190"/>
      <c r="F782" s="190"/>
      <c r="G782" s="348"/>
      <c r="H782" s="348"/>
      <c r="I782" s="348"/>
      <c r="J782" s="348"/>
      <c r="K782" s="348"/>
      <c r="L782" s="348"/>
      <c r="M782" s="348"/>
      <c r="N782" s="348"/>
      <c r="O782" s="308"/>
      <c r="P782" s="291"/>
      <c r="Q782" s="348"/>
      <c r="R782" s="348"/>
      <c r="S782" s="348"/>
      <c r="T782" s="335" t="s">
        <v>260</v>
      </c>
      <c r="U782" s="348"/>
      <c r="V782" s="348"/>
      <c r="W782" s="348"/>
      <c r="X782" s="348"/>
      <c r="Y782" s="348"/>
      <c r="Z782" s="348"/>
      <c r="AA782" s="348"/>
      <c r="AB782" s="348"/>
      <c r="AC782" s="348"/>
      <c r="AD782" s="349"/>
      <c r="AE782" s="349"/>
      <c r="AF782" s="349"/>
      <c r="AG782" s="349"/>
      <c r="AH782" s="349"/>
      <c r="AI782" s="349"/>
      <c r="AJ782" s="349"/>
      <c r="AK782" s="349"/>
      <c r="AL782" s="349"/>
      <c r="AM782" s="349"/>
      <c r="AN782" s="349"/>
      <c r="AO782" s="349"/>
      <c r="AP782" s="349"/>
      <c r="AQ782" s="349"/>
      <c r="AR782" s="349"/>
      <c r="AS782" s="349"/>
      <c r="AT782" s="349"/>
      <c r="AU782" s="349"/>
      <c r="AV782" s="349"/>
      <c r="AW782" s="349"/>
      <c r="AX782" s="349"/>
    </row>
    <row r="783" ht="15.75" customHeight="1">
      <c r="A783" s="297" t="s">
        <v>46</v>
      </c>
      <c r="B783" s="298" t="s">
        <v>7389</v>
      </c>
      <c r="C783" s="190" t="s">
        <v>7393</v>
      </c>
      <c r="D783" s="190" t="s">
        <v>7394</v>
      </c>
      <c r="E783" s="190" t="s">
        <v>7395</v>
      </c>
      <c r="F783" s="190"/>
      <c r="G783" s="293"/>
      <c r="H783" s="293"/>
      <c r="I783" s="351"/>
      <c r="J783" s="351"/>
      <c r="K783" s="351"/>
      <c r="L783" s="351"/>
      <c r="M783" s="351"/>
      <c r="N783" s="351"/>
      <c r="O783" s="351"/>
      <c r="P783" s="291"/>
      <c r="Q783" s="351"/>
      <c r="R783" s="351"/>
      <c r="S783" s="351"/>
      <c r="T783" s="351"/>
      <c r="U783" s="351"/>
      <c r="V783" s="351"/>
      <c r="W783" s="351"/>
      <c r="X783" s="351"/>
      <c r="Y783" s="351"/>
      <c r="Z783" s="351"/>
      <c r="AA783" s="351"/>
      <c r="AB783" s="351"/>
      <c r="AC783" s="351"/>
      <c r="AD783" s="349"/>
      <c r="AE783" s="349"/>
      <c r="AF783" s="349"/>
      <c r="AG783" s="349"/>
      <c r="AH783" s="349"/>
      <c r="AI783" s="349"/>
      <c r="AJ783" s="349"/>
      <c r="AK783" s="349"/>
      <c r="AL783" s="356"/>
      <c r="AM783" s="356"/>
      <c r="AN783" s="356"/>
      <c r="AO783" s="349"/>
      <c r="AP783" s="349"/>
      <c r="AQ783" s="349"/>
      <c r="AR783" s="349"/>
      <c r="AS783" s="349"/>
      <c r="AT783" s="349"/>
      <c r="AU783" s="349"/>
      <c r="AV783" s="349"/>
      <c r="AW783" s="349"/>
      <c r="AX783" s="349"/>
    </row>
    <row r="784" ht="15.75" customHeight="1">
      <c r="A784" s="299" t="s">
        <v>3286</v>
      </c>
      <c r="B784" s="300" t="s">
        <v>7396</v>
      </c>
      <c r="C784" s="190" t="s">
        <v>7400</v>
      </c>
      <c r="D784" s="190" t="s">
        <v>7401</v>
      </c>
      <c r="E784" s="190" t="s">
        <v>7402</v>
      </c>
      <c r="F784" s="190"/>
      <c r="G784" s="293"/>
      <c r="H784" s="293"/>
      <c r="I784" s="356"/>
      <c r="J784" s="355"/>
      <c r="K784" s="291" t="s">
        <v>7694</v>
      </c>
      <c r="L784" s="356"/>
      <c r="M784" s="356"/>
      <c r="N784" s="356"/>
      <c r="O784" s="356"/>
      <c r="P784" s="291"/>
      <c r="Q784" s="291" t="s">
        <v>307</v>
      </c>
      <c r="R784" s="356"/>
      <c r="S784" s="356"/>
      <c r="T784" s="356"/>
      <c r="U784" s="356"/>
      <c r="V784" s="356"/>
      <c r="W784" s="356"/>
      <c r="X784" s="356"/>
      <c r="Y784" s="356"/>
      <c r="Z784" s="356"/>
      <c r="AA784" s="356"/>
      <c r="AB784" s="356"/>
      <c r="AC784" s="356"/>
      <c r="AD784" s="349"/>
      <c r="AE784" s="349"/>
      <c r="AF784" s="349"/>
      <c r="AG784" s="349"/>
      <c r="AH784" s="349"/>
      <c r="AI784" s="349"/>
      <c r="AJ784" s="349"/>
      <c r="AK784" s="349"/>
      <c r="AL784" s="356"/>
      <c r="AM784" s="356"/>
      <c r="AN784" s="356"/>
      <c r="AO784" s="349"/>
      <c r="AP784" s="349"/>
      <c r="AQ784" s="349"/>
      <c r="AR784" s="349"/>
      <c r="AS784" s="349"/>
      <c r="AT784" s="349"/>
      <c r="AU784" s="349"/>
      <c r="AV784" s="349"/>
      <c r="AW784" s="349"/>
      <c r="AX784" s="349"/>
    </row>
    <row r="785" ht="15.75" customHeight="1">
      <c r="A785" s="301" t="s">
        <v>220</v>
      </c>
      <c r="B785" s="302" t="s">
        <v>7403</v>
      </c>
      <c r="C785" s="190" t="s">
        <v>7408</v>
      </c>
      <c r="D785" s="190" t="s">
        <v>7409</v>
      </c>
      <c r="E785" s="190" t="s">
        <v>7410</v>
      </c>
      <c r="F785" s="190"/>
      <c r="G785" s="293"/>
      <c r="H785" s="293"/>
      <c r="I785" s="366"/>
      <c r="J785" s="367"/>
      <c r="K785" s="366"/>
      <c r="L785" s="366"/>
      <c r="M785" s="366"/>
      <c r="N785" s="366"/>
      <c r="O785" s="368" t="s">
        <v>8170</v>
      </c>
      <c r="P785" s="291"/>
      <c r="Q785" s="368" t="s">
        <v>307</v>
      </c>
      <c r="R785" s="366"/>
      <c r="S785" s="366"/>
      <c r="T785" s="366"/>
      <c r="U785" s="366"/>
      <c r="V785" s="366"/>
      <c r="W785" s="366"/>
      <c r="X785" s="366"/>
      <c r="Y785" s="366"/>
      <c r="Z785" s="366"/>
      <c r="AA785" s="366"/>
      <c r="AB785" s="366"/>
      <c r="AC785" s="366"/>
      <c r="AD785" s="349"/>
      <c r="AE785" s="349"/>
      <c r="AF785" s="349"/>
      <c r="AG785" s="349"/>
      <c r="AH785" s="349"/>
      <c r="AI785" s="349"/>
      <c r="AJ785" s="349"/>
      <c r="AK785" s="349"/>
      <c r="AL785" s="356"/>
      <c r="AM785" s="356"/>
      <c r="AN785" s="356"/>
      <c r="AO785" s="349"/>
      <c r="AP785" s="349"/>
      <c r="AQ785" s="349"/>
      <c r="AR785" s="349"/>
      <c r="AS785" s="349"/>
      <c r="AT785" s="349"/>
      <c r="AU785" s="349"/>
      <c r="AV785" s="349"/>
      <c r="AW785" s="349"/>
      <c r="AX785" s="349"/>
    </row>
    <row r="786" ht="15.75" customHeight="1">
      <c r="A786" s="305" t="s">
        <v>385</v>
      </c>
      <c r="B786" s="223" t="s">
        <v>7411</v>
      </c>
      <c r="C786" s="190" t="s">
        <v>3302</v>
      </c>
      <c r="D786" s="190" t="s">
        <v>3303</v>
      </c>
      <c r="E786" s="190" t="s">
        <v>3304</v>
      </c>
      <c r="F786" s="190"/>
      <c r="G786" s="362"/>
      <c r="H786" s="362"/>
      <c r="I786" s="362"/>
      <c r="J786" s="362"/>
      <c r="K786" s="362"/>
      <c r="L786" s="362"/>
      <c r="M786" s="363"/>
      <c r="N786" s="363"/>
      <c r="O786" s="364" t="s">
        <v>8171</v>
      </c>
      <c r="P786" s="291"/>
      <c r="Q786" s="362"/>
      <c r="R786" s="362"/>
      <c r="S786" s="362"/>
      <c r="T786" s="362"/>
      <c r="U786" s="364" t="s">
        <v>8172</v>
      </c>
      <c r="V786" s="362"/>
      <c r="W786" s="362"/>
      <c r="X786" s="362"/>
      <c r="Y786" s="362"/>
      <c r="Z786" s="362"/>
      <c r="AA786" s="362"/>
      <c r="AB786" s="362"/>
      <c r="AC786" s="362"/>
      <c r="AD786" s="349"/>
      <c r="AE786" s="349"/>
      <c r="AF786" s="349"/>
      <c r="AG786" s="349"/>
      <c r="AH786" s="349"/>
      <c r="AI786" s="349"/>
      <c r="AJ786" s="349"/>
      <c r="AK786" s="349"/>
      <c r="AL786" s="356"/>
      <c r="AM786" s="356"/>
      <c r="AN786" s="356"/>
      <c r="AO786" s="349"/>
      <c r="AP786" s="349"/>
      <c r="AQ786" s="349"/>
      <c r="AR786" s="349"/>
      <c r="AS786" s="349"/>
      <c r="AT786" s="349"/>
      <c r="AU786" s="349"/>
      <c r="AV786" s="349"/>
      <c r="AW786" s="349"/>
      <c r="AX786" s="349"/>
    </row>
    <row r="787" ht="15.75" customHeight="1">
      <c r="A787" s="221" t="s">
        <v>112</v>
      </c>
      <c r="B787" s="198" t="s">
        <v>7412</v>
      </c>
      <c r="C787" s="190"/>
      <c r="D787" s="190"/>
      <c r="E787" s="190"/>
      <c r="F787" s="190"/>
      <c r="G787" s="348"/>
      <c r="H787" s="348"/>
      <c r="I787" s="348"/>
      <c r="J787" s="348"/>
      <c r="K787" s="348"/>
      <c r="L787" s="348"/>
      <c r="M787" s="348"/>
      <c r="N787" s="348"/>
      <c r="O787" s="348"/>
      <c r="P787" s="291"/>
      <c r="Q787" s="348"/>
      <c r="R787" s="348"/>
      <c r="S787" s="348"/>
      <c r="T787" s="335" t="s">
        <v>8173</v>
      </c>
      <c r="U787" s="348"/>
      <c r="V787" s="348"/>
      <c r="W787" s="348"/>
      <c r="X787" s="348"/>
      <c r="Y787" s="348"/>
      <c r="Z787" s="348"/>
      <c r="AA787" s="348"/>
      <c r="AB787" s="348"/>
      <c r="AC787" s="348"/>
      <c r="AD787" s="349"/>
      <c r="AE787" s="349"/>
      <c r="AF787" s="349"/>
      <c r="AG787" s="349"/>
      <c r="AH787" s="349"/>
      <c r="AI787" s="349"/>
      <c r="AJ787" s="349"/>
      <c r="AK787" s="349"/>
      <c r="AL787" s="356"/>
      <c r="AM787" s="356"/>
      <c r="AN787" s="356"/>
      <c r="AO787" s="349"/>
      <c r="AP787" s="349"/>
      <c r="AQ787" s="349"/>
      <c r="AR787" s="349"/>
      <c r="AS787" s="349"/>
      <c r="AT787" s="349"/>
      <c r="AU787" s="349"/>
      <c r="AV787" s="349"/>
      <c r="AW787" s="349"/>
      <c r="AX787" s="349"/>
    </row>
    <row r="788" ht="15.75" customHeight="1">
      <c r="A788" s="221" t="s">
        <v>112</v>
      </c>
      <c r="B788" s="198" t="s">
        <v>7413</v>
      </c>
      <c r="C788" s="190" t="s">
        <v>3309</v>
      </c>
      <c r="D788" s="190" t="s">
        <v>3310</v>
      </c>
      <c r="E788" s="190" t="s">
        <v>7414</v>
      </c>
      <c r="F788" s="190"/>
      <c r="G788" s="348"/>
      <c r="H788" s="348"/>
      <c r="I788" s="348"/>
      <c r="J788" s="348"/>
      <c r="K788" s="348"/>
      <c r="L788" s="348"/>
      <c r="M788" s="348"/>
      <c r="N788" s="348"/>
      <c r="O788" s="348"/>
      <c r="P788" s="291"/>
      <c r="Q788" s="348"/>
      <c r="R788" s="348"/>
      <c r="S788" s="348"/>
      <c r="T788" s="335" t="s">
        <v>8174</v>
      </c>
      <c r="U788" s="348"/>
      <c r="V788" s="348"/>
      <c r="W788" s="348"/>
      <c r="X788" s="348"/>
      <c r="Y788" s="348"/>
      <c r="Z788" s="348"/>
      <c r="AA788" s="348"/>
      <c r="AB788" s="348"/>
      <c r="AC788" s="348"/>
      <c r="AD788" s="349"/>
      <c r="AE788" s="349"/>
      <c r="AF788" s="349"/>
      <c r="AG788" s="349"/>
      <c r="AH788" s="349"/>
      <c r="AI788" s="349"/>
      <c r="AJ788" s="349"/>
      <c r="AK788" s="349"/>
      <c r="AL788" s="356"/>
      <c r="AM788" s="356"/>
      <c r="AN788" s="356"/>
      <c r="AO788" s="349"/>
      <c r="AP788" s="349"/>
      <c r="AQ788" s="349"/>
      <c r="AR788" s="349"/>
      <c r="AS788" s="349"/>
      <c r="AT788" s="349"/>
      <c r="AU788" s="349"/>
      <c r="AV788" s="349"/>
      <c r="AW788" s="349"/>
      <c r="AX788" s="349"/>
    </row>
    <row r="789" ht="15.75" customHeight="1">
      <c r="A789" s="306" t="s">
        <v>247</v>
      </c>
      <c r="B789" s="307" t="s">
        <v>7415</v>
      </c>
      <c r="C789" s="190" t="s">
        <v>7420</v>
      </c>
      <c r="D789" s="190" t="s">
        <v>7421</v>
      </c>
      <c r="E789" s="190" t="s">
        <v>7422</v>
      </c>
      <c r="F789" s="190"/>
      <c r="G789" s="293"/>
      <c r="H789" s="293"/>
      <c r="I789" s="359"/>
      <c r="J789" s="359"/>
      <c r="K789" s="369"/>
      <c r="L789" s="360" t="s">
        <v>3195</v>
      </c>
      <c r="M789" s="359"/>
      <c r="N789" s="359"/>
      <c r="O789" s="359"/>
      <c r="P789" s="291"/>
      <c r="Q789" s="361" t="s">
        <v>307</v>
      </c>
      <c r="R789" s="359"/>
      <c r="S789" s="359"/>
      <c r="T789" s="359"/>
      <c r="U789" s="359"/>
      <c r="V789" s="359"/>
      <c r="W789" s="359"/>
      <c r="X789" s="359"/>
      <c r="Y789" s="359"/>
      <c r="Z789" s="359"/>
      <c r="AA789" s="359"/>
      <c r="AB789" s="359"/>
      <c r="AC789" s="359"/>
      <c r="AD789" s="349"/>
      <c r="AE789" s="349"/>
      <c r="AF789" s="349"/>
      <c r="AG789" s="349"/>
      <c r="AH789" s="349"/>
      <c r="AI789" s="349"/>
      <c r="AJ789" s="349"/>
      <c r="AK789" s="349"/>
      <c r="AL789" s="356"/>
      <c r="AM789" s="356"/>
      <c r="AN789" s="356"/>
      <c r="AO789" s="349"/>
      <c r="AP789" s="349"/>
      <c r="AQ789" s="349"/>
      <c r="AR789" s="349"/>
      <c r="AS789" s="349"/>
      <c r="AT789" s="349"/>
      <c r="AU789" s="349"/>
      <c r="AV789" s="349"/>
      <c r="AW789" s="349"/>
      <c r="AX789" s="349"/>
    </row>
    <row r="790" ht="15.75" customHeight="1">
      <c r="A790" s="299" t="s">
        <v>1060</v>
      </c>
      <c r="B790" s="300" t="s">
        <v>7423</v>
      </c>
      <c r="C790" s="190" t="s">
        <v>7429</v>
      </c>
      <c r="D790" s="190" t="s">
        <v>7430</v>
      </c>
      <c r="E790" s="190" t="s">
        <v>7431</v>
      </c>
      <c r="F790" s="190"/>
      <c r="G790" s="293"/>
      <c r="H790" s="293"/>
      <c r="I790" s="356"/>
      <c r="J790" s="355"/>
      <c r="K790" s="356"/>
      <c r="L790" s="356"/>
      <c r="M790" s="356"/>
      <c r="N790" s="356"/>
      <c r="O790" s="291" t="s">
        <v>8175</v>
      </c>
      <c r="P790" s="291"/>
      <c r="Q790" s="291" t="s">
        <v>307</v>
      </c>
      <c r="R790" s="356"/>
      <c r="S790" s="356"/>
      <c r="T790" s="356"/>
      <c r="U790" s="356"/>
      <c r="V790" s="356"/>
      <c r="W790" s="356"/>
      <c r="X790" s="356"/>
      <c r="Y790" s="356"/>
      <c r="Z790" s="356"/>
      <c r="AA790" s="356"/>
      <c r="AB790" s="356"/>
      <c r="AC790" s="356"/>
      <c r="AD790" s="349"/>
      <c r="AE790" s="349"/>
      <c r="AF790" s="349"/>
      <c r="AG790" s="349"/>
      <c r="AH790" s="349"/>
      <c r="AI790" s="349"/>
      <c r="AJ790" s="349"/>
      <c r="AK790" s="349"/>
      <c r="AL790" s="356"/>
      <c r="AM790" s="356"/>
      <c r="AN790" s="356"/>
      <c r="AO790" s="349"/>
      <c r="AP790" s="349"/>
      <c r="AQ790" s="349"/>
      <c r="AR790" s="349"/>
      <c r="AS790" s="349"/>
      <c r="AT790" s="349"/>
      <c r="AU790" s="349"/>
      <c r="AV790" s="349"/>
      <c r="AW790" s="349"/>
      <c r="AX790" s="349"/>
    </row>
    <row r="791" ht="15.75" customHeight="1">
      <c r="A791" s="305" t="s">
        <v>450</v>
      </c>
      <c r="B791" s="224" t="s">
        <v>7411</v>
      </c>
      <c r="C791" s="190" t="s">
        <v>3302</v>
      </c>
      <c r="D791" s="190" t="s">
        <v>3303</v>
      </c>
      <c r="E791" s="190" t="s">
        <v>3304</v>
      </c>
      <c r="F791" s="190"/>
      <c r="G791" s="362"/>
      <c r="H791" s="362"/>
      <c r="I791" s="362"/>
      <c r="J791" s="362"/>
      <c r="K791" s="362"/>
      <c r="L791" s="362"/>
      <c r="M791" s="362"/>
      <c r="N791" s="362"/>
      <c r="O791" s="362"/>
      <c r="P791" s="291"/>
      <c r="Q791" s="362"/>
      <c r="R791" s="362"/>
      <c r="S791" s="362"/>
      <c r="T791" s="362"/>
      <c r="U791" s="362"/>
      <c r="V791" s="362"/>
      <c r="W791" s="362"/>
      <c r="X791" s="362"/>
      <c r="Y791" s="362"/>
      <c r="Z791" s="362"/>
      <c r="AA791" s="362"/>
      <c r="AB791" s="362"/>
      <c r="AC791" s="362"/>
      <c r="AD791" s="349"/>
      <c r="AE791" s="349"/>
      <c r="AF791" s="349"/>
      <c r="AG791" s="349"/>
      <c r="AH791" s="349"/>
      <c r="AI791" s="349"/>
      <c r="AJ791" s="349"/>
      <c r="AK791" s="349"/>
      <c r="AL791" s="356"/>
      <c r="AM791" s="356"/>
      <c r="AN791" s="356"/>
      <c r="AO791" s="349"/>
      <c r="AP791" s="349"/>
      <c r="AQ791" s="349"/>
      <c r="AR791" s="349"/>
      <c r="AS791" s="349"/>
      <c r="AT791" s="349"/>
      <c r="AU791" s="349"/>
      <c r="AV791" s="349"/>
      <c r="AW791" s="349"/>
      <c r="AX791" s="349"/>
    </row>
    <row r="792" ht="15.75" customHeight="1">
      <c r="A792" s="221" t="s">
        <v>256</v>
      </c>
      <c r="B792" s="198" t="s">
        <v>7432</v>
      </c>
      <c r="C792" s="190"/>
      <c r="D792" s="190"/>
      <c r="E792" s="190"/>
      <c r="F792" s="190"/>
      <c r="G792" s="348"/>
      <c r="H792" s="348"/>
      <c r="I792" s="348"/>
      <c r="J792" s="348"/>
      <c r="K792" s="348"/>
      <c r="L792" s="348"/>
      <c r="M792" s="348"/>
      <c r="N792" s="348"/>
      <c r="O792" s="348"/>
      <c r="P792" s="291"/>
      <c r="Q792" s="348"/>
      <c r="R792" s="348"/>
      <c r="S792" s="348"/>
      <c r="T792" s="335" t="s">
        <v>260</v>
      </c>
      <c r="U792" s="348"/>
      <c r="V792" s="348"/>
      <c r="W792" s="348"/>
      <c r="X792" s="348"/>
      <c r="Y792" s="348"/>
      <c r="Z792" s="348"/>
      <c r="AA792" s="348"/>
      <c r="AB792" s="348"/>
      <c r="AC792" s="348"/>
      <c r="AD792" s="349"/>
      <c r="AE792" s="349"/>
      <c r="AF792" s="349"/>
      <c r="AG792" s="349"/>
      <c r="AH792" s="349"/>
      <c r="AI792" s="349"/>
      <c r="AJ792" s="349"/>
      <c r="AK792" s="349"/>
      <c r="AL792" s="349"/>
      <c r="AM792" s="349"/>
      <c r="AN792" s="349"/>
      <c r="AO792" s="349"/>
      <c r="AP792" s="349"/>
      <c r="AQ792" s="349"/>
      <c r="AR792" s="349"/>
      <c r="AS792" s="349"/>
      <c r="AT792" s="349"/>
      <c r="AU792" s="349"/>
      <c r="AV792" s="349"/>
      <c r="AW792" s="349"/>
      <c r="AX792" s="349"/>
    </row>
    <row r="793" ht="15.75" customHeight="1">
      <c r="A793" s="221" t="s">
        <v>112</v>
      </c>
      <c r="B793" s="198" t="s">
        <v>7434</v>
      </c>
      <c r="C793" s="190"/>
      <c r="D793" s="190"/>
      <c r="E793" s="190"/>
      <c r="F793" s="190"/>
      <c r="G793" s="348"/>
      <c r="H793" s="348"/>
      <c r="I793" s="348"/>
      <c r="J793" s="348"/>
      <c r="K793" s="348"/>
      <c r="L793" s="348"/>
      <c r="M793" s="348"/>
      <c r="N793" s="348"/>
      <c r="O793" s="348"/>
      <c r="P793" s="291"/>
      <c r="Q793" s="348"/>
      <c r="R793" s="348"/>
      <c r="S793" s="348"/>
      <c r="T793" s="335" t="s">
        <v>8176</v>
      </c>
      <c r="U793" s="348"/>
      <c r="V793" s="348"/>
      <c r="W793" s="348"/>
      <c r="X793" s="348"/>
      <c r="Y793" s="348"/>
      <c r="Z793" s="348"/>
      <c r="AA793" s="348"/>
      <c r="AB793" s="348"/>
      <c r="AC793" s="348"/>
      <c r="AD793" s="349"/>
      <c r="AE793" s="349"/>
      <c r="AF793" s="349"/>
      <c r="AG793" s="349"/>
      <c r="AH793" s="349"/>
      <c r="AI793" s="349"/>
      <c r="AJ793" s="349"/>
      <c r="AK793" s="349"/>
      <c r="AL793" s="349"/>
      <c r="AM793" s="349"/>
      <c r="AN793" s="349"/>
      <c r="AO793" s="349"/>
      <c r="AP793" s="349"/>
      <c r="AQ793" s="349"/>
      <c r="AR793" s="349"/>
      <c r="AS793" s="349"/>
      <c r="AT793" s="349"/>
      <c r="AU793" s="349"/>
      <c r="AV793" s="349"/>
      <c r="AW793" s="349"/>
      <c r="AX793" s="349"/>
    </row>
    <row r="794" ht="15.75" customHeight="1">
      <c r="A794" s="221" t="s">
        <v>112</v>
      </c>
      <c r="B794" s="198" t="s">
        <v>7435</v>
      </c>
      <c r="C794" s="190"/>
      <c r="D794" s="190"/>
      <c r="E794" s="190"/>
      <c r="F794" s="190"/>
      <c r="G794" s="348"/>
      <c r="H794" s="348"/>
      <c r="I794" s="348"/>
      <c r="J794" s="348"/>
      <c r="K794" s="348"/>
      <c r="L794" s="348"/>
      <c r="M794" s="348"/>
      <c r="N794" s="348"/>
      <c r="O794" s="348"/>
      <c r="P794" s="291"/>
      <c r="Q794" s="348"/>
      <c r="R794" s="348"/>
      <c r="S794" s="348"/>
      <c r="T794" s="335" t="s">
        <v>8177</v>
      </c>
      <c r="U794" s="348"/>
      <c r="V794" s="348"/>
      <c r="W794" s="348"/>
      <c r="X794" s="348"/>
      <c r="Y794" s="348"/>
      <c r="Z794" s="348"/>
      <c r="AA794" s="348"/>
      <c r="AB794" s="348"/>
      <c r="AC794" s="348"/>
      <c r="AD794" s="349"/>
      <c r="AE794" s="349"/>
      <c r="AF794" s="349"/>
      <c r="AG794" s="349"/>
      <c r="AH794" s="349"/>
      <c r="AI794" s="349"/>
      <c r="AJ794" s="349"/>
      <c r="AK794" s="349"/>
      <c r="AL794" s="356"/>
      <c r="AM794" s="356"/>
      <c r="AN794" s="356"/>
      <c r="AO794" s="349"/>
      <c r="AP794" s="349"/>
      <c r="AQ794" s="349"/>
      <c r="AR794" s="349"/>
      <c r="AS794" s="349"/>
      <c r="AT794" s="349"/>
      <c r="AU794" s="349"/>
      <c r="AV794" s="349"/>
      <c r="AW794" s="349"/>
      <c r="AX794" s="349"/>
    </row>
    <row r="795" ht="15.75" customHeight="1">
      <c r="A795" s="299" t="s">
        <v>1060</v>
      </c>
      <c r="B795" s="300" t="s">
        <v>7436</v>
      </c>
      <c r="C795" s="190" t="s">
        <v>7440</v>
      </c>
      <c r="D795" s="190" t="s">
        <v>7441</v>
      </c>
      <c r="E795" s="190" t="s">
        <v>7442</v>
      </c>
      <c r="F795" s="190"/>
      <c r="G795" s="293"/>
      <c r="H795" s="293"/>
      <c r="I795" s="356"/>
      <c r="J795" s="355"/>
      <c r="K795" s="291" t="s">
        <v>8076</v>
      </c>
      <c r="L795" s="291" t="s">
        <v>8178</v>
      </c>
      <c r="M795" s="356"/>
      <c r="N795" s="356"/>
      <c r="O795" s="356"/>
      <c r="P795" s="291"/>
      <c r="Q795" s="291" t="s">
        <v>307</v>
      </c>
      <c r="R795" s="356"/>
      <c r="S795" s="356"/>
      <c r="T795" s="356"/>
      <c r="U795" s="356"/>
      <c r="V795" s="356"/>
      <c r="W795" s="356"/>
      <c r="X795" s="356"/>
      <c r="Y795" s="356"/>
      <c r="Z795" s="356"/>
      <c r="AA795" s="356"/>
      <c r="AB795" s="356"/>
      <c r="AC795" s="356"/>
      <c r="AD795" s="349"/>
      <c r="AE795" s="349"/>
      <c r="AF795" s="349"/>
      <c r="AG795" s="349"/>
      <c r="AH795" s="349"/>
      <c r="AI795" s="349"/>
      <c r="AJ795" s="349"/>
      <c r="AK795" s="349"/>
      <c r="AL795" s="356"/>
      <c r="AM795" s="356"/>
      <c r="AN795" s="356"/>
      <c r="AO795" s="349"/>
      <c r="AP795" s="349"/>
      <c r="AQ795" s="349"/>
      <c r="AR795" s="349"/>
      <c r="AS795" s="349"/>
      <c r="AT795" s="349"/>
      <c r="AU795" s="349"/>
      <c r="AV795" s="349"/>
      <c r="AW795" s="349"/>
      <c r="AX795" s="349"/>
    </row>
    <row r="796" ht="15.75" customHeight="1">
      <c r="A796" s="392"/>
      <c r="B796" s="393"/>
      <c r="C796" s="190"/>
      <c r="D796" s="190"/>
      <c r="E796" s="190"/>
      <c r="F796" s="190"/>
      <c r="G796" s="356"/>
      <c r="H796" s="356"/>
      <c r="I796" s="356"/>
      <c r="J796" s="355"/>
      <c r="K796" s="356"/>
      <c r="L796" s="356"/>
      <c r="M796" s="356"/>
      <c r="N796" s="356"/>
      <c r="O796" s="356"/>
      <c r="P796" s="291"/>
      <c r="Q796" s="356"/>
      <c r="R796" s="356"/>
      <c r="S796" s="356"/>
      <c r="T796" s="356"/>
      <c r="U796" s="356"/>
      <c r="V796" s="356"/>
      <c r="W796" s="356"/>
      <c r="X796" s="356"/>
      <c r="Y796" s="356"/>
      <c r="Z796" s="356"/>
      <c r="AA796" s="356"/>
      <c r="AB796" s="356"/>
      <c r="AC796" s="356"/>
      <c r="AD796" s="356"/>
      <c r="AE796" s="356"/>
      <c r="AF796" s="356"/>
      <c r="AG796" s="356"/>
      <c r="AH796" s="356"/>
      <c r="AI796" s="356"/>
      <c r="AJ796" s="356"/>
      <c r="AK796" s="356"/>
      <c r="AL796" s="356"/>
      <c r="AM796" s="356"/>
      <c r="AN796" s="356"/>
      <c r="AO796" s="349"/>
      <c r="AP796" s="349"/>
      <c r="AQ796" s="349"/>
      <c r="AR796" s="349"/>
      <c r="AS796" s="349"/>
      <c r="AT796" s="349"/>
      <c r="AU796" s="349"/>
      <c r="AV796" s="349"/>
      <c r="AW796" s="349"/>
      <c r="AX796" s="349"/>
    </row>
    <row r="797" ht="15.75" customHeight="1">
      <c r="A797" s="299" t="s">
        <v>4090</v>
      </c>
      <c r="B797" s="300" t="s">
        <v>7444</v>
      </c>
      <c r="C797" s="190" t="s">
        <v>7449</v>
      </c>
      <c r="D797" s="190" t="s">
        <v>7450</v>
      </c>
      <c r="E797" s="190" t="s">
        <v>7451</v>
      </c>
      <c r="F797" s="190" t="s">
        <v>8179</v>
      </c>
      <c r="G797" s="293" t="s">
        <v>8180</v>
      </c>
      <c r="H797" s="293" t="s">
        <v>8181</v>
      </c>
      <c r="I797" s="356"/>
      <c r="J797" s="355"/>
      <c r="K797" s="291" t="s">
        <v>7694</v>
      </c>
      <c r="L797" s="356"/>
      <c r="M797" s="356"/>
      <c r="N797" s="356"/>
      <c r="O797" s="356"/>
      <c r="P797" s="291"/>
      <c r="Q797" s="291" t="s">
        <v>307</v>
      </c>
      <c r="R797" s="356"/>
      <c r="S797" s="356"/>
      <c r="T797" s="356"/>
      <c r="U797" s="356"/>
      <c r="V797" s="356"/>
      <c r="W797" s="356"/>
      <c r="X797" s="356"/>
      <c r="Y797" s="356"/>
      <c r="Z797" s="356"/>
      <c r="AA797" s="356"/>
      <c r="AB797" s="356"/>
      <c r="AC797" s="356"/>
      <c r="AD797" s="356"/>
      <c r="AE797" s="356"/>
      <c r="AF797" s="356"/>
      <c r="AG797" s="356"/>
      <c r="AH797" s="356"/>
      <c r="AI797" s="356"/>
      <c r="AJ797" s="356"/>
      <c r="AK797" s="356"/>
      <c r="AL797" s="356"/>
      <c r="AM797" s="356"/>
      <c r="AN797" s="356"/>
      <c r="AO797" s="349"/>
      <c r="AP797" s="349"/>
      <c r="AQ797" s="349"/>
      <c r="AR797" s="349"/>
      <c r="AS797" s="349"/>
      <c r="AT797" s="349"/>
      <c r="AU797" s="349"/>
      <c r="AV797" s="349"/>
      <c r="AW797" s="349"/>
      <c r="AX797" s="349"/>
    </row>
    <row r="798" ht="15.75" customHeight="1">
      <c r="A798" s="301" t="s">
        <v>220</v>
      </c>
      <c r="B798" s="302" t="s">
        <v>7452</v>
      </c>
      <c r="C798" s="190" t="s">
        <v>7456</v>
      </c>
      <c r="D798" s="190" t="s">
        <v>7457</v>
      </c>
      <c r="E798" s="190" t="s">
        <v>7458</v>
      </c>
      <c r="F798" s="190"/>
      <c r="G798" s="293"/>
      <c r="H798" s="293"/>
      <c r="I798" s="366"/>
      <c r="J798" s="367"/>
      <c r="K798" s="366"/>
      <c r="L798" s="366"/>
      <c r="M798" s="366"/>
      <c r="N798" s="366"/>
      <c r="O798" s="368" t="s">
        <v>8182</v>
      </c>
      <c r="P798" s="291"/>
      <c r="Q798" s="368" t="s">
        <v>307</v>
      </c>
      <c r="R798" s="366"/>
      <c r="S798" s="366"/>
      <c r="T798" s="366"/>
      <c r="U798" s="366"/>
      <c r="V798" s="366"/>
      <c r="W798" s="366"/>
      <c r="X798" s="366"/>
      <c r="Y798" s="366"/>
      <c r="Z798" s="366"/>
      <c r="AA798" s="366"/>
      <c r="AB798" s="366"/>
      <c r="AC798" s="366"/>
      <c r="AD798" s="366"/>
      <c r="AE798" s="366"/>
      <c r="AF798" s="366"/>
      <c r="AG798" s="366"/>
      <c r="AH798" s="366"/>
      <c r="AI798" s="366"/>
      <c r="AJ798" s="366"/>
      <c r="AK798" s="366"/>
      <c r="AL798" s="366"/>
      <c r="AM798" s="366"/>
      <c r="AN798" s="366"/>
      <c r="AO798" s="349"/>
      <c r="AP798" s="349"/>
      <c r="AQ798" s="349"/>
      <c r="AR798" s="349"/>
      <c r="AS798" s="349"/>
      <c r="AT798" s="349"/>
      <c r="AU798" s="349"/>
      <c r="AV798" s="349"/>
      <c r="AW798" s="349"/>
      <c r="AX798" s="349"/>
    </row>
    <row r="799" ht="15.75" customHeight="1">
      <c r="A799" s="221" t="s">
        <v>256</v>
      </c>
      <c r="B799" s="198" t="s">
        <v>7459</v>
      </c>
      <c r="C799" s="190"/>
      <c r="D799" s="190"/>
      <c r="E799" s="190"/>
      <c r="F799" s="190"/>
      <c r="G799" s="348"/>
      <c r="H799" s="348"/>
      <c r="I799" s="348"/>
      <c r="J799" s="348"/>
      <c r="K799" s="348"/>
      <c r="L799" s="348"/>
      <c r="M799" s="348"/>
      <c r="N799" s="348"/>
      <c r="O799" s="348"/>
      <c r="P799" s="291"/>
      <c r="Q799" s="348"/>
      <c r="R799" s="348"/>
      <c r="S799" s="348"/>
      <c r="T799" s="335" t="s">
        <v>260</v>
      </c>
      <c r="U799" s="348"/>
      <c r="V799" s="348"/>
      <c r="W799" s="348"/>
      <c r="X799" s="348"/>
      <c r="Y799" s="348"/>
      <c r="Z799" s="348"/>
      <c r="AA799" s="348"/>
      <c r="AB799" s="348"/>
      <c r="AC799" s="348"/>
      <c r="AD799" s="349"/>
      <c r="AE799" s="349"/>
      <c r="AF799" s="349"/>
      <c r="AG799" s="349"/>
      <c r="AH799" s="349"/>
      <c r="AI799" s="349"/>
      <c r="AJ799" s="349"/>
      <c r="AK799" s="349"/>
      <c r="AL799" s="349"/>
      <c r="AM799" s="349"/>
      <c r="AN799" s="349"/>
      <c r="AO799" s="349"/>
      <c r="AP799" s="349"/>
      <c r="AQ799" s="349"/>
      <c r="AR799" s="349"/>
      <c r="AS799" s="349"/>
      <c r="AT799" s="349"/>
      <c r="AU799" s="349"/>
      <c r="AV799" s="349"/>
      <c r="AW799" s="349"/>
      <c r="AX799" s="349"/>
    </row>
    <row r="800" ht="15.75" customHeight="1">
      <c r="A800" s="305" t="s">
        <v>385</v>
      </c>
      <c r="B800" s="223" t="s">
        <v>7461</v>
      </c>
      <c r="C800" s="190" t="s">
        <v>4107</v>
      </c>
      <c r="D800" s="190"/>
      <c r="E800" s="190"/>
      <c r="F800" s="190"/>
      <c r="G800" s="362"/>
      <c r="H800" s="362"/>
      <c r="I800" s="362"/>
      <c r="J800" s="362"/>
      <c r="K800" s="362"/>
      <c r="L800" s="362"/>
      <c r="M800" s="363"/>
      <c r="N800" s="363"/>
      <c r="O800" s="364" t="s">
        <v>8183</v>
      </c>
      <c r="P800" s="291"/>
      <c r="Q800" s="362"/>
      <c r="R800" s="362"/>
      <c r="S800" s="362"/>
      <c r="T800" s="362"/>
      <c r="U800" s="364" t="s">
        <v>8184</v>
      </c>
      <c r="V800" s="362"/>
      <c r="W800" s="362"/>
      <c r="X800" s="362"/>
      <c r="Y800" s="362"/>
      <c r="Z800" s="362"/>
      <c r="AA800" s="362"/>
      <c r="AB800" s="362"/>
      <c r="AC800" s="362"/>
      <c r="AD800" s="362"/>
      <c r="AE800" s="362"/>
      <c r="AF800" s="362"/>
      <c r="AG800" s="362"/>
      <c r="AH800" s="362"/>
      <c r="AI800" s="362"/>
      <c r="AJ800" s="362"/>
      <c r="AK800" s="362"/>
      <c r="AL800" s="362"/>
      <c r="AM800" s="362"/>
      <c r="AN800" s="362"/>
      <c r="AO800" s="349"/>
      <c r="AP800" s="349"/>
      <c r="AQ800" s="349"/>
      <c r="AR800" s="349"/>
      <c r="AS800" s="349"/>
      <c r="AT800" s="349"/>
      <c r="AU800" s="349"/>
      <c r="AV800" s="349"/>
      <c r="AW800" s="349"/>
      <c r="AX800" s="349"/>
    </row>
    <row r="801" ht="15.75" customHeight="1">
      <c r="A801" s="221" t="s">
        <v>112</v>
      </c>
      <c r="B801" s="198" t="s">
        <v>7462</v>
      </c>
      <c r="C801" s="190" t="s">
        <v>4115</v>
      </c>
      <c r="D801" s="190"/>
      <c r="E801" s="190"/>
      <c r="F801" s="190"/>
      <c r="G801" s="348"/>
      <c r="H801" s="348"/>
      <c r="I801" s="348"/>
      <c r="J801" s="348"/>
      <c r="K801" s="348"/>
      <c r="L801" s="348"/>
      <c r="M801" s="348"/>
      <c r="N801" s="348"/>
      <c r="O801" s="348"/>
      <c r="P801" s="291"/>
      <c r="Q801" s="348"/>
      <c r="R801" s="348"/>
      <c r="S801" s="348"/>
      <c r="T801" s="335" t="s">
        <v>8185</v>
      </c>
      <c r="U801" s="348"/>
      <c r="V801" s="348"/>
      <c r="W801" s="348"/>
      <c r="X801" s="348"/>
      <c r="Y801" s="348"/>
      <c r="Z801" s="348"/>
      <c r="AA801" s="348"/>
      <c r="AB801" s="348"/>
      <c r="AC801" s="348"/>
      <c r="AD801" s="348"/>
      <c r="AE801" s="348"/>
      <c r="AF801" s="348"/>
      <c r="AG801" s="348"/>
      <c r="AH801" s="348"/>
      <c r="AI801" s="348"/>
      <c r="AJ801" s="348"/>
      <c r="AK801" s="348"/>
      <c r="AL801" s="348"/>
      <c r="AM801" s="348"/>
      <c r="AN801" s="348"/>
      <c r="AO801" s="349"/>
      <c r="AP801" s="349"/>
      <c r="AQ801" s="349"/>
      <c r="AR801" s="349"/>
      <c r="AS801" s="349"/>
      <c r="AT801" s="349"/>
      <c r="AU801" s="349"/>
      <c r="AV801" s="349"/>
      <c r="AW801" s="349"/>
      <c r="AX801" s="349"/>
    </row>
    <row r="802" ht="15.75" customHeight="1">
      <c r="A802" s="310" t="s">
        <v>278</v>
      </c>
      <c r="B802" s="311" t="s">
        <v>7463</v>
      </c>
      <c r="C802" s="190"/>
      <c r="D802" s="190"/>
      <c r="E802" s="190"/>
      <c r="F802" s="190"/>
      <c r="G802" s="354"/>
      <c r="H802" s="354"/>
      <c r="I802" s="354"/>
      <c r="J802" s="337" t="s">
        <v>987</v>
      </c>
      <c r="K802" s="354"/>
      <c r="L802" s="354"/>
      <c r="M802" s="365"/>
      <c r="N802" s="365"/>
      <c r="O802" s="365"/>
      <c r="P802" s="291"/>
      <c r="Q802" s="354"/>
      <c r="R802" s="354"/>
      <c r="S802" s="354"/>
      <c r="T802" s="354"/>
      <c r="U802" s="354"/>
      <c r="V802" s="354"/>
      <c r="W802" s="354"/>
      <c r="X802" s="354"/>
      <c r="Y802" s="354"/>
      <c r="Z802" s="354"/>
      <c r="AA802" s="354"/>
      <c r="AB802" s="354"/>
      <c r="AC802" s="354"/>
      <c r="AD802" s="354"/>
      <c r="AE802" s="354"/>
      <c r="AF802" s="354"/>
      <c r="AG802" s="354"/>
      <c r="AH802" s="354"/>
      <c r="AI802" s="354"/>
      <c r="AJ802" s="354"/>
      <c r="AK802" s="354"/>
      <c r="AL802" s="354"/>
      <c r="AM802" s="354"/>
      <c r="AN802" s="354"/>
      <c r="AO802" s="349"/>
      <c r="AP802" s="349"/>
      <c r="AQ802" s="349"/>
      <c r="AR802" s="349"/>
      <c r="AS802" s="349"/>
      <c r="AT802" s="349"/>
      <c r="AU802" s="349"/>
      <c r="AV802" s="349"/>
      <c r="AW802" s="349"/>
      <c r="AX802" s="349"/>
    </row>
    <row r="803" ht="15.75" customHeight="1">
      <c r="A803" s="299" t="s">
        <v>2456</v>
      </c>
      <c r="B803" s="300" t="s">
        <v>7464</v>
      </c>
      <c r="C803" s="190" t="s">
        <v>7468</v>
      </c>
      <c r="D803" s="190" t="s">
        <v>7469</v>
      </c>
      <c r="E803" s="190" t="s">
        <v>7470</v>
      </c>
      <c r="F803" s="190"/>
      <c r="G803" s="293"/>
      <c r="H803" s="293"/>
      <c r="I803" s="356"/>
      <c r="J803" s="340" t="s">
        <v>5</v>
      </c>
      <c r="K803" s="356"/>
      <c r="L803" s="356"/>
      <c r="M803" s="356"/>
      <c r="N803" s="356"/>
      <c r="O803" s="356"/>
      <c r="P803" s="291"/>
      <c r="Q803" s="356"/>
      <c r="R803" s="356"/>
      <c r="S803" s="356"/>
      <c r="T803" s="356"/>
      <c r="U803" s="356"/>
      <c r="V803" s="356"/>
      <c r="W803" s="356"/>
      <c r="X803" s="356"/>
      <c r="Y803" s="356"/>
      <c r="Z803" s="356"/>
      <c r="AA803" s="356"/>
      <c r="AB803" s="356"/>
      <c r="AC803" s="356"/>
      <c r="AD803" s="356"/>
      <c r="AE803" s="356"/>
      <c r="AF803" s="356"/>
      <c r="AG803" s="356"/>
      <c r="AH803" s="356"/>
      <c r="AI803" s="356"/>
      <c r="AJ803" s="356"/>
      <c r="AK803" s="356"/>
      <c r="AL803" s="356"/>
      <c r="AM803" s="356"/>
      <c r="AN803" s="356"/>
      <c r="AO803" s="349"/>
      <c r="AP803" s="349"/>
      <c r="AQ803" s="349"/>
      <c r="AR803" s="349"/>
      <c r="AS803" s="349"/>
      <c r="AT803" s="349"/>
      <c r="AU803" s="349"/>
      <c r="AV803" s="349"/>
      <c r="AW803" s="349"/>
      <c r="AX803" s="349"/>
    </row>
    <row r="804" ht="15.75" customHeight="1">
      <c r="A804" s="299" t="s">
        <v>2456</v>
      </c>
      <c r="B804" s="300" t="s">
        <v>7471</v>
      </c>
      <c r="C804" s="190" t="s">
        <v>7475</v>
      </c>
      <c r="D804" s="190" t="s">
        <v>7476</v>
      </c>
      <c r="E804" s="190" t="s">
        <v>7477</v>
      </c>
      <c r="F804" s="190"/>
      <c r="G804" s="293"/>
      <c r="H804" s="293"/>
      <c r="I804" s="356"/>
      <c r="J804" s="340" t="s">
        <v>3474</v>
      </c>
      <c r="K804" s="356"/>
      <c r="L804" s="356"/>
      <c r="M804" s="356"/>
      <c r="N804" s="356"/>
      <c r="O804" s="356"/>
      <c r="P804" s="291"/>
      <c r="Q804" s="291" t="s">
        <v>307</v>
      </c>
      <c r="R804" s="356"/>
      <c r="S804" s="356"/>
      <c r="T804" s="356"/>
      <c r="U804" s="356"/>
      <c r="V804" s="356"/>
      <c r="W804" s="356"/>
      <c r="X804" s="356"/>
      <c r="Y804" s="356"/>
      <c r="Z804" s="356"/>
      <c r="AA804" s="356"/>
      <c r="AB804" s="356"/>
      <c r="AC804" s="356"/>
      <c r="AD804" s="356"/>
      <c r="AE804" s="356"/>
      <c r="AF804" s="356"/>
      <c r="AG804" s="356"/>
      <c r="AH804" s="356"/>
      <c r="AI804" s="356"/>
      <c r="AJ804" s="356"/>
      <c r="AK804" s="356"/>
      <c r="AL804" s="356"/>
      <c r="AM804" s="356"/>
      <c r="AN804" s="356"/>
      <c r="AO804" s="349"/>
      <c r="AP804" s="349"/>
      <c r="AQ804" s="349"/>
      <c r="AR804" s="349"/>
      <c r="AS804" s="349"/>
      <c r="AT804" s="349"/>
      <c r="AU804" s="349"/>
      <c r="AV804" s="349"/>
      <c r="AW804" s="349"/>
      <c r="AX804" s="349"/>
    </row>
    <row r="805" ht="15.75" customHeight="1">
      <c r="A805" s="299" t="s">
        <v>2456</v>
      </c>
      <c r="B805" s="300" t="s">
        <v>7478</v>
      </c>
      <c r="C805" s="190" t="s">
        <v>7483</v>
      </c>
      <c r="D805" s="190" t="s">
        <v>7484</v>
      </c>
      <c r="E805" s="190" t="s">
        <v>7485</v>
      </c>
      <c r="F805" s="190"/>
      <c r="G805" s="293"/>
      <c r="H805" s="293"/>
      <c r="I805" s="356"/>
      <c r="J805" s="340" t="s">
        <v>3474</v>
      </c>
      <c r="K805" s="356"/>
      <c r="L805" s="356"/>
      <c r="M805" s="356"/>
      <c r="N805" s="356"/>
      <c r="O805" s="356"/>
      <c r="P805" s="291"/>
      <c r="Q805" s="291" t="s">
        <v>307</v>
      </c>
      <c r="R805" s="356"/>
      <c r="S805" s="356"/>
      <c r="T805" s="356"/>
      <c r="U805" s="356"/>
      <c r="V805" s="356"/>
      <c r="W805" s="356"/>
      <c r="X805" s="356"/>
      <c r="Y805" s="356"/>
      <c r="Z805" s="356"/>
      <c r="AA805" s="356"/>
      <c r="AB805" s="356"/>
      <c r="AC805" s="356"/>
      <c r="AD805" s="356"/>
      <c r="AE805" s="356"/>
      <c r="AF805" s="356"/>
      <c r="AG805" s="356"/>
      <c r="AH805" s="356"/>
      <c r="AI805" s="356"/>
      <c r="AJ805" s="356"/>
      <c r="AK805" s="356"/>
      <c r="AL805" s="356"/>
      <c r="AM805" s="356"/>
      <c r="AN805" s="356"/>
      <c r="AO805" s="349"/>
      <c r="AP805" s="349"/>
      <c r="AQ805" s="349"/>
      <c r="AR805" s="349"/>
      <c r="AS805" s="349"/>
      <c r="AT805" s="349"/>
      <c r="AU805" s="349"/>
      <c r="AV805" s="349"/>
      <c r="AW805" s="349"/>
      <c r="AX805" s="349"/>
    </row>
    <row r="806" ht="15.75" customHeight="1">
      <c r="A806" s="299" t="s">
        <v>2456</v>
      </c>
      <c r="B806" s="300" t="s">
        <v>7486</v>
      </c>
      <c r="C806" s="190" t="s">
        <v>7490</v>
      </c>
      <c r="D806" s="190" t="s">
        <v>7491</v>
      </c>
      <c r="E806" s="190" t="s">
        <v>7492</v>
      </c>
      <c r="F806" s="190"/>
      <c r="G806" s="293"/>
      <c r="H806" s="293"/>
      <c r="I806" s="356"/>
      <c r="J806" s="340" t="s">
        <v>3474</v>
      </c>
      <c r="K806" s="356"/>
      <c r="L806" s="356"/>
      <c r="M806" s="356"/>
      <c r="N806" s="356"/>
      <c r="O806" s="356"/>
      <c r="P806" s="291"/>
      <c r="Q806" s="291" t="s">
        <v>307</v>
      </c>
      <c r="R806" s="356"/>
      <c r="S806" s="356"/>
      <c r="T806" s="356"/>
      <c r="U806" s="356"/>
      <c r="V806" s="356"/>
      <c r="W806" s="356"/>
      <c r="X806" s="356"/>
      <c r="Y806" s="356"/>
      <c r="Z806" s="356"/>
      <c r="AA806" s="356"/>
      <c r="AB806" s="356"/>
      <c r="AC806" s="356"/>
      <c r="AD806" s="356"/>
      <c r="AE806" s="356"/>
      <c r="AF806" s="356"/>
      <c r="AG806" s="356"/>
      <c r="AH806" s="356"/>
      <c r="AI806" s="356"/>
      <c r="AJ806" s="356"/>
      <c r="AK806" s="356"/>
      <c r="AL806" s="356"/>
      <c r="AM806" s="356"/>
      <c r="AN806" s="356"/>
      <c r="AO806" s="349"/>
      <c r="AP806" s="349"/>
      <c r="AQ806" s="349"/>
      <c r="AR806" s="349"/>
      <c r="AS806" s="349"/>
      <c r="AT806" s="349"/>
      <c r="AU806" s="349"/>
      <c r="AV806" s="349"/>
      <c r="AW806" s="349"/>
      <c r="AX806" s="349"/>
    </row>
    <row r="807" ht="15.75" customHeight="1">
      <c r="A807" s="299" t="s">
        <v>2456</v>
      </c>
      <c r="B807" s="300" t="s">
        <v>7493</v>
      </c>
      <c r="C807" s="190" t="s">
        <v>7497</v>
      </c>
      <c r="D807" s="190" t="s">
        <v>7498</v>
      </c>
      <c r="E807" s="190" t="s">
        <v>7499</v>
      </c>
      <c r="F807" s="190"/>
      <c r="G807" s="293"/>
      <c r="H807" s="293"/>
      <c r="I807" s="356"/>
      <c r="J807" s="340" t="s">
        <v>3474</v>
      </c>
      <c r="K807" s="356"/>
      <c r="L807" s="356"/>
      <c r="M807" s="356"/>
      <c r="N807" s="356"/>
      <c r="O807" s="356"/>
      <c r="P807" s="291"/>
      <c r="Q807" s="291" t="s">
        <v>307</v>
      </c>
      <c r="R807" s="356"/>
      <c r="S807" s="356"/>
      <c r="T807" s="356"/>
      <c r="U807" s="356"/>
      <c r="V807" s="356"/>
      <c r="W807" s="356"/>
      <c r="X807" s="356"/>
      <c r="Y807" s="356"/>
      <c r="Z807" s="356"/>
      <c r="AA807" s="356"/>
      <c r="AB807" s="356"/>
      <c r="AC807" s="356"/>
      <c r="AD807" s="356"/>
      <c r="AE807" s="356"/>
      <c r="AF807" s="356"/>
      <c r="AG807" s="356"/>
      <c r="AH807" s="356"/>
      <c r="AI807" s="356"/>
      <c r="AJ807" s="356"/>
      <c r="AK807" s="356"/>
      <c r="AL807" s="356"/>
      <c r="AM807" s="356"/>
      <c r="AN807" s="356"/>
      <c r="AO807" s="349"/>
      <c r="AP807" s="349"/>
      <c r="AQ807" s="349"/>
      <c r="AR807" s="349"/>
      <c r="AS807" s="349"/>
      <c r="AT807" s="349"/>
      <c r="AU807" s="349"/>
      <c r="AV807" s="349"/>
      <c r="AW807" s="349"/>
      <c r="AX807" s="349"/>
    </row>
    <row r="808" ht="15.75" customHeight="1">
      <c r="A808" s="310" t="s">
        <v>331</v>
      </c>
      <c r="B808" s="315" t="s">
        <v>7463</v>
      </c>
      <c r="C808" s="190"/>
      <c r="D808" s="190"/>
      <c r="E808" s="190"/>
      <c r="F808" s="190"/>
      <c r="G808" s="354"/>
      <c r="H808" s="354"/>
      <c r="I808" s="354"/>
      <c r="J808" s="354"/>
      <c r="K808" s="354"/>
      <c r="L808" s="354"/>
      <c r="M808" s="354"/>
      <c r="N808" s="354"/>
      <c r="O808" s="354"/>
      <c r="P808" s="291"/>
      <c r="Q808" s="354"/>
      <c r="R808" s="354"/>
      <c r="S808" s="354"/>
      <c r="T808" s="354"/>
      <c r="U808" s="354"/>
      <c r="V808" s="354"/>
      <c r="W808" s="354"/>
      <c r="X808" s="354"/>
      <c r="Y808" s="354"/>
      <c r="Z808" s="354"/>
      <c r="AA808" s="354"/>
      <c r="AB808" s="354"/>
      <c r="AC808" s="354"/>
      <c r="AD808" s="354"/>
      <c r="AE808" s="354"/>
      <c r="AF808" s="354"/>
      <c r="AG808" s="354"/>
      <c r="AH808" s="354"/>
      <c r="AI808" s="354"/>
      <c r="AJ808" s="354"/>
      <c r="AK808" s="354"/>
      <c r="AL808" s="354"/>
      <c r="AM808" s="354"/>
      <c r="AN808" s="354"/>
      <c r="AO808" s="349"/>
      <c r="AP808" s="349"/>
      <c r="AQ808" s="349"/>
      <c r="AR808" s="349"/>
      <c r="AS808" s="349"/>
      <c r="AT808" s="349"/>
      <c r="AU808" s="349"/>
      <c r="AV808" s="349"/>
      <c r="AW808" s="349"/>
      <c r="AX808" s="349"/>
    </row>
    <row r="809" ht="15.75" customHeight="1">
      <c r="A809" s="310" t="s">
        <v>278</v>
      </c>
      <c r="B809" s="311" t="s">
        <v>7500</v>
      </c>
      <c r="C809" s="190"/>
      <c r="D809" s="190"/>
      <c r="E809" s="190"/>
      <c r="F809" s="190"/>
      <c r="G809" s="354"/>
      <c r="H809" s="354"/>
      <c r="I809" s="354"/>
      <c r="J809" s="337" t="s">
        <v>987</v>
      </c>
      <c r="K809" s="354"/>
      <c r="L809" s="354"/>
      <c r="M809" s="365"/>
      <c r="N809" s="365"/>
      <c r="O809" s="337" t="s">
        <v>8186</v>
      </c>
      <c r="P809" s="291"/>
      <c r="Q809" s="354"/>
      <c r="R809" s="354"/>
      <c r="S809" s="354"/>
      <c r="T809" s="354"/>
      <c r="U809" s="354"/>
      <c r="V809" s="354"/>
      <c r="W809" s="354"/>
      <c r="X809" s="354"/>
      <c r="Y809" s="354"/>
      <c r="Z809" s="354"/>
      <c r="AA809" s="354"/>
      <c r="AB809" s="354"/>
      <c r="AC809" s="354"/>
      <c r="AD809" s="354"/>
      <c r="AE809" s="354"/>
      <c r="AF809" s="354"/>
      <c r="AG809" s="354"/>
      <c r="AH809" s="354"/>
      <c r="AI809" s="354"/>
      <c r="AJ809" s="354"/>
      <c r="AK809" s="354"/>
      <c r="AL809" s="354"/>
      <c r="AM809" s="354"/>
      <c r="AN809" s="354"/>
      <c r="AO809" s="349"/>
      <c r="AP809" s="349"/>
      <c r="AQ809" s="349"/>
      <c r="AR809" s="349"/>
      <c r="AS809" s="349"/>
      <c r="AT809" s="349"/>
      <c r="AU809" s="349"/>
      <c r="AV809" s="349"/>
      <c r="AW809" s="349"/>
      <c r="AX809" s="349"/>
    </row>
    <row r="810" ht="15.75" customHeight="1">
      <c r="A810" s="297" t="s">
        <v>46</v>
      </c>
      <c r="B810" s="298" t="s">
        <v>7501</v>
      </c>
      <c r="C810" s="190" t="s">
        <v>7505</v>
      </c>
      <c r="D810" s="190" t="s">
        <v>7506</v>
      </c>
      <c r="E810" s="190" t="s">
        <v>7507</v>
      </c>
      <c r="F810" s="190"/>
      <c r="G810" s="293"/>
      <c r="H810" s="293"/>
      <c r="I810" s="351"/>
      <c r="J810" s="336" t="s">
        <v>5</v>
      </c>
      <c r="K810" s="351"/>
      <c r="L810" s="351"/>
      <c r="M810" s="351"/>
      <c r="N810" s="351"/>
      <c r="O810" s="351"/>
      <c r="P810" s="291"/>
      <c r="Q810" s="351"/>
      <c r="R810" s="351"/>
      <c r="S810" s="351"/>
      <c r="T810" s="351"/>
      <c r="U810" s="351"/>
      <c r="V810" s="351"/>
      <c r="W810" s="351"/>
      <c r="X810" s="351"/>
      <c r="Y810" s="351"/>
      <c r="Z810" s="351"/>
      <c r="AA810" s="351"/>
      <c r="AB810" s="351"/>
      <c r="AC810" s="351"/>
      <c r="AD810" s="351"/>
      <c r="AE810" s="351"/>
      <c r="AF810" s="351"/>
      <c r="AG810" s="351"/>
      <c r="AH810" s="351"/>
      <c r="AI810" s="351"/>
      <c r="AJ810" s="351"/>
      <c r="AK810" s="351"/>
      <c r="AL810" s="351"/>
      <c r="AM810" s="351"/>
      <c r="AN810" s="351"/>
      <c r="AO810" s="349"/>
      <c r="AP810" s="349"/>
      <c r="AQ810" s="349"/>
      <c r="AR810" s="349"/>
      <c r="AS810" s="349"/>
      <c r="AT810" s="349"/>
      <c r="AU810" s="349"/>
      <c r="AV810" s="349"/>
      <c r="AW810" s="349"/>
      <c r="AX810" s="349"/>
    </row>
    <row r="811" ht="15.75" customHeight="1">
      <c r="A811" s="306" t="s">
        <v>247</v>
      </c>
      <c r="B811" s="307" t="s">
        <v>7508</v>
      </c>
      <c r="C811" s="190" t="s">
        <v>7512</v>
      </c>
      <c r="D811" s="190" t="s">
        <v>7513</v>
      </c>
      <c r="E811" s="190" t="s">
        <v>7514</v>
      </c>
      <c r="F811" s="190" t="s">
        <v>8187</v>
      </c>
      <c r="G811" s="293" t="s">
        <v>8188</v>
      </c>
      <c r="H811" s="293" t="s">
        <v>8189</v>
      </c>
      <c r="I811" s="359"/>
      <c r="J811" s="361" t="s">
        <v>3474</v>
      </c>
      <c r="K811" s="360" t="s">
        <v>4159</v>
      </c>
      <c r="L811" s="369"/>
      <c r="M811" s="359"/>
      <c r="N811" s="359"/>
      <c r="O811" s="361" t="s">
        <v>8190</v>
      </c>
      <c r="P811" s="291"/>
      <c r="Q811" s="361" t="s">
        <v>307</v>
      </c>
      <c r="R811" s="359"/>
      <c r="S811" s="359"/>
      <c r="T811" s="359"/>
      <c r="U811" s="359"/>
      <c r="V811" s="359"/>
      <c r="W811" s="359"/>
      <c r="X811" s="359"/>
      <c r="Y811" s="359"/>
      <c r="Z811" s="359"/>
      <c r="AA811" s="359"/>
      <c r="AB811" s="359"/>
      <c r="AC811" s="359"/>
      <c r="AD811" s="359"/>
      <c r="AE811" s="359"/>
      <c r="AF811" s="359"/>
      <c r="AG811" s="359"/>
      <c r="AH811" s="359"/>
      <c r="AI811" s="359"/>
      <c r="AJ811" s="359"/>
      <c r="AK811" s="359"/>
      <c r="AL811" s="359"/>
      <c r="AM811" s="359"/>
      <c r="AN811" s="359"/>
      <c r="AO811" s="349"/>
      <c r="AP811" s="349"/>
      <c r="AQ811" s="349"/>
      <c r="AR811" s="349"/>
      <c r="AS811" s="349"/>
      <c r="AT811" s="349"/>
      <c r="AU811" s="349"/>
      <c r="AV811" s="349"/>
      <c r="AW811" s="349"/>
      <c r="AX811" s="349"/>
    </row>
    <row r="812" ht="15.75" customHeight="1">
      <c r="A812" s="306" t="s">
        <v>247</v>
      </c>
      <c r="B812" s="307" t="s">
        <v>7515</v>
      </c>
      <c r="C812" s="190" t="s">
        <v>7519</v>
      </c>
      <c r="D812" s="190" t="s">
        <v>7520</v>
      </c>
      <c r="E812" s="190" t="s">
        <v>7521</v>
      </c>
      <c r="F812" s="190"/>
      <c r="G812" s="293"/>
      <c r="H812" s="293"/>
      <c r="I812" s="359"/>
      <c r="J812" s="361" t="s">
        <v>3474</v>
      </c>
      <c r="K812" s="360" t="s">
        <v>4159</v>
      </c>
      <c r="L812" s="369"/>
      <c r="M812" s="359"/>
      <c r="N812" s="359"/>
      <c r="O812" s="361" t="s">
        <v>8191</v>
      </c>
      <c r="P812" s="291"/>
      <c r="Q812" s="361" t="s">
        <v>307</v>
      </c>
      <c r="R812" s="359"/>
      <c r="S812" s="359"/>
      <c r="T812" s="359"/>
      <c r="U812" s="359"/>
      <c r="V812" s="359"/>
      <c r="W812" s="359"/>
      <c r="X812" s="359"/>
      <c r="Y812" s="359"/>
      <c r="Z812" s="359"/>
      <c r="AA812" s="359"/>
      <c r="AB812" s="359"/>
      <c r="AC812" s="359"/>
      <c r="AD812" s="359"/>
      <c r="AE812" s="359"/>
      <c r="AF812" s="359"/>
      <c r="AG812" s="359"/>
      <c r="AH812" s="359"/>
      <c r="AI812" s="359"/>
      <c r="AJ812" s="359"/>
      <c r="AK812" s="359"/>
      <c r="AL812" s="359"/>
      <c r="AM812" s="359"/>
      <c r="AN812" s="359"/>
      <c r="AO812" s="349"/>
      <c r="AP812" s="349"/>
      <c r="AQ812" s="349"/>
      <c r="AR812" s="349"/>
      <c r="AS812" s="349"/>
      <c r="AT812" s="349"/>
      <c r="AU812" s="349"/>
      <c r="AV812" s="349"/>
      <c r="AW812" s="349"/>
      <c r="AX812" s="349"/>
    </row>
    <row r="813" ht="15.75" customHeight="1">
      <c r="A813" s="306" t="s">
        <v>247</v>
      </c>
      <c r="B813" s="307" t="s">
        <v>7522</v>
      </c>
      <c r="C813" s="190" t="s">
        <v>7526</v>
      </c>
      <c r="D813" s="190" t="s">
        <v>7527</v>
      </c>
      <c r="E813" s="190" t="s">
        <v>7528</v>
      </c>
      <c r="F813" s="190"/>
      <c r="G813" s="293"/>
      <c r="H813" s="293"/>
      <c r="I813" s="359"/>
      <c r="J813" s="361" t="s">
        <v>3474</v>
      </c>
      <c r="K813" s="360" t="s">
        <v>4159</v>
      </c>
      <c r="L813" s="369"/>
      <c r="M813" s="359"/>
      <c r="N813" s="359"/>
      <c r="O813" s="361" t="s">
        <v>8192</v>
      </c>
      <c r="P813" s="291"/>
      <c r="Q813" s="361" t="s">
        <v>307</v>
      </c>
      <c r="R813" s="359"/>
      <c r="S813" s="359"/>
      <c r="T813" s="359"/>
      <c r="U813" s="359"/>
      <c r="V813" s="359"/>
      <c r="W813" s="359"/>
      <c r="X813" s="359"/>
      <c r="Y813" s="359"/>
      <c r="Z813" s="359"/>
      <c r="AA813" s="359"/>
      <c r="AB813" s="359"/>
      <c r="AC813" s="359"/>
      <c r="AD813" s="359"/>
      <c r="AE813" s="359"/>
      <c r="AF813" s="359"/>
      <c r="AG813" s="359"/>
      <c r="AH813" s="359"/>
      <c r="AI813" s="359"/>
      <c r="AJ813" s="359"/>
      <c r="AK813" s="359"/>
      <c r="AL813" s="359"/>
      <c r="AM813" s="359"/>
      <c r="AN813" s="359"/>
      <c r="AO813" s="349"/>
      <c r="AP813" s="349"/>
      <c r="AQ813" s="349"/>
      <c r="AR813" s="349"/>
      <c r="AS813" s="349"/>
      <c r="AT813" s="349"/>
      <c r="AU813" s="349"/>
      <c r="AV813" s="349"/>
      <c r="AW813" s="349"/>
      <c r="AX813" s="349"/>
    </row>
    <row r="814" ht="15.75" customHeight="1">
      <c r="A814" s="310" t="s">
        <v>331</v>
      </c>
      <c r="B814" s="315" t="s">
        <v>7500</v>
      </c>
      <c r="C814" s="190"/>
      <c r="D814" s="190"/>
      <c r="E814" s="190"/>
      <c r="F814" s="190"/>
      <c r="G814" s="354"/>
      <c r="H814" s="354"/>
      <c r="I814" s="354"/>
      <c r="J814" s="354"/>
      <c r="K814" s="354"/>
      <c r="L814" s="354"/>
      <c r="M814" s="354"/>
      <c r="N814" s="354"/>
      <c r="O814" s="354"/>
      <c r="P814" s="291"/>
      <c r="Q814" s="354"/>
      <c r="R814" s="354"/>
      <c r="S814" s="354"/>
      <c r="T814" s="354"/>
      <c r="U814" s="354"/>
      <c r="V814" s="354"/>
      <c r="W814" s="354"/>
      <c r="X814" s="354"/>
      <c r="Y814" s="354"/>
      <c r="Z814" s="354"/>
      <c r="AA814" s="354"/>
      <c r="AB814" s="354"/>
      <c r="AC814" s="354"/>
      <c r="AD814" s="354"/>
      <c r="AE814" s="354"/>
      <c r="AF814" s="354"/>
      <c r="AG814" s="354"/>
      <c r="AH814" s="354"/>
      <c r="AI814" s="354"/>
      <c r="AJ814" s="354"/>
      <c r="AK814" s="354"/>
      <c r="AL814" s="354"/>
      <c r="AM814" s="354"/>
      <c r="AN814" s="354"/>
      <c r="AO814" s="349"/>
      <c r="AP814" s="349"/>
      <c r="AQ814" s="349"/>
      <c r="AR814" s="349"/>
      <c r="AS814" s="349"/>
      <c r="AT814" s="349"/>
      <c r="AU814" s="349"/>
      <c r="AV814" s="349"/>
      <c r="AW814" s="349"/>
      <c r="AX814" s="349"/>
    </row>
    <row r="815" ht="15.75" customHeight="1">
      <c r="A815" s="305" t="s">
        <v>450</v>
      </c>
      <c r="B815" s="224" t="s">
        <v>7461</v>
      </c>
      <c r="C815" s="190" t="s">
        <v>4107</v>
      </c>
      <c r="D815" s="190"/>
      <c r="E815" s="190"/>
      <c r="F815" s="190"/>
      <c r="G815" s="362"/>
      <c r="H815" s="362"/>
      <c r="I815" s="362"/>
      <c r="J815" s="362"/>
      <c r="K815" s="362"/>
      <c r="L815" s="362"/>
      <c r="M815" s="362"/>
      <c r="N815" s="362"/>
      <c r="O815" s="362"/>
      <c r="P815" s="291"/>
      <c r="Q815" s="362"/>
      <c r="R815" s="362"/>
      <c r="S815" s="362"/>
      <c r="T815" s="362"/>
      <c r="U815" s="362"/>
      <c r="V815" s="362"/>
      <c r="W815" s="362"/>
      <c r="X815" s="362"/>
      <c r="Y815" s="362"/>
      <c r="Z815" s="362"/>
      <c r="AA815" s="362"/>
      <c r="AB815" s="362"/>
      <c r="AC815" s="362"/>
      <c r="AD815" s="362"/>
      <c r="AE815" s="362"/>
      <c r="AF815" s="362"/>
      <c r="AG815" s="362"/>
      <c r="AH815" s="362"/>
      <c r="AI815" s="362"/>
      <c r="AJ815" s="362"/>
      <c r="AK815" s="362"/>
      <c r="AL815" s="362"/>
      <c r="AM815" s="362"/>
      <c r="AN815" s="362"/>
      <c r="AO815" s="349"/>
      <c r="AP815" s="349"/>
      <c r="AQ815" s="349"/>
      <c r="AR815" s="349"/>
      <c r="AS815" s="349"/>
      <c r="AT815" s="349"/>
      <c r="AU815" s="349"/>
      <c r="AV815" s="349"/>
      <c r="AW815" s="349"/>
      <c r="AX815" s="349"/>
    </row>
    <row r="816" ht="15.75" customHeight="1">
      <c r="A816" s="221" t="s">
        <v>256</v>
      </c>
      <c r="B816" s="198" t="s">
        <v>7530</v>
      </c>
      <c r="C816" s="190"/>
      <c r="D816" s="190"/>
      <c r="E816" s="190"/>
      <c r="F816" s="190"/>
      <c r="G816" s="348"/>
      <c r="H816" s="348"/>
      <c r="I816" s="348"/>
      <c r="J816" s="348"/>
      <c r="K816" s="348"/>
      <c r="L816" s="348"/>
      <c r="M816" s="348"/>
      <c r="N816" s="348"/>
      <c r="O816" s="348"/>
      <c r="P816" s="291"/>
      <c r="Q816" s="348"/>
      <c r="R816" s="348"/>
      <c r="S816" s="348"/>
      <c r="T816" s="335" t="s">
        <v>260</v>
      </c>
      <c r="U816" s="348"/>
      <c r="V816" s="348"/>
      <c r="W816" s="348"/>
      <c r="X816" s="348"/>
      <c r="Y816" s="348"/>
      <c r="Z816" s="348"/>
      <c r="AA816" s="348"/>
      <c r="AB816" s="348"/>
      <c r="AC816" s="348"/>
      <c r="AD816" s="349"/>
      <c r="AE816" s="349"/>
      <c r="AF816" s="349"/>
      <c r="AG816" s="349"/>
      <c r="AH816" s="349"/>
      <c r="AI816" s="349"/>
      <c r="AJ816" s="349"/>
      <c r="AK816" s="349"/>
      <c r="AL816" s="349"/>
      <c r="AM816" s="349"/>
      <c r="AN816" s="349"/>
      <c r="AO816" s="349"/>
      <c r="AP816" s="349"/>
      <c r="AQ816" s="349"/>
      <c r="AR816" s="349"/>
      <c r="AS816" s="349"/>
      <c r="AT816" s="349"/>
      <c r="AU816" s="349"/>
      <c r="AV816" s="349"/>
      <c r="AW816" s="349"/>
      <c r="AX816" s="349"/>
    </row>
    <row r="817" ht="15.75" customHeight="1">
      <c r="A817" s="221" t="s">
        <v>112</v>
      </c>
      <c r="B817" s="198" t="s">
        <v>7531</v>
      </c>
      <c r="C817" s="190"/>
      <c r="D817" s="190"/>
      <c r="E817" s="190"/>
      <c r="F817" s="190"/>
      <c r="G817" s="348"/>
      <c r="H817" s="348"/>
      <c r="I817" s="348"/>
      <c r="J817" s="348"/>
      <c r="K817" s="348"/>
      <c r="L817" s="348"/>
      <c r="M817" s="348"/>
      <c r="N817" s="348"/>
      <c r="O817" s="348"/>
      <c r="P817" s="291"/>
      <c r="Q817" s="348"/>
      <c r="R817" s="348"/>
      <c r="S817" s="348"/>
      <c r="T817" s="335" t="s">
        <v>8193</v>
      </c>
      <c r="U817" s="348"/>
      <c r="V817" s="348"/>
      <c r="W817" s="348"/>
      <c r="X817" s="348"/>
      <c r="Y817" s="348"/>
      <c r="Z817" s="348"/>
      <c r="AA817" s="348"/>
      <c r="AB817" s="348"/>
      <c r="AC817" s="348"/>
      <c r="AD817" s="349"/>
      <c r="AE817" s="349"/>
      <c r="AF817" s="349"/>
      <c r="AG817" s="349"/>
      <c r="AH817" s="349"/>
      <c r="AI817" s="349"/>
      <c r="AJ817" s="349"/>
      <c r="AK817" s="349"/>
      <c r="AL817" s="349"/>
      <c r="AM817" s="349"/>
      <c r="AN817" s="349"/>
      <c r="AO817" s="349"/>
      <c r="AP817" s="349"/>
      <c r="AQ817" s="349"/>
      <c r="AR817" s="349"/>
      <c r="AS817" s="349"/>
      <c r="AT817" s="349"/>
      <c r="AU817" s="349"/>
      <c r="AV817" s="349"/>
      <c r="AW817" s="349"/>
      <c r="AX817" s="349"/>
    </row>
    <row r="818" ht="15.75" customHeight="1">
      <c r="A818" s="221" t="s">
        <v>256</v>
      </c>
      <c r="B818" s="198" t="s">
        <v>7532</v>
      </c>
      <c r="C818" s="190"/>
      <c r="D818" s="190"/>
      <c r="E818" s="190"/>
      <c r="F818" s="190"/>
      <c r="G818" s="348"/>
      <c r="H818" s="348"/>
      <c r="I818" s="348"/>
      <c r="J818" s="348"/>
      <c r="K818" s="348"/>
      <c r="L818" s="348"/>
      <c r="M818" s="348"/>
      <c r="N818" s="348"/>
      <c r="O818" s="348"/>
      <c r="P818" s="291"/>
      <c r="Q818" s="348"/>
      <c r="R818" s="348"/>
      <c r="S818" s="348"/>
      <c r="T818" s="335" t="s">
        <v>260</v>
      </c>
      <c r="U818" s="348"/>
      <c r="V818" s="348"/>
      <c r="W818" s="348"/>
      <c r="X818" s="348"/>
      <c r="Y818" s="348"/>
      <c r="Z818" s="348"/>
      <c r="AA818" s="348"/>
      <c r="AB818" s="348"/>
      <c r="AC818" s="348"/>
      <c r="AD818" s="349"/>
      <c r="AE818" s="349"/>
      <c r="AF818" s="349"/>
      <c r="AG818" s="349"/>
      <c r="AH818" s="349"/>
      <c r="AI818" s="349"/>
      <c r="AJ818" s="349"/>
      <c r="AK818" s="349"/>
      <c r="AL818" s="349"/>
      <c r="AM818" s="349"/>
      <c r="AN818" s="349"/>
      <c r="AO818" s="349"/>
      <c r="AP818" s="349"/>
      <c r="AQ818" s="349"/>
      <c r="AR818" s="349"/>
      <c r="AS818" s="349"/>
      <c r="AT818" s="349"/>
      <c r="AU818" s="349"/>
      <c r="AV818" s="349"/>
      <c r="AW818" s="349"/>
      <c r="AX818" s="349"/>
    </row>
    <row r="819" ht="15.75" customHeight="1">
      <c r="A819" s="297" t="s">
        <v>46</v>
      </c>
      <c r="B819" s="298" t="s">
        <v>7533</v>
      </c>
      <c r="C819" s="190" t="s">
        <v>7537</v>
      </c>
      <c r="D819" s="190" t="s">
        <v>7538</v>
      </c>
      <c r="E819" s="190" t="s">
        <v>7539</v>
      </c>
      <c r="F819" s="190"/>
      <c r="G819" s="293"/>
      <c r="H819" s="293"/>
      <c r="I819" s="351"/>
      <c r="J819" s="351"/>
      <c r="K819" s="351"/>
      <c r="L819" s="351"/>
      <c r="M819" s="351"/>
      <c r="N819" s="351"/>
      <c r="O819" s="351"/>
      <c r="P819" s="291"/>
      <c r="Q819" s="351"/>
      <c r="R819" s="351"/>
      <c r="S819" s="351"/>
      <c r="T819" s="351"/>
      <c r="U819" s="351"/>
      <c r="V819" s="351"/>
      <c r="W819" s="351"/>
      <c r="X819" s="351"/>
      <c r="Y819" s="351"/>
      <c r="Z819" s="351"/>
      <c r="AA819" s="351"/>
      <c r="AB819" s="351"/>
      <c r="AC819" s="351"/>
      <c r="AD819" s="349"/>
      <c r="AE819" s="349"/>
      <c r="AF819" s="349"/>
      <c r="AG819" s="349"/>
      <c r="AH819" s="349"/>
      <c r="AI819" s="349"/>
      <c r="AJ819" s="349"/>
      <c r="AK819" s="349"/>
      <c r="AL819" s="351"/>
      <c r="AM819" s="351"/>
      <c r="AN819" s="351"/>
      <c r="AO819" s="349"/>
      <c r="AP819" s="349"/>
      <c r="AQ819" s="349"/>
      <c r="AR819" s="349"/>
      <c r="AS819" s="349"/>
      <c r="AT819" s="349"/>
      <c r="AU819" s="349"/>
      <c r="AV819" s="349"/>
      <c r="AW819" s="349"/>
      <c r="AX819" s="349"/>
    </row>
    <row r="820" ht="15.75" customHeight="1">
      <c r="A820" s="299" t="s">
        <v>2456</v>
      </c>
      <c r="B820" s="300" t="s">
        <v>7540</v>
      </c>
      <c r="C820" s="190" t="s">
        <v>7544</v>
      </c>
      <c r="D820" s="190" t="s">
        <v>7545</v>
      </c>
      <c r="E820" s="190" t="s">
        <v>7546</v>
      </c>
      <c r="F820" s="190"/>
      <c r="G820" s="293"/>
      <c r="H820" s="293"/>
      <c r="I820" s="356"/>
      <c r="J820" s="355"/>
      <c r="K820" s="356"/>
      <c r="L820" s="356"/>
      <c r="M820" s="356"/>
      <c r="N820" s="356"/>
      <c r="O820" s="356"/>
      <c r="P820" s="291"/>
      <c r="Q820" s="291" t="s">
        <v>307</v>
      </c>
      <c r="R820" s="356"/>
      <c r="S820" s="356"/>
      <c r="T820" s="356"/>
      <c r="U820" s="356"/>
      <c r="V820" s="356"/>
      <c r="W820" s="356"/>
      <c r="X820" s="356"/>
      <c r="Y820" s="356"/>
      <c r="Z820" s="356"/>
      <c r="AA820" s="356"/>
      <c r="AB820" s="356"/>
      <c r="AC820" s="356"/>
      <c r="AD820" s="349"/>
      <c r="AE820" s="349"/>
      <c r="AF820" s="349"/>
      <c r="AG820" s="349"/>
      <c r="AH820" s="349"/>
      <c r="AI820" s="349"/>
      <c r="AJ820" s="349"/>
      <c r="AK820" s="349"/>
      <c r="AL820" s="351"/>
      <c r="AM820" s="351"/>
      <c r="AN820" s="351"/>
      <c r="AO820" s="349"/>
      <c r="AP820" s="349"/>
      <c r="AQ820" s="349"/>
      <c r="AR820" s="349"/>
      <c r="AS820" s="349"/>
      <c r="AT820" s="349"/>
      <c r="AU820" s="349"/>
      <c r="AV820" s="349"/>
      <c r="AW820" s="349"/>
      <c r="AX820" s="349"/>
    </row>
    <row r="821" ht="15.75" customHeight="1">
      <c r="A821" s="306" t="s">
        <v>247</v>
      </c>
      <c r="B821" s="307" t="s">
        <v>7547</v>
      </c>
      <c r="C821" s="190" t="s">
        <v>7552</v>
      </c>
      <c r="D821" s="190" t="s">
        <v>7553</v>
      </c>
      <c r="E821" s="190" t="s">
        <v>7554</v>
      </c>
      <c r="F821" s="190"/>
      <c r="G821" s="293"/>
      <c r="H821" s="293"/>
      <c r="I821" s="359"/>
      <c r="J821" s="359"/>
      <c r="K821" s="369"/>
      <c r="L821" s="369"/>
      <c r="M821" s="359"/>
      <c r="N821" s="359"/>
      <c r="O821" s="361" t="s">
        <v>8194</v>
      </c>
      <c r="P821" s="291"/>
      <c r="Q821" s="361" t="s">
        <v>307</v>
      </c>
      <c r="R821" s="359"/>
      <c r="S821" s="359"/>
      <c r="T821" s="359"/>
      <c r="U821" s="359"/>
      <c r="V821" s="359"/>
      <c r="W821" s="359"/>
      <c r="X821" s="359"/>
      <c r="Y821" s="359"/>
      <c r="Z821" s="359"/>
      <c r="AA821" s="359"/>
      <c r="AB821" s="359"/>
      <c r="AC821" s="359"/>
      <c r="AD821" s="349"/>
      <c r="AE821" s="349"/>
      <c r="AF821" s="349"/>
      <c r="AG821" s="349"/>
      <c r="AH821" s="349"/>
      <c r="AI821" s="349"/>
      <c r="AJ821" s="349"/>
      <c r="AK821" s="349"/>
      <c r="AL821" s="351"/>
      <c r="AM821" s="351"/>
      <c r="AN821" s="351"/>
      <c r="AO821" s="349"/>
      <c r="AP821" s="349"/>
      <c r="AQ821" s="349"/>
      <c r="AR821" s="349"/>
      <c r="AS821" s="349"/>
      <c r="AT821" s="349"/>
      <c r="AU821" s="349"/>
      <c r="AV821" s="349"/>
      <c r="AW821" s="349"/>
      <c r="AX821" s="349"/>
    </row>
    <row r="822" ht="15.75" customHeight="1">
      <c r="A822" s="306" t="s">
        <v>247</v>
      </c>
      <c r="B822" s="307" t="s">
        <v>7555</v>
      </c>
      <c r="C822" s="190" t="s">
        <v>7559</v>
      </c>
      <c r="D822" s="190" t="s">
        <v>7560</v>
      </c>
      <c r="E822" s="190" t="s">
        <v>7561</v>
      </c>
      <c r="F822" s="190"/>
      <c r="G822" s="293"/>
      <c r="H822" s="293"/>
      <c r="I822" s="359"/>
      <c r="J822" s="359"/>
      <c r="K822" s="369"/>
      <c r="L822" s="369"/>
      <c r="M822" s="359"/>
      <c r="N822" s="359"/>
      <c r="O822" s="359"/>
      <c r="P822" s="291"/>
      <c r="Q822" s="361" t="s">
        <v>307</v>
      </c>
      <c r="R822" s="359"/>
      <c r="S822" s="359"/>
      <c r="T822" s="359"/>
      <c r="U822" s="359"/>
      <c r="V822" s="359"/>
      <c r="W822" s="359"/>
      <c r="X822" s="359"/>
      <c r="Y822" s="359"/>
      <c r="Z822" s="359"/>
      <c r="AA822" s="359"/>
      <c r="AB822" s="359"/>
      <c r="AC822" s="359"/>
      <c r="AD822" s="349"/>
      <c r="AE822" s="349"/>
      <c r="AF822" s="349"/>
      <c r="AG822" s="349"/>
      <c r="AH822" s="349"/>
      <c r="AI822" s="349"/>
      <c r="AJ822" s="349"/>
      <c r="AK822" s="349"/>
      <c r="AL822" s="351"/>
      <c r="AM822" s="351"/>
      <c r="AN822" s="351"/>
      <c r="AO822" s="349"/>
      <c r="AP822" s="349"/>
      <c r="AQ822" s="349"/>
      <c r="AR822" s="349"/>
      <c r="AS822" s="349"/>
      <c r="AT822" s="349"/>
      <c r="AU822" s="349"/>
      <c r="AV822" s="349"/>
      <c r="AW822" s="349"/>
      <c r="AX822" s="349"/>
    </row>
    <row r="823" ht="15.75" customHeight="1">
      <c r="A823" s="299" t="s">
        <v>2456</v>
      </c>
      <c r="B823" s="300" t="s">
        <v>7562</v>
      </c>
      <c r="C823" s="190" t="s">
        <v>7567</v>
      </c>
      <c r="D823" s="190" t="s">
        <v>7568</v>
      </c>
      <c r="E823" s="190" t="s">
        <v>7569</v>
      </c>
      <c r="F823" s="190"/>
      <c r="G823" s="293"/>
      <c r="H823" s="293"/>
      <c r="I823" s="356"/>
      <c r="J823" s="355"/>
      <c r="K823" s="356"/>
      <c r="L823" s="356"/>
      <c r="M823" s="356"/>
      <c r="N823" s="356"/>
      <c r="O823" s="291" t="s">
        <v>8195</v>
      </c>
      <c r="P823" s="291"/>
      <c r="Q823" s="291" t="s">
        <v>307</v>
      </c>
      <c r="R823" s="356"/>
      <c r="S823" s="356"/>
      <c r="T823" s="356"/>
      <c r="U823" s="356"/>
      <c r="V823" s="356"/>
      <c r="W823" s="356"/>
      <c r="X823" s="356"/>
      <c r="Y823" s="356"/>
      <c r="Z823" s="356"/>
      <c r="AA823" s="356"/>
      <c r="AB823" s="356"/>
      <c r="AC823" s="356"/>
      <c r="AD823" s="351"/>
      <c r="AE823" s="351"/>
      <c r="AF823" s="351"/>
      <c r="AG823" s="351"/>
      <c r="AH823" s="351"/>
      <c r="AI823" s="351"/>
      <c r="AJ823" s="351"/>
      <c r="AK823" s="351"/>
      <c r="AL823" s="351"/>
      <c r="AM823" s="351"/>
      <c r="AN823" s="351"/>
      <c r="AO823" s="349"/>
      <c r="AP823" s="349"/>
      <c r="AQ823" s="349"/>
      <c r="AR823" s="349"/>
      <c r="AS823" s="349"/>
      <c r="AT823" s="349"/>
      <c r="AU823" s="349"/>
      <c r="AV823" s="349"/>
      <c r="AW823" s="349"/>
      <c r="AX823" s="349"/>
    </row>
    <row r="824" ht="15.75" customHeight="1">
      <c r="A824" s="299" t="s">
        <v>1060</v>
      </c>
      <c r="B824" s="300" t="s">
        <v>7570</v>
      </c>
      <c r="C824" s="190" t="s">
        <v>7574</v>
      </c>
      <c r="D824" s="190" t="s">
        <v>7575</v>
      </c>
      <c r="E824" s="190" t="s">
        <v>7576</v>
      </c>
      <c r="F824" s="190"/>
      <c r="G824" s="293"/>
      <c r="H824" s="293"/>
      <c r="I824" s="356"/>
      <c r="J824" s="355"/>
      <c r="K824" s="356"/>
      <c r="L824" s="356"/>
      <c r="M824" s="356"/>
      <c r="N824" s="356"/>
      <c r="O824" s="356"/>
      <c r="P824" s="291"/>
      <c r="Q824" s="291" t="s">
        <v>307</v>
      </c>
      <c r="R824" s="356"/>
      <c r="S824" s="356"/>
      <c r="T824" s="356"/>
      <c r="U824" s="356"/>
      <c r="V824" s="356"/>
      <c r="W824" s="356"/>
      <c r="X824" s="356"/>
      <c r="Y824" s="356"/>
      <c r="Z824" s="356"/>
      <c r="AA824" s="356"/>
      <c r="AB824" s="356"/>
      <c r="AC824" s="356"/>
      <c r="AD824" s="351"/>
      <c r="AE824" s="351"/>
      <c r="AF824" s="351"/>
      <c r="AG824" s="351"/>
      <c r="AH824" s="351"/>
      <c r="AI824" s="351"/>
      <c r="AJ824" s="351"/>
      <c r="AK824" s="351"/>
      <c r="AL824" s="351"/>
      <c r="AM824" s="351"/>
      <c r="AN824" s="351"/>
      <c r="AO824" s="349"/>
      <c r="AP824" s="349"/>
      <c r="AQ824" s="349"/>
      <c r="AR824" s="349"/>
      <c r="AS824" s="349"/>
      <c r="AT824" s="349"/>
      <c r="AU824" s="349"/>
      <c r="AV824" s="349"/>
      <c r="AW824" s="349"/>
      <c r="AX824" s="349"/>
    </row>
    <row r="825" ht="15.75" customHeight="1">
      <c r="A825" s="299" t="s">
        <v>2456</v>
      </c>
      <c r="B825" s="300" t="s">
        <v>7577</v>
      </c>
      <c r="C825" s="190" t="s">
        <v>7581</v>
      </c>
      <c r="D825" s="190" t="s">
        <v>7582</v>
      </c>
      <c r="E825" s="190" t="s">
        <v>7583</v>
      </c>
      <c r="F825" s="190"/>
      <c r="G825" s="293"/>
      <c r="H825" s="293"/>
      <c r="I825" s="356"/>
      <c r="J825" s="355"/>
      <c r="K825" s="356"/>
      <c r="L825" s="356"/>
      <c r="M825" s="356"/>
      <c r="N825" s="356"/>
      <c r="O825" s="291" t="s">
        <v>8196</v>
      </c>
      <c r="P825" s="291"/>
      <c r="Q825" s="291" t="s">
        <v>307</v>
      </c>
      <c r="R825" s="356"/>
      <c r="S825" s="356"/>
      <c r="T825" s="356"/>
      <c r="U825" s="356"/>
      <c r="V825" s="356"/>
      <c r="W825" s="356"/>
      <c r="X825" s="356"/>
      <c r="Y825" s="356"/>
      <c r="Z825" s="356"/>
      <c r="AA825" s="356"/>
      <c r="AB825" s="356"/>
      <c r="AC825" s="356"/>
      <c r="AD825" s="351"/>
      <c r="AE825" s="351"/>
      <c r="AF825" s="351"/>
      <c r="AG825" s="351"/>
      <c r="AH825" s="351"/>
      <c r="AI825" s="351"/>
      <c r="AJ825" s="351"/>
      <c r="AK825" s="351"/>
      <c r="AL825" s="351"/>
      <c r="AM825" s="351"/>
      <c r="AN825" s="351"/>
      <c r="AO825" s="349"/>
      <c r="AP825" s="349"/>
      <c r="AQ825" s="349"/>
      <c r="AR825" s="349"/>
      <c r="AS825" s="349"/>
      <c r="AT825" s="349"/>
      <c r="AU825" s="349"/>
      <c r="AV825" s="349"/>
      <c r="AW825" s="349"/>
      <c r="AX825" s="349"/>
    </row>
    <row r="826" ht="15.75" customHeight="1">
      <c r="A826" s="221" t="s">
        <v>256</v>
      </c>
      <c r="B826" s="198" t="s">
        <v>7585</v>
      </c>
      <c r="C826" s="190"/>
      <c r="D826" s="190"/>
      <c r="E826" s="190"/>
      <c r="F826" s="190"/>
      <c r="G826" s="348"/>
      <c r="H826" s="348"/>
      <c r="I826" s="348"/>
      <c r="J826" s="348"/>
      <c r="K826" s="348"/>
      <c r="L826" s="348"/>
      <c r="M826" s="348"/>
      <c r="N826" s="348"/>
      <c r="O826" s="348"/>
      <c r="P826" s="291"/>
      <c r="Q826" s="348"/>
      <c r="R826" s="348"/>
      <c r="S826" s="348"/>
      <c r="T826" s="335" t="s">
        <v>260</v>
      </c>
      <c r="U826" s="348"/>
      <c r="V826" s="348"/>
      <c r="W826" s="348"/>
      <c r="X826" s="348"/>
      <c r="Y826" s="348"/>
      <c r="Z826" s="348"/>
      <c r="AA826" s="348"/>
      <c r="AB826" s="348"/>
      <c r="AC826" s="348"/>
      <c r="AD826" s="349"/>
      <c r="AE826" s="349"/>
      <c r="AF826" s="349"/>
      <c r="AG826" s="349"/>
      <c r="AH826" s="349"/>
      <c r="AI826" s="349"/>
      <c r="AJ826" s="349"/>
      <c r="AK826" s="349"/>
      <c r="AL826" s="349"/>
      <c r="AM826" s="349"/>
      <c r="AN826" s="349"/>
      <c r="AO826" s="349"/>
      <c r="AP826" s="349"/>
      <c r="AQ826" s="349"/>
      <c r="AR826" s="349"/>
      <c r="AS826" s="349"/>
      <c r="AT826" s="349"/>
      <c r="AU826" s="349"/>
      <c r="AV826" s="349"/>
      <c r="AW826" s="349"/>
      <c r="AX826" s="349"/>
    </row>
    <row r="827" ht="15.75" customHeight="1">
      <c r="A827" s="221" t="s">
        <v>112</v>
      </c>
      <c r="B827" s="198" t="s">
        <v>7586</v>
      </c>
      <c r="C827" s="190"/>
      <c r="D827" s="190"/>
      <c r="E827" s="190"/>
      <c r="F827" s="190"/>
      <c r="G827" s="348"/>
      <c r="H827" s="348"/>
      <c r="I827" s="348"/>
      <c r="J827" s="348"/>
      <c r="K827" s="348"/>
      <c r="L827" s="348"/>
      <c r="M827" s="348"/>
      <c r="N827" s="348"/>
      <c r="O827" s="348"/>
      <c r="P827" s="291"/>
      <c r="Q827" s="348"/>
      <c r="R827" s="348"/>
      <c r="S827" s="348"/>
      <c r="T827" s="335" t="s">
        <v>8197</v>
      </c>
      <c r="U827" s="348"/>
      <c r="V827" s="348"/>
      <c r="W827" s="348"/>
      <c r="X827" s="348"/>
      <c r="Y827" s="348"/>
      <c r="Z827" s="348"/>
      <c r="AA827" s="348"/>
      <c r="AB827" s="348"/>
      <c r="AC827" s="348"/>
      <c r="AD827" s="349"/>
      <c r="AE827" s="349"/>
      <c r="AF827" s="349"/>
      <c r="AG827" s="349"/>
      <c r="AH827" s="349"/>
      <c r="AI827" s="349"/>
      <c r="AJ827" s="349"/>
      <c r="AK827" s="349"/>
      <c r="AL827" s="349"/>
      <c r="AM827" s="349"/>
      <c r="AN827" s="349"/>
      <c r="AO827" s="349"/>
      <c r="AP827" s="349"/>
      <c r="AQ827" s="349"/>
      <c r="AR827" s="349"/>
      <c r="AS827" s="349"/>
      <c r="AT827" s="349"/>
      <c r="AU827" s="349"/>
      <c r="AV827" s="349"/>
      <c r="AW827" s="349"/>
      <c r="AX827" s="349"/>
    </row>
    <row r="828" ht="15.75" customHeight="1">
      <c r="A828" s="221" t="s">
        <v>256</v>
      </c>
      <c r="B828" s="198" t="s">
        <v>7587</v>
      </c>
      <c r="C828" s="190"/>
      <c r="D828" s="190"/>
      <c r="E828" s="190"/>
      <c r="F828" s="190"/>
      <c r="G828" s="348"/>
      <c r="H828" s="348"/>
      <c r="I828" s="348"/>
      <c r="J828" s="348"/>
      <c r="K828" s="348"/>
      <c r="L828" s="348"/>
      <c r="M828" s="348"/>
      <c r="N828" s="348"/>
      <c r="O828" s="348"/>
      <c r="P828" s="291"/>
      <c r="Q828" s="348"/>
      <c r="R828" s="348"/>
      <c r="S828" s="348"/>
      <c r="T828" s="335" t="s">
        <v>260</v>
      </c>
      <c r="U828" s="348"/>
      <c r="V828" s="348"/>
      <c r="W828" s="348"/>
      <c r="X828" s="348"/>
      <c r="Y828" s="348"/>
      <c r="Z828" s="348"/>
      <c r="AA828" s="348"/>
      <c r="AB828" s="348"/>
      <c r="AC828" s="348"/>
      <c r="AD828" s="349"/>
      <c r="AE828" s="349"/>
      <c r="AF828" s="349"/>
      <c r="AG828" s="349"/>
      <c r="AH828" s="349"/>
      <c r="AI828" s="349"/>
      <c r="AJ828" s="349"/>
      <c r="AK828" s="349"/>
      <c r="AL828" s="349"/>
      <c r="AM828" s="349"/>
      <c r="AN828" s="349"/>
      <c r="AO828" s="349"/>
      <c r="AP828" s="349"/>
      <c r="AQ828" s="349"/>
      <c r="AR828" s="349"/>
      <c r="AS828" s="349"/>
      <c r="AT828" s="349"/>
      <c r="AU828" s="349"/>
      <c r="AV828" s="349"/>
      <c r="AW828" s="349"/>
      <c r="AX828" s="349"/>
    </row>
    <row r="829" ht="15.75" customHeight="1">
      <c r="A829" s="297" t="s">
        <v>46</v>
      </c>
      <c r="B829" s="298" t="s">
        <v>7588</v>
      </c>
      <c r="C829" s="190" t="s">
        <v>7592</v>
      </c>
      <c r="D829" s="190" t="s">
        <v>7593</v>
      </c>
      <c r="E829" s="190" t="s">
        <v>7594</v>
      </c>
      <c r="F829" s="190"/>
      <c r="G829" s="293"/>
      <c r="H829" s="293"/>
      <c r="I829" s="351"/>
      <c r="J829" s="351"/>
      <c r="K829" s="351"/>
      <c r="L829" s="351"/>
      <c r="M829" s="351"/>
      <c r="N829" s="351"/>
      <c r="O829" s="351"/>
      <c r="P829" s="291"/>
      <c r="Q829" s="351"/>
      <c r="R829" s="351"/>
      <c r="S829" s="351"/>
      <c r="T829" s="351"/>
      <c r="U829" s="351"/>
      <c r="V829" s="351"/>
      <c r="W829" s="351"/>
      <c r="X829" s="351"/>
      <c r="Y829" s="351"/>
      <c r="Z829" s="351"/>
      <c r="AA829" s="351"/>
      <c r="AB829" s="351"/>
      <c r="AC829" s="351"/>
      <c r="AD829" s="351"/>
      <c r="AE829" s="351"/>
      <c r="AF829" s="351"/>
      <c r="AG829" s="351"/>
      <c r="AH829" s="351"/>
      <c r="AI829" s="351"/>
      <c r="AJ829" s="351"/>
      <c r="AK829" s="351"/>
      <c r="AL829" s="351"/>
      <c r="AM829" s="351"/>
      <c r="AN829" s="351"/>
      <c r="AO829" s="349"/>
      <c r="AP829" s="349"/>
      <c r="AQ829" s="349"/>
      <c r="AR829" s="349"/>
      <c r="AS829" s="349"/>
      <c r="AT829" s="349"/>
      <c r="AU829" s="349"/>
      <c r="AV829" s="349"/>
      <c r="AW829" s="349"/>
      <c r="AX829" s="349"/>
    </row>
    <row r="830" ht="15.75" customHeight="1">
      <c r="A830" s="299" t="s">
        <v>2456</v>
      </c>
      <c r="B830" s="300" t="s">
        <v>7596</v>
      </c>
      <c r="C830" s="190" t="s">
        <v>7600</v>
      </c>
      <c r="D830" s="190" t="s">
        <v>7601</v>
      </c>
      <c r="E830" s="190" t="s">
        <v>7602</v>
      </c>
      <c r="F830" s="190"/>
      <c r="G830" s="293"/>
      <c r="H830" s="293"/>
      <c r="I830" s="356"/>
      <c r="J830" s="355"/>
      <c r="K830" s="356"/>
      <c r="L830" s="356"/>
      <c r="M830" s="356"/>
      <c r="N830" s="356"/>
      <c r="O830" s="356"/>
      <c r="P830" s="291"/>
      <c r="Q830" s="291" t="s">
        <v>307</v>
      </c>
      <c r="R830" s="356"/>
      <c r="S830" s="356"/>
      <c r="T830" s="356"/>
      <c r="U830" s="356"/>
      <c r="V830" s="356"/>
      <c r="W830" s="356"/>
      <c r="X830" s="356"/>
      <c r="Y830" s="356"/>
      <c r="Z830" s="356"/>
      <c r="AA830" s="356"/>
      <c r="AB830" s="356"/>
      <c r="AC830" s="356"/>
      <c r="AD830" s="356"/>
      <c r="AE830" s="356"/>
      <c r="AF830" s="356"/>
      <c r="AG830" s="356"/>
      <c r="AH830" s="356"/>
      <c r="AI830" s="356"/>
      <c r="AJ830" s="356"/>
      <c r="AK830" s="356"/>
      <c r="AL830" s="356"/>
      <c r="AM830" s="356"/>
      <c r="AN830" s="356"/>
      <c r="AO830" s="349"/>
      <c r="AP830" s="349"/>
      <c r="AQ830" s="349"/>
      <c r="AR830" s="349"/>
      <c r="AS830" s="349"/>
      <c r="AT830" s="349"/>
      <c r="AU830" s="349"/>
      <c r="AV830" s="349"/>
      <c r="AW830" s="349"/>
      <c r="AX830" s="349"/>
    </row>
    <row r="831" ht="15.75" customHeight="1">
      <c r="A831" s="306" t="s">
        <v>247</v>
      </c>
      <c r="B831" s="307" t="s">
        <v>7603</v>
      </c>
      <c r="C831" s="190" t="s">
        <v>7608</v>
      </c>
      <c r="D831" s="190" t="s">
        <v>7609</v>
      </c>
      <c r="E831" s="190" t="s">
        <v>7610</v>
      </c>
      <c r="F831" s="190"/>
      <c r="G831" s="293"/>
      <c r="H831" s="293"/>
      <c r="I831" s="359"/>
      <c r="J831" s="359"/>
      <c r="K831" s="360" t="s">
        <v>8066</v>
      </c>
      <c r="L831" s="369"/>
      <c r="M831" s="359"/>
      <c r="N831" s="359"/>
      <c r="O831" s="361" t="s">
        <v>8198</v>
      </c>
      <c r="P831" s="291"/>
      <c r="Q831" s="361" t="s">
        <v>307</v>
      </c>
      <c r="R831" s="359"/>
      <c r="S831" s="359"/>
      <c r="T831" s="359"/>
      <c r="U831" s="359"/>
      <c r="V831" s="359"/>
      <c r="W831" s="359"/>
      <c r="X831" s="359"/>
      <c r="Y831" s="359"/>
      <c r="Z831" s="359"/>
      <c r="AA831" s="359"/>
      <c r="AB831" s="359"/>
      <c r="AC831" s="359"/>
      <c r="AD831" s="359"/>
      <c r="AE831" s="359"/>
      <c r="AF831" s="359"/>
      <c r="AG831" s="359"/>
      <c r="AH831" s="359"/>
      <c r="AI831" s="359"/>
      <c r="AJ831" s="359"/>
      <c r="AK831" s="359"/>
      <c r="AL831" s="359"/>
      <c r="AM831" s="359"/>
      <c r="AN831" s="359"/>
      <c r="AO831" s="349"/>
      <c r="AP831" s="349"/>
      <c r="AQ831" s="349"/>
      <c r="AR831" s="349"/>
      <c r="AS831" s="349"/>
      <c r="AT831" s="349"/>
      <c r="AU831" s="349"/>
      <c r="AV831" s="349"/>
      <c r="AW831" s="349"/>
      <c r="AX831" s="349"/>
    </row>
    <row r="832" ht="15.75" customHeight="1">
      <c r="A832" s="299" t="s">
        <v>2456</v>
      </c>
      <c r="B832" s="300" t="s">
        <v>7611</v>
      </c>
      <c r="C832" s="190" t="s">
        <v>7615</v>
      </c>
      <c r="D832" s="190" t="s">
        <v>7616</v>
      </c>
      <c r="E832" s="190" t="s">
        <v>7617</v>
      </c>
      <c r="F832" s="190"/>
      <c r="G832" s="293"/>
      <c r="H832" s="293"/>
      <c r="I832" s="356"/>
      <c r="J832" s="355"/>
      <c r="K832" s="356"/>
      <c r="L832" s="356"/>
      <c r="M832" s="356"/>
      <c r="N832" s="356"/>
      <c r="O832" s="356"/>
      <c r="P832" s="291"/>
      <c r="Q832" s="291" t="s">
        <v>307</v>
      </c>
      <c r="R832" s="356"/>
      <c r="S832" s="356"/>
      <c r="T832" s="356"/>
      <c r="U832" s="356"/>
      <c r="V832" s="356"/>
      <c r="W832" s="356"/>
      <c r="X832" s="356"/>
      <c r="Y832" s="356"/>
      <c r="Z832" s="356"/>
      <c r="AA832" s="356"/>
      <c r="AB832" s="356"/>
      <c r="AC832" s="356"/>
      <c r="AD832" s="356"/>
      <c r="AE832" s="356"/>
      <c r="AF832" s="356"/>
      <c r="AG832" s="356"/>
      <c r="AH832" s="356"/>
      <c r="AI832" s="356"/>
      <c r="AJ832" s="356"/>
      <c r="AK832" s="356"/>
      <c r="AL832" s="356"/>
      <c r="AM832" s="356"/>
      <c r="AN832" s="356"/>
      <c r="AO832" s="349"/>
      <c r="AP832" s="349"/>
      <c r="AQ832" s="349"/>
      <c r="AR832" s="349"/>
      <c r="AS832" s="349"/>
      <c r="AT832" s="349"/>
      <c r="AU832" s="349"/>
      <c r="AV832" s="349"/>
      <c r="AW832" s="349"/>
      <c r="AX832" s="349"/>
    </row>
    <row r="833" ht="15.75" customHeight="1">
      <c r="A833" s="306" t="s">
        <v>247</v>
      </c>
      <c r="B833" s="307" t="s">
        <v>7618</v>
      </c>
      <c r="C833" s="190" t="s">
        <v>7623</v>
      </c>
      <c r="D833" s="190" t="s">
        <v>7624</v>
      </c>
      <c r="E833" s="190" t="s">
        <v>7625</v>
      </c>
      <c r="F833" s="190"/>
      <c r="G833" s="293"/>
      <c r="H833" s="293"/>
      <c r="I833" s="359"/>
      <c r="J833" s="359"/>
      <c r="K833" s="360" t="s">
        <v>8066</v>
      </c>
      <c r="L833" s="369"/>
      <c r="M833" s="359"/>
      <c r="N833" s="359"/>
      <c r="O833" s="361" t="s">
        <v>8199</v>
      </c>
      <c r="P833" s="291"/>
      <c r="Q833" s="361" t="s">
        <v>307</v>
      </c>
      <c r="R833" s="359"/>
      <c r="S833" s="359"/>
      <c r="T833" s="359"/>
      <c r="U833" s="359"/>
      <c r="V833" s="359"/>
      <c r="W833" s="359"/>
      <c r="X833" s="359"/>
      <c r="Y833" s="359"/>
      <c r="Z833" s="359"/>
      <c r="AA833" s="359"/>
      <c r="AB833" s="359"/>
      <c r="AC833" s="359"/>
      <c r="AD833" s="359"/>
      <c r="AE833" s="359"/>
      <c r="AF833" s="359"/>
      <c r="AG833" s="359"/>
      <c r="AH833" s="359"/>
      <c r="AI833" s="359"/>
      <c r="AJ833" s="359"/>
      <c r="AK833" s="359"/>
      <c r="AL833" s="359"/>
      <c r="AM833" s="359"/>
      <c r="AN833" s="359"/>
      <c r="AO833" s="349"/>
      <c r="AP833" s="349"/>
      <c r="AQ833" s="349"/>
      <c r="AR833" s="349"/>
      <c r="AS833" s="349"/>
      <c r="AT833" s="349"/>
      <c r="AU833" s="349"/>
      <c r="AV833" s="349"/>
      <c r="AW833" s="349"/>
      <c r="AX833" s="349"/>
    </row>
    <row r="834" ht="15.75" customHeight="1">
      <c r="A834" s="306" t="s">
        <v>247</v>
      </c>
      <c r="B834" s="307" t="s">
        <v>7626</v>
      </c>
      <c r="C834" s="190" t="s">
        <v>7630</v>
      </c>
      <c r="D834" s="190" t="s">
        <v>7631</v>
      </c>
      <c r="E834" s="190" t="s">
        <v>7632</v>
      </c>
      <c r="F834" s="190"/>
      <c r="G834" s="293"/>
      <c r="H834" s="293"/>
      <c r="I834" s="359"/>
      <c r="J834" s="359"/>
      <c r="K834" s="360" t="s">
        <v>8066</v>
      </c>
      <c r="L834" s="369"/>
      <c r="M834" s="359"/>
      <c r="N834" s="359"/>
      <c r="O834" s="359"/>
      <c r="P834" s="291"/>
      <c r="Q834" s="361" t="s">
        <v>307</v>
      </c>
      <c r="R834" s="359"/>
      <c r="S834" s="359"/>
      <c r="T834" s="359"/>
      <c r="U834" s="359"/>
      <c r="V834" s="359"/>
      <c r="W834" s="359"/>
      <c r="X834" s="359"/>
      <c r="Y834" s="359"/>
      <c r="Z834" s="359"/>
      <c r="AA834" s="359"/>
      <c r="AB834" s="359"/>
      <c r="AC834" s="359"/>
      <c r="AD834" s="359"/>
      <c r="AE834" s="359"/>
      <c r="AF834" s="359"/>
      <c r="AG834" s="359"/>
      <c r="AH834" s="359"/>
      <c r="AI834" s="359"/>
      <c r="AJ834" s="359"/>
      <c r="AK834" s="359"/>
      <c r="AL834" s="359"/>
      <c r="AM834" s="359"/>
      <c r="AN834" s="359"/>
      <c r="AO834" s="349"/>
      <c r="AP834" s="349"/>
      <c r="AQ834" s="349"/>
      <c r="AR834" s="349"/>
      <c r="AS834" s="349"/>
      <c r="AT834" s="349"/>
      <c r="AU834" s="349"/>
      <c r="AV834" s="349"/>
      <c r="AW834" s="349"/>
      <c r="AX834" s="349"/>
    </row>
    <row r="835" ht="15.75" customHeight="1">
      <c r="A835" s="299" t="s">
        <v>2456</v>
      </c>
      <c r="B835" s="300" t="s">
        <v>7633</v>
      </c>
      <c r="C835" s="190" t="s">
        <v>7638</v>
      </c>
      <c r="D835" s="190" t="s">
        <v>7639</v>
      </c>
      <c r="E835" s="190" t="s">
        <v>7640</v>
      </c>
      <c r="F835" s="190"/>
      <c r="G835" s="293"/>
      <c r="H835" s="293"/>
      <c r="I835" s="356"/>
      <c r="J835" s="355"/>
      <c r="K835" s="356"/>
      <c r="L835" s="356"/>
      <c r="M835" s="356"/>
      <c r="N835" s="356"/>
      <c r="O835" s="356"/>
      <c r="P835" s="291"/>
      <c r="Q835" s="291" t="s">
        <v>307</v>
      </c>
      <c r="R835" s="356"/>
      <c r="S835" s="356"/>
      <c r="T835" s="356"/>
      <c r="U835" s="356"/>
      <c r="V835" s="356"/>
      <c r="W835" s="356"/>
      <c r="X835" s="356"/>
      <c r="Y835" s="356"/>
      <c r="Z835" s="356"/>
      <c r="AA835" s="356"/>
      <c r="AB835" s="356"/>
      <c r="AC835" s="356"/>
      <c r="AD835" s="356"/>
      <c r="AE835" s="356"/>
      <c r="AF835" s="356"/>
      <c r="AG835" s="356"/>
      <c r="AH835" s="356"/>
      <c r="AI835" s="356"/>
      <c r="AJ835" s="356"/>
      <c r="AK835" s="356"/>
      <c r="AL835" s="356"/>
      <c r="AM835" s="356"/>
      <c r="AN835" s="356"/>
      <c r="AO835" s="349"/>
      <c r="AP835" s="349"/>
      <c r="AQ835" s="349"/>
      <c r="AR835" s="349"/>
      <c r="AS835" s="349"/>
      <c r="AT835" s="349"/>
      <c r="AU835" s="349"/>
      <c r="AV835" s="349"/>
      <c r="AW835" s="349"/>
      <c r="AX835" s="349"/>
    </row>
    <row r="836" ht="15.75" customHeight="1">
      <c r="A836" s="306" t="s">
        <v>247</v>
      </c>
      <c r="B836" s="307" t="s">
        <v>7641</v>
      </c>
      <c r="C836" s="190" t="s">
        <v>7645</v>
      </c>
      <c r="D836" s="190" t="s">
        <v>7646</v>
      </c>
      <c r="E836" s="190" t="s">
        <v>7647</v>
      </c>
      <c r="F836" s="190"/>
      <c r="G836" s="293"/>
      <c r="H836" s="293"/>
      <c r="I836" s="359"/>
      <c r="J836" s="359"/>
      <c r="K836" s="360" t="s">
        <v>8066</v>
      </c>
      <c r="L836" s="369"/>
      <c r="M836" s="359"/>
      <c r="N836" s="359"/>
      <c r="O836" s="361" t="s">
        <v>8200</v>
      </c>
      <c r="P836" s="291"/>
      <c r="Q836" s="361" t="s">
        <v>307</v>
      </c>
      <c r="R836" s="359"/>
      <c r="S836" s="359"/>
      <c r="T836" s="359"/>
      <c r="U836" s="359"/>
      <c r="V836" s="359"/>
      <c r="W836" s="359"/>
      <c r="X836" s="359"/>
      <c r="Y836" s="359"/>
      <c r="Z836" s="359"/>
      <c r="AA836" s="359"/>
      <c r="AB836" s="359"/>
      <c r="AC836" s="359"/>
      <c r="AD836" s="359"/>
      <c r="AE836" s="359"/>
      <c r="AF836" s="359"/>
      <c r="AG836" s="359"/>
      <c r="AH836" s="359"/>
      <c r="AI836" s="359"/>
      <c r="AJ836" s="359"/>
      <c r="AK836" s="359"/>
      <c r="AL836" s="359"/>
      <c r="AM836" s="359"/>
      <c r="AN836" s="359"/>
      <c r="AO836" s="349"/>
      <c r="AP836" s="349"/>
      <c r="AQ836" s="349"/>
      <c r="AR836" s="349"/>
      <c r="AS836" s="349"/>
      <c r="AT836" s="349"/>
      <c r="AU836" s="349"/>
      <c r="AV836" s="349"/>
      <c r="AW836" s="349"/>
      <c r="AX836" s="349"/>
    </row>
    <row r="837" ht="15.75" customHeight="1">
      <c r="A837" s="299" t="s">
        <v>2456</v>
      </c>
      <c r="B837" s="300" t="s">
        <v>7648</v>
      </c>
      <c r="C837" s="190" t="s">
        <v>7652</v>
      </c>
      <c r="D837" s="190" t="s">
        <v>7653</v>
      </c>
      <c r="E837" s="190" t="s">
        <v>7654</v>
      </c>
      <c r="F837" s="190"/>
      <c r="G837" s="293"/>
      <c r="H837" s="293"/>
      <c r="I837" s="356"/>
      <c r="J837" s="355"/>
      <c r="K837" s="356"/>
      <c r="L837" s="356"/>
      <c r="M837" s="356"/>
      <c r="N837" s="356"/>
      <c r="O837" s="356"/>
      <c r="P837" s="291"/>
      <c r="Q837" s="291" t="s">
        <v>307</v>
      </c>
      <c r="R837" s="356"/>
      <c r="S837" s="356"/>
      <c r="T837" s="356"/>
      <c r="U837" s="356"/>
      <c r="V837" s="356"/>
      <c r="W837" s="356"/>
      <c r="X837" s="356"/>
      <c r="Y837" s="356"/>
      <c r="Z837" s="356"/>
      <c r="AA837" s="356"/>
      <c r="AB837" s="356"/>
      <c r="AC837" s="356"/>
      <c r="AD837" s="356"/>
      <c r="AE837" s="356"/>
      <c r="AF837" s="356"/>
      <c r="AG837" s="356"/>
      <c r="AH837" s="356"/>
      <c r="AI837" s="356"/>
      <c r="AJ837" s="356"/>
      <c r="AK837" s="356"/>
      <c r="AL837" s="356"/>
      <c r="AM837" s="356"/>
      <c r="AN837" s="356"/>
      <c r="AO837" s="349"/>
      <c r="AP837" s="349"/>
      <c r="AQ837" s="349"/>
      <c r="AR837" s="349"/>
      <c r="AS837" s="349"/>
      <c r="AT837" s="349"/>
      <c r="AU837" s="349"/>
      <c r="AV837" s="349"/>
      <c r="AW837" s="349"/>
      <c r="AX837" s="349"/>
    </row>
    <row r="838" ht="15.75" customHeight="1">
      <c r="A838" s="306" t="s">
        <v>247</v>
      </c>
      <c r="B838" s="307" t="s">
        <v>7655</v>
      </c>
      <c r="C838" s="190" t="s">
        <v>7659</v>
      </c>
      <c r="D838" s="190" t="s">
        <v>7660</v>
      </c>
      <c r="E838" s="190" t="s">
        <v>7661</v>
      </c>
      <c r="F838" s="190"/>
      <c r="G838" s="293"/>
      <c r="H838" s="293"/>
      <c r="I838" s="359"/>
      <c r="J838" s="359"/>
      <c r="K838" s="360" t="s">
        <v>8066</v>
      </c>
      <c r="L838" s="369"/>
      <c r="M838" s="359"/>
      <c r="N838" s="359"/>
      <c r="O838" s="361" t="s">
        <v>8201</v>
      </c>
      <c r="P838" s="291"/>
      <c r="Q838" s="361" t="s">
        <v>307</v>
      </c>
      <c r="R838" s="359"/>
      <c r="S838" s="359"/>
      <c r="T838" s="359"/>
      <c r="U838" s="359"/>
      <c r="V838" s="359"/>
      <c r="W838" s="359"/>
      <c r="X838" s="359"/>
      <c r="Y838" s="359"/>
      <c r="Z838" s="359"/>
      <c r="AA838" s="359"/>
      <c r="AB838" s="359"/>
      <c r="AC838" s="359"/>
      <c r="AD838" s="359"/>
      <c r="AE838" s="359"/>
      <c r="AF838" s="359"/>
      <c r="AG838" s="359"/>
      <c r="AH838" s="359"/>
      <c r="AI838" s="359"/>
      <c r="AJ838" s="359"/>
      <c r="AK838" s="359"/>
      <c r="AL838" s="359"/>
      <c r="AM838" s="359"/>
      <c r="AN838" s="359"/>
      <c r="AO838" s="349"/>
      <c r="AP838" s="349"/>
      <c r="AQ838" s="349"/>
      <c r="AR838" s="349"/>
      <c r="AS838" s="349"/>
      <c r="AT838" s="349"/>
      <c r="AU838" s="349"/>
      <c r="AV838" s="349"/>
      <c r="AW838" s="349"/>
      <c r="AX838" s="349"/>
    </row>
    <row r="839" ht="15.75" customHeight="1">
      <c r="A839" s="306" t="s">
        <v>247</v>
      </c>
      <c r="B839" s="307" t="s">
        <v>7662</v>
      </c>
      <c r="C839" s="190" t="s">
        <v>7666</v>
      </c>
      <c r="D839" s="190" t="s">
        <v>7667</v>
      </c>
      <c r="E839" s="190" t="s">
        <v>7668</v>
      </c>
      <c r="F839" s="190"/>
      <c r="G839" s="293"/>
      <c r="H839" s="293"/>
      <c r="I839" s="359"/>
      <c r="J839" s="359"/>
      <c r="K839" s="360" t="s">
        <v>8066</v>
      </c>
      <c r="L839" s="369"/>
      <c r="M839" s="359"/>
      <c r="N839" s="359"/>
      <c r="O839" s="359"/>
      <c r="P839" s="291"/>
      <c r="Q839" s="361" t="s">
        <v>307</v>
      </c>
      <c r="R839" s="359"/>
      <c r="S839" s="359"/>
      <c r="T839" s="359"/>
      <c r="U839" s="359"/>
      <c r="V839" s="359"/>
      <c r="W839" s="359"/>
      <c r="X839" s="359"/>
      <c r="Y839" s="359"/>
      <c r="Z839" s="359"/>
      <c r="AA839" s="359"/>
      <c r="AB839" s="359"/>
      <c r="AC839" s="359"/>
      <c r="AD839" s="359"/>
      <c r="AE839" s="359"/>
      <c r="AF839" s="359"/>
      <c r="AG839" s="359"/>
      <c r="AH839" s="359"/>
      <c r="AI839" s="359"/>
      <c r="AJ839" s="359"/>
      <c r="AK839" s="359"/>
      <c r="AL839" s="359"/>
      <c r="AM839" s="359"/>
      <c r="AN839" s="359"/>
      <c r="AO839" s="349"/>
      <c r="AP839" s="349"/>
      <c r="AQ839" s="349"/>
      <c r="AR839" s="349"/>
      <c r="AS839" s="349"/>
      <c r="AT839" s="349"/>
      <c r="AU839" s="349"/>
      <c r="AV839" s="349"/>
      <c r="AW839" s="349"/>
      <c r="AX839" s="349"/>
    </row>
    <row r="840" ht="15.75" customHeight="1">
      <c r="A840" s="221" t="s">
        <v>256</v>
      </c>
      <c r="B840" s="198" t="s">
        <v>7669</v>
      </c>
      <c r="C840" s="190"/>
      <c r="D840" s="190"/>
      <c r="E840" s="190"/>
      <c r="F840" s="190"/>
      <c r="G840" s="348"/>
      <c r="H840" s="348"/>
      <c r="I840" s="348"/>
      <c r="J840" s="348"/>
      <c r="K840" s="348"/>
      <c r="L840" s="348"/>
      <c r="M840" s="348"/>
      <c r="N840" s="348"/>
      <c r="O840" s="348"/>
      <c r="P840" s="291"/>
      <c r="Q840" s="348"/>
      <c r="R840" s="348"/>
      <c r="S840" s="348"/>
      <c r="T840" s="335" t="s">
        <v>260</v>
      </c>
      <c r="U840" s="348"/>
      <c r="V840" s="348"/>
      <c r="W840" s="348"/>
      <c r="X840" s="348"/>
      <c r="Y840" s="348"/>
      <c r="Z840" s="348"/>
      <c r="AA840" s="348"/>
      <c r="AB840" s="348"/>
      <c r="AC840" s="348"/>
      <c r="AD840" s="349"/>
      <c r="AE840" s="349"/>
      <c r="AF840" s="349"/>
      <c r="AG840" s="349"/>
      <c r="AH840" s="349"/>
      <c r="AI840" s="349"/>
      <c r="AJ840" s="349"/>
      <c r="AK840" s="349"/>
      <c r="AL840" s="349"/>
      <c r="AM840" s="349"/>
      <c r="AN840" s="349"/>
      <c r="AO840" s="349"/>
      <c r="AP840" s="349"/>
      <c r="AQ840" s="349"/>
      <c r="AR840" s="349"/>
      <c r="AS840" s="349"/>
      <c r="AT840" s="349"/>
      <c r="AU840" s="349"/>
      <c r="AV840" s="349"/>
      <c r="AW840" s="349"/>
      <c r="AX840" s="349"/>
    </row>
    <row r="841" ht="15.75" customHeight="1">
      <c r="A841" s="221" t="s">
        <v>112</v>
      </c>
      <c r="B841" s="198" t="s">
        <v>7670</v>
      </c>
      <c r="C841" s="190"/>
      <c r="D841" s="190"/>
      <c r="E841" s="190"/>
      <c r="F841" s="190"/>
      <c r="G841" s="348"/>
      <c r="H841" s="348"/>
      <c r="I841" s="348"/>
      <c r="J841" s="348"/>
      <c r="K841" s="348"/>
      <c r="L841" s="348"/>
      <c r="M841" s="348"/>
      <c r="N841" s="348"/>
      <c r="O841" s="348"/>
      <c r="P841" s="291"/>
      <c r="Q841" s="348"/>
      <c r="R841" s="348"/>
      <c r="S841" s="348"/>
      <c r="T841" s="335" t="s">
        <v>8202</v>
      </c>
      <c r="U841" s="348"/>
      <c r="V841" s="348"/>
      <c r="W841" s="348"/>
      <c r="X841" s="348"/>
      <c r="Y841" s="348"/>
      <c r="Z841" s="348"/>
      <c r="AA841" s="348"/>
      <c r="AB841" s="348"/>
      <c r="AC841" s="348"/>
      <c r="AD841" s="349"/>
      <c r="AE841" s="349"/>
      <c r="AF841" s="349"/>
      <c r="AG841" s="349"/>
      <c r="AH841" s="349"/>
      <c r="AI841" s="349"/>
      <c r="AJ841" s="349"/>
      <c r="AK841" s="349"/>
      <c r="AL841" s="349"/>
      <c r="AM841" s="349"/>
      <c r="AN841" s="349"/>
      <c r="AO841" s="349"/>
      <c r="AP841" s="349"/>
      <c r="AQ841" s="349"/>
      <c r="AR841" s="349"/>
      <c r="AS841" s="349"/>
      <c r="AT841" s="349"/>
      <c r="AU841" s="349"/>
      <c r="AV841" s="349"/>
      <c r="AW841" s="349"/>
      <c r="AX841" s="349"/>
    </row>
    <row r="842" ht="15.75" customHeight="1">
      <c r="A842" s="320"/>
      <c r="B842" s="321"/>
      <c r="C842" s="190" t="s">
        <v>55</v>
      </c>
      <c r="D842" s="190" t="s">
        <v>55</v>
      </c>
      <c r="E842" s="190" t="s">
        <v>55</v>
      </c>
      <c r="F842" s="190"/>
      <c r="G842" s="349"/>
      <c r="H842" s="349"/>
      <c r="I842" s="349"/>
      <c r="J842" s="349"/>
      <c r="K842" s="349"/>
      <c r="L842" s="349"/>
      <c r="M842" s="349"/>
      <c r="N842" s="349"/>
      <c r="O842" s="349"/>
      <c r="P842" s="291"/>
      <c r="Q842" s="349"/>
      <c r="R842" s="349"/>
      <c r="S842" s="349"/>
      <c r="T842" s="349"/>
      <c r="U842" s="349"/>
      <c r="V842" s="349"/>
      <c r="W842" s="349"/>
      <c r="X842" s="349"/>
      <c r="Y842" s="349"/>
      <c r="Z842" s="349"/>
      <c r="AA842" s="349"/>
      <c r="AB842" s="349"/>
      <c r="AC842" s="349"/>
      <c r="AD842" s="349"/>
      <c r="AE842" s="349"/>
      <c r="AF842" s="349"/>
      <c r="AG842" s="349"/>
      <c r="AH842" s="349"/>
      <c r="AI842" s="349"/>
      <c r="AJ842" s="349"/>
      <c r="AK842" s="349"/>
      <c r="AL842" s="349"/>
      <c r="AM842" s="349"/>
      <c r="AN842" s="349"/>
      <c r="AO842" s="349"/>
      <c r="AP842" s="349"/>
      <c r="AQ842" s="349"/>
      <c r="AR842" s="349"/>
      <c r="AS842" s="349"/>
      <c r="AT842" s="349"/>
      <c r="AU842" s="349"/>
      <c r="AV842" s="349"/>
      <c r="AW842" s="349"/>
      <c r="AX842" s="349"/>
    </row>
    <row r="843" ht="15.75" customHeight="1">
      <c r="A843" s="310" t="s">
        <v>278</v>
      </c>
      <c r="B843" s="311" t="s">
        <v>7671</v>
      </c>
      <c r="C843" s="190"/>
      <c r="D843" s="190"/>
      <c r="E843" s="190"/>
      <c r="F843" s="190"/>
      <c r="G843" s="354"/>
      <c r="H843" s="354"/>
      <c r="I843" s="354"/>
      <c r="J843" s="365"/>
      <c r="K843" s="354"/>
      <c r="L843" s="354"/>
      <c r="M843" s="365"/>
      <c r="N843" s="365"/>
      <c r="O843" s="365"/>
      <c r="P843" s="291"/>
      <c r="Q843" s="354"/>
      <c r="R843" s="354"/>
      <c r="S843" s="354"/>
      <c r="T843" s="354"/>
      <c r="U843" s="354"/>
      <c r="V843" s="354"/>
      <c r="W843" s="354"/>
      <c r="X843" s="354"/>
      <c r="Y843" s="354"/>
      <c r="Z843" s="354"/>
      <c r="AA843" s="354"/>
      <c r="AB843" s="354"/>
      <c r="AC843" s="354"/>
      <c r="AD843" s="349"/>
      <c r="AE843" s="349"/>
      <c r="AF843" s="349"/>
      <c r="AG843" s="349"/>
      <c r="AH843" s="349"/>
      <c r="AI843" s="349"/>
      <c r="AJ843" s="349"/>
      <c r="AK843" s="349"/>
      <c r="AL843" s="349"/>
      <c r="AM843" s="349"/>
      <c r="AN843" s="349"/>
      <c r="AO843" s="349"/>
      <c r="AP843" s="349"/>
      <c r="AQ843" s="349"/>
      <c r="AR843" s="349"/>
      <c r="AS843" s="349"/>
      <c r="AT843" s="349"/>
      <c r="AU843" s="349"/>
      <c r="AV843" s="349"/>
      <c r="AW843" s="349"/>
      <c r="AX843" s="349"/>
    </row>
    <row r="844" ht="15.75" customHeight="1">
      <c r="A844" s="221" t="s">
        <v>256</v>
      </c>
      <c r="B844" s="198" t="s">
        <v>7672</v>
      </c>
      <c r="C844" s="190"/>
      <c r="D844" s="190"/>
      <c r="E844" s="190"/>
      <c r="F844" s="190"/>
      <c r="G844" s="348"/>
      <c r="H844" s="348"/>
      <c r="I844" s="348"/>
      <c r="J844" s="348"/>
      <c r="K844" s="348"/>
      <c r="L844" s="348"/>
      <c r="M844" s="348"/>
      <c r="N844" s="348"/>
      <c r="O844" s="348"/>
      <c r="P844" s="291"/>
      <c r="Q844" s="348"/>
      <c r="R844" s="348"/>
      <c r="S844" s="348"/>
      <c r="T844" s="335" t="s">
        <v>260</v>
      </c>
      <c r="U844" s="348"/>
      <c r="V844" s="348"/>
      <c r="W844" s="348"/>
      <c r="X844" s="348"/>
      <c r="Y844" s="348"/>
      <c r="Z844" s="348"/>
      <c r="AA844" s="348"/>
      <c r="AB844" s="348"/>
      <c r="AC844" s="348"/>
      <c r="AD844" s="349"/>
      <c r="AE844" s="349"/>
      <c r="AF844" s="349"/>
      <c r="AG844" s="349"/>
      <c r="AH844" s="349"/>
      <c r="AI844" s="349"/>
      <c r="AJ844" s="349"/>
      <c r="AK844" s="349"/>
      <c r="AL844" s="349"/>
      <c r="AM844" s="349"/>
      <c r="AN844" s="349"/>
      <c r="AO844" s="349"/>
      <c r="AP844" s="349"/>
      <c r="AQ844" s="349"/>
      <c r="AR844" s="349"/>
      <c r="AS844" s="349"/>
      <c r="AT844" s="349"/>
      <c r="AU844" s="349"/>
      <c r="AV844" s="349"/>
      <c r="AW844" s="349"/>
      <c r="AX844" s="349"/>
    </row>
    <row r="845" ht="15.75" customHeight="1">
      <c r="A845" s="299" t="s">
        <v>3962</v>
      </c>
      <c r="B845" s="300" t="s">
        <v>7673</v>
      </c>
      <c r="C845" s="190" t="s">
        <v>7677</v>
      </c>
      <c r="D845" s="190" t="s">
        <v>7678</v>
      </c>
      <c r="E845" s="190" t="s">
        <v>7679</v>
      </c>
      <c r="F845" s="190"/>
      <c r="G845" s="293"/>
      <c r="H845" s="293"/>
      <c r="I845" s="356"/>
      <c r="J845" s="355"/>
      <c r="K845" s="291" t="s">
        <v>8203</v>
      </c>
      <c r="L845" s="356"/>
      <c r="M845" s="356"/>
      <c r="N845" s="356"/>
      <c r="O845" s="356"/>
      <c r="P845" s="291"/>
      <c r="Q845" s="291" t="s">
        <v>307</v>
      </c>
      <c r="R845" s="356"/>
      <c r="S845" s="356"/>
      <c r="T845" s="356"/>
      <c r="U845" s="356"/>
      <c r="V845" s="356"/>
      <c r="W845" s="356"/>
      <c r="X845" s="356"/>
      <c r="Y845" s="356"/>
      <c r="Z845" s="356"/>
      <c r="AA845" s="356"/>
      <c r="AB845" s="356"/>
      <c r="AC845" s="356"/>
      <c r="AD845" s="356"/>
      <c r="AE845" s="356"/>
      <c r="AF845" s="356"/>
      <c r="AG845" s="356"/>
      <c r="AH845" s="356"/>
      <c r="AI845" s="356"/>
      <c r="AJ845" s="356"/>
      <c r="AK845" s="356"/>
      <c r="AL845" s="356"/>
      <c r="AM845" s="356"/>
      <c r="AN845" s="356"/>
      <c r="AO845" s="349"/>
      <c r="AP845" s="349"/>
      <c r="AQ845" s="349"/>
      <c r="AR845" s="349"/>
      <c r="AS845" s="349"/>
      <c r="AT845" s="349"/>
      <c r="AU845" s="349"/>
      <c r="AV845" s="349"/>
      <c r="AW845" s="349"/>
      <c r="AX845" s="349"/>
    </row>
    <row r="846" ht="15.75" customHeight="1">
      <c r="A846" s="305" t="s">
        <v>385</v>
      </c>
      <c r="B846" s="223" t="s">
        <v>7680</v>
      </c>
      <c r="C846" s="190" t="s">
        <v>3974</v>
      </c>
      <c r="D846" s="190" t="s">
        <v>3975</v>
      </c>
      <c r="E846" s="190" t="s">
        <v>3976</v>
      </c>
      <c r="F846" s="190"/>
      <c r="G846" s="362"/>
      <c r="H846" s="362"/>
      <c r="I846" s="362"/>
      <c r="J846" s="362"/>
      <c r="K846" s="362"/>
      <c r="L846" s="362"/>
      <c r="M846" s="363"/>
      <c r="N846" s="363"/>
      <c r="O846" s="364" t="s">
        <v>8204</v>
      </c>
      <c r="P846" s="291"/>
      <c r="Q846" s="362"/>
      <c r="R846" s="362"/>
      <c r="S846" s="362"/>
      <c r="T846" s="362"/>
      <c r="U846" s="364" t="s">
        <v>8205</v>
      </c>
      <c r="V846" s="362"/>
      <c r="W846" s="362"/>
      <c r="X846" s="362"/>
      <c r="Y846" s="362"/>
      <c r="Z846" s="362"/>
      <c r="AA846" s="362"/>
      <c r="AB846" s="362"/>
      <c r="AC846" s="362"/>
      <c r="AD846" s="362"/>
      <c r="AE846" s="362"/>
      <c r="AF846" s="362"/>
      <c r="AG846" s="362"/>
      <c r="AH846" s="362"/>
      <c r="AI846" s="362"/>
      <c r="AJ846" s="362"/>
      <c r="AK846" s="362"/>
      <c r="AL846" s="362"/>
      <c r="AM846" s="362"/>
      <c r="AN846" s="362"/>
      <c r="AO846" s="349"/>
      <c r="AP846" s="349"/>
      <c r="AQ846" s="349"/>
      <c r="AR846" s="349"/>
      <c r="AS846" s="349"/>
      <c r="AT846" s="349"/>
      <c r="AU846" s="349"/>
      <c r="AV846" s="349"/>
      <c r="AW846" s="349"/>
      <c r="AX846" s="349"/>
    </row>
    <row r="847" ht="15.75" customHeight="1">
      <c r="A847" s="221" t="s">
        <v>112</v>
      </c>
      <c r="B847" s="198" t="s">
        <v>7681</v>
      </c>
      <c r="C847" s="190" t="s">
        <v>3981</v>
      </c>
      <c r="D847" s="190" t="s">
        <v>3983</v>
      </c>
      <c r="E847" s="190" t="s">
        <v>3984</v>
      </c>
      <c r="F847" s="190"/>
      <c r="G847" s="348"/>
      <c r="H847" s="348"/>
      <c r="I847" s="348"/>
      <c r="J847" s="348"/>
      <c r="K847" s="348"/>
      <c r="L847" s="348"/>
      <c r="M847" s="348"/>
      <c r="N847" s="348"/>
      <c r="O847" s="348"/>
      <c r="P847" s="291"/>
      <c r="Q847" s="348"/>
      <c r="R847" s="348"/>
      <c r="S847" s="348"/>
      <c r="T847" s="335" t="s">
        <v>8206</v>
      </c>
      <c r="U847" s="348"/>
      <c r="V847" s="348"/>
      <c r="W847" s="348"/>
      <c r="X847" s="348"/>
      <c r="Y847" s="348"/>
      <c r="Z847" s="348"/>
      <c r="AA847" s="348"/>
      <c r="AB847" s="348"/>
      <c r="AC847" s="348"/>
      <c r="AD847" s="348"/>
      <c r="AE847" s="348"/>
      <c r="AF847" s="348"/>
      <c r="AG847" s="348"/>
      <c r="AH847" s="348"/>
      <c r="AI847" s="348"/>
      <c r="AJ847" s="348"/>
      <c r="AK847" s="348"/>
      <c r="AL847" s="348"/>
      <c r="AM847" s="348"/>
      <c r="AN847" s="348"/>
      <c r="AO847" s="349"/>
      <c r="AP847" s="349"/>
      <c r="AQ847" s="349"/>
      <c r="AR847" s="349"/>
      <c r="AS847" s="349"/>
      <c r="AT847" s="349"/>
      <c r="AU847" s="349"/>
      <c r="AV847" s="349"/>
      <c r="AW847" s="349"/>
      <c r="AX847" s="349"/>
    </row>
    <row r="848" ht="15.75" customHeight="1">
      <c r="A848" s="306" t="s">
        <v>247</v>
      </c>
      <c r="B848" s="307" t="s">
        <v>7682</v>
      </c>
      <c r="C848" s="190" t="s">
        <v>7687</v>
      </c>
      <c r="D848" s="190" t="s">
        <v>7688</v>
      </c>
      <c r="E848" s="190" t="s">
        <v>7689</v>
      </c>
      <c r="F848" s="190"/>
      <c r="G848" s="293"/>
      <c r="H848" s="293"/>
      <c r="I848" s="359"/>
      <c r="J848" s="359"/>
      <c r="K848" s="360" t="s">
        <v>4159</v>
      </c>
      <c r="L848" s="369"/>
      <c r="M848" s="359"/>
      <c r="N848" s="359"/>
      <c r="O848" s="359"/>
      <c r="P848" s="291"/>
      <c r="Q848" s="361" t="s">
        <v>307</v>
      </c>
      <c r="R848" s="359"/>
      <c r="S848" s="359"/>
      <c r="T848" s="359"/>
      <c r="U848" s="359"/>
      <c r="V848" s="359"/>
      <c r="W848" s="359"/>
      <c r="X848" s="359"/>
      <c r="Y848" s="359"/>
      <c r="Z848" s="359"/>
      <c r="AA848" s="359"/>
      <c r="AB848" s="359"/>
      <c r="AC848" s="359"/>
      <c r="AD848" s="359"/>
      <c r="AE848" s="359"/>
      <c r="AF848" s="359"/>
      <c r="AG848" s="359"/>
      <c r="AH848" s="359"/>
      <c r="AI848" s="359"/>
      <c r="AJ848" s="359"/>
      <c r="AK848" s="359"/>
      <c r="AL848" s="359"/>
      <c r="AM848" s="359"/>
      <c r="AN848" s="359"/>
      <c r="AO848" s="349"/>
      <c r="AP848" s="349"/>
      <c r="AQ848" s="349"/>
      <c r="AR848" s="349"/>
      <c r="AS848" s="349"/>
      <c r="AT848" s="349"/>
      <c r="AU848" s="349"/>
      <c r="AV848" s="349"/>
      <c r="AW848" s="349"/>
      <c r="AX848" s="349"/>
    </row>
    <row r="849" ht="15.75" customHeight="1">
      <c r="A849" s="305" t="s">
        <v>450</v>
      </c>
      <c r="B849" s="224" t="s">
        <v>7680</v>
      </c>
      <c r="C849" s="190" t="s">
        <v>3974</v>
      </c>
      <c r="D849" s="190" t="s">
        <v>3975</v>
      </c>
      <c r="E849" s="190" t="s">
        <v>3976</v>
      </c>
      <c r="F849" s="190"/>
      <c r="G849" s="362"/>
      <c r="H849" s="362"/>
      <c r="I849" s="362"/>
      <c r="J849" s="362"/>
      <c r="K849" s="362"/>
      <c r="L849" s="362"/>
      <c r="M849" s="362"/>
      <c r="N849" s="362"/>
      <c r="O849" s="362"/>
      <c r="P849" s="291"/>
      <c r="Q849" s="362"/>
      <c r="R849" s="362"/>
      <c r="S849" s="362"/>
      <c r="T849" s="362"/>
      <c r="U849" s="362"/>
      <c r="V849" s="362"/>
      <c r="W849" s="362"/>
      <c r="X849" s="362"/>
      <c r="Y849" s="362"/>
      <c r="Z849" s="362"/>
      <c r="AA849" s="362"/>
      <c r="AB849" s="362"/>
      <c r="AC849" s="362"/>
      <c r="AD849" s="362"/>
      <c r="AE849" s="362"/>
      <c r="AF849" s="362"/>
      <c r="AG849" s="362"/>
      <c r="AH849" s="362"/>
      <c r="AI849" s="362"/>
      <c r="AJ849" s="362"/>
      <c r="AK849" s="362"/>
      <c r="AL849" s="362"/>
      <c r="AM849" s="362"/>
      <c r="AN849" s="362"/>
      <c r="AO849" s="349"/>
      <c r="AP849" s="349"/>
      <c r="AQ849" s="349"/>
      <c r="AR849" s="349"/>
      <c r="AS849" s="349"/>
      <c r="AT849" s="349"/>
      <c r="AU849" s="349"/>
      <c r="AV849" s="349"/>
      <c r="AW849" s="349"/>
      <c r="AX849" s="349"/>
    </row>
    <row r="850" ht="15.75" customHeight="1">
      <c r="A850" s="299" t="s">
        <v>3995</v>
      </c>
      <c r="B850" s="300" t="s">
        <v>7690</v>
      </c>
      <c r="C850" s="190" t="s">
        <v>7695</v>
      </c>
      <c r="D850" s="190" t="s">
        <v>7696</v>
      </c>
      <c r="E850" s="190" t="s">
        <v>7697</v>
      </c>
      <c r="F850" s="190"/>
      <c r="G850" s="293"/>
      <c r="H850" s="293"/>
      <c r="I850" s="356"/>
      <c r="J850" s="355"/>
      <c r="K850" s="291" t="s">
        <v>8203</v>
      </c>
      <c r="L850" s="356"/>
      <c r="M850" s="356"/>
      <c r="N850" s="356"/>
      <c r="O850" s="356"/>
      <c r="P850" s="291"/>
      <c r="Q850" s="291" t="s">
        <v>307</v>
      </c>
      <c r="R850" s="356"/>
      <c r="S850" s="356"/>
      <c r="T850" s="356"/>
      <c r="U850" s="356"/>
      <c r="V850" s="356"/>
      <c r="W850" s="356"/>
      <c r="X850" s="356"/>
      <c r="Y850" s="356"/>
      <c r="Z850" s="356"/>
      <c r="AA850" s="356"/>
      <c r="AB850" s="356"/>
      <c r="AC850" s="356"/>
      <c r="AD850" s="356"/>
      <c r="AE850" s="356"/>
      <c r="AF850" s="356"/>
      <c r="AG850" s="356"/>
      <c r="AH850" s="356"/>
      <c r="AI850" s="356"/>
      <c r="AJ850" s="356"/>
      <c r="AK850" s="356"/>
      <c r="AL850" s="356"/>
      <c r="AM850" s="356"/>
      <c r="AN850" s="356"/>
      <c r="AO850" s="349"/>
      <c r="AP850" s="349"/>
      <c r="AQ850" s="349"/>
      <c r="AR850" s="349"/>
      <c r="AS850" s="349"/>
      <c r="AT850" s="349"/>
      <c r="AU850" s="349"/>
      <c r="AV850" s="349"/>
      <c r="AW850" s="349"/>
      <c r="AX850" s="349"/>
    </row>
    <row r="851" ht="15.75" customHeight="1">
      <c r="A851" s="305" t="s">
        <v>385</v>
      </c>
      <c r="B851" s="223" t="s">
        <v>7698</v>
      </c>
      <c r="C851" s="190" t="s">
        <v>4008</v>
      </c>
      <c r="D851" s="190" t="s">
        <v>4009</v>
      </c>
      <c r="E851" s="190" t="s">
        <v>4010</v>
      </c>
      <c r="F851" s="190"/>
      <c r="G851" s="362"/>
      <c r="H851" s="362"/>
      <c r="I851" s="362"/>
      <c r="J851" s="362"/>
      <c r="K851" s="362"/>
      <c r="L851" s="362"/>
      <c r="M851" s="363"/>
      <c r="N851" s="363"/>
      <c r="O851" s="364" t="s">
        <v>8207</v>
      </c>
      <c r="P851" s="291"/>
      <c r="Q851" s="362"/>
      <c r="R851" s="362"/>
      <c r="S851" s="362"/>
      <c r="T851" s="362"/>
      <c r="U851" s="364" t="s">
        <v>8208</v>
      </c>
      <c r="V851" s="362"/>
      <c r="W851" s="362"/>
      <c r="X851" s="362"/>
      <c r="Y851" s="362"/>
      <c r="Z851" s="362"/>
      <c r="AA851" s="362"/>
      <c r="AB851" s="362"/>
      <c r="AC851" s="362"/>
      <c r="AD851" s="362"/>
      <c r="AE851" s="362"/>
      <c r="AF851" s="362"/>
      <c r="AG851" s="362"/>
      <c r="AH851" s="362"/>
      <c r="AI851" s="362"/>
      <c r="AJ851" s="362"/>
      <c r="AK851" s="362"/>
      <c r="AL851" s="362"/>
      <c r="AM851" s="362"/>
      <c r="AN851" s="362"/>
      <c r="AO851" s="349"/>
      <c r="AP851" s="349"/>
      <c r="AQ851" s="349"/>
      <c r="AR851" s="349"/>
      <c r="AS851" s="349"/>
      <c r="AT851" s="349"/>
      <c r="AU851" s="349"/>
      <c r="AV851" s="349"/>
      <c r="AW851" s="349"/>
      <c r="AX851" s="349"/>
    </row>
    <row r="852" ht="15.75" customHeight="1">
      <c r="A852" s="221" t="s">
        <v>112</v>
      </c>
      <c r="B852" s="198" t="s">
        <v>7699</v>
      </c>
      <c r="C852" s="190" t="s">
        <v>4015</v>
      </c>
      <c r="D852" s="190" t="s">
        <v>4016</v>
      </c>
      <c r="E852" s="190" t="s">
        <v>4017</v>
      </c>
      <c r="F852" s="190"/>
      <c r="G852" s="348"/>
      <c r="H852" s="348"/>
      <c r="I852" s="348"/>
      <c r="J852" s="348"/>
      <c r="K852" s="348"/>
      <c r="L852" s="348"/>
      <c r="M852" s="348"/>
      <c r="N852" s="348"/>
      <c r="O852" s="348"/>
      <c r="P852" s="291"/>
      <c r="Q852" s="348"/>
      <c r="R852" s="348"/>
      <c r="S852" s="348"/>
      <c r="T852" s="335" t="s">
        <v>8209</v>
      </c>
      <c r="U852" s="348"/>
      <c r="V852" s="348"/>
      <c r="W852" s="348"/>
      <c r="X852" s="348"/>
      <c r="Y852" s="348"/>
      <c r="Z852" s="348"/>
      <c r="AA852" s="348"/>
      <c r="AB852" s="348"/>
      <c r="AC852" s="348"/>
      <c r="AD852" s="348"/>
      <c r="AE852" s="348"/>
      <c r="AF852" s="348"/>
      <c r="AG852" s="348"/>
      <c r="AH852" s="348"/>
      <c r="AI852" s="348"/>
      <c r="AJ852" s="348"/>
      <c r="AK852" s="348"/>
      <c r="AL852" s="348"/>
      <c r="AM852" s="348"/>
      <c r="AN852" s="348"/>
      <c r="AO852" s="349"/>
      <c r="AP852" s="349"/>
      <c r="AQ852" s="349"/>
      <c r="AR852" s="349"/>
      <c r="AS852" s="349"/>
      <c r="AT852" s="349"/>
      <c r="AU852" s="349"/>
      <c r="AV852" s="349"/>
      <c r="AW852" s="349"/>
      <c r="AX852" s="349"/>
    </row>
    <row r="853" ht="15.75" customHeight="1">
      <c r="A853" s="306" t="s">
        <v>247</v>
      </c>
      <c r="B853" s="307" t="s">
        <v>7700</v>
      </c>
      <c r="C853" s="190" t="s">
        <v>7704</v>
      </c>
      <c r="D853" s="190" t="s">
        <v>7705</v>
      </c>
      <c r="E853" s="190" t="s">
        <v>7706</v>
      </c>
      <c r="F853" s="190"/>
      <c r="G853" s="293"/>
      <c r="H853" s="293"/>
      <c r="I853" s="359"/>
      <c r="J853" s="359"/>
      <c r="K853" s="360" t="s">
        <v>4159</v>
      </c>
      <c r="L853" s="369"/>
      <c r="M853" s="359"/>
      <c r="N853" s="359"/>
      <c r="O853" s="359"/>
      <c r="P853" s="291"/>
      <c r="Q853" s="361" t="s">
        <v>307</v>
      </c>
      <c r="R853" s="359"/>
      <c r="S853" s="359"/>
      <c r="T853" s="359"/>
      <c r="U853" s="359"/>
      <c r="V853" s="359"/>
      <c r="W853" s="359"/>
      <c r="X853" s="359"/>
      <c r="Y853" s="359"/>
      <c r="Z853" s="359"/>
      <c r="AA853" s="359"/>
      <c r="AB853" s="359"/>
      <c r="AC853" s="359"/>
      <c r="AD853" s="359"/>
      <c r="AE853" s="359"/>
      <c r="AF853" s="359"/>
      <c r="AG853" s="359"/>
      <c r="AH853" s="359"/>
      <c r="AI853" s="359"/>
      <c r="AJ853" s="359"/>
      <c r="AK853" s="359"/>
      <c r="AL853" s="359"/>
      <c r="AM853" s="359"/>
      <c r="AN853" s="359"/>
      <c r="AO853" s="349"/>
      <c r="AP853" s="349"/>
      <c r="AQ853" s="349"/>
      <c r="AR853" s="349"/>
      <c r="AS853" s="349"/>
      <c r="AT853" s="349"/>
      <c r="AU853" s="349"/>
      <c r="AV853" s="349"/>
      <c r="AW853" s="349"/>
      <c r="AX853" s="349"/>
    </row>
    <row r="854" ht="15.75" customHeight="1">
      <c r="A854" s="305" t="s">
        <v>450</v>
      </c>
      <c r="B854" s="224" t="s">
        <v>7698</v>
      </c>
      <c r="C854" s="190" t="s">
        <v>4008</v>
      </c>
      <c r="D854" s="190" t="s">
        <v>4009</v>
      </c>
      <c r="E854" s="190" t="s">
        <v>4010</v>
      </c>
      <c r="F854" s="190"/>
      <c r="G854" s="362"/>
      <c r="H854" s="362"/>
      <c r="I854" s="362"/>
      <c r="J854" s="362"/>
      <c r="K854" s="362"/>
      <c r="L854" s="362"/>
      <c r="M854" s="362"/>
      <c r="N854" s="362"/>
      <c r="O854" s="362"/>
      <c r="P854" s="291"/>
      <c r="Q854" s="362"/>
      <c r="R854" s="362"/>
      <c r="S854" s="362"/>
      <c r="T854" s="362"/>
      <c r="U854" s="362"/>
      <c r="V854" s="362"/>
      <c r="W854" s="362"/>
      <c r="X854" s="362"/>
      <c r="Y854" s="362"/>
      <c r="Z854" s="362"/>
      <c r="AA854" s="362"/>
      <c r="AB854" s="362"/>
      <c r="AC854" s="362"/>
      <c r="AD854" s="362"/>
      <c r="AE854" s="362"/>
      <c r="AF854" s="362"/>
      <c r="AG854" s="362"/>
      <c r="AH854" s="362"/>
      <c r="AI854" s="362"/>
      <c r="AJ854" s="362"/>
      <c r="AK854" s="362"/>
      <c r="AL854" s="362"/>
      <c r="AM854" s="362"/>
      <c r="AN854" s="362"/>
      <c r="AO854" s="349"/>
      <c r="AP854" s="349"/>
      <c r="AQ854" s="349"/>
      <c r="AR854" s="349"/>
      <c r="AS854" s="349"/>
      <c r="AT854" s="349"/>
      <c r="AU854" s="349"/>
      <c r="AV854" s="349"/>
      <c r="AW854" s="349"/>
      <c r="AX854" s="349"/>
    </row>
    <row r="855" ht="15.75" customHeight="1">
      <c r="A855" s="310" t="s">
        <v>278</v>
      </c>
      <c r="B855" s="394" t="s">
        <v>7707</v>
      </c>
      <c r="C855" s="190"/>
      <c r="D855" s="190"/>
      <c r="E855" s="190"/>
      <c r="F855" s="190"/>
      <c r="G855" s="354"/>
      <c r="H855" s="354"/>
      <c r="I855" s="354"/>
      <c r="J855" s="337" t="s">
        <v>987</v>
      </c>
      <c r="K855" s="354"/>
      <c r="L855" s="354"/>
      <c r="M855" s="365"/>
      <c r="N855" s="365"/>
      <c r="O855" s="365"/>
      <c r="P855" s="291"/>
      <c r="Q855" s="354"/>
      <c r="R855" s="354"/>
      <c r="S855" s="354"/>
      <c r="T855" s="354"/>
      <c r="U855" s="354"/>
      <c r="V855" s="354"/>
      <c r="W855" s="354"/>
      <c r="X855" s="354"/>
      <c r="Y855" s="354"/>
      <c r="Z855" s="354"/>
      <c r="AA855" s="354"/>
      <c r="AB855" s="354"/>
      <c r="AC855" s="354"/>
      <c r="AD855" s="349"/>
      <c r="AE855" s="349"/>
      <c r="AF855" s="349"/>
      <c r="AG855" s="349"/>
      <c r="AH855" s="349"/>
      <c r="AI855" s="349"/>
      <c r="AJ855" s="349"/>
      <c r="AK855" s="349"/>
      <c r="AL855" s="349"/>
      <c r="AM855" s="349"/>
      <c r="AN855" s="349"/>
      <c r="AO855" s="349"/>
      <c r="AP855" s="349"/>
      <c r="AQ855" s="349"/>
      <c r="AR855" s="349"/>
      <c r="AS855" s="349"/>
      <c r="AT855" s="349"/>
      <c r="AU855" s="349"/>
      <c r="AV855" s="349"/>
      <c r="AW855" s="349"/>
      <c r="AX855" s="349"/>
    </row>
    <row r="856" ht="15.75" customHeight="1">
      <c r="A856" s="299" t="s">
        <v>2456</v>
      </c>
      <c r="B856" s="300" t="s">
        <v>7708</v>
      </c>
      <c r="C856" s="282" t="s">
        <v>8210</v>
      </c>
      <c r="D856" s="282" t="s">
        <v>8211</v>
      </c>
      <c r="E856" s="282" t="s">
        <v>8212</v>
      </c>
      <c r="F856" s="190"/>
      <c r="G856" s="293"/>
      <c r="H856" s="293"/>
      <c r="I856" s="356"/>
      <c r="J856" s="340" t="s">
        <v>5</v>
      </c>
      <c r="K856" s="356"/>
      <c r="L856" s="356"/>
      <c r="M856" s="356"/>
      <c r="N856" s="356"/>
      <c r="O856" s="356"/>
      <c r="P856" s="291"/>
      <c r="Q856" s="356"/>
      <c r="R856" s="356"/>
      <c r="S856" s="356"/>
      <c r="T856" s="356"/>
      <c r="U856" s="356"/>
      <c r="V856" s="356"/>
      <c r="W856" s="356"/>
      <c r="X856" s="356"/>
      <c r="Y856" s="356"/>
      <c r="Z856" s="356"/>
      <c r="AA856" s="356"/>
      <c r="AB856" s="356"/>
      <c r="AC856" s="356"/>
      <c r="AD856" s="349"/>
      <c r="AE856" s="349"/>
      <c r="AF856" s="349"/>
      <c r="AG856" s="349"/>
      <c r="AH856" s="349"/>
      <c r="AI856" s="349"/>
      <c r="AJ856" s="349"/>
      <c r="AK856" s="349"/>
      <c r="AL856" s="349"/>
      <c r="AM856" s="349"/>
      <c r="AN856" s="349"/>
      <c r="AO856" s="349"/>
      <c r="AP856" s="349"/>
      <c r="AQ856" s="349"/>
      <c r="AR856" s="349"/>
      <c r="AS856" s="349"/>
      <c r="AT856" s="349"/>
      <c r="AU856" s="349"/>
      <c r="AV856" s="349"/>
      <c r="AW856" s="349"/>
      <c r="AX856" s="349"/>
    </row>
    <row r="857" ht="15.75" customHeight="1">
      <c r="A857" s="299" t="s">
        <v>2456</v>
      </c>
      <c r="B857" s="300" t="s">
        <v>7714</v>
      </c>
      <c r="C857" s="190" t="s">
        <v>7718</v>
      </c>
      <c r="D857" s="190" t="s">
        <v>7720</v>
      </c>
      <c r="E857" s="190" t="s">
        <v>7721</v>
      </c>
      <c r="F857" s="190"/>
      <c r="G857" s="293"/>
      <c r="H857" s="293"/>
      <c r="I857" s="356"/>
      <c r="J857" s="340" t="s">
        <v>3474</v>
      </c>
      <c r="K857" s="356"/>
      <c r="L857" s="356"/>
      <c r="M857" s="356"/>
      <c r="N857" s="356"/>
      <c r="O857" s="356"/>
      <c r="P857" s="291"/>
      <c r="Q857" s="291" t="s">
        <v>307</v>
      </c>
      <c r="R857" s="356"/>
      <c r="S857" s="356"/>
      <c r="T857" s="356"/>
      <c r="U857" s="356"/>
      <c r="V857" s="356"/>
      <c r="W857" s="356"/>
      <c r="X857" s="356"/>
      <c r="Y857" s="356"/>
      <c r="Z857" s="356"/>
      <c r="AA857" s="356"/>
      <c r="AB857" s="356"/>
      <c r="AC857" s="356"/>
      <c r="AD857" s="349"/>
      <c r="AE857" s="349"/>
      <c r="AF857" s="349"/>
      <c r="AG857" s="349"/>
      <c r="AH857" s="349"/>
      <c r="AI857" s="349"/>
      <c r="AJ857" s="349"/>
      <c r="AK857" s="349"/>
      <c r="AL857" s="349"/>
      <c r="AM857" s="349"/>
      <c r="AN857" s="349"/>
      <c r="AO857" s="349"/>
      <c r="AP857" s="349"/>
      <c r="AQ857" s="349"/>
      <c r="AR857" s="349"/>
      <c r="AS857" s="349"/>
      <c r="AT857" s="349"/>
      <c r="AU857" s="349"/>
      <c r="AV857" s="349"/>
      <c r="AW857" s="349"/>
      <c r="AX857" s="349"/>
    </row>
    <row r="858" ht="15.75" customHeight="1">
      <c r="A858" s="299" t="s">
        <v>2456</v>
      </c>
      <c r="B858" s="300" t="s">
        <v>7722</v>
      </c>
      <c r="C858" s="190" t="s">
        <v>7727</v>
      </c>
      <c r="D858" s="190" t="s">
        <v>7728</v>
      </c>
      <c r="E858" s="190" t="s">
        <v>7729</v>
      </c>
      <c r="F858" s="190"/>
      <c r="G858" s="293"/>
      <c r="H858" s="293"/>
      <c r="I858" s="356"/>
      <c r="J858" s="340" t="s">
        <v>3474</v>
      </c>
      <c r="K858" s="356"/>
      <c r="L858" s="356"/>
      <c r="M858" s="356"/>
      <c r="N858" s="356"/>
      <c r="O858" s="356"/>
      <c r="P858" s="291"/>
      <c r="Q858" s="291" t="s">
        <v>307</v>
      </c>
      <c r="R858" s="356"/>
      <c r="S858" s="356"/>
      <c r="T858" s="356"/>
      <c r="U858" s="356"/>
      <c r="V858" s="356"/>
      <c r="W858" s="356"/>
      <c r="X858" s="356"/>
      <c r="Y858" s="356"/>
      <c r="Z858" s="356"/>
      <c r="AA858" s="356"/>
      <c r="AB858" s="356"/>
      <c r="AC858" s="356"/>
      <c r="AD858" s="349"/>
      <c r="AE858" s="349"/>
      <c r="AF858" s="349"/>
      <c r="AG858" s="349"/>
      <c r="AH858" s="349"/>
      <c r="AI858" s="349"/>
      <c r="AJ858" s="349"/>
      <c r="AK858" s="349"/>
      <c r="AL858" s="349"/>
      <c r="AM858" s="349"/>
      <c r="AN858" s="349"/>
      <c r="AO858" s="349"/>
      <c r="AP858" s="349"/>
      <c r="AQ858" s="349"/>
      <c r="AR858" s="349"/>
      <c r="AS858" s="349"/>
      <c r="AT858" s="349"/>
      <c r="AU858" s="349"/>
      <c r="AV858" s="349"/>
      <c r="AW858" s="349"/>
      <c r="AX858" s="349"/>
    </row>
    <row r="859" ht="15.75" customHeight="1">
      <c r="A859" s="299" t="s">
        <v>2456</v>
      </c>
      <c r="B859" s="300" t="s">
        <v>7730</v>
      </c>
      <c r="C859" s="190" t="s">
        <v>7735</v>
      </c>
      <c r="D859" s="190" t="s">
        <v>7736</v>
      </c>
      <c r="E859" s="190" t="s">
        <v>7737</v>
      </c>
      <c r="F859" s="190"/>
      <c r="G859" s="293"/>
      <c r="H859" s="293"/>
      <c r="I859" s="356"/>
      <c r="J859" s="340" t="s">
        <v>3474</v>
      </c>
      <c r="K859" s="356"/>
      <c r="L859" s="356"/>
      <c r="M859" s="356"/>
      <c r="N859" s="356"/>
      <c r="O859" s="356"/>
      <c r="P859" s="291"/>
      <c r="Q859" s="291" t="s">
        <v>307</v>
      </c>
      <c r="R859" s="356"/>
      <c r="S859" s="356"/>
      <c r="T859" s="356"/>
      <c r="U859" s="356"/>
      <c r="V859" s="356"/>
      <c r="W859" s="356"/>
      <c r="X859" s="356"/>
      <c r="Y859" s="356"/>
      <c r="Z859" s="356"/>
      <c r="AA859" s="356"/>
      <c r="AB859" s="356"/>
      <c r="AC859" s="356"/>
      <c r="AD859" s="349"/>
      <c r="AE859" s="349"/>
      <c r="AF859" s="349"/>
      <c r="AG859" s="349"/>
      <c r="AH859" s="349"/>
      <c r="AI859" s="349"/>
      <c r="AJ859" s="349"/>
      <c r="AK859" s="349"/>
      <c r="AL859" s="349"/>
      <c r="AM859" s="349"/>
      <c r="AN859" s="349"/>
      <c r="AO859" s="349"/>
      <c r="AP859" s="349"/>
      <c r="AQ859" s="349"/>
      <c r="AR859" s="349"/>
      <c r="AS859" s="349"/>
      <c r="AT859" s="349"/>
      <c r="AU859" s="349"/>
      <c r="AV859" s="349"/>
      <c r="AW859" s="349"/>
      <c r="AX859" s="349"/>
    </row>
    <row r="860" ht="15.75" customHeight="1">
      <c r="A860" s="299" t="s">
        <v>2456</v>
      </c>
      <c r="B860" s="300" t="s">
        <v>7738</v>
      </c>
      <c r="C860" s="190" t="s">
        <v>7743</v>
      </c>
      <c r="D860" s="190" t="s">
        <v>7744</v>
      </c>
      <c r="E860" s="190" t="s">
        <v>7745</v>
      </c>
      <c r="F860" s="190"/>
      <c r="G860" s="293"/>
      <c r="H860" s="293"/>
      <c r="I860" s="356"/>
      <c r="J860" s="340" t="s">
        <v>3474</v>
      </c>
      <c r="K860" s="356"/>
      <c r="L860" s="356"/>
      <c r="M860" s="356"/>
      <c r="N860" s="356"/>
      <c r="O860" s="356"/>
      <c r="P860" s="291"/>
      <c r="Q860" s="291" t="s">
        <v>307</v>
      </c>
      <c r="R860" s="356"/>
      <c r="S860" s="356"/>
      <c r="T860" s="356"/>
      <c r="U860" s="356"/>
      <c r="V860" s="356"/>
      <c r="W860" s="356"/>
      <c r="X860" s="356"/>
      <c r="Y860" s="356"/>
      <c r="Z860" s="356"/>
      <c r="AA860" s="356"/>
      <c r="AB860" s="356"/>
      <c r="AC860" s="356"/>
      <c r="AD860" s="349"/>
      <c r="AE860" s="349"/>
      <c r="AF860" s="349"/>
      <c r="AG860" s="349"/>
      <c r="AH860" s="349"/>
      <c r="AI860" s="349"/>
      <c r="AJ860" s="349"/>
      <c r="AK860" s="349"/>
      <c r="AL860" s="349"/>
      <c r="AM860" s="349"/>
      <c r="AN860" s="349"/>
      <c r="AO860" s="349"/>
      <c r="AP860" s="349"/>
      <c r="AQ860" s="349"/>
      <c r="AR860" s="349"/>
      <c r="AS860" s="349"/>
      <c r="AT860" s="349"/>
      <c r="AU860" s="349"/>
      <c r="AV860" s="349"/>
      <c r="AW860" s="349"/>
      <c r="AX860" s="349"/>
    </row>
    <row r="861" ht="15.75" customHeight="1">
      <c r="A861" s="310" t="s">
        <v>331</v>
      </c>
      <c r="B861" s="394" t="s">
        <v>7707</v>
      </c>
      <c r="C861" s="190"/>
      <c r="D861" s="190"/>
      <c r="E861" s="190"/>
      <c r="F861" s="190"/>
      <c r="G861" s="354"/>
      <c r="H861" s="354"/>
      <c r="I861" s="354"/>
      <c r="J861" s="354"/>
      <c r="K861" s="354"/>
      <c r="L861" s="354"/>
      <c r="M861" s="354"/>
      <c r="N861" s="354"/>
      <c r="O861" s="354"/>
      <c r="P861" s="291"/>
      <c r="Q861" s="354"/>
      <c r="R861" s="354"/>
      <c r="S861" s="354"/>
      <c r="T861" s="354"/>
      <c r="U861" s="354"/>
      <c r="V861" s="354"/>
      <c r="W861" s="354"/>
      <c r="X861" s="354"/>
      <c r="Y861" s="354"/>
      <c r="Z861" s="354"/>
      <c r="AA861" s="354"/>
      <c r="AB861" s="354"/>
      <c r="AC861" s="354"/>
      <c r="AD861" s="349"/>
      <c r="AE861" s="349"/>
      <c r="AF861" s="349"/>
      <c r="AG861" s="349"/>
      <c r="AH861" s="349"/>
      <c r="AI861" s="349"/>
      <c r="AJ861" s="349"/>
      <c r="AK861" s="349"/>
      <c r="AL861" s="349"/>
      <c r="AM861" s="349"/>
      <c r="AN861" s="349"/>
      <c r="AO861" s="349"/>
      <c r="AP861" s="349"/>
      <c r="AQ861" s="349"/>
      <c r="AR861" s="349"/>
      <c r="AS861" s="349"/>
      <c r="AT861" s="349"/>
      <c r="AU861" s="349"/>
      <c r="AV861" s="349"/>
      <c r="AW861" s="349"/>
      <c r="AX861" s="349"/>
    </row>
    <row r="862" ht="15.75" customHeight="1">
      <c r="A862" s="310" t="s">
        <v>331</v>
      </c>
      <c r="B862" s="315" t="s">
        <v>7671</v>
      </c>
      <c r="C862" s="190"/>
      <c r="D862" s="190"/>
      <c r="E862" s="190"/>
      <c r="F862" s="190"/>
      <c r="G862" s="354"/>
      <c r="H862" s="354"/>
      <c r="I862" s="354"/>
      <c r="J862" s="354"/>
      <c r="K862" s="354"/>
      <c r="L862" s="354"/>
      <c r="M862" s="354"/>
      <c r="N862" s="354"/>
      <c r="O862" s="354"/>
      <c r="P862" s="291"/>
      <c r="Q862" s="354"/>
      <c r="R862" s="354"/>
      <c r="S862" s="354"/>
      <c r="T862" s="354"/>
      <c r="U862" s="354"/>
      <c r="V862" s="354"/>
      <c r="W862" s="354"/>
      <c r="X862" s="354"/>
      <c r="Y862" s="354"/>
      <c r="Z862" s="354"/>
      <c r="AA862" s="354"/>
      <c r="AB862" s="354"/>
      <c r="AC862" s="354"/>
      <c r="AD862" s="349"/>
      <c r="AE862" s="349"/>
      <c r="AF862" s="349"/>
      <c r="AG862" s="349"/>
      <c r="AH862" s="349"/>
      <c r="AI862" s="349"/>
      <c r="AJ862" s="349"/>
      <c r="AK862" s="349"/>
      <c r="AL862" s="349"/>
      <c r="AM862" s="349"/>
      <c r="AN862" s="349"/>
      <c r="AO862" s="349"/>
      <c r="AP862" s="349"/>
      <c r="AQ862" s="349"/>
      <c r="AR862" s="349"/>
      <c r="AS862" s="349"/>
      <c r="AT862" s="349"/>
      <c r="AU862" s="349"/>
      <c r="AV862" s="349"/>
      <c r="AW862" s="349"/>
      <c r="AX862" s="349"/>
    </row>
    <row r="863" ht="15.75" customHeight="1">
      <c r="A863" s="221" t="s">
        <v>256</v>
      </c>
      <c r="B863" s="198" t="s">
        <v>7746</v>
      </c>
      <c r="C863" s="190"/>
      <c r="D863" s="190"/>
      <c r="E863" s="190"/>
      <c r="F863" s="190"/>
      <c r="G863" s="348"/>
      <c r="H863" s="348"/>
      <c r="I863" s="348"/>
      <c r="J863" s="348"/>
      <c r="K863" s="348"/>
      <c r="L863" s="348"/>
      <c r="M863" s="348"/>
      <c r="N863" s="348"/>
      <c r="O863" s="348"/>
      <c r="P863" s="291"/>
      <c r="Q863" s="348"/>
      <c r="R863" s="348"/>
      <c r="S863" s="348"/>
      <c r="T863" s="335" t="s">
        <v>260</v>
      </c>
      <c r="U863" s="348"/>
      <c r="V863" s="348"/>
      <c r="W863" s="348"/>
      <c r="X863" s="348"/>
      <c r="Y863" s="348"/>
      <c r="Z863" s="348"/>
      <c r="AA863" s="348"/>
      <c r="AB863" s="348"/>
      <c r="AC863" s="348"/>
      <c r="AD863" s="349"/>
      <c r="AE863" s="349"/>
      <c r="AF863" s="349"/>
      <c r="AG863" s="349"/>
      <c r="AH863" s="349"/>
      <c r="AI863" s="349"/>
      <c r="AJ863" s="349"/>
      <c r="AK863" s="349"/>
      <c r="AL863" s="349"/>
      <c r="AM863" s="349"/>
      <c r="AN863" s="349"/>
      <c r="AO863" s="349"/>
      <c r="AP863" s="349"/>
      <c r="AQ863" s="349"/>
      <c r="AR863" s="349"/>
      <c r="AS863" s="349"/>
      <c r="AT863" s="349"/>
      <c r="AU863" s="349"/>
      <c r="AV863" s="349"/>
      <c r="AW863" s="349"/>
      <c r="AX863" s="349"/>
    </row>
    <row r="864" ht="15.75" customHeight="1">
      <c r="A864" s="221" t="s">
        <v>112</v>
      </c>
      <c r="B864" s="198" t="s">
        <v>7747</v>
      </c>
      <c r="C864" s="190"/>
      <c r="D864" s="190"/>
      <c r="E864" s="190"/>
      <c r="F864" s="190"/>
      <c r="G864" s="348"/>
      <c r="H864" s="348"/>
      <c r="I864" s="348"/>
      <c r="J864" s="348"/>
      <c r="K864" s="348"/>
      <c r="L864" s="348"/>
      <c r="M864" s="348"/>
      <c r="N864" s="348"/>
      <c r="O864" s="348"/>
      <c r="P864" s="291"/>
      <c r="Q864" s="348"/>
      <c r="R864" s="348"/>
      <c r="S864" s="348"/>
      <c r="T864" s="335" t="s">
        <v>8213</v>
      </c>
      <c r="U864" s="348"/>
      <c r="V864" s="348"/>
      <c r="W864" s="348"/>
      <c r="X864" s="348"/>
      <c r="Y864" s="348"/>
      <c r="Z864" s="348"/>
      <c r="AA864" s="348"/>
      <c r="AB864" s="348"/>
      <c r="AC864" s="348"/>
      <c r="AD864" s="349"/>
      <c r="AE864" s="349"/>
      <c r="AF864" s="349"/>
      <c r="AG864" s="349"/>
      <c r="AH864" s="349"/>
      <c r="AI864" s="349"/>
      <c r="AJ864" s="349"/>
      <c r="AK864" s="349"/>
      <c r="AL864" s="349"/>
      <c r="AM864" s="349"/>
      <c r="AN864" s="349"/>
      <c r="AO864" s="349"/>
      <c r="AP864" s="349"/>
      <c r="AQ864" s="349"/>
      <c r="AR864" s="349"/>
      <c r="AS864" s="349"/>
      <c r="AT864" s="349"/>
      <c r="AU864" s="349"/>
      <c r="AV864" s="349"/>
      <c r="AW864" s="349"/>
      <c r="AX864" s="349"/>
    </row>
    <row r="865" ht="15.75" customHeight="1">
      <c r="A865" s="310" t="s">
        <v>331</v>
      </c>
      <c r="B865" s="315" t="s">
        <v>5950</v>
      </c>
      <c r="C865" s="190"/>
      <c r="D865" s="190"/>
      <c r="E865" s="190"/>
      <c r="F865" s="190"/>
      <c r="G865" s="354"/>
      <c r="H865" s="354"/>
      <c r="I865" s="354"/>
      <c r="J865" s="354"/>
      <c r="K865" s="354"/>
      <c r="L865" s="354"/>
      <c r="M865" s="354"/>
      <c r="N865" s="354"/>
      <c r="O865" s="354"/>
      <c r="P865" s="291"/>
      <c r="Q865" s="354"/>
      <c r="R865" s="354"/>
      <c r="S865" s="354"/>
      <c r="T865" s="354"/>
      <c r="U865" s="354"/>
      <c r="V865" s="354"/>
      <c r="W865" s="354"/>
      <c r="X865" s="354"/>
      <c r="Y865" s="354"/>
      <c r="Z865" s="354"/>
      <c r="AA865" s="354"/>
      <c r="AB865" s="354"/>
      <c r="AC865" s="354"/>
      <c r="AD865" s="349"/>
      <c r="AE865" s="349"/>
      <c r="AF865" s="349"/>
      <c r="AG865" s="349"/>
      <c r="AH865" s="349"/>
      <c r="AI865" s="349"/>
      <c r="AJ865" s="349"/>
      <c r="AK865" s="349"/>
      <c r="AL865" s="349"/>
      <c r="AM865" s="349"/>
      <c r="AN865" s="349"/>
      <c r="AO865" s="349"/>
      <c r="AP865" s="349"/>
      <c r="AQ865" s="349"/>
      <c r="AR865" s="349"/>
      <c r="AS865" s="349"/>
      <c r="AT865" s="349"/>
      <c r="AU865" s="349"/>
      <c r="AV865" s="349"/>
      <c r="AW865" s="349"/>
      <c r="AX865" s="349"/>
    </row>
    <row r="866" ht="15.75" customHeight="1">
      <c r="A866" s="310" t="s">
        <v>331</v>
      </c>
      <c r="B866" s="315" t="s">
        <v>5187</v>
      </c>
      <c r="C866" s="190" t="s">
        <v>5188</v>
      </c>
      <c r="D866" s="190"/>
      <c r="E866" s="190"/>
      <c r="F866" s="190"/>
      <c r="G866" s="354"/>
      <c r="H866" s="354"/>
      <c r="I866" s="354"/>
      <c r="J866" s="354"/>
      <c r="K866" s="354"/>
      <c r="L866" s="354"/>
      <c r="M866" s="354"/>
      <c r="N866" s="354"/>
      <c r="O866" s="354"/>
      <c r="P866" s="291"/>
      <c r="Q866" s="354"/>
      <c r="R866" s="354"/>
      <c r="S866" s="354"/>
      <c r="T866" s="354"/>
      <c r="U866" s="354"/>
      <c r="V866" s="354"/>
      <c r="W866" s="354"/>
      <c r="X866" s="354"/>
      <c r="Y866" s="354"/>
      <c r="Z866" s="354"/>
      <c r="AA866" s="354"/>
      <c r="AB866" s="354"/>
      <c r="AC866" s="354"/>
      <c r="AD866" s="349"/>
      <c r="AE866" s="349"/>
      <c r="AF866" s="349"/>
      <c r="AG866" s="349"/>
      <c r="AH866" s="349"/>
      <c r="AI866" s="349"/>
      <c r="AJ866" s="349"/>
      <c r="AK866" s="349"/>
      <c r="AL866" s="349"/>
      <c r="AM866" s="349"/>
      <c r="AN866" s="349"/>
      <c r="AO866" s="349"/>
      <c r="AP866" s="349"/>
      <c r="AQ866" s="349"/>
      <c r="AR866" s="349"/>
      <c r="AS866" s="349"/>
      <c r="AT866" s="349"/>
      <c r="AU866" s="349"/>
      <c r="AV866" s="349"/>
      <c r="AW866" s="349"/>
      <c r="AX866" s="349"/>
    </row>
    <row r="867" ht="15.75" customHeight="1">
      <c r="A867" s="221" t="s">
        <v>256</v>
      </c>
      <c r="B867" s="198" t="s">
        <v>7748</v>
      </c>
      <c r="C867" s="190"/>
      <c r="D867" s="190"/>
      <c r="E867" s="190"/>
      <c r="F867" s="190"/>
      <c r="G867" s="348"/>
      <c r="H867" s="348"/>
      <c r="I867" s="348"/>
      <c r="J867" s="348"/>
      <c r="K867" s="348"/>
      <c r="L867" s="348"/>
      <c r="M867" s="348"/>
      <c r="N867" s="348"/>
      <c r="O867" s="348"/>
      <c r="P867" s="291"/>
      <c r="Q867" s="348"/>
      <c r="R867" s="348"/>
      <c r="S867" s="348"/>
      <c r="T867" s="335" t="s">
        <v>260</v>
      </c>
      <c r="U867" s="348"/>
      <c r="V867" s="348"/>
      <c r="W867" s="348"/>
      <c r="X867" s="348"/>
      <c r="Y867" s="348"/>
      <c r="Z867" s="348"/>
      <c r="AA867" s="348"/>
      <c r="AB867" s="348"/>
      <c r="AC867" s="348"/>
      <c r="AD867" s="349"/>
      <c r="AE867" s="349"/>
      <c r="AF867" s="349"/>
      <c r="AG867" s="349"/>
      <c r="AH867" s="349"/>
      <c r="AI867" s="349"/>
      <c r="AJ867" s="349"/>
      <c r="AK867" s="349"/>
      <c r="AL867" s="349"/>
      <c r="AM867" s="349"/>
      <c r="AN867" s="349"/>
      <c r="AO867" s="349"/>
      <c r="AP867" s="349"/>
      <c r="AQ867" s="349"/>
      <c r="AR867" s="349"/>
      <c r="AS867" s="349"/>
      <c r="AT867" s="349"/>
      <c r="AU867" s="349"/>
      <c r="AV867" s="349"/>
      <c r="AW867" s="349"/>
      <c r="AX867" s="349"/>
    </row>
    <row r="868" ht="15.75" customHeight="1">
      <c r="A868" s="221" t="s">
        <v>112</v>
      </c>
      <c r="B868" s="198" t="s">
        <v>7749</v>
      </c>
      <c r="C868" s="190"/>
      <c r="D868" s="190"/>
      <c r="E868" s="190"/>
      <c r="F868" s="190"/>
      <c r="G868" s="348"/>
      <c r="H868" s="348"/>
      <c r="I868" s="348"/>
      <c r="J868" s="348"/>
      <c r="K868" s="348"/>
      <c r="L868" s="348"/>
      <c r="M868" s="348"/>
      <c r="N868" s="348"/>
      <c r="O868" s="348"/>
      <c r="P868" s="291"/>
      <c r="Q868" s="348"/>
      <c r="R868" s="348"/>
      <c r="S868" s="348"/>
      <c r="T868" s="335" t="s">
        <v>8214</v>
      </c>
      <c r="U868" s="348"/>
      <c r="V868" s="348"/>
      <c r="W868" s="348"/>
      <c r="X868" s="348"/>
      <c r="Y868" s="348"/>
      <c r="Z868" s="348"/>
      <c r="AA868" s="348"/>
      <c r="AB868" s="348"/>
      <c r="AC868" s="348"/>
      <c r="AD868" s="349"/>
      <c r="AE868" s="349"/>
      <c r="AF868" s="349"/>
      <c r="AG868" s="349"/>
      <c r="AH868" s="349"/>
      <c r="AI868" s="349"/>
      <c r="AJ868" s="349"/>
      <c r="AK868" s="349"/>
      <c r="AL868" s="349"/>
      <c r="AM868" s="349"/>
      <c r="AN868" s="349"/>
      <c r="AO868" s="349"/>
      <c r="AP868" s="349"/>
      <c r="AQ868" s="349"/>
      <c r="AR868" s="349"/>
      <c r="AS868" s="349"/>
      <c r="AT868" s="349"/>
      <c r="AU868" s="349"/>
      <c r="AV868" s="349"/>
      <c r="AW868" s="349"/>
      <c r="AX868" s="349"/>
    </row>
    <row r="869" ht="15.75" customHeight="1">
      <c r="A869" s="292"/>
      <c r="B869" s="292"/>
      <c r="C869" s="190"/>
      <c r="D869" s="190"/>
      <c r="E869" s="190"/>
      <c r="F869" s="190"/>
      <c r="G869" s="292"/>
      <c r="H869" s="292"/>
      <c r="I869" s="292"/>
      <c r="J869" s="292"/>
      <c r="K869" s="292"/>
      <c r="L869" s="292"/>
      <c r="M869" s="292"/>
      <c r="N869" s="292"/>
      <c r="O869" s="292"/>
      <c r="P869" s="291"/>
      <c r="Q869" s="292"/>
      <c r="R869" s="292"/>
      <c r="S869" s="292"/>
      <c r="T869" s="292"/>
      <c r="U869" s="292"/>
      <c r="V869" s="292"/>
      <c r="W869" s="292"/>
      <c r="X869" s="292"/>
      <c r="Y869" s="292"/>
      <c r="Z869" s="292"/>
      <c r="AA869" s="292"/>
      <c r="AB869" s="292"/>
      <c r="AC869" s="292"/>
      <c r="AD869" s="292"/>
      <c r="AE869" s="292"/>
      <c r="AF869" s="292"/>
      <c r="AG869" s="292"/>
      <c r="AH869" s="292"/>
      <c r="AI869" s="292"/>
      <c r="AJ869" s="292"/>
      <c r="AK869" s="292"/>
      <c r="AL869" s="292"/>
      <c r="AM869" s="292"/>
      <c r="AN869" s="292"/>
      <c r="AO869" s="292"/>
      <c r="AP869" s="292"/>
      <c r="AQ869" s="292"/>
      <c r="AR869" s="292"/>
      <c r="AS869" s="292"/>
      <c r="AT869" s="292"/>
      <c r="AU869" s="292"/>
      <c r="AV869" s="292"/>
      <c r="AW869" s="292"/>
      <c r="AX869" s="292"/>
    </row>
    <row r="870" ht="15.75" customHeight="1">
      <c r="A870" s="141" t="s">
        <v>331</v>
      </c>
      <c r="B870" s="141" t="s">
        <v>1691</v>
      </c>
      <c r="C870" s="153"/>
      <c r="D870" s="153"/>
      <c r="E870" s="153"/>
      <c r="F870" s="153"/>
      <c r="G870" s="153"/>
      <c r="H870" s="153"/>
      <c r="I870" s="153"/>
      <c r="J870" s="153"/>
      <c r="K870" s="153"/>
      <c r="L870" s="153"/>
      <c r="M870" s="153"/>
      <c r="N870" s="153"/>
      <c r="O870" s="137"/>
      <c r="P870" s="137"/>
      <c r="Q870" s="137"/>
      <c r="R870" s="137"/>
      <c r="S870" s="137"/>
      <c r="T870" s="137"/>
      <c r="U870" s="137"/>
      <c r="V870" s="137"/>
      <c r="W870" s="137"/>
      <c r="X870" s="137"/>
      <c r="Y870" s="137"/>
      <c r="Z870" s="137"/>
      <c r="AA870" s="137"/>
      <c r="AB870" s="137"/>
      <c r="AC870" s="137"/>
      <c r="AD870" s="44"/>
      <c r="AE870" s="44"/>
      <c r="AF870" s="44"/>
      <c r="AG870" s="44"/>
      <c r="AH870" s="44"/>
      <c r="AI870" s="44"/>
      <c r="AJ870" s="44"/>
      <c r="AK870" s="44"/>
      <c r="AL870" s="44"/>
      <c r="AM870" s="44"/>
      <c r="AN870" s="44"/>
      <c r="AO870" s="44"/>
      <c r="AP870" s="44"/>
      <c r="AQ870" s="44"/>
      <c r="AR870" s="44"/>
      <c r="AS870" s="44"/>
      <c r="AT870" s="44"/>
      <c r="AU870" s="44"/>
      <c r="AV870" s="44"/>
      <c r="AW870" s="44"/>
      <c r="AX870" s="44"/>
    </row>
    <row r="871" ht="15.75" customHeight="1">
      <c r="A871" s="141" t="s">
        <v>331</v>
      </c>
      <c r="B871" s="141" t="s">
        <v>1682</v>
      </c>
      <c r="C871" s="152" t="s">
        <v>8043</v>
      </c>
      <c r="D871" s="153"/>
      <c r="E871" s="153"/>
      <c r="F871" s="153"/>
      <c r="G871" s="153"/>
      <c r="H871" s="153"/>
      <c r="I871" s="153"/>
      <c r="J871" s="153"/>
      <c r="K871" s="153"/>
      <c r="L871" s="153"/>
      <c r="M871" s="153"/>
      <c r="N871" s="153"/>
      <c r="O871" s="137"/>
      <c r="P871" s="137"/>
      <c r="Q871" s="137"/>
      <c r="R871" s="137"/>
      <c r="S871" s="137"/>
      <c r="T871" s="137"/>
      <c r="U871" s="137"/>
      <c r="V871" s="137"/>
      <c r="W871" s="137"/>
      <c r="X871" s="137"/>
      <c r="Y871" s="137"/>
      <c r="Z871" s="137"/>
      <c r="AA871" s="137"/>
      <c r="AB871" s="137"/>
      <c r="AC871" s="137"/>
      <c r="AD871" s="44"/>
      <c r="AE871" s="44"/>
      <c r="AF871" s="44"/>
      <c r="AG871" s="44"/>
      <c r="AH871" s="44"/>
      <c r="AI871" s="44"/>
      <c r="AJ871" s="44"/>
      <c r="AK871" s="44"/>
      <c r="AL871" s="44"/>
      <c r="AM871" s="44"/>
      <c r="AN871" s="44"/>
      <c r="AO871" s="44"/>
      <c r="AP871" s="44"/>
      <c r="AQ871" s="44"/>
      <c r="AR871" s="44"/>
      <c r="AS871" s="44"/>
      <c r="AT871" s="44"/>
      <c r="AU871" s="44"/>
      <c r="AV871" s="44"/>
      <c r="AW871" s="44"/>
      <c r="AX871" s="44"/>
    </row>
    <row r="872" ht="15.75" customHeight="1">
      <c r="A872" s="137"/>
      <c r="B872" s="144"/>
      <c r="C872" s="136"/>
      <c r="D872" s="136"/>
      <c r="E872" s="136"/>
      <c r="F872" s="153"/>
      <c r="G872" s="153"/>
      <c r="H872" s="153"/>
      <c r="I872" s="153"/>
      <c r="J872" s="136"/>
      <c r="K872" s="153"/>
      <c r="L872" s="153"/>
      <c r="M872" s="153"/>
      <c r="N872" s="153"/>
      <c r="O872" s="144"/>
      <c r="P872" s="137"/>
      <c r="Q872" s="137"/>
      <c r="R872" s="137"/>
      <c r="S872" s="137"/>
      <c r="T872" s="137"/>
      <c r="U872" s="137"/>
      <c r="V872" s="137"/>
      <c r="W872" s="137"/>
      <c r="X872" s="137"/>
      <c r="Y872" s="137"/>
      <c r="Z872" s="137"/>
      <c r="AA872" s="137"/>
      <c r="AB872" s="137"/>
      <c r="AC872" s="137"/>
      <c r="AD872" s="44"/>
      <c r="AE872" s="44"/>
      <c r="AF872" s="44"/>
      <c r="AG872" s="44"/>
      <c r="AH872" s="44"/>
      <c r="AI872" s="44"/>
      <c r="AJ872" s="44"/>
      <c r="AK872" s="44"/>
      <c r="AL872" s="44"/>
      <c r="AM872" s="44"/>
      <c r="AN872" s="44"/>
      <c r="AO872" s="44"/>
      <c r="AP872" s="44"/>
      <c r="AQ872" s="44"/>
      <c r="AR872" s="44"/>
      <c r="AS872" s="44"/>
      <c r="AT872" s="44"/>
      <c r="AU872" s="44"/>
      <c r="AV872" s="44"/>
      <c r="AW872" s="44"/>
      <c r="AX872" s="44"/>
    </row>
    <row r="873" ht="15.75" customHeight="1">
      <c r="A873" s="134" t="s">
        <v>278</v>
      </c>
      <c r="B873" s="135" t="s">
        <v>8215</v>
      </c>
      <c r="C873" s="143" t="s">
        <v>8216</v>
      </c>
      <c r="D873" s="136"/>
      <c r="E873" s="136"/>
      <c r="F873" s="136"/>
      <c r="G873" s="136"/>
      <c r="H873" s="136"/>
      <c r="I873" s="136"/>
      <c r="J873" s="226" t="s">
        <v>8217</v>
      </c>
      <c r="K873" s="136"/>
      <c r="L873" s="136"/>
      <c r="M873" s="136"/>
      <c r="N873" s="136"/>
      <c r="O873" s="142" t="s">
        <v>8218</v>
      </c>
      <c r="P873" s="137"/>
      <c r="Q873" s="137"/>
      <c r="R873" s="137"/>
      <c r="S873" s="137"/>
      <c r="T873" s="137"/>
      <c r="U873" s="137"/>
      <c r="V873" s="137"/>
      <c r="W873" s="137"/>
      <c r="X873" s="137"/>
      <c r="Y873" s="137"/>
      <c r="Z873" s="137"/>
      <c r="AA873" s="137"/>
      <c r="AB873" s="137"/>
      <c r="AC873" s="137"/>
      <c r="AD873" s="44"/>
      <c r="AE873" s="44"/>
      <c r="AF873" s="44"/>
      <c r="AG873" s="44"/>
      <c r="AH873" s="44"/>
      <c r="AI873" s="44"/>
      <c r="AJ873" s="44"/>
      <c r="AK873" s="44"/>
      <c r="AL873" s="44"/>
      <c r="AM873" s="44"/>
      <c r="AN873" s="44"/>
      <c r="AO873" s="44"/>
      <c r="AP873" s="44"/>
      <c r="AQ873" s="44"/>
      <c r="AR873" s="44"/>
      <c r="AS873" s="44"/>
      <c r="AT873" s="44"/>
      <c r="AU873" s="44"/>
      <c r="AV873" s="44"/>
      <c r="AW873" s="44"/>
      <c r="AX873" s="44"/>
    </row>
    <row r="874" ht="15.75" customHeight="1">
      <c r="A874" s="208" t="s">
        <v>1060</v>
      </c>
      <c r="B874" s="209" t="s">
        <v>8219</v>
      </c>
      <c r="C874" s="147" t="s">
        <v>8220</v>
      </c>
      <c r="D874" s="147" t="s">
        <v>8221</v>
      </c>
      <c r="E874" s="147" t="s">
        <v>8222</v>
      </c>
      <c r="F874" s="139"/>
      <c r="G874" s="139"/>
      <c r="H874" s="139"/>
      <c r="I874" s="139"/>
      <c r="J874" s="139"/>
      <c r="K874" s="139"/>
      <c r="L874" s="139"/>
      <c r="M874" s="139"/>
      <c r="N874" s="139"/>
      <c r="O874" s="145" t="s">
        <v>8223</v>
      </c>
      <c r="P874" s="127"/>
      <c r="Q874" s="208" t="s">
        <v>307</v>
      </c>
      <c r="R874" s="127"/>
      <c r="S874" s="127"/>
      <c r="T874" s="127"/>
      <c r="U874" s="127"/>
      <c r="V874" s="127"/>
      <c r="W874" s="127"/>
      <c r="X874" s="127"/>
      <c r="Y874" s="127"/>
      <c r="Z874" s="127"/>
      <c r="AA874" s="127"/>
      <c r="AB874" s="127"/>
      <c r="AC874" s="127"/>
      <c r="AD874" s="44"/>
      <c r="AE874" s="44"/>
      <c r="AF874" s="44"/>
      <c r="AG874" s="44"/>
      <c r="AH874" s="44"/>
      <c r="AI874" s="44"/>
      <c r="AJ874" s="44"/>
      <c r="AK874" s="44"/>
      <c r="AL874" s="44"/>
      <c r="AM874" s="44"/>
      <c r="AN874" s="44"/>
      <c r="AO874" s="44"/>
      <c r="AP874" s="44"/>
      <c r="AQ874" s="44"/>
      <c r="AR874" s="44"/>
      <c r="AS874" s="44"/>
      <c r="AT874" s="44"/>
      <c r="AU874" s="44"/>
      <c r="AV874" s="44"/>
      <c r="AW874" s="44"/>
      <c r="AX874" s="44"/>
    </row>
    <row r="875" ht="15.75" customHeight="1">
      <c r="A875" s="134" t="s">
        <v>278</v>
      </c>
      <c r="B875" s="135" t="s">
        <v>8224</v>
      </c>
      <c r="C875" s="143" t="s">
        <v>8225</v>
      </c>
      <c r="D875" s="136"/>
      <c r="E875" s="136"/>
      <c r="F875" s="136"/>
      <c r="G875" s="136"/>
      <c r="H875" s="136"/>
      <c r="I875" s="136"/>
      <c r="J875" s="136"/>
      <c r="K875" s="136"/>
      <c r="L875" s="136"/>
      <c r="M875" s="136"/>
      <c r="N875" s="136"/>
      <c r="O875" s="142" t="s">
        <v>8226</v>
      </c>
      <c r="P875" s="137"/>
      <c r="Q875" s="137"/>
      <c r="R875" s="137"/>
      <c r="S875" s="137"/>
      <c r="T875" s="137"/>
      <c r="U875" s="137"/>
      <c r="V875" s="137"/>
      <c r="W875" s="137"/>
      <c r="X875" s="137"/>
      <c r="Y875" s="137"/>
      <c r="Z875" s="137"/>
      <c r="AA875" s="137"/>
      <c r="AB875" s="137"/>
      <c r="AC875" s="137"/>
      <c r="AD875" s="44"/>
      <c r="AE875" s="44"/>
      <c r="AF875" s="44"/>
      <c r="AG875" s="44"/>
      <c r="AH875" s="44"/>
      <c r="AI875" s="44"/>
      <c r="AJ875" s="44"/>
      <c r="AK875" s="44"/>
      <c r="AL875" s="44"/>
      <c r="AM875" s="44"/>
      <c r="AN875" s="44"/>
      <c r="AO875" s="44"/>
      <c r="AP875" s="44"/>
      <c r="AQ875" s="44"/>
      <c r="AR875" s="44"/>
      <c r="AS875" s="44"/>
      <c r="AT875" s="44"/>
      <c r="AU875" s="44"/>
      <c r="AV875" s="44"/>
      <c r="AW875" s="44"/>
      <c r="AX875" s="44"/>
    </row>
    <row r="876" ht="15.75" customHeight="1">
      <c r="A876" s="434" t="s">
        <v>582</v>
      </c>
      <c r="B876" s="435" t="s">
        <v>6818</v>
      </c>
      <c r="C876" s="436" t="s">
        <v>8227</v>
      </c>
      <c r="D876" s="436" t="s">
        <v>8228</v>
      </c>
      <c r="E876" s="436" t="s">
        <v>8229</v>
      </c>
      <c r="F876" s="437"/>
      <c r="G876" s="437"/>
      <c r="H876" s="437"/>
      <c r="I876" s="437"/>
      <c r="J876" s="437"/>
      <c r="K876" s="438" t="s">
        <v>8230</v>
      </c>
      <c r="L876" s="436" t="s">
        <v>8231</v>
      </c>
      <c r="M876" s="437"/>
      <c r="N876" s="437"/>
      <c r="O876" s="439"/>
      <c r="P876" s="439"/>
      <c r="Q876" s="434" t="s">
        <v>307</v>
      </c>
      <c r="R876" s="439"/>
      <c r="S876" s="439"/>
      <c r="T876" s="439"/>
      <c r="U876" s="439"/>
      <c r="V876" s="439"/>
      <c r="W876" s="439"/>
      <c r="X876" s="439"/>
      <c r="Y876" s="439"/>
      <c r="Z876" s="439"/>
      <c r="AA876" s="439"/>
      <c r="AB876" s="439"/>
      <c r="AC876" s="439"/>
      <c r="AD876" s="44"/>
      <c r="AE876" s="44"/>
      <c r="AF876" s="44"/>
      <c r="AG876" s="44"/>
      <c r="AH876" s="44"/>
      <c r="AI876" s="44"/>
      <c r="AJ876" s="44"/>
      <c r="AK876" s="44"/>
      <c r="AL876" s="44"/>
      <c r="AM876" s="44"/>
      <c r="AN876" s="44"/>
      <c r="AO876" s="44"/>
      <c r="AP876" s="44"/>
      <c r="AQ876" s="44"/>
      <c r="AR876" s="44"/>
      <c r="AS876" s="44"/>
      <c r="AT876" s="44"/>
      <c r="AU876" s="44"/>
      <c r="AV876" s="44"/>
      <c r="AW876" s="44"/>
      <c r="AX876" s="44"/>
    </row>
    <row r="877" ht="15.75" customHeight="1">
      <c r="A877" s="82" t="s">
        <v>112</v>
      </c>
      <c r="B877" s="83" t="s">
        <v>8232</v>
      </c>
      <c r="C877" s="84" t="s">
        <v>8233</v>
      </c>
      <c r="D877" s="68"/>
      <c r="E877" s="68"/>
      <c r="F877" s="68"/>
      <c r="G877" s="68"/>
      <c r="H877" s="68"/>
      <c r="I877" s="68"/>
      <c r="J877" s="68"/>
      <c r="K877" s="68"/>
      <c r="L877" s="68"/>
      <c r="M877" s="68"/>
      <c r="N877" s="68"/>
      <c r="O877" s="71"/>
      <c r="P877" s="71"/>
      <c r="Q877" s="71"/>
      <c r="R877" s="71"/>
      <c r="S877" s="71"/>
      <c r="T877" s="83" t="s">
        <v>8234</v>
      </c>
      <c r="U877" s="71"/>
      <c r="V877" s="71"/>
      <c r="W877" s="71"/>
      <c r="X877" s="71"/>
      <c r="Y877" s="71"/>
      <c r="Z877" s="71"/>
      <c r="AA877" s="71"/>
      <c r="AB877" s="71"/>
      <c r="AC877" s="71"/>
      <c r="AD877" s="44"/>
      <c r="AE877" s="44"/>
      <c r="AF877" s="44"/>
      <c r="AG877" s="44"/>
      <c r="AH877" s="44"/>
      <c r="AI877" s="44"/>
      <c r="AJ877" s="44"/>
      <c r="AK877" s="44"/>
      <c r="AL877" s="44"/>
      <c r="AM877" s="44"/>
      <c r="AN877" s="44"/>
      <c r="AO877" s="44"/>
      <c r="AP877" s="44"/>
      <c r="AQ877" s="44"/>
      <c r="AR877" s="44"/>
      <c r="AS877" s="44"/>
      <c r="AT877" s="44"/>
      <c r="AU877" s="44"/>
      <c r="AV877" s="44"/>
      <c r="AW877" s="44"/>
      <c r="AX877" s="44"/>
    </row>
    <row r="878" ht="15.75" customHeight="1">
      <c r="A878" s="150" t="s">
        <v>46</v>
      </c>
      <c r="B878" s="151" t="s">
        <v>8235</v>
      </c>
      <c r="C878" s="132" t="s">
        <v>8236</v>
      </c>
      <c r="D878" s="132" t="s">
        <v>8237</v>
      </c>
      <c r="E878" s="132" t="s">
        <v>8238</v>
      </c>
      <c r="F878" s="131"/>
      <c r="G878" s="131"/>
      <c r="H878" s="131"/>
      <c r="I878" s="131"/>
      <c r="J878" s="131"/>
      <c r="K878" s="131"/>
      <c r="L878" s="131"/>
      <c r="M878" s="131"/>
      <c r="N878" s="131"/>
      <c r="O878" s="133"/>
      <c r="P878" s="133"/>
      <c r="Q878" s="133"/>
      <c r="R878" s="133"/>
      <c r="S878" s="133"/>
      <c r="T878" s="133"/>
      <c r="U878" s="133"/>
      <c r="V878" s="133"/>
      <c r="W878" s="133"/>
      <c r="X878" s="133"/>
      <c r="Y878" s="133"/>
      <c r="Z878" s="133"/>
      <c r="AA878" s="133"/>
      <c r="AB878" s="133"/>
      <c r="AC878" s="133"/>
      <c r="AD878" s="44"/>
      <c r="AE878" s="44"/>
      <c r="AF878" s="44"/>
      <c r="AG878" s="44"/>
      <c r="AH878" s="44"/>
      <c r="AI878" s="44"/>
      <c r="AJ878" s="44"/>
      <c r="AK878" s="44"/>
      <c r="AL878" s="44"/>
      <c r="AM878" s="44"/>
      <c r="AN878" s="44"/>
      <c r="AO878" s="44"/>
      <c r="AP878" s="44"/>
      <c r="AQ878" s="44"/>
      <c r="AR878" s="44"/>
      <c r="AS878" s="44"/>
      <c r="AT878" s="44"/>
      <c r="AU878" s="44"/>
      <c r="AV878" s="44"/>
      <c r="AW878" s="44"/>
      <c r="AX878" s="44"/>
    </row>
    <row r="879" ht="15.75" customHeight="1">
      <c r="A879" s="134" t="s">
        <v>331</v>
      </c>
      <c r="B879" s="134" t="s">
        <v>8224</v>
      </c>
      <c r="C879" s="152" t="s">
        <v>8225</v>
      </c>
      <c r="D879" s="153"/>
      <c r="E879" s="153"/>
      <c r="F879" s="153"/>
      <c r="G879" s="153"/>
      <c r="H879" s="153"/>
      <c r="I879" s="153"/>
      <c r="J879" s="153"/>
      <c r="K879" s="153"/>
      <c r="L879" s="153"/>
      <c r="M879" s="153"/>
      <c r="N879" s="153"/>
      <c r="O879" s="137"/>
      <c r="P879" s="137"/>
      <c r="Q879" s="137"/>
      <c r="R879" s="137"/>
      <c r="S879" s="137"/>
      <c r="T879" s="137"/>
      <c r="U879" s="137"/>
      <c r="V879" s="137"/>
      <c r="W879" s="137"/>
      <c r="X879" s="137"/>
      <c r="Y879" s="137"/>
      <c r="Z879" s="137"/>
      <c r="AA879" s="137"/>
      <c r="AB879" s="137"/>
      <c r="AC879" s="137"/>
      <c r="AD879" s="44"/>
      <c r="AE879" s="44"/>
      <c r="AF879" s="44"/>
      <c r="AG879" s="44"/>
      <c r="AH879" s="44"/>
      <c r="AI879" s="44"/>
      <c r="AJ879" s="44"/>
      <c r="AK879" s="44"/>
      <c r="AL879" s="44"/>
      <c r="AM879" s="44"/>
      <c r="AN879" s="44"/>
      <c r="AO879" s="44"/>
      <c r="AP879" s="44"/>
      <c r="AQ879" s="44"/>
      <c r="AR879" s="44"/>
      <c r="AS879" s="44"/>
      <c r="AT879" s="44"/>
      <c r="AU879" s="44"/>
      <c r="AV879" s="44"/>
      <c r="AW879" s="44"/>
      <c r="AX879" s="44"/>
    </row>
    <row r="880" ht="15.75" customHeight="1">
      <c r="A880" s="208" t="s">
        <v>1060</v>
      </c>
      <c r="B880" s="209" t="s">
        <v>8239</v>
      </c>
      <c r="C880" s="147" t="s">
        <v>8240</v>
      </c>
      <c r="D880" s="147" t="s">
        <v>8241</v>
      </c>
      <c r="E880" s="147" t="s">
        <v>8242</v>
      </c>
      <c r="F880" s="147" t="s">
        <v>8243</v>
      </c>
      <c r="G880" s="139"/>
      <c r="H880" s="139"/>
      <c r="I880" s="139"/>
      <c r="J880" s="139"/>
      <c r="K880" s="139"/>
      <c r="L880" s="139"/>
      <c r="M880" s="139"/>
      <c r="N880" s="139"/>
      <c r="O880" s="145" t="s">
        <v>8244</v>
      </c>
      <c r="P880" s="127"/>
      <c r="Q880" s="208" t="s">
        <v>307</v>
      </c>
      <c r="R880" s="127"/>
      <c r="S880" s="127"/>
      <c r="T880" s="127"/>
      <c r="U880" s="127"/>
      <c r="V880" s="127"/>
      <c r="W880" s="127"/>
      <c r="X880" s="127"/>
      <c r="Y880" s="127"/>
      <c r="Z880" s="127"/>
      <c r="AA880" s="127"/>
      <c r="AB880" s="127"/>
      <c r="AC880" s="127"/>
      <c r="AD880" s="44"/>
      <c r="AE880" s="44"/>
      <c r="AF880" s="44"/>
      <c r="AG880" s="44"/>
      <c r="AH880" s="44"/>
      <c r="AI880" s="44"/>
      <c r="AJ880" s="44"/>
      <c r="AK880" s="44"/>
      <c r="AL880" s="44"/>
      <c r="AM880" s="44"/>
      <c r="AN880" s="44"/>
      <c r="AO880" s="44"/>
      <c r="AP880" s="44"/>
      <c r="AQ880" s="44"/>
      <c r="AR880" s="44"/>
      <c r="AS880" s="44"/>
      <c r="AT880" s="44"/>
      <c r="AU880" s="44"/>
      <c r="AV880" s="44"/>
      <c r="AW880" s="44"/>
      <c r="AX880" s="44"/>
    </row>
    <row r="881" ht="15.75" customHeight="1">
      <c r="A881" s="134" t="s">
        <v>331</v>
      </c>
      <c r="B881" s="134" t="s">
        <v>8215</v>
      </c>
      <c r="C881" s="152" t="s">
        <v>8216</v>
      </c>
      <c r="D881" s="153"/>
      <c r="E881" s="153"/>
      <c r="F881" s="153"/>
      <c r="G881" s="153"/>
      <c r="H881" s="153"/>
      <c r="I881" s="153"/>
      <c r="J881" s="153"/>
      <c r="K881" s="153"/>
      <c r="L881" s="153"/>
      <c r="M881" s="153"/>
      <c r="N881" s="153"/>
      <c r="O881" s="137"/>
      <c r="P881" s="137"/>
      <c r="Q881" s="137"/>
      <c r="R881" s="137"/>
      <c r="S881" s="137"/>
      <c r="T881" s="137"/>
      <c r="U881" s="137"/>
      <c r="V881" s="137"/>
      <c r="W881" s="137"/>
      <c r="X881" s="137"/>
      <c r="Y881" s="137"/>
      <c r="Z881" s="137"/>
      <c r="AA881" s="137"/>
      <c r="AB881" s="137"/>
      <c r="AC881" s="137"/>
      <c r="AD881" s="44"/>
      <c r="AE881" s="44"/>
      <c r="AF881" s="44"/>
      <c r="AG881" s="44"/>
      <c r="AH881" s="44"/>
      <c r="AI881" s="44"/>
      <c r="AJ881" s="44"/>
      <c r="AK881" s="44"/>
      <c r="AL881" s="44"/>
      <c r="AM881" s="44"/>
      <c r="AN881" s="44"/>
      <c r="AO881" s="44"/>
      <c r="AP881" s="44"/>
      <c r="AQ881" s="44"/>
      <c r="AR881" s="44"/>
      <c r="AS881" s="44"/>
      <c r="AT881" s="44"/>
      <c r="AU881" s="44"/>
      <c r="AV881" s="44"/>
      <c r="AW881" s="44"/>
      <c r="AX881" s="44"/>
    </row>
    <row r="882" ht="15.75" customHeight="1">
      <c r="A882" s="44"/>
      <c r="B882" s="44"/>
      <c r="C882" s="154" t="s">
        <v>55</v>
      </c>
      <c r="D882" s="154" t="s">
        <v>55</v>
      </c>
      <c r="E882" s="154" t="s">
        <v>55</v>
      </c>
      <c r="F882" s="154"/>
      <c r="G882" s="154"/>
      <c r="H882" s="154"/>
      <c r="I882" s="154"/>
      <c r="J882" s="154"/>
      <c r="K882" s="154"/>
      <c r="L882" s="154"/>
      <c r="M882" s="154"/>
      <c r="N882" s="15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row>
    <row r="883" ht="15.75" customHeight="1">
      <c r="A883" s="134" t="s">
        <v>278</v>
      </c>
      <c r="B883" s="135" t="s">
        <v>8245</v>
      </c>
      <c r="C883" s="143" t="s">
        <v>8246</v>
      </c>
      <c r="D883" s="136"/>
      <c r="E883" s="136"/>
      <c r="F883" s="136"/>
      <c r="G883" s="136"/>
      <c r="H883" s="136"/>
      <c r="I883" s="136"/>
      <c r="J883" s="136"/>
      <c r="K883" s="136"/>
      <c r="L883" s="136"/>
      <c r="M883" s="136"/>
      <c r="N883" s="136"/>
      <c r="O883" s="142" t="s">
        <v>8247</v>
      </c>
      <c r="P883" s="137"/>
      <c r="Q883" s="137"/>
      <c r="R883" s="137"/>
      <c r="S883" s="137"/>
      <c r="T883" s="137"/>
      <c r="U883" s="137"/>
      <c r="V883" s="137"/>
      <c r="W883" s="137"/>
      <c r="X883" s="137"/>
      <c r="Y883" s="137"/>
      <c r="Z883" s="137"/>
      <c r="AA883" s="137"/>
      <c r="AB883" s="137"/>
      <c r="AC883" s="137"/>
      <c r="AD883" s="44"/>
      <c r="AE883" s="44"/>
      <c r="AF883" s="44"/>
      <c r="AG883" s="44"/>
      <c r="AH883" s="44"/>
      <c r="AI883" s="44"/>
      <c r="AJ883" s="44"/>
      <c r="AK883" s="44"/>
      <c r="AL883" s="44"/>
      <c r="AM883" s="44"/>
      <c r="AN883" s="44"/>
      <c r="AO883" s="44"/>
      <c r="AP883" s="44"/>
      <c r="AQ883" s="44"/>
      <c r="AR883" s="44"/>
      <c r="AS883" s="44"/>
      <c r="AT883" s="44"/>
      <c r="AU883" s="44"/>
      <c r="AV883" s="44"/>
      <c r="AW883" s="44"/>
      <c r="AX883" s="44"/>
    </row>
    <row r="884" ht="15.75" customHeight="1">
      <c r="A884" s="208" t="s">
        <v>736</v>
      </c>
      <c r="B884" s="209" t="s">
        <v>8248</v>
      </c>
      <c r="C884" s="147" t="s">
        <v>8249</v>
      </c>
      <c r="D884" s="147" t="s">
        <v>8250</v>
      </c>
      <c r="E884" s="147" t="s">
        <v>8251</v>
      </c>
      <c r="F884" s="147" t="s">
        <v>8252</v>
      </c>
      <c r="G884" s="440" t="s">
        <v>8253</v>
      </c>
      <c r="H884" s="440" t="s">
        <v>8254</v>
      </c>
      <c r="I884" s="139"/>
      <c r="J884" s="139"/>
      <c r="K884" s="139"/>
      <c r="L884" s="147" t="s">
        <v>8255</v>
      </c>
      <c r="M884" s="139"/>
      <c r="N884" s="139"/>
      <c r="O884" s="127"/>
      <c r="P884" s="127"/>
      <c r="Q884" s="208" t="s">
        <v>307</v>
      </c>
      <c r="R884" s="127"/>
      <c r="S884" s="127"/>
      <c r="T884" s="127"/>
      <c r="U884" s="127"/>
      <c r="V884" s="127"/>
      <c r="W884" s="127"/>
      <c r="X884" s="127"/>
      <c r="Y884" s="208" t="s">
        <v>8256</v>
      </c>
      <c r="Z884" s="127"/>
      <c r="AA884" s="127"/>
      <c r="AB884" s="127"/>
      <c r="AC884" s="127"/>
      <c r="AD884" s="44"/>
      <c r="AE884" s="44"/>
      <c r="AF884" s="44"/>
      <c r="AG884" s="44"/>
      <c r="AH884" s="44"/>
      <c r="AI884" s="44"/>
      <c r="AJ884" s="44"/>
      <c r="AK884" s="44"/>
      <c r="AL884" s="44"/>
      <c r="AM884" s="44"/>
      <c r="AN884" s="44"/>
      <c r="AO884" s="44"/>
      <c r="AP884" s="44"/>
      <c r="AQ884" s="44"/>
      <c r="AR884" s="44"/>
      <c r="AS884" s="44"/>
      <c r="AT884" s="44"/>
      <c r="AU884" s="44"/>
      <c r="AV884" s="44"/>
      <c r="AW884" s="44"/>
      <c r="AX884" s="44"/>
    </row>
    <row r="885" ht="15.75" customHeight="1">
      <c r="A885" s="82" t="s">
        <v>112</v>
      </c>
      <c r="B885" s="83" t="s">
        <v>8257</v>
      </c>
      <c r="C885" s="68"/>
      <c r="D885" s="68"/>
      <c r="E885" s="68"/>
      <c r="F885" s="68"/>
      <c r="G885" s="68"/>
      <c r="H885" s="68"/>
      <c r="I885" s="68"/>
      <c r="J885" s="68"/>
      <c r="K885" s="68"/>
      <c r="L885" s="68"/>
      <c r="M885" s="68"/>
      <c r="N885" s="68"/>
      <c r="O885" s="66" t="s">
        <v>8258</v>
      </c>
      <c r="P885" s="71"/>
      <c r="Q885" s="71"/>
      <c r="R885" s="71"/>
      <c r="S885" s="71"/>
      <c r="T885" s="83" t="s">
        <v>8259</v>
      </c>
      <c r="U885" s="71"/>
      <c r="V885" s="71"/>
      <c r="W885" s="71"/>
      <c r="X885" s="71"/>
      <c r="Y885" s="71"/>
      <c r="Z885" s="71"/>
      <c r="AA885" s="71"/>
      <c r="AB885" s="71"/>
      <c r="AC885" s="71"/>
      <c r="AD885" s="44"/>
      <c r="AE885" s="44"/>
      <c r="AF885" s="44"/>
      <c r="AG885" s="44"/>
      <c r="AH885" s="44"/>
      <c r="AI885" s="44"/>
      <c r="AJ885" s="44"/>
      <c r="AK885" s="44"/>
      <c r="AL885" s="44"/>
      <c r="AM885" s="44"/>
      <c r="AN885" s="44"/>
      <c r="AO885" s="44"/>
      <c r="AP885" s="44"/>
      <c r="AQ885" s="44"/>
      <c r="AR885" s="44"/>
      <c r="AS885" s="44"/>
      <c r="AT885" s="44"/>
      <c r="AU885" s="44"/>
      <c r="AV885" s="44"/>
      <c r="AW885" s="44"/>
      <c r="AX885" s="44"/>
    </row>
    <row r="886" ht="15.75" customHeight="1">
      <c r="A886" s="82" t="s">
        <v>112</v>
      </c>
      <c r="B886" s="83" t="s">
        <v>8260</v>
      </c>
      <c r="C886" s="68"/>
      <c r="D886" s="68"/>
      <c r="E886" s="68"/>
      <c r="F886" s="68"/>
      <c r="G886" s="68"/>
      <c r="H886" s="68"/>
      <c r="I886" s="68"/>
      <c r="J886" s="68"/>
      <c r="K886" s="68"/>
      <c r="L886" s="68"/>
      <c r="M886" s="68"/>
      <c r="N886" s="68"/>
      <c r="O886" s="66" t="s">
        <v>8258</v>
      </c>
      <c r="P886" s="71"/>
      <c r="Q886" s="71"/>
      <c r="R886" s="71"/>
      <c r="S886" s="71"/>
      <c r="T886" s="83" t="s">
        <v>8261</v>
      </c>
      <c r="U886" s="71"/>
      <c r="V886" s="71"/>
      <c r="W886" s="71"/>
      <c r="X886" s="71"/>
      <c r="Y886" s="71"/>
      <c r="Z886" s="71"/>
      <c r="AA886" s="71"/>
      <c r="AB886" s="71"/>
      <c r="AC886" s="71"/>
      <c r="AD886" s="44"/>
      <c r="AE886" s="44"/>
      <c r="AF886" s="44"/>
      <c r="AG886" s="44"/>
      <c r="AH886" s="44"/>
      <c r="AI886" s="44"/>
      <c r="AJ886" s="44"/>
      <c r="AK886" s="44"/>
      <c r="AL886" s="44"/>
      <c r="AM886" s="44"/>
      <c r="AN886" s="44"/>
      <c r="AO886" s="44"/>
      <c r="AP886" s="44"/>
      <c r="AQ886" s="44"/>
      <c r="AR886" s="44"/>
      <c r="AS886" s="44"/>
      <c r="AT886" s="44"/>
      <c r="AU886" s="44"/>
      <c r="AV886" s="44"/>
      <c r="AW886" s="44"/>
      <c r="AX886" s="44"/>
    </row>
    <row r="887" ht="15.75" customHeight="1">
      <c r="A887" s="82" t="s">
        <v>112</v>
      </c>
      <c r="B887" s="83" t="s">
        <v>8262</v>
      </c>
      <c r="C887" s="68"/>
      <c r="D887" s="68"/>
      <c r="E887" s="68"/>
      <c r="F887" s="68"/>
      <c r="G887" s="68"/>
      <c r="H887" s="68"/>
      <c r="I887" s="68"/>
      <c r="J887" s="68"/>
      <c r="K887" s="68"/>
      <c r="L887" s="68"/>
      <c r="M887" s="68"/>
      <c r="N887" s="68"/>
      <c r="O887" s="66" t="s">
        <v>8258</v>
      </c>
      <c r="P887" s="71"/>
      <c r="Q887" s="71"/>
      <c r="R887" s="71"/>
      <c r="S887" s="71"/>
      <c r="T887" s="83" t="s">
        <v>8263</v>
      </c>
      <c r="U887" s="71"/>
      <c r="V887" s="71"/>
      <c r="W887" s="71"/>
      <c r="X887" s="71"/>
      <c r="Y887" s="71"/>
      <c r="Z887" s="71"/>
      <c r="AA887" s="71"/>
      <c r="AB887" s="71"/>
      <c r="AC887" s="71"/>
      <c r="AD887" s="44"/>
      <c r="AE887" s="44"/>
      <c r="AF887" s="44"/>
      <c r="AG887" s="44"/>
      <c r="AH887" s="44"/>
      <c r="AI887" s="44"/>
      <c r="AJ887" s="44"/>
      <c r="AK887" s="44"/>
      <c r="AL887" s="44"/>
      <c r="AM887" s="44"/>
      <c r="AN887" s="44"/>
      <c r="AO887" s="44"/>
      <c r="AP887" s="44"/>
      <c r="AQ887" s="44"/>
      <c r="AR887" s="44"/>
      <c r="AS887" s="44"/>
      <c r="AT887" s="44"/>
      <c r="AU887" s="44"/>
      <c r="AV887" s="44"/>
      <c r="AW887" s="44"/>
      <c r="AX887" s="44"/>
    </row>
    <row r="888" ht="15.75" customHeight="1">
      <c r="A888" s="134" t="s">
        <v>278</v>
      </c>
      <c r="B888" s="135" t="s">
        <v>8264</v>
      </c>
      <c r="C888" s="143" t="s">
        <v>8265</v>
      </c>
      <c r="D888" s="136"/>
      <c r="E888" s="136"/>
      <c r="F888" s="136"/>
      <c r="G888" s="136"/>
      <c r="H888" s="136"/>
      <c r="I888" s="136"/>
      <c r="J888" s="226" t="s">
        <v>987</v>
      </c>
      <c r="K888" s="136"/>
      <c r="L888" s="136"/>
      <c r="M888" s="136"/>
      <c r="N888" s="136"/>
      <c r="O888" s="142" t="s">
        <v>8266</v>
      </c>
      <c r="P888" s="137"/>
      <c r="Q888" s="137"/>
      <c r="R888" s="137"/>
      <c r="S888" s="137"/>
      <c r="T888" s="137"/>
      <c r="U888" s="137"/>
      <c r="V888" s="137"/>
      <c r="W888" s="137"/>
      <c r="X888" s="137"/>
      <c r="Y888" s="137"/>
      <c r="Z888" s="137"/>
      <c r="AA888" s="137"/>
      <c r="AB888" s="137"/>
      <c r="AC888" s="137"/>
      <c r="AD888" s="44"/>
      <c r="AE888" s="44"/>
      <c r="AF888" s="44"/>
      <c r="AG888" s="44"/>
      <c r="AH888" s="44"/>
      <c r="AI888" s="44"/>
      <c r="AJ888" s="44"/>
      <c r="AK888" s="44"/>
      <c r="AL888" s="44"/>
      <c r="AM888" s="44"/>
      <c r="AN888" s="44"/>
      <c r="AO888" s="44"/>
      <c r="AP888" s="44"/>
      <c r="AQ888" s="44"/>
      <c r="AR888" s="44"/>
      <c r="AS888" s="44"/>
      <c r="AT888" s="44"/>
      <c r="AU888" s="44"/>
      <c r="AV888" s="44"/>
      <c r="AW888" s="44"/>
      <c r="AX888" s="44"/>
    </row>
    <row r="889" ht="15.75" customHeight="1">
      <c r="A889" s="208" t="s">
        <v>8267</v>
      </c>
      <c r="B889" s="209" t="s">
        <v>8268</v>
      </c>
      <c r="C889" s="147" t="s">
        <v>8269</v>
      </c>
      <c r="D889" s="139"/>
      <c r="E889" s="139"/>
      <c r="F889" s="139"/>
      <c r="G889" s="139"/>
      <c r="H889" s="139"/>
      <c r="I889" s="139"/>
      <c r="J889" s="139"/>
      <c r="K889" s="139"/>
      <c r="L889" s="139"/>
      <c r="M889" s="139"/>
      <c r="N889" s="139"/>
      <c r="O889" s="127"/>
      <c r="P889" s="127"/>
      <c r="Q889" s="127"/>
      <c r="R889" s="127"/>
      <c r="S889" s="127"/>
      <c r="T889" s="127"/>
      <c r="U889" s="127"/>
      <c r="V889" s="127"/>
      <c r="W889" s="127"/>
      <c r="X889" s="127"/>
      <c r="Y889" s="127"/>
      <c r="Z889" s="127"/>
      <c r="AA889" s="127"/>
      <c r="AB889" s="127"/>
      <c r="AC889" s="127"/>
      <c r="AD889" s="44"/>
      <c r="AE889" s="44"/>
      <c r="AF889" s="44"/>
      <c r="AG889" s="44"/>
      <c r="AH889" s="44"/>
      <c r="AI889" s="44"/>
      <c r="AJ889" s="44"/>
      <c r="AK889" s="44"/>
      <c r="AL889" s="44"/>
      <c r="AM889" s="44"/>
      <c r="AN889" s="44"/>
      <c r="AO889" s="44"/>
      <c r="AP889" s="44"/>
      <c r="AQ889" s="44"/>
      <c r="AR889" s="44"/>
      <c r="AS889" s="44"/>
      <c r="AT889" s="44"/>
      <c r="AU889" s="44"/>
      <c r="AV889" s="44"/>
      <c r="AW889" s="44"/>
      <c r="AX889" s="44"/>
    </row>
    <row r="890" ht="15.75" customHeight="1">
      <c r="A890" s="215" t="s">
        <v>220</v>
      </c>
      <c r="B890" s="216" t="s">
        <v>8270</v>
      </c>
      <c r="C890" s="240" t="s">
        <v>8271</v>
      </c>
      <c r="D890" s="240" t="s">
        <v>8272</v>
      </c>
      <c r="E890" s="240" t="s">
        <v>8272</v>
      </c>
      <c r="F890" s="218"/>
      <c r="G890" s="218"/>
      <c r="H890" s="218"/>
      <c r="I890" s="218"/>
      <c r="J890" s="441" t="s">
        <v>8273</v>
      </c>
      <c r="K890" s="218"/>
      <c r="L890" s="218"/>
      <c r="M890" s="218"/>
      <c r="N890" s="218"/>
      <c r="O890" s="220"/>
      <c r="P890" s="220"/>
      <c r="Q890" s="215" t="s">
        <v>307</v>
      </c>
      <c r="R890" s="220"/>
      <c r="S890" s="220"/>
      <c r="T890" s="220"/>
      <c r="U890" s="220"/>
      <c r="V890" s="220"/>
      <c r="W890" s="220"/>
      <c r="X890" s="220"/>
      <c r="Y890" s="220"/>
      <c r="Z890" s="220"/>
      <c r="AA890" s="220"/>
      <c r="AB890" s="220"/>
      <c r="AC890" s="220"/>
      <c r="AD890" s="44"/>
      <c r="AE890" s="44"/>
      <c r="AF890" s="44"/>
      <c r="AG890" s="44"/>
      <c r="AH890" s="44"/>
      <c r="AI890" s="44"/>
      <c r="AJ890" s="44"/>
      <c r="AK890" s="44"/>
      <c r="AL890" s="44"/>
      <c r="AM890" s="44"/>
      <c r="AN890" s="44"/>
      <c r="AO890" s="44"/>
      <c r="AP890" s="44"/>
      <c r="AQ890" s="44"/>
      <c r="AR890" s="44"/>
      <c r="AS890" s="44"/>
      <c r="AT890" s="44"/>
      <c r="AU890" s="44"/>
      <c r="AV890" s="44"/>
      <c r="AW890" s="44"/>
      <c r="AX890" s="44"/>
    </row>
    <row r="891" ht="15.75" customHeight="1">
      <c r="A891" s="82" t="s">
        <v>112</v>
      </c>
      <c r="B891" s="83" t="s">
        <v>8274</v>
      </c>
      <c r="C891" s="68"/>
      <c r="D891" s="68"/>
      <c r="E891" s="68"/>
      <c r="F891" s="68"/>
      <c r="G891" s="68"/>
      <c r="H891" s="68"/>
      <c r="I891" s="68"/>
      <c r="J891" s="68"/>
      <c r="K891" s="68"/>
      <c r="L891" s="68"/>
      <c r="M891" s="68"/>
      <c r="N891" s="68"/>
      <c r="O891" s="71"/>
      <c r="P891" s="71"/>
      <c r="Q891" s="71"/>
      <c r="R891" s="71"/>
      <c r="S891" s="71"/>
      <c r="T891" s="83" t="s">
        <v>8275</v>
      </c>
      <c r="U891" s="71"/>
      <c r="V891" s="71"/>
      <c r="W891" s="71"/>
      <c r="X891" s="71"/>
      <c r="Y891" s="71"/>
      <c r="Z891" s="71"/>
      <c r="AA891" s="71"/>
      <c r="AB891" s="71"/>
      <c r="AC891" s="71"/>
      <c r="AD891" s="44"/>
      <c r="AE891" s="44"/>
      <c r="AF891" s="44"/>
      <c r="AG891" s="44"/>
      <c r="AH891" s="44"/>
      <c r="AI891" s="44"/>
      <c r="AJ891" s="44"/>
      <c r="AK891" s="44"/>
      <c r="AL891" s="44"/>
      <c r="AM891" s="44"/>
      <c r="AN891" s="44"/>
      <c r="AO891" s="44"/>
      <c r="AP891" s="44"/>
      <c r="AQ891" s="44"/>
      <c r="AR891" s="44"/>
      <c r="AS891" s="44"/>
      <c r="AT891" s="44"/>
      <c r="AU891" s="44"/>
      <c r="AV891" s="44"/>
      <c r="AW891" s="44"/>
      <c r="AX891" s="44"/>
    </row>
    <row r="892" ht="15.75" customHeight="1">
      <c r="A892" s="208" t="s">
        <v>1432</v>
      </c>
      <c r="B892" s="209" t="s">
        <v>8276</v>
      </c>
      <c r="C892" s="147" t="s">
        <v>8277</v>
      </c>
      <c r="D892" s="147" t="s">
        <v>8278</v>
      </c>
      <c r="E892" s="147" t="s">
        <v>8279</v>
      </c>
      <c r="F892" s="139"/>
      <c r="G892" s="139"/>
      <c r="H892" s="139"/>
      <c r="I892" s="139"/>
      <c r="J892" s="139"/>
      <c r="K892" s="139"/>
      <c r="L892" s="139"/>
      <c r="M892" s="139"/>
      <c r="N892" s="139"/>
      <c r="O892" s="127"/>
      <c r="P892" s="127"/>
      <c r="Q892" s="208" t="s">
        <v>307</v>
      </c>
      <c r="R892" s="127"/>
      <c r="S892" s="127"/>
      <c r="T892" s="127"/>
      <c r="U892" s="127"/>
      <c r="V892" s="127"/>
      <c r="W892" s="127"/>
      <c r="X892" s="127"/>
      <c r="Y892" s="208" t="s">
        <v>8280</v>
      </c>
      <c r="Z892" s="127"/>
      <c r="AA892" s="127"/>
      <c r="AB892" s="127"/>
      <c r="AC892" s="127"/>
      <c r="AD892" s="44"/>
      <c r="AE892" s="44"/>
      <c r="AF892" s="44"/>
      <c r="AG892" s="44"/>
      <c r="AH892" s="44"/>
      <c r="AI892" s="44"/>
      <c r="AJ892" s="44"/>
      <c r="AK892" s="44"/>
      <c r="AL892" s="44"/>
      <c r="AM892" s="44"/>
      <c r="AN892" s="44"/>
      <c r="AO892" s="44"/>
      <c r="AP892" s="44"/>
      <c r="AQ892" s="44"/>
      <c r="AR892" s="44"/>
      <c r="AS892" s="44"/>
      <c r="AT892" s="44"/>
      <c r="AU892" s="44"/>
      <c r="AV892" s="44"/>
      <c r="AW892" s="44"/>
      <c r="AX892" s="44"/>
    </row>
    <row r="893" ht="15.75" customHeight="1">
      <c r="A893" s="82" t="s">
        <v>112</v>
      </c>
      <c r="B893" s="83" t="s">
        <v>8281</v>
      </c>
      <c r="C893" s="84" t="s">
        <v>8282</v>
      </c>
      <c r="D893" s="68"/>
      <c r="E893" s="68"/>
      <c r="F893" s="68"/>
      <c r="G893" s="68"/>
      <c r="H893" s="68"/>
      <c r="I893" s="68"/>
      <c r="J893" s="68"/>
      <c r="K893" s="68"/>
      <c r="L893" s="68"/>
      <c r="M893" s="68"/>
      <c r="N893" s="68"/>
      <c r="O893" s="71"/>
      <c r="P893" s="71"/>
      <c r="Q893" s="71"/>
      <c r="R893" s="71"/>
      <c r="S893" s="71"/>
      <c r="T893" s="83" t="s">
        <v>8283</v>
      </c>
      <c r="U893" s="71"/>
      <c r="V893" s="71"/>
      <c r="W893" s="71"/>
      <c r="X893" s="71"/>
      <c r="Y893" s="71"/>
      <c r="Z893" s="71"/>
      <c r="AA893" s="71"/>
      <c r="AB893" s="71"/>
      <c r="AC893" s="71"/>
      <c r="AD893" s="44"/>
      <c r="AE893" s="44"/>
      <c r="AF893" s="44"/>
      <c r="AG893" s="44"/>
      <c r="AH893" s="44"/>
      <c r="AI893" s="44"/>
      <c r="AJ893" s="44"/>
      <c r="AK893" s="44"/>
      <c r="AL893" s="44"/>
      <c r="AM893" s="44"/>
      <c r="AN893" s="44"/>
      <c r="AO893" s="44"/>
      <c r="AP893" s="44"/>
      <c r="AQ893" s="44"/>
      <c r="AR893" s="44"/>
      <c r="AS893" s="44"/>
      <c r="AT893" s="44"/>
      <c r="AU893" s="44"/>
      <c r="AV893" s="44"/>
      <c r="AW893" s="44"/>
      <c r="AX893" s="44"/>
    </row>
    <row r="894" ht="15.75" customHeight="1">
      <c r="A894" s="215" t="s">
        <v>220</v>
      </c>
      <c r="B894" s="216" t="s">
        <v>8284</v>
      </c>
      <c r="C894" s="240" t="s">
        <v>8285</v>
      </c>
      <c r="D894" s="240" t="s">
        <v>8286</v>
      </c>
      <c r="E894" s="240" t="s">
        <v>8287</v>
      </c>
      <c r="F894" s="240" t="s">
        <v>8288</v>
      </c>
      <c r="G894" s="218"/>
      <c r="H894" s="218"/>
      <c r="I894" s="218"/>
      <c r="J894" s="218"/>
      <c r="K894" s="218"/>
      <c r="L894" s="218"/>
      <c r="M894" s="218"/>
      <c r="N894" s="218"/>
      <c r="O894" s="220"/>
      <c r="P894" s="220"/>
      <c r="Q894" s="215" t="s">
        <v>8289</v>
      </c>
      <c r="R894" s="220"/>
      <c r="S894" s="220"/>
      <c r="T894" s="220"/>
      <c r="U894" s="220"/>
      <c r="V894" s="220"/>
      <c r="W894" s="220"/>
      <c r="X894" s="220"/>
      <c r="Y894" s="220"/>
      <c r="Z894" s="220"/>
      <c r="AA894" s="220"/>
      <c r="AB894" s="220"/>
      <c r="AC894" s="220"/>
      <c r="AD894" s="44"/>
      <c r="AE894" s="44"/>
      <c r="AF894" s="44"/>
      <c r="AG894" s="44"/>
      <c r="AH894" s="44"/>
      <c r="AI894" s="44"/>
      <c r="AJ894" s="44"/>
      <c r="AK894" s="44"/>
      <c r="AL894" s="44"/>
      <c r="AM894" s="44"/>
      <c r="AN894" s="44"/>
      <c r="AO894" s="44"/>
      <c r="AP894" s="44"/>
      <c r="AQ894" s="44"/>
      <c r="AR894" s="44"/>
      <c r="AS894" s="44"/>
      <c r="AT894" s="44"/>
      <c r="AU894" s="44"/>
      <c r="AV894" s="44"/>
      <c r="AW894" s="44"/>
      <c r="AX894" s="44"/>
    </row>
    <row r="895" ht="15.75" customHeight="1">
      <c r="A895" s="82" t="s">
        <v>112</v>
      </c>
      <c r="B895" s="83" t="s">
        <v>8290</v>
      </c>
      <c r="C895" s="68"/>
      <c r="D895" s="68"/>
      <c r="E895" s="68"/>
      <c r="F895" s="68"/>
      <c r="G895" s="68"/>
      <c r="H895" s="68"/>
      <c r="I895" s="68"/>
      <c r="J895" s="68"/>
      <c r="K895" s="68"/>
      <c r="L895" s="68"/>
      <c r="M895" s="68"/>
      <c r="N895" s="68"/>
      <c r="O895" s="71"/>
      <c r="P895" s="71"/>
      <c r="Q895" s="71"/>
      <c r="R895" s="71"/>
      <c r="S895" s="71"/>
      <c r="T895" s="83" t="s">
        <v>8291</v>
      </c>
      <c r="U895" s="71"/>
      <c r="V895" s="71"/>
      <c r="W895" s="71"/>
      <c r="X895" s="71"/>
      <c r="Y895" s="71"/>
      <c r="Z895" s="71"/>
      <c r="AA895" s="71"/>
      <c r="AB895" s="71"/>
      <c r="AC895" s="71"/>
      <c r="AD895" s="44"/>
      <c r="AE895" s="44"/>
      <c r="AF895" s="44"/>
      <c r="AG895" s="44"/>
      <c r="AH895" s="44"/>
      <c r="AI895" s="44"/>
      <c r="AJ895" s="44"/>
      <c r="AK895" s="44"/>
      <c r="AL895" s="44"/>
      <c r="AM895" s="44"/>
      <c r="AN895" s="44"/>
      <c r="AO895" s="44"/>
      <c r="AP895" s="44"/>
      <c r="AQ895" s="44"/>
      <c r="AR895" s="44"/>
      <c r="AS895" s="44"/>
      <c r="AT895" s="44"/>
      <c r="AU895" s="44"/>
      <c r="AV895" s="44"/>
      <c r="AW895" s="44"/>
      <c r="AX895" s="44"/>
    </row>
    <row r="896" ht="15.75" customHeight="1">
      <c r="A896" s="134" t="s">
        <v>331</v>
      </c>
      <c r="B896" s="134" t="s">
        <v>8264</v>
      </c>
      <c r="C896" s="152" t="s">
        <v>8265</v>
      </c>
      <c r="D896" s="153"/>
      <c r="E896" s="153"/>
      <c r="F896" s="153"/>
      <c r="G896" s="153"/>
      <c r="H896" s="153"/>
      <c r="I896" s="153"/>
      <c r="J896" s="153"/>
      <c r="K896" s="153"/>
      <c r="L896" s="153"/>
      <c r="M896" s="153"/>
      <c r="N896" s="153"/>
      <c r="O896" s="137"/>
      <c r="P896" s="137"/>
      <c r="Q896" s="137"/>
      <c r="R896" s="137"/>
      <c r="S896" s="137"/>
      <c r="T896" s="137"/>
      <c r="U896" s="137"/>
      <c r="V896" s="137"/>
      <c r="W896" s="137"/>
      <c r="X896" s="137"/>
      <c r="Y896" s="137"/>
      <c r="Z896" s="137"/>
      <c r="AA896" s="137"/>
      <c r="AB896" s="137"/>
      <c r="AC896" s="137"/>
      <c r="AD896" s="44"/>
      <c r="AE896" s="44"/>
      <c r="AF896" s="44"/>
      <c r="AG896" s="44"/>
      <c r="AH896" s="44"/>
      <c r="AI896" s="44"/>
      <c r="AJ896" s="44"/>
      <c r="AK896" s="44"/>
      <c r="AL896" s="44"/>
      <c r="AM896" s="44"/>
      <c r="AN896" s="44"/>
      <c r="AO896" s="44"/>
      <c r="AP896" s="44"/>
      <c r="AQ896" s="44"/>
      <c r="AR896" s="44"/>
      <c r="AS896" s="44"/>
      <c r="AT896" s="44"/>
      <c r="AU896" s="44"/>
      <c r="AV896" s="44"/>
      <c r="AW896" s="44"/>
      <c r="AX896" s="44"/>
    </row>
    <row r="897" ht="15.75" customHeight="1">
      <c r="A897" s="82" t="s">
        <v>112</v>
      </c>
      <c r="B897" s="83" t="s">
        <v>8292</v>
      </c>
      <c r="C897" s="84" t="s">
        <v>8293</v>
      </c>
      <c r="D897" s="68"/>
      <c r="E897" s="68"/>
      <c r="F897" s="68"/>
      <c r="G897" s="68"/>
      <c r="H897" s="68"/>
      <c r="I897" s="68"/>
      <c r="J897" s="68"/>
      <c r="K897" s="68"/>
      <c r="L897" s="68"/>
      <c r="M897" s="68"/>
      <c r="N897" s="68"/>
      <c r="O897" s="71"/>
      <c r="P897" s="71"/>
      <c r="Q897" s="71"/>
      <c r="R897" s="71"/>
      <c r="S897" s="71"/>
      <c r="T897" s="83" t="s">
        <v>8294</v>
      </c>
      <c r="U897" s="71"/>
      <c r="V897" s="71"/>
      <c r="W897" s="71"/>
      <c r="X897" s="71"/>
      <c r="Y897" s="71"/>
      <c r="Z897" s="71"/>
      <c r="AA897" s="71"/>
      <c r="AB897" s="71"/>
      <c r="AC897" s="71"/>
      <c r="AD897" s="44"/>
      <c r="AE897" s="44"/>
      <c r="AF897" s="44"/>
      <c r="AG897" s="44"/>
      <c r="AH897" s="44"/>
      <c r="AI897" s="44"/>
      <c r="AJ897" s="44"/>
      <c r="AK897" s="44"/>
      <c r="AL897" s="44"/>
      <c r="AM897" s="44"/>
      <c r="AN897" s="44"/>
      <c r="AO897" s="44"/>
      <c r="AP897" s="44"/>
      <c r="AQ897" s="44"/>
      <c r="AR897" s="44"/>
      <c r="AS897" s="44"/>
      <c r="AT897" s="44"/>
      <c r="AU897" s="44"/>
      <c r="AV897" s="44"/>
      <c r="AW897" s="44"/>
      <c r="AX897" s="44"/>
    </row>
    <row r="898" ht="15.75" customHeight="1">
      <c r="A898" s="82" t="s">
        <v>112</v>
      </c>
      <c r="B898" s="83" t="s">
        <v>8295</v>
      </c>
      <c r="C898" s="84" t="s">
        <v>8296</v>
      </c>
      <c r="D898" s="68"/>
      <c r="E898" s="68"/>
      <c r="F898" s="68"/>
      <c r="G898" s="68"/>
      <c r="H898" s="68"/>
      <c r="I898" s="68"/>
      <c r="J898" s="68"/>
      <c r="K898" s="68"/>
      <c r="L898" s="68"/>
      <c r="M898" s="68"/>
      <c r="N898" s="68"/>
      <c r="O898" s="71"/>
      <c r="P898" s="71"/>
      <c r="Q898" s="71"/>
      <c r="R898" s="71"/>
      <c r="S898" s="71"/>
      <c r="T898" s="83" t="s">
        <v>8297</v>
      </c>
      <c r="U898" s="71"/>
      <c r="V898" s="71"/>
      <c r="W898" s="71"/>
      <c r="X898" s="71"/>
      <c r="Y898" s="71"/>
      <c r="Z898" s="71"/>
      <c r="AA898" s="71"/>
      <c r="AB898" s="71"/>
      <c r="AC898" s="71"/>
      <c r="AD898" s="44"/>
      <c r="AE898" s="44"/>
      <c r="AF898" s="44"/>
      <c r="AG898" s="44"/>
      <c r="AH898" s="44"/>
      <c r="AI898" s="44"/>
      <c r="AJ898" s="44"/>
      <c r="AK898" s="44"/>
      <c r="AL898" s="44"/>
      <c r="AM898" s="44"/>
      <c r="AN898" s="44"/>
      <c r="AO898" s="44"/>
      <c r="AP898" s="44"/>
      <c r="AQ898" s="44"/>
      <c r="AR898" s="44"/>
      <c r="AS898" s="44"/>
      <c r="AT898" s="44"/>
      <c r="AU898" s="44"/>
      <c r="AV898" s="44"/>
      <c r="AW898" s="44"/>
      <c r="AX898" s="44"/>
    </row>
    <row r="899" ht="15.75" customHeight="1">
      <c r="A899" s="82" t="s">
        <v>112</v>
      </c>
      <c r="B899" s="83" t="s">
        <v>8298</v>
      </c>
      <c r="C899" s="84" t="s">
        <v>8299</v>
      </c>
      <c r="D899" s="68"/>
      <c r="E899" s="68"/>
      <c r="F899" s="68"/>
      <c r="G899" s="68"/>
      <c r="H899" s="68"/>
      <c r="I899" s="68"/>
      <c r="J899" s="68"/>
      <c r="K899" s="68"/>
      <c r="L899" s="68"/>
      <c r="M899" s="68"/>
      <c r="N899" s="68"/>
      <c r="O899" s="71"/>
      <c r="P899" s="71"/>
      <c r="Q899" s="71"/>
      <c r="R899" s="71"/>
      <c r="S899" s="71"/>
      <c r="T899" s="83" t="s">
        <v>8300</v>
      </c>
      <c r="U899" s="71"/>
      <c r="V899" s="71"/>
      <c r="W899" s="71"/>
      <c r="X899" s="71"/>
      <c r="Y899" s="71"/>
      <c r="Z899" s="71"/>
      <c r="AA899" s="71"/>
      <c r="AB899" s="71"/>
      <c r="AC899" s="71"/>
      <c r="AD899" s="44"/>
      <c r="AE899" s="44"/>
      <c r="AF899" s="44"/>
      <c r="AG899" s="44"/>
      <c r="AH899" s="44"/>
      <c r="AI899" s="44"/>
      <c r="AJ899" s="44"/>
      <c r="AK899" s="44"/>
      <c r="AL899" s="44"/>
      <c r="AM899" s="44"/>
      <c r="AN899" s="44"/>
      <c r="AO899" s="44"/>
      <c r="AP899" s="44"/>
      <c r="AQ899" s="44"/>
      <c r="AR899" s="44"/>
      <c r="AS899" s="44"/>
      <c r="AT899" s="44"/>
      <c r="AU899" s="44"/>
      <c r="AV899" s="44"/>
      <c r="AW899" s="44"/>
      <c r="AX899" s="44"/>
    </row>
    <row r="900" ht="15.75" customHeight="1">
      <c r="A900" s="44"/>
      <c r="B900" s="44"/>
      <c r="C900" s="154" t="s">
        <v>55</v>
      </c>
      <c r="D900" s="154" t="s">
        <v>55</v>
      </c>
      <c r="E900" s="154" t="s">
        <v>55</v>
      </c>
      <c r="F900" s="154"/>
      <c r="G900" s="154"/>
      <c r="H900" s="154"/>
      <c r="I900" s="154"/>
      <c r="J900" s="154"/>
      <c r="K900" s="154"/>
      <c r="L900" s="154"/>
      <c r="M900" s="154"/>
      <c r="N900" s="15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row>
    <row r="901" ht="15.75" customHeight="1">
      <c r="A901" s="134" t="s">
        <v>278</v>
      </c>
      <c r="B901" s="135" t="s">
        <v>8301</v>
      </c>
      <c r="C901" s="143" t="s">
        <v>8225</v>
      </c>
      <c r="D901" s="136"/>
      <c r="E901" s="136"/>
      <c r="F901" s="136"/>
      <c r="G901" s="136"/>
      <c r="H901" s="136"/>
      <c r="I901" s="136"/>
      <c r="J901" s="136"/>
      <c r="K901" s="136"/>
      <c r="L901" s="136"/>
      <c r="M901" s="136"/>
      <c r="N901" s="136"/>
      <c r="O901" s="142" t="s">
        <v>8302</v>
      </c>
      <c r="P901" s="137"/>
      <c r="Q901" s="137"/>
      <c r="R901" s="137"/>
      <c r="S901" s="137"/>
      <c r="T901" s="137"/>
      <c r="U901" s="137"/>
      <c r="V901" s="137"/>
      <c r="W901" s="137"/>
      <c r="X901" s="137"/>
      <c r="Y901" s="137"/>
      <c r="Z901" s="137"/>
      <c r="AA901" s="137"/>
      <c r="AB901" s="137"/>
      <c r="AC901" s="137"/>
      <c r="AD901" s="44"/>
      <c r="AE901" s="44"/>
      <c r="AF901" s="44"/>
      <c r="AG901" s="44"/>
      <c r="AH901" s="44"/>
      <c r="AI901" s="44"/>
      <c r="AJ901" s="44"/>
      <c r="AK901" s="44"/>
      <c r="AL901" s="44"/>
      <c r="AM901" s="44"/>
      <c r="AN901" s="44"/>
      <c r="AO901" s="44"/>
      <c r="AP901" s="44"/>
      <c r="AQ901" s="44"/>
      <c r="AR901" s="44"/>
      <c r="AS901" s="44"/>
      <c r="AT901" s="44"/>
      <c r="AU901" s="44"/>
      <c r="AV901" s="44"/>
      <c r="AW901" s="44"/>
      <c r="AX901" s="44"/>
    </row>
    <row r="902" ht="15.75" customHeight="1">
      <c r="A902" s="434" t="s">
        <v>582</v>
      </c>
      <c r="B902" s="435" t="s">
        <v>8303</v>
      </c>
      <c r="C902" s="436" t="s">
        <v>8304</v>
      </c>
      <c r="D902" s="436" t="s">
        <v>8305</v>
      </c>
      <c r="E902" s="436" t="s">
        <v>8306</v>
      </c>
      <c r="F902" s="437"/>
      <c r="G902" s="437"/>
      <c r="H902" s="437"/>
      <c r="I902" s="437"/>
      <c r="J902" s="437"/>
      <c r="K902" s="438" t="s">
        <v>8230</v>
      </c>
      <c r="L902" s="436" t="s">
        <v>8231</v>
      </c>
      <c r="M902" s="437"/>
      <c r="N902" s="437"/>
      <c r="O902" s="439"/>
      <c r="P902" s="439"/>
      <c r="Q902" s="434" t="s">
        <v>307</v>
      </c>
      <c r="R902" s="439"/>
      <c r="S902" s="439"/>
      <c r="T902" s="439"/>
      <c r="U902" s="439"/>
      <c r="V902" s="439"/>
      <c r="W902" s="439"/>
      <c r="X902" s="439"/>
      <c r="Y902" s="439"/>
      <c r="Z902" s="439"/>
      <c r="AA902" s="439"/>
      <c r="AB902" s="439"/>
      <c r="AC902" s="439"/>
      <c r="AD902" s="44"/>
      <c r="AE902" s="44"/>
      <c r="AF902" s="44"/>
      <c r="AG902" s="44"/>
      <c r="AH902" s="44"/>
      <c r="AI902" s="44"/>
      <c r="AJ902" s="44"/>
      <c r="AK902" s="44"/>
      <c r="AL902" s="44"/>
      <c r="AM902" s="44"/>
      <c r="AN902" s="44"/>
      <c r="AO902" s="44"/>
      <c r="AP902" s="44"/>
      <c r="AQ902" s="44"/>
      <c r="AR902" s="44"/>
      <c r="AS902" s="44"/>
      <c r="AT902" s="44"/>
      <c r="AU902" s="44"/>
      <c r="AV902" s="44"/>
      <c r="AW902" s="44"/>
      <c r="AX902" s="44"/>
    </row>
    <row r="903" ht="15.75" customHeight="1">
      <c r="A903" s="82" t="s">
        <v>112</v>
      </c>
      <c r="B903" s="83" t="s">
        <v>8307</v>
      </c>
      <c r="C903" s="84" t="s">
        <v>8233</v>
      </c>
      <c r="D903" s="68"/>
      <c r="E903" s="68"/>
      <c r="F903" s="68"/>
      <c r="G903" s="68"/>
      <c r="H903" s="68"/>
      <c r="I903" s="68"/>
      <c r="J903" s="68"/>
      <c r="K903" s="68"/>
      <c r="L903" s="68"/>
      <c r="M903" s="68"/>
      <c r="N903" s="68"/>
      <c r="O903" s="71"/>
      <c r="P903" s="71"/>
      <c r="Q903" s="71"/>
      <c r="R903" s="71"/>
      <c r="S903" s="71"/>
      <c r="T903" s="83" t="s">
        <v>8308</v>
      </c>
      <c r="U903" s="71"/>
      <c r="V903" s="71"/>
      <c r="W903" s="71"/>
      <c r="X903" s="71"/>
      <c r="Y903" s="71"/>
      <c r="Z903" s="71"/>
      <c r="AA903" s="71"/>
      <c r="AB903" s="71"/>
      <c r="AC903" s="71"/>
      <c r="AD903" s="44"/>
      <c r="AE903" s="44"/>
      <c r="AF903" s="44"/>
      <c r="AG903" s="44"/>
      <c r="AH903" s="44"/>
      <c r="AI903" s="44"/>
      <c r="AJ903" s="44"/>
      <c r="AK903" s="44"/>
      <c r="AL903" s="44"/>
      <c r="AM903" s="44"/>
      <c r="AN903" s="44"/>
      <c r="AO903" s="44"/>
      <c r="AP903" s="44"/>
      <c r="AQ903" s="44"/>
      <c r="AR903" s="44"/>
      <c r="AS903" s="44"/>
      <c r="AT903" s="44"/>
      <c r="AU903" s="44"/>
      <c r="AV903" s="44"/>
      <c r="AW903" s="44"/>
      <c r="AX903" s="44"/>
    </row>
    <row r="904" ht="15.75" customHeight="1">
      <c r="A904" s="150" t="s">
        <v>46</v>
      </c>
      <c r="B904" s="151" t="s">
        <v>8309</v>
      </c>
      <c r="C904" s="132" t="s">
        <v>8310</v>
      </c>
      <c r="D904" s="132" t="s">
        <v>8311</v>
      </c>
      <c r="E904" s="132" t="s">
        <v>8312</v>
      </c>
      <c r="F904" s="131"/>
      <c r="G904" s="131"/>
      <c r="H904" s="131"/>
      <c r="I904" s="131"/>
      <c r="J904" s="131"/>
      <c r="K904" s="131"/>
      <c r="L904" s="131"/>
      <c r="M904" s="131"/>
      <c r="N904" s="131"/>
      <c r="O904" s="133"/>
      <c r="P904" s="133"/>
      <c r="Q904" s="133"/>
      <c r="R904" s="133"/>
      <c r="S904" s="133"/>
      <c r="T904" s="133"/>
      <c r="U904" s="133"/>
      <c r="V904" s="133"/>
      <c r="W904" s="133"/>
      <c r="X904" s="133"/>
      <c r="Y904" s="133"/>
      <c r="Z904" s="133"/>
      <c r="AA904" s="133"/>
      <c r="AB904" s="133"/>
      <c r="AC904" s="133"/>
      <c r="AD904" s="44"/>
      <c r="AE904" s="44"/>
      <c r="AF904" s="44"/>
      <c r="AG904" s="44"/>
      <c r="AH904" s="44"/>
      <c r="AI904" s="44"/>
      <c r="AJ904" s="44"/>
      <c r="AK904" s="44"/>
      <c r="AL904" s="44"/>
      <c r="AM904" s="44"/>
      <c r="AN904" s="44"/>
      <c r="AO904" s="44"/>
      <c r="AP904" s="44"/>
      <c r="AQ904" s="44"/>
      <c r="AR904" s="44"/>
      <c r="AS904" s="44"/>
      <c r="AT904" s="44"/>
      <c r="AU904" s="44"/>
      <c r="AV904" s="44"/>
      <c r="AW904" s="44"/>
      <c r="AX904" s="44"/>
    </row>
    <row r="905" ht="15.75" customHeight="1">
      <c r="A905" s="134" t="s">
        <v>331</v>
      </c>
      <c r="B905" s="134" t="s">
        <v>8301</v>
      </c>
      <c r="C905" s="152" t="s">
        <v>8225</v>
      </c>
      <c r="D905" s="153"/>
      <c r="E905" s="153"/>
      <c r="F905" s="153"/>
      <c r="G905" s="153"/>
      <c r="H905" s="153"/>
      <c r="I905" s="153"/>
      <c r="J905" s="153"/>
      <c r="K905" s="153"/>
      <c r="L905" s="153"/>
      <c r="M905" s="153"/>
      <c r="N905" s="153"/>
      <c r="O905" s="137"/>
      <c r="P905" s="137"/>
      <c r="Q905" s="137"/>
      <c r="R905" s="137"/>
      <c r="S905" s="137"/>
      <c r="T905" s="137"/>
      <c r="U905" s="137"/>
      <c r="V905" s="137"/>
      <c r="W905" s="137"/>
      <c r="X905" s="137"/>
      <c r="Y905" s="137"/>
      <c r="Z905" s="137"/>
      <c r="AA905" s="137"/>
      <c r="AB905" s="137"/>
      <c r="AC905" s="137"/>
      <c r="AD905" s="44"/>
      <c r="AE905" s="44"/>
      <c r="AF905" s="44"/>
      <c r="AG905" s="44"/>
      <c r="AH905" s="44"/>
      <c r="AI905" s="44"/>
      <c r="AJ905" s="44"/>
      <c r="AK905" s="44"/>
      <c r="AL905" s="44"/>
      <c r="AM905" s="44"/>
      <c r="AN905" s="44"/>
      <c r="AO905" s="44"/>
      <c r="AP905" s="44"/>
      <c r="AQ905" s="44"/>
      <c r="AR905" s="44"/>
      <c r="AS905" s="44"/>
      <c r="AT905" s="44"/>
      <c r="AU905" s="44"/>
      <c r="AV905" s="44"/>
      <c r="AW905" s="44"/>
      <c r="AX905" s="44"/>
    </row>
    <row r="906" ht="15.75" customHeight="1">
      <c r="A906" s="134" t="s">
        <v>331</v>
      </c>
      <c r="B906" s="134" t="s">
        <v>8245</v>
      </c>
      <c r="C906" s="152" t="s">
        <v>8246</v>
      </c>
      <c r="D906" s="153"/>
      <c r="E906" s="153"/>
      <c r="F906" s="153"/>
      <c r="G906" s="153"/>
      <c r="H906" s="153"/>
      <c r="I906" s="153"/>
      <c r="J906" s="153"/>
      <c r="K906" s="153"/>
      <c r="L906" s="153"/>
      <c r="M906" s="153"/>
      <c r="N906" s="153"/>
      <c r="O906" s="137"/>
      <c r="P906" s="137"/>
      <c r="Q906" s="137"/>
      <c r="R906" s="137"/>
      <c r="S906" s="137"/>
      <c r="T906" s="137"/>
      <c r="U906" s="137"/>
      <c r="V906" s="137"/>
      <c r="W906" s="137"/>
      <c r="X906" s="137"/>
      <c r="Y906" s="137"/>
      <c r="Z906" s="137"/>
      <c r="AA906" s="137"/>
      <c r="AB906" s="137"/>
      <c r="AC906" s="137"/>
      <c r="AD906" s="44"/>
      <c r="AE906" s="44"/>
      <c r="AF906" s="44"/>
      <c r="AG906" s="44"/>
      <c r="AH906" s="44"/>
      <c r="AI906" s="44"/>
      <c r="AJ906" s="44"/>
      <c r="AK906" s="44"/>
      <c r="AL906" s="44"/>
      <c r="AM906" s="44"/>
      <c r="AN906" s="44"/>
      <c r="AO906" s="44"/>
      <c r="AP906" s="44"/>
      <c r="AQ906" s="44"/>
      <c r="AR906" s="44"/>
      <c r="AS906" s="44"/>
      <c r="AT906" s="44"/>
      <c r="AU906" s="44"/>
      <c r="AV906" s="44"/>
      <c r="AW906" s="44"/>
      <c r="AX906" s="44"/>
    </row>
    <row r="907" ht="15.75" customHeight="1">
      <c r="A907" s="44"/>
      <c r="B907" s="44"/>
      <c r="C907" s="154" t="s">
        <v>55</v>
      </c>
      <c r="D907" s="154" t="s">
        <v>55</v>
      </c>
      <c r="E907" s="154" t="s">
        <v>55</v>
      </c>
      <c r="F907" s="154"/>
      <c r="G907" s="154"/>
      <c r="H907" s="154"/>
      <c r="I907" s="154"/>
      <c r="J907" s="154"/>
      <c r="K907" s="154"/>
      <c r="L907" s="154"/>
      <c r="M907" s="154"/>
      <c r="N907" s="15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row>
    <row r="908" ht="15.75" customHeight="1">
      <c r="A908" s="150" t="s">
        <v>46</v>
      </c>
      <c r="B908" s="151" t="s">
        <v>8313</v>
      </c>
      <c r="C908" s="132" t="s">
        <v>8314</v>
      </c>
      <c r="D908" s="132" t="s">
        <v>8315</v>
      </c>
      <c r="E908" s="132" t="s">
        <v>8316</v>
      </c>
      <c r="F908" s="131"/>
      <c r="G908" s="131"/>
      <c r="H908" s="131"/>
      <c r="I908" s="131"/>
      <c r="J908" s="131"/>
      <c r="K908" s="131"/>
      <c r="L908" s="131"/>
      <c r="M908" s="131"/>
      <c r="N908" s="131"/>
      <c r="O908" s="128" t="s">
        <v>8317</v>
      </c>
      <c r="P908" s="133"/>
      <c r="Q908" s="133"/>
      <c r="R908" s="133"/>
      <c r="S908" s="133"/>
      <c r="T908" s="133"/>
      <c r="U908" s="133"/>
      <c r="V908" s="133"/>
      <c r="W908" s="133"/>
      <c r="X908" s="133"/>
      <c r="Y908" s="133"/>
      <c r="Z908" s="133"/>
      <c r="AA908" s="133"/>
      <c r="AB908" s="133"/>
      <c r="AC908" s="133"/>
      <c r="AD908" s="44"/>
      <c r="AE908" s="44"/>
      <c r="AF908" s="44"/>
      <c r="AG908" s="44"/>
      <c r="AH908" s="44"/>
      <c r="AI908" s="44"/>
      <c r="AJ908" s="44"/>
      <c r="AK908" s="44"/>
      <c r="AL908" s="44"/>
      <c r="AM908" s="44"/>
      <c r="AN908" s="44"/>
      <c r="AO908" s="44"/>
      <c r="AP908" s="44"/>
      <c r="AQ908" s="44"/>
      <c r="AR908" s="44"/>
      <c r="AS908" s="44"/>
      <c r="AT908" s="44"/>
      <c r="AU908" s="44"/>
      <c r="AV908" s="44"/>
      <c r="AW908" s="44"/>
      <c r="AX908" s="44"/>
    </row>
    <row r="909" ht="15.75" customHeight="1">
      <c r="A909" s="150" t="s">
        <v>46</v>
      </c>
      <c r="B909" s="151" t="s">
        <v>8318</v>
      </c>
      <c r="C909" s="132" t="s">
        <v>8319</v>
      </c>
      <c r="D909" s="132" t="s">
        <v>8320</v>
      </c>
      <c r="E909" s="132" t="s">
        <v>8321</v>
      </c>
      <c r="F909" s="131"/>
      <c r="G909" s="131"/>
      <c r="H909" s="131"/>
      <c r="I909" s="131"/>
      <c r="J909" s="131"/>
      <c r="K909" s="131"/>
      <c r="L909" s="131"/>
      <c r="M909" s="131"/>
      <c r="N909" s="131"/>
      <c r="O909" s="128" t="s">
        <v>8322</v>
      </c>
      <c r="P909" s="133"/>
      <c r="Q909" s="133"/>
      <c r="R909" s="133"/>
      <c r="S909" s="133"/>
      <c r="T909" s="133"/>
      <c r="U909" s="133"/>
      <c r="V909" s="133"/>
      <c r="W909" s="133"/>
      <c r="X909" s="133"/>
      <c r="Y909" s="133"/>
      <c r="Z909" s="133"/>
      <c r="AA909" s="133"/>
      <c r="AB909" s="133"/>
      <c r="AC909" s="133"/>
      <c r="AD909" s="44"/>
      <c r="AE909" s="44"/>
      <c r="AF909" s="44"/>
      <c r="AG909" s="44"/>
      <c r="AH909" s="44"/>
      <c r="AI909" s="44"/>
      <c r="AJ909" s="44"/>
      <c r="AK909" s="44"/>
      <c r="AL909" s="44"/>
      <c r="AM909" s="44"/>
      <c r="AN909" s="44"/>
      <c r="AO909" s="44"/>
      <c r="AP909" s="44"/>
      <c r="AQ909" s="44"/>
      <c r="AR909" s="44"/>
      <c r="AS909" s="44"/>
      <c r="AT909" s="44"/>
      <c r="AU909" s="44"/>
      <c r="AV909" s="44"/>
      <c r="AW909" s="44"/>
      <c r="AX909" s="44"/>
    </row>
    <row r="910" ht="15.75" customHeight="1">
      <c r="A910" s="44"/>
      <c r="B910" s="44"/>
      <c r="C910" s="154" t="s">
        <v>55</v>
      </c>
      <c r="D910" s="154" t="s">
        <v>55</v>
      </c>
      <c r="E910" s="154" t="s">
        <v>55</v>
      </c>
      <c r="F910" s="154"/>
      <c r="G910" s="154"/>
      <c r="H910" s="154"/>
      <c r="I910" s="154"/>
      <c r="J910" s="154"/>
      <c r="K910" s="154"/>
      <c r="L910" s="154"/>
      <c r="M910" s="154"/>
      <c r="N910" s="15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row>
    <row r="911" ht="15.75" customHeight="1">
      <c r="A911" s="134" t="s">
        <v>278</v>
      </c>
      <c r="B911" s="135" t="s">
        <v>8323</v>
      </c>
      <c r="C911" s="136"/>
      <c r="D911" s="136"/>
      <c r="E911" s="136"/>
      <c r="F911" s="136"/>
      <c r="G911" s="136"/>
      <c r="H911" s="136"/>
      <c r="I911" s="136"/>
      <c r="J911" s="226" t="s">
        <v>987</v>
      </c>
      <c r="K911" s="136"/>
      <c r="L911" s="136"/>
      <c r="M911" s="136"/>
      <c r="N911" s="136"/>
      <c r="O911" s="142" t="s">
        <v>8324</v>
      </c>
      <c r="P911" s="137"/>
      <c r="Q911" s="137"/>
      <c r="R911" s="137"/>
      <c r="S911" s="137"/>
      <c r="T911" s="137"/>
      <c r="U911" s="137"/>
      <c r="V911" s="137"/>
      <c r="W911" s="137"/>
      <c r="X911" s="137"/>
      <c r="Y911" s="137"/>
      <c r="Z911" s="137"/>
      <c r="AA911" s="137"/>
      <c r="AB911" s="137"/>
      <c r="AC911" s="137"/>
      <c r="AD911" s="44"/>
      <c r="AE911" s="44"/>
      <c r="AF911" s="44"/>
      <c r="AG911" s="44"/>
      <c r="AH911" s="44"/>
      <c r="AI911" s="44"/>
      <c r="AJ911" s="44"/>
      <c r="AK911" s="44"/>
      <c r="AL911" s="44"/>
      <c r="AM911" s="44"/>
      <c r="AN911" s="44"/>
      <c r="AO911" s="44"/>
      <c r="AP911" s="44"/>
      <c r="AQ911" s="44"/>
      <c r="AR911" s="44"/>
      <c r="AS911" s="44"/>
      <c r="AT911" s="44"/>
      <c r="AU911" s="44"/>
      <c r="AV911" s="44"/>
      <c r="AW911" s="44"/>
      <c r="AX911" s="44"/>
    </row>
    <row r="912" ht="15.75" customHeight="1">
      <c r="A912" s="150" t="s">
        <v>46</v>
      </c>
      <c r="B912" s="151" t="s">
        <v>8325</v>
      </c>
      <c r="C912" s="132" t="s">
        <v>8326</v>
      </c>
      <c r="D912" s="132" t="s">
        <v>8327</v>
      </c>
      <c r="E912" s="132" t="s">
        <v>8328</v>
      </c>
      <c r="F912" s="131"/>
      <c r="G912" s="131"/>
      <c r="H912" s="131"/>
      <c r="I912" s="131"/>
      <c r="J912" s="131"/>
      <c r="K912" s="131"/>
      <c r="L912" s="131"/>
      <c r="M912" s="131"/>
      <c r="N912" s="131"/>
      <c r="O912" s="133"/>
      <c r="P912" s="133"/>
      <c r="Q912" s="133"/>
      <c r="R912" s="133"/>
      <c r="S912" s="133"/>
      <c r="T912" s="133"/>
      <c r="U912" s="133"/>
      <c r="V912" s="133"/>
      <c r="W912" s="133"/>
      <c r="X912" s="133"/>
      <c r="Y912" s="133"/>
      <c r="Z912" s="133"/>
      <c r="AA912" s="133"/>
      <c r="AB912" s="133"/>
      <c r="AC912" s="133"/>
      <c r="AD912" s="44"/>
      <c r="AE912" s="44"/>
      <c r="AF912" s="44"/>
      <c r="AG912" s="44"/>
      <c r="AH912" s="44"/>
      <c r="AI912" s="44"/>
      <c r="AJ912" s="44"/>
      <c r="AK912" s="44"/>
      <c r="AL912" s="44"/>
      <c r="AM912" s="44"/>
      <c r="AN912" s="44"/>
      <c r="AO912" s="44"/>
      <c r="AP912" s="44"/>
      <c r="AQ912" s="44"/>
      <c r="AR912" s="44"/>
      <c r="AS912" s="44"/>
      <c r="AT912" s="44"/>
      <c r="AU912" s="44"/>
      <c r="AV912" s="44"/>
      <c r="AW912" s="44"/>
      <c r="AX912" s="44"/>
    </row>
    <row r="913" ht="15.75" customHeight="1">
      <c r="A913" s="150" t="s">
        <v>46</v>
      </c>
      <c r="B913" s="151" t="s">
        <v>8329</v>
      </c>
      <c r="C913" s="132" t="s">
        <v>8330</v>
      </c>
      <c r="D913" s="132" t="s">
        <v>8331</v>
      </c>
      <c r="E913" s="132" t="s">
        <v>8332</v>
      </c>
      <c r="F913" s="131"/>
      <c r="G913" s="131"/>
      <c r="H913" s="131"/>
      <c r="I913" s="131"/>
      <c r="J913" s="131"/>
      <c r="K913" s="131"/>
      <c r="L913" s="131"/>
      <c r="M913" s="131"/>
      <c r="N913" s="131"/>
      <c r="O913" s="133"/>
      <c r="P913" s="133"/>
      <c r="Q913" s="133"/>
      <c r="R913" s="133"/>
      <c r="S913" s="133"/>
      <c r="T913" s="133"/>
      <c r="U913" s="133"/>
      <c r="V913" s="133"/>
      <c r="W913" s="133"/>
      <c r="X913" s="133"/>
      <c r="Y913" s="133"/>
      <c r="Z913" s="133"/>
      <c r="AA913" s="133"/>
      <c r="AB913" s="133"/>
      <c r="AC913" s="133"/>
      <c r="AD913" s="44"/>
      <c r="AE913" s="44"/>
      <c r="AF913" s="44"/>
      <c r="AG913" s="44"/>
      <c r="AH913" s="44"/>
      <c r="AI913" s="44"/>
      <c r="AJ913" s="44"/>
      <c r="AK913" s="44"/>
      <c r="AL913" s="44"/>
      <c r="AM913" s="44"/>
      <c r="AN913" s="44"/>
      <c r="AO913" s="44"/>
      <c r="AP913" s="44"/>
      <c r="AQ913" s="44"/>
      <c r="AR913" s="44"/>
      <c r="AS913" s="44"/>
      <c r="AT913" s="44"/>
      <c r="AU913" s="44"/>
      <c r="AV913" s="44"/>
      <c r="AW913" s="44"/>
      <c r="AX913" s="44"/>
    </row>
    <row r="914" ht="15.75" customHeight="1">
      <c r="A914" s="134" t="s">
        <v>331</v>
      </c>
      <c r="B914" s="134" t="s">
        <v>8323</v>
      </c>
      <c r="C914" s="153"/>
      <c r="D914" s="153"/>
      <c r="E914" s="153"/>
      <c r="F914" s="153"/>
      <c r="G914" s="153"/>
      <c r="H914" s="153"/>
      <c r="I914" s="153"/>
      <c r="J914" s="153"/>
      <c r="K914" s="153"/>
      <c r="L914" s="153"/>
      <c r="M914" s="153"/>
      <c r="N914" s="153"/>
      <c r="O914" s="137"/>
      <c r="P914" s="137"/>
      <c r="Q914" s="137"/>
      <c r="R914" s="137"/>
      <c r="S914" s="137"/>
      <c r="T914" s="137"/>
      <c r="U914" s="137"/>
      <c r="V914" s="137"/>
      <c r="W914" s="137"/>
      <c r="X914" s="137"/>
      <c r="Y914" s="137"/>
      <c r="Z914" s="137"/>
      <c r="AA914" s="137"/>
      <c r="AB914" s="137"/>
      <c r="AC914" s="137"/>
      <c r="AD914" s="44"/>
      <c r="AE914" s="44"/>
      <c r="AF914" s="44"/>
      <c r="AG914" s="44"/>
      <c r="AH914" s="44"/>
      <c r="AI914" s="44"/>
      <c r="AJ914" s="44"/>
      <c r="AK914" s="44"/>
      <c r="AL914" s="44"/>
      <c r="AM914" s="44"/>
      <c r="AN914" s="44"/>
      <c r="AO914" s="44"/>
      <c r="AP914" s="44"/>
      <c r="AQ914" s="44"/>
      <c r="AR914" s="44"/>
      <c r="AS914" s="44"/>
      <c r="AT914" s="44"/>
      <c r="AU914" s="44"/>
      <c r="AV914" s="44"/>
      <c r="AW914" s="44"/>
      <c r="AX914" s="44"/>
    </row>
    <row r="915" ht="15.75" customHeight="1">
      <c r="A915" s="44"/>
      <c r="B915" s="44"/>
      <c r="C915" s="154" t="s">
        <v>55</v>
      </c>
      <c r="D915" s="154" t="s">
        <v>55</v>
      </c>
      <c r="E915" s="154" t="s">
        <v>55</v>
      </c>
      <c r="F915" s="154"/>
      <c r="G915" s="154"/>
      <c r="H915" s="154"/>
      <c r="I915" s="154"/>
      <c r="J915" s="154"/>
      <c r="K915" s="154"/>
      <c r="L915" s="154"/>
      <c r="M915" s="154"/>
      <c r="N915" s="15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row>
    <row r="916" ht="15.75" customHeight="1">
      <c r="A916" s="134" t="s">
        <v>278</v>
      </c>
      <c r="B916" s="135" t="s">
        <v>8333</v>
      </c>
      <c r="C916" s="143" t="s">
        <v>8334</v>
      </c>
      <c r="D916" s="136"/>
      <c r="E916" s="136"/>
      <c r="F916" s="136"/>
      <c r="G916" s="136"/>
      <c r="H916" s="136"/>
      <c r="I916" s="136"/>
      <c r="J916" s="136"/>
      <c r="K916" s="136"/>
      <c r="L916" s="136"/>
      <c r="M916" s="136"/>
      <c r="N916" s="136"/>
      <c r="O916" s="142" t="s">
        <v>8335</v>
      </c>
      <c r="P916" s="137"/>
      <c r="Q916" s="137"/>
      <c r="R916" s="137"/>
      <c r="S916" s="137"/>
      <c r="T916" s="137"/>
      <c r="U916" s="137"/>
      <c r="V916" s="137"/>
      <c r="W916" s="137"/>
      <c r="X916" s="137"/>
      <c r="Y916" s="137"/>
      <c r="Z916" s="137"/>
      <c r="AA916" s="137"/>
      <c r="AB916" s="137"/>
      <c r="AC916" s="137"/>
      <c r="AD916" s="44"/>
      <c r="AE916" s="44"/>
      <c r="AF916" s="44"/>
      <c r="AG916" s="44"/>
      <c r="AH916" s="44"/>
      <c r="AI916" s="44"/>
      <c r="AJ916" s="44"/>
      <c r="AK916" s="44"/>
      <c r="AL916" s="44"/>
      <c r="AM916" s="44"/>
      <c r="AN916" s="44"/>
      <c r="AO916" s="44"/>
      <c r="AP916" s="44"/>
      <c r="AQ916" s="44"/>
      <c r="AR916" s="44"/>
      <c r="AS916" s="44"/>
      <c r="AT916" s="44"/>
      <c r="AU916" s="44"/>
      <c r="AV916" s="44"/>
      <c r="AW916" s="44"/>
      <c r="AX916" s="44"/>
    </row>
    <row r="917" ht="15.75" customHeight="1">
      <c r="A917" s="208" t="s">
        <v>8336</v>
      </c>
      <c r="B917" s="209" t="s">
        <v>8337</v>
      </c>
      <c r="C917" s="147" t="s">
        <v>8338</v>
      </c>
      <c r="D917" s="147" t="s">
        <v>8339</v>
      </c>
      <c r="E917" s="147" t="s">
        <v>8340</v>
      </c>
      <c r="F917" s="147" t="s">
        <v>8341</v>
      </c>
      <c r="G917" s="147" t="s">
        <v>8342</v>
      </c>
      <c r="H917" s="147" t="s">
        <v>8343</v>
      </c>
      <c r="I917" s="139"/>
      <c r="J917" s="139"/>
      <c r="K917" s="139"/>
      <c r="L917" s="139"/>
      <c r="M917" s="139"/>
      <c r="N917" s="139"/>
      <c r="O917" s="127"/>
      <c r="P917" s="127"/>
      <c r="Q917" s="208" t="s">
        <v>307</v>
      </c>
      <c r="R917" s="127"/>
      <c r="S917" s="127"/>
      <c r="T917" s="127"/>
      <c r="U917" s="127"/>
      <c r="V917" s="127"/>
      <c r="W917" s="127"/>
      <c r="X917" s="127"/>
      <c r="Y917" s="127"/>
      <c r="Z917" s="127"/>
      <c r="AA917" s="127"/>
      <c r="AB917" s="127"/>
      <c r="AC917" s="127"/>
      <c r="AD917" s="44"/>
      <c r="AE917" s="44"/>
      <c r="AF917" s="44"/>
      <c r="AG917" s="44"/>
      <c r="AH917" s="44"/>
      <c r="AI917" s="44"/>
      <c r="AJ917" s="44"/>
      <c r="AK917" s="44"/>
      <c r="AL917" s="44"/>
      <c r="AM917" s="44"/>
      <c r="AN917" s="44"/>
      <c r="AO917" s="44"/>
      <c r="AP917" s="44"/>
      <c r="AQ917" s="44"/>
      <c r="AR917" s="44"/>
      <c r="AS917" s="44"/>
      <c r="AT917" s="44"/>
      <c r="AU917" s="44"/>
      <c r="AV917" s="44"/>
      <c r="AW917" s="44"/>
      <c r="AX917" s="44"/>
    </row>
    <row r="918" ht="15.75" customHeight="1">
      <c r="A918" s="434" t="s">
        <v>582</v>
      </c>
      <c r="B918" s="435" t="s">
        <v>8344</v>
      </c>
      <c r="C918" s="436" t="s">
        <v>8345</v>
      </c>
      <c r="D918" s="436" t="s">
        <v>8346</v>
      </c>
      <c r="E918" s="436" t="s">
        <v>8347</v>
      </c>
      <c r="F918" s="437"/>
      <c r="G918" s="437"/>
      <c r="H918" s="437"/>
      <c r="I918" s="437"/>
      <c r="J918" s="437"/>
      <c r="K918" s="438" t="s">
        <v>8230</v>
      </c>
      <c r="L918" s="436" t="s">
        <v>8231</v>
      </c>
      <c r="M918" s="437"/>
      <c r="N918" s="437"/>
      <c r="O918" s="442" t="s">
        <v>8348</v>
      </c>
      <c r="P918" s="439"/>
      <c r="Q918" s="434" t="s">
        <v>307</v>
      </c>
      <c r="R918" s="439"/>
      <c r="S918" s="439"/>
      <c r="T918" s="439"/>
      <c r="U918" s="439"/>
      <c r="V918" s="439"/>
      <c r="W918" s="439"/>
      <c r="X918" s="439"/>
      <c r="Y918" s="439"/>
      <c r="Z918" s="439"/>
      <c r="AA918" s="439"/>
      <c r="AB918" s="439"/>
      <c r="AC918" s="439"/>
      <c r="AD918" s="44"/>
      <c r="AE918" s="44"/>
      <c r="AF918" s="44"/>
      <c r="AG918" s="44"/>
      <c r="AH918" s="44"/>
      <c r="AI918" s="44"/>
      <c r="AJ918" s="44"/>
      <c r="AK918" s="44"/>
      <c r="AL918" s="44"/>
      <c r="AM918" s="44"/>
      <c r="AN918" s="44"/>
      <c r="AO918" s="44"/>
      <c r="AP918" s="44"/>
      <c r="AQ918" s="44"/>
      <c r="AR918" s="44"/>
      <c r="AS918" s="44"/>
      <c r="AT918" s="44"/>
      <c r="AU918" s="44"/>
      <c r="AV918" s="44"/>
      <c r="AW918" s="44"/>
      <c r="AX918" s="44"/>
    </row>
    <row r="919" ht="15.75" customHeight="1">
      <c r="A919" s="443" t="s">
        <v>247</v>
      </c>
      <c r="B919" s="444" t="s">
        <v>8349</v>
      </c>
      <c r="C919" s="259" t="s">
        <v>8350</v>
      </c>
      <c r="D919" s="259" t="s">
        <v>8351</v>
      </c>
      <c r="E919" s="259" t="s">
        <v>8352</v>
      </c>
      <c r="F919" s="407"/>
      <c r="G919" s="407"/>
      <c r="H919" s="407"/>
      <c r="I919" s="407"/>
      <c r="J919" s="407"/>
      <c r="K919" s="407"/>
      <c r="L919" s="407"/>
      <c r="M919" s="407"/>
      <c r="N919" s="407"/>
      <c r="O919" s="303" t="s">
        <v>8353</v>
      </c>
      <c r="P919" s="408"/>
      <c r="Q919" s="443" t="s">
        <v>307</v>
      </c>
      <c r="R919" s="408"/>
      <c r="S919" s="408"/>
      <c r="T919" s="408"/>
      <c r="U919" s="408"/>
      <c r="V919" s="408"/>
      <c r="W919" s="408"/>
      <c r="X919" s="408"/>
      <c r="Y919" s="408"/>
      <c r="Z919" s="408"/>
      <c r="AA919" s="408"/>
      <c r="AB919" s="408"/>
      <c r="AC919" s="408"/>
      <c r="AD919" s="44"/>
      <c r="AE919" s="44"/>
      <c r="AF919" s="44"/>
      <c r="AG919" s="44"/>
      <c r="AH919" s="44"/>
      <c r="AI919" s="44"/>
      <c r="AJ919" s="44"/>
      <c r="AK919" s="44"/>
      <c r="AL919" s="44"/>
      <c r="AM919" s="44"/>
      <c r="AN919" s="44"/>
      <c r="AO919" s="44"/>
      <c r="AP919" s="44"/>
      <c r="AQ919" s="44"/>
      <c r="AR919" s="44"/>
      <c r="AS919" s="44"/>
      <c r="AT919" s="44"/>
      <c r="AU919" s="44"/>
      <c r="AV919" s="44"/>
      <c r="AW919" s="44"/>
      <c r="AX919" s="44"/>
    </row>
    <row r="920" ht="15.75" customHeight="1">
      <c r="A920" s="150" t="s">
        <v>46</v>
      </c>
      <c r="B920" s="151" t="s">
        <v>8354</v>
      </c>
      <c r="C920" s="132" t="s">
        <v>8355</v>
      </c>
      <c r="D920" s="132" t="s">
        <v>8356</v>
      </c>
      <c r="E920" s="132" t="s">
        <v>8357</v>
      </c>
      <c r="F920" s="131"/>
      <c r="G920" s="131"/>
      <c r="H920" s="131"/>
      <c r="I920" s="131"/>
      <c r="J920" s="131"/>
      <c r="K920" s="131"/>
      <c r="L920" s="131"/>
      <c r="M920" s="131"/>
      <c r="N920" s="131"/>
      <c r="O920" s="128" t="s">
        <v>8358</v>
      </c>
      <c r="P920" s="133"/>
      <c r="Q920" s="150" t="s">
        <v>307</v>
      </c>
      <c r="R920" s="133"/>
      <c r="S920" s="133"/>
      <c r="T920" s="133"/>
      <c r="U920" s="133"/>
      <c r="V920" s="133"/>
      <c r="W920" s="133"/>
      <c r="X920" s="133"/>
      <c r="Y920" s="133"/>
      <c r="Z920" s="133"/>
      <c r="AA920" s="133"/>
      <c r="AB920" s="133"/>
      <c r="AC920" s="133"/>
      <c r="AD920" s="44"/>
      <c r="AE920" s="44"/>
      <c r="AF920" s="44"/>
      <c r="AG920" s="44"/>
      <c r="AH920" s="44"/>
      <c r="AI920" s="44"/>
      <c r="AJ920" s="44"/>
      <c r="AK920" s="44"/>
      <c r="AL920" s="44"/>
      <c r="AM920" s="44"/>
      <c r="AN920" s="44"/>
      <c r="AO920" s="44"/>
      <c r="AP920" s="44"/>
      <c r="AQ920" s="44"/>
      <c r="AR920" s="44"/>
      <c r="AS920" s="44"/>
      <c r="AT920" s="44"/>
      <c r="AU920" s="44"/>
      <c r="AV920" s="44"/>
      <c r="AW920" s="44"/>
      <c r="AX920" s="44"/>
    </row>
    <row r="921" ht="15.75" customHeight="1">
      <c r="A921" s="82" t="s">
        <v>112</v>
      </c>
      <c r="B921" s="83" t="s">
        <v>8359</v>
      </c>
      <c r="C921" s="84" t="s">
        <v>8360</v>
      </c>
      <c r="D921" s="68"/>
      <c r="E921" s="68"/>
      <c r="F921" s="68"/>
      <c r="G921" s="68"/>
      <c r="H921" s="68"/>
      <c r="I921" s="68"/>
      <c r="J921" s="68"/>
      <c r="K921" s="68"/>
      <c r="L921" s="68"/>
      <c r="M921" s="68"/>
      <c r="N921" s="68"/>
      <c r="O921" s="71"/>
      <c r="P921" s="71"/>
      <c r="Q921" s="71"/>
      <c r="R921" s="71"/>
      <c r="S921" s="71"/>
      <c r="T921" s="83" t="s">
        <v>8361</v>
      </c>
      <c r="U921" s="71"/>
      <c r="V921" s="71"/>
      <c r="W921" s="71"/>
      <c r="X921" s="71"/>
      <c r="Y921" s="71"/>
      <c r="Z921" s="71"/>
      <c r="AA921" s="71"/>
      <c r="AB921" s="71"/>
      <c r="AC921" s="71"/>
      <c r="AD921" s="44"/>
      <c r="AE921" s="44"/>
      <c r="AF921" s="44"/>
      <c r="AG921" s="44"/>
      <c r="AH921" s="44"/>
      <c r="AI921" s="44"/>
      <c r="AJ921" s="44"/>
      <c r="AK921" s="44"/>
      <c r="AL921" s="44"/>
      <c r="AM921" s="44"/>
      <c r="AN921" s="44"/>
      <c r="AO921" s="44"/>
      <c r="AP921" s="44"/>
      <c r="AQ921" s="44"/>
      <c r="AR921" s="44"/>
      <c r="AS921" s="44"/>
      <c r="AT921" s="44"/>
      <c r="AU921" s="44"/>
      <c r="AV921" s="44"/>
      <c r="AW921" s="44"/>
      <c r="AX921" s="44"/>
    </row>
    <row r="922" ht="15.75" customHeight="1">
      <c r="A922" s="82" t="s">
        <v>112</v>
      </c>
      <c r="B922" s="83" t="s">
        <v>8362</v>
      </c>
      <c r="C922" s="84" t="s">
        <v>8363</v>
      </c>
      <c r="D922" s="68"/>
      <c r="E922" s="68"/>
      <c r="F922" s="68"/>
      <c r="G922" s="68"/>
      <c r="H922" s="68"/>
      <c r="I922" s="68"/>
      <c r="J922" s="68"/>
      <c r="K922" s="68"/>
      <c r="L922" s="68"/>
      <c r="M922" s="68"/>
      <c r="N922" s="68"/>
      <c r="O922" s="71"/>
      <c r="P922" s="71"/>
      <c r="Q922" s="71"/>
      <c r="R922" s="71"/>
      <c r="S922" s="71"/>
      <c r="T922" s="83" t="s">
        <v>8364</v>
      </c>
      <c r="U922" s="71"/>
      <c r="V922" s="71"/>
      <c r="W922" s="71"/>
      <c r="X922" s="71"/>
      <c r="Y922" s="71"/>
      <c r="Z922" s="71"/>
      <c r="AA922" s="71"/>
      <c r="AB922" s="71"/>
      <c r="AC922" s="71"/>
      <c r="AD922" s="44"/>
      <c r="AE922" s="44"/>
      <c r="AF922" s="44"/>
      <c r="AG922" s="44"/>
      <c r="AH922" s="44"/>
      <c r="AI922" s="44"/>
      <c r="AJ922" s="44"/>
      <c r="AK922" s="44"/>
      <c r="AL922" s="44"/>
      <c r="AM922" s="44"/>
      <c r="AN922" s="44"/>
      <c r="AO922" s="44"/>
      <c r="AP922" s="44"/>
      <c r="AQ922" s="44"/>
      <c r="AR922" s="44"/>
      <c r="AS922" s="44"/>
      <c r="AT922" s="44"/>
      <c r="AU922" s="44"/>
      <c r="AV922" s="44"/>
      <c r="AW922" s="44"/>
      <c r="AX922" s="44"/>
    </row>
    <row r="923" ht="15.75" customHeight="1">
      <c r="A923" s="82" t="s">
        <v>112</v>
      </c>
      <c r="B923" s="83" t="s">
        <v>8365</v>
      </c>
      <c r="C923" s="84" t="s">
        <v>8366</v>
      </c>
      <c r="D923" s="68"/>
      <c r="E923" s="68"/>
      <c r="F923" s="68"/>
      <c r="G923" s="68"/>
      <c r="H923" s="68"/>
      <c r="I923" s="68"/>
      <c r="J923" s="68"/>
      <c r="K923" s="68"/>
      <c r="L923" s="68"/>
      <c r="M923" s="68"/>
      <c r="N923" s="68"/>
      <c r="O923" s="71"/>
      <c r="P923" s="71"/>
      <c r="Q923" s="71"/>
      <c r="R923" s="71"/>
      <c r="S923" s="71"/>
      <c r="T923" s="83" t="s">
        <v>8367</v>
      </c>
      <c r="U923" s="71"/>
      <c r="V923" s="71"/>
      <c r="W923" s="71"/>
      <c r="X923" s="71"/>
      <c r="Y923" s="71"/>
      <c r="Z923" s="71"/>
      <c r="AA923" s="71"/>
      <c r="AB923" s="71"/>
      <c r="AC923" s="71"/>
      <c r="AD923" s="44"/>
      <c r="AE923" s="44"/>
      <c r="AF923" s="44"/>
      <c r="AG923" s="44"/>
      <c r="AH923" s="44"/>
      <c r="AI923" s="44"/>
      <c r="AJ923" s="44"/>
      <c r="AK923" s="44"/>
      <c r="AL923" s="44"/>
      <c r="AM923" s="44"/>
      <c r="AN923" s="44"/>
      <c r="AO923" s="44"/>
      <c r="AP923" s="44"/>
      <c r="AQ923" s="44"/>
      <c r="AR923" s="44"/>
      <c r="AS923" s="44"/>
      <c r="AT923" s="44"/>
      <c r="AU923" s="44"/>
      <c r="AV923" s="44"/>
      <c r="AW923" s="44"/>
      <c r="AX923" s="44"/>
    </row>
    <row r="924" ht="15.75" customHeight="1">
      <c r="A924" s="82" t="s">
        <v>112</v>
      </c>
      <c r="B924" s="83" t="s">
        <v>8368</v>
      </c>
      <c r="C924" s="84" t="s">
        <v>8369</v>
      </c>
      <c r="D924" s="68"/>
      <c r="E924" s="68"/>
      <c r="F924" s="68"/>
      <c r="G924" s="68"/>
      <c r="H924" s="68"/>
      <c r="I924" s="68"/>
      <c r="J924" s="68"/>
      <c r="K924" s="68"/>
      <c r="L924" s="68"/>
      <c r="M924" s="68"/>
      <c r="N924" s="68"/>
      <c r="O924" s="71"/>
      <c r="P924" s="71"/>
      <c r="Q924" s="71"/>
      <c r="R924" s="71"/>
      <c r="S924" s="71"/>
      <c r="T924" s="83" t="s">
        <v>8370</v>
      </c>
      <c r="U924" s="71"/>
      <c r="V924" s="71"/>
      <c r="W924" s="71"/>
      <c r="X924" s="71"/>
      <c r="Y924" s="71"/>
      <c r="Z924" s="71"/>
      <c r="AA924" s="71"/>
      <c r="AB924" s="71"/>
      <c r="AC924" s="71"/>
      <c r="AD924" s="44"/>
      <c r="AE924" s="44"/>
      <c r="AF924" s="44"/>
      <c r="AG924" s="44"/>
      <c r="AH924" s="44"/>
      <c r="AI924" s="44"/>
      <c r="AJ924" s="44"/>
      <c r="AK924" s="44"/>
      <c r="AL924" s="44"/>
      <c r="AM924" s="44"/>
      <c r="AN924" s="44"/>
      <c r="AO924" s="44"/>
      <c r="AP924" s="44"/>
      <c r="AQ924" s="44"/>
      <c r="AR924" s="44"/>
      <c r="AS924" s="44"/>
      <c r="AT924" s="44"/>
      <c r="AU924" s="44"/>
      <c r="AV924" s="44"/>
      <c r="AW924" s="44"/>
      <c r="AX924" s="44"/>
    </row>
    <row r="925" ht="15.75" customHeight="1">
      <c r="A925" s="445" t="s">
        <v>112</v>
      </c>
      <c r="B925" s="83" t="s">
        <v>8371</v>
      </c>
      <c r="C925" s="84" t="s">
        <v>8372</v>
      </c>
      <c r="D925" s="68"/>
      <c r="E925" s="68"/>
      <c r="F925" s="68"/>
      <c r="G925" s="68"/>
      <c r="H925" s="68"/>
      <c r="I925" s="68"/>
      <c r="J925" s="68"/>
      <c r="K925" s="68"/>
      <c r="L925" s="68"/>
      <c r="M925" s="68"/>
      <c r="N925" s="68"/>
      <c r="O925" s="66" t="s">
        <v>8353</v>
      </c>
      <c r="P925" s="71"/>
      <c r="Q925" s="71"/>
      <c r="R925" s="71"/>
      <c r="S925" s="71"/>
      <c r="T925" s="83" t="s">
        <v>8373</v>
      </c>
      <c r="U925" s="71"/>
      <c r="V925" s="71"/>
      <c r="W925" s="71"/>
      <c r="X925" s="71"/>
      <c r="Y925" s="71"/>
      <c r="Z925" s="71"/>
      <c r="AA925" s="71"/>
      <c r="AB925" s="71"/>
      <c r="AC925" s="71"/>
      <c r="AD925" s="44"/>
      <c r="AE925" s="44"/>
      <c r="AF925" s="44"/>
      <c r="AG925" s="44"/>
      <c r="AH925" s="44"/>
      <c r="AI925" s="44"/>
      <c r="AJ925" s="44"/>
      <c r="AK925" s="44"/>
      <c r="AL925" s="44"/>
      <c r="AM925" s="44"/>
      <c r="AN925" s="44"/>
      <c r="AO925" s="44"/>
      <c r="AP925" s="44"/>
      <c r="AQ925" s="44"/>
      <c r="AR925" s="44"/>
      <c r="AS925" s="44"/>
      <c r="AT925" s="44"/>
      <c r="AU925" s="44"/>
      <c r="AV925" s="44"/>
      <c r="AW925" s="44"/>
      <c r="AX925" s="44"/>
    </row>
    <row r="926">
      <c r="A926" s="446" t="s">
        <v>112</v>
      </c>
      <c r="B926" s="447" t="s">
        <v>8374</v>
      </c>
      <c r="C926" s="84" t="s">
        <v>8375</v>
      </c>
      <c r="D926" s="68"/>
      <c r="E926" s="68"/>
      <c r="F926" s="68"/>
      <c r="G926" s="68"/>
      <c r="H926" s="68"/>
      <c r="I926" s="68"/>
      <c r="J926" s="68"/>
      <c r="K926" s="68"/>
      <c r="L926" s="68"/>
      <c r="M926" s="68"/>
      <c r="N926" s="68"/>
      <c r="O926" s="448"/>
      <c r="P926" s="71"/>
      <c r="Q926" s="448"/>
      <c r="R926" s="448"/>
      <c r="S926" s="448"/>
      <c r="T926" s="447" t="s">
        <v>8376</v>
      </c>
      <c r="U926" s="448"/>
      <c r="V926" s="448"/>
      <c r="W926" s="448"/>
      <c r="X926" s="448"/>
      <c r="Y926" s="448"/>
      <c r="Z926" s="448"/>
      <c r="AA926" s="448"/>
      <c r="AB926" s="448"/>
      <c r="AC926" s="448"/>
      <c r="AD926" s="449"/>
      <c r="AE926" s="449"/>
      <c r="AF926" s="449"/>
      <c r="AG926" s="449"/>
      <c r="AH926" s="449"/>
      <c r="AI926" s="449"/>
      <c r="AJ926" s="449"/>
      <c r="AK926" s="449"/>
      <c r="AL926" s="449"/>
      <c r="AM926" s="449"/>
      <c r="AN926" s="449"/>
      <c r="AO926" s="449"/>
      <c r="AP926" s="449"/>
      <c r="AQ926" s="449"/>
      <c r="AR926" s="449"/>
      <c r="AS926" s="449"/>
      <c r="AT926" s="449"/>
      <c r="AU926" s="449"/>
      <c r="AV926" s="449"/>
      <c r="AW926" s="449"/>
      <c r="AX926" s="449"/>
    </row>
    <row r="927">
      <c r="A927" s="450" t="s">
        <v>331</v>
      </c>
      <c r="B927" s="450" t="s">
        <v>8333</v>
      </c>
      <c r="C927" s="152" t="s">
        <v>8334</v>
      </c>
      <c r="D927" s="153"/>
      <c r="E927" s="153"/>
      <c r="F927" s="153"/>
      <c r="G927" s="153"/>
      <c r="H927" s="153"/>
      <c r="I927" s="153"/>
      <c r="J927" s="153"/>
      <c r="K927" s="153"/>
      <c r="L927" s="153"/>
      <c r="M927" s="153"/>
      <c r="N927" s="153"/>
      <c r="O927" s="451"/>
      <c r="P927" s="137"/>
      <c r="Q927" s="451"/>
      <c r="R927" s="451"/>
      <c r="S927" s="451"/>
      <c r="T927" s="451"/>
      <c r="U927" s="451"/>
      <c r="V927" s="451"/>
      <c r="W927" s="451"/>
      <c r="X927" s="451"/>
      <c r="Y927" s="451"/>
      <c r="Z927" s="451"/>
      <c r="AA927" s="451"/>
      <c r="AB927" s="451"/>
      <c r="AC927" s="451"/>
      <c r="AD927" s="449"/>
      <c r="AE927" s="449"/>
      <c r="AF927" s="449"/>
      <c r="AG927" s="449"/>
      <c r="AH927" s="449"/>
      <c r="AI927" s="449"/>
      <c r="AJ927" s="449"/>
      <c r="AK927" s="449"/>
      <c r="AL927" s="449"/>
      <c r="AM927" s="449"/>
      <c r="AN927" s="449"/>
      <c r="AO927" s="449"/>
      <c r="AP927" s="449"/>
      <c r="AQ927" s="449"/>
      <c r="AR927" s="449"/>
      <c r="AS927" s="449"/>
      <c r="AT927" s="449"/>
      <c r="AU927" s="449"/>
      <c r="AV927" s="449"/>
      <c r="AW927" s="449"/>
      <c r="AX927" s="449"/>
    </row>
    <row r="928">
      <c r="A928" s="449"/>
      <c r="B928" s="449"/>
      <c r="C928" s="154" t="s">
        <v>55</v>
      </c>
      <c r="D928" s="154" t="s">
        <v>55</v>
      </c>
      <c r="E928" s="154" t="s">
        <v>55</v>
      </c>
      <c r="F928" s="154"/>
      <c r="G928" s="154"/>
      <c r="H928" s="154"/>
      <c r="I928" s="154"/>
      <c r="J928" s="154"/>
      <c r="K928" s="154"/>
      <c r="L928" s="154"/>
      <c r="M928" s="154"/>
      <c r="N928" s="154"/>
      <c r="O928" s="449"/>
      <c r="P928" s="44"/>
      <c r="Q928" s="449"/>
      <c r="R928" s="449"/>
      <c r="S928" s="449"/>
      <c r="T928" s="449"/>
      <c r="U928" s="449"/>
      <c r="V928" s="449"/>
      <c r="W928" s="449"/>
      <c r="X928" s="449"/>
      <c r="Y928" s="449"/>
      <c r="Z928" s="449"/>
      <c r="AA928" s="449"/>
      <c r="AB928" s="449"/>
      <c r="AC928" s="449"/>
      <c r="AD928" s="449"/>
      <c r="AE928" s="449"/>
      <c r="AF928" s="449"/>
      <c r="AG928" s="449"/>
      <c r="AH928" s="449"/>
      <c r="AI928" s="449"/>
      <c r="AJ928" s="449"/>
      <c r="AK928" s="449"/>
      <c r="AL928" s="449"/>
      <c r="AM928" s="449"/>
      <c r="AN928" s="449"/>
      <c r="AO928" s="449"/>
      <c r="AP928" s="449"/>
      <c r="AQ928" s="449"/>
      <c r="AR928" s="449"/>
      <c r="AS928" s="449"/>
      <c r="AT928" s="449"/>
      <c r="AU928" s="449"/>
      <c r="AV928" s="449"/>
      <c r="AW928" s="449"/>
      <c r="AX928" s="449"/>
    </row>
    <row r="929">
      <c r="A929" s="452" t="s">
        <v>8377</v>
      </c>
      <c r="B929" s="453" t="s">
        <v>8378</v>
      </c>
      <c r="C929" s="147" t="s">
        <v>8379</v>
      </c>
      <c r="D929" s="147" t="s">
        <v>8380</v>
      </c>
      <c r="E929" s="147" t="s">
        <v>8381</v>
      </c>
      <c r="F929" s="139"/>
      <c r="G929" s="139"/>
      <c r="H929" s="139"/>
      <c r="I929" s="139"/>
      <c r="J929" s="139"/>
      <c r="K929" s="139"/>
      <c r="L929" s="139"/>
      <c r="M929" s="139"/>
      <c r="N929" s="139"/>
      <c r="O929" s="452"/>
      <c r="P929" s="127"/>
      <c r="Q929" s="452" t="s">
        <v>307</v>
      </c>
      <c r="R929" s="454"/>
      <c r="S929" s="454"/>
      <c r="T929" s="454"/>
      <c r="U929" s="454"/>
      <c r="V929" s="454"/>
      <c r="W929" s="454"/>
      <c r="X929" s="454"/>
      <c r="Y929" s="454"/>
      <c r="Z929" s="454"/>
      <c r="AA929" s="454"/>
      <c r="AB929" s="454"/>
      <c r="AC929" s="454"/>
      <c r="AD929" s="449"/>
      <c r="AE929" s="449"/>
      <c r="AF929" s="449"/>
      <c r="AG929" s="449"/>
      <c r="AH929" s="449"/>
      <c r="AI929" s="449"/>
      <c r="AJ929" s="449"/>
      <c r="AK929" s="449"/>
      <c r="AL929" s="449"/>
      <c r="AM929" s="449"/>
      <c r="AN929" s="449"/>
      <c r="AO929" s="449"/>
      <c r="AP929" s="449"/>
      <c r="AQ929" s="449"/>
      <c r="AR929" s="449"/>
      <c r="AS929" s="449"/>
      <c r="AT929" s="449"/>
      <c r="AU929" s="449"/>
      <c r="AV929" s="449"/>
      <c r="AW929" s="449"/>
      <c r="AX929" s="449"/>
    </row>
    <row r="930">
      <c r="A930" s="446" t="s">
        <v>112</v>
      </c>
      <c r="B930" s="155" t="s">
        <v>8382</v>
      </c>
      <c r="C930" s="455" t="s">
        <v>8383</v>
      </c>
      <c r="D930" s="68"/>
      <c r="E930" s="68"/>
      <c r="F930" s="68"/>
      <c r="G930" s="68"/>
      <c r="H930" s="68"/>
      <c r="I930" s="68"/>
      <c r="J930" s="68"/>
      <c r="K930" s="68"/>
      <c r="L930" s="68"/>
      <c r="M930" s="68"/>
      <c r="N930" s="68"/>
      <c r="O930" s="448"/>
      <c r="P930" s="71"/>
      <c r="Q930" s="448"/>
      <c r="R930" s="448"/>
      <c r="S930" s="448"/>
      <c r="T930" s="155" t="s">
        <v>8384</v>
      </c>
      <c r="U930" s="448"/>
      <c r="V930" s="448"/>
      <c r="W930" s="448"/>
      <c r="X930" s="448"/>
      <c r="Y930" s="448"/>
      <c r="Z930" s="448"/>
      <c r="AA930" s="448"/>
      <c r="AB930" s="448"/>
      <c r="AC930" s="448"/>
      <c r="AD930" s="449"/>
      <c r="AE930" s="449"/>
      <c r="AF930" s="449"/>
      <c r="AG930" s="449"/>
      <c r="AH930" s="449"/>
      <c r="AI930" s="449"/>
      <c r="AJ930" s="449"/>
      <c r="AK930" s="449"/>
      <c r="AL930" s="449"/>
      <c r="AM930" s="449"/>
      <c r="AN930" s="449"/>
      <c r="AO930" s="449"/>
      <c r="AP930" s="449"/>
      <c r="AQ930" s="449"/>
      <c r="AR930" s="449"/>
      <c r="AS930" s="449"/>
      <c r="AT930" s="449"/>
      <c r="AU930" s="449"/>
      <c r="AV930" s="449"/>
      <c r="AW930" s="449"/>
      <c r="AX930" s="449"/>
    </row>
    <row r="931">
      <c r="A931" s="446" t="s">
        <v>112</v>
      </c>
      <c r="B931" s="447" t="s">
        <v>8385</v>
      </c>
      <c r="C931" s="68"/>
      <c r="D931" s="68"/>
      <c r="E931" s="68"/>
      <c r="F931" s="68"/>
      <c r="G931" s="68"/>
      <c r="H931" s="68"/>
      <c r="I931" s="68"/>
      <c r="J931" s="68"/>
      <c r="K931" s="68"/>
      <c r="L931" s="68"/>
      <c r="M931" s="68"/>
      <c r="N931" s="68"/>
      <c r="O931" s="448"/>
      <c r="P931" s="71"/>
      <c r="Q931" s="448"/>
      <c r="R931" s="448"/>
      <c r="S931" s="448"/>
      <c r="T931" s="155" t="s">
        <v>8386</v>
      </c>
      <c r="U931" s="448"/>
      <c r="V931" s="448"/>
      <c r="W931" s="448"/>
      <c r="X931" s="448"/>
      <c r="Y931" s="448"/>
      <c r="Z931" s="448"/>
      <c r="AA931" s="448"/>
      <c r="AB931" s="448"/>
      <c r="AC931" s="448"/>
      <c r="AD931" s="448"/>
      <c r="AE931" s="448"/>
      <c r="AF931" s="448"/>
      <c r="AG931" s="448"/>
      <c r="AH931" s="448"/>
      <c r="AI931" s="448"/>
      <c r="AJ931" s="448"/>
      <c r="AK931" s="448"/>
      <c r="AL931" s="448"/>
      <c r="AM931" s="448"/>
      <c r="AN931" s="448"/>
      <c r="AO931" s="448"/>
      <c r="AP931" s="448"/>
      <c r="AQ931" s="448"/>
      <c r="AR931" s="448"/>
      <c r="AS931" s="448"/>
      <c r="AT931" s="448"/>
      <c r="AU931" s="449"/>
      <c r="AV931" s="449"/>
      <c r="AW931" s="449"/>
      <c r="AX931" s="449"/>
    </row>
    <row r="932">
      <c r="A932" s="446" t="s">
        <v>256</v>
      </c>
      <c r="B932" s="155" t="s">
        <v>8387</v>
      </c>
      <c r="C932" s="455" t="s">
        <v>8388</v>
      </c>
      <c r="D932" s="68"/>
      <c r="E932" s="68"/>
      <c r="F932" s="68"/>
      <c r="G932" s="68"/>
      <c r="H932" s="68"/>
      <c r="I932" s="68"/>
      <c r="J932" s="68"/>
      <c r="K932" s="68"/>
      <c r="L932" s="68"/>
      <c r="M932" s="68"/>
      <c r="N932" s="68"/>
      <c r="O932" s="446" t="s">
        <v>8389</v>
      </c>
      <c r="P932" s="71"/>
      <c r="Q932" s="448"/>
      <c r="R932" s="448"/>
      <c r="S932" s="448"/>
      <c r="T932" s="447" t="s">
        <v>873</v>
      </c>
      <c r="U932" s="448"/>
      <c r="V932" s="448"/>
      <c r="W932" s="448"/>
      <c r="X932" s="448"/>
      <c r="Y932" s="448"/>
      <c r="Z932" s="448"/>
      <c r="AA932" s="448"/>
      <c r="AB932" s="448"/>
      <c r="AC932" s="448"/>
      <c r="AD932" s="448"/>
      <c r="AE932" s="448"/>
      <c r="AF932" s="448"/>
      <c r="AG932" s="448"/>
      <c r="AH932" s="448"/>
      <c r="AI932" s="448"/>
      <c r="AJ932" s="448"/>
      <c r="AK932" s="448"/>
      <c r="AL932" s="448"/>
      <c r="AM932" s="448"/>
      <c r="AN932" s="448"/>
      <c r="AO932" s="448"/>
      <c r="AP932" s="448"/>
      <c r="AQ932" s="448"/>
      <c r="AR932" s="448"/>
      <c r="AS932" s="448"/>
      <c r="AT932" s="448"/>
      <c r="AU932" s="449"/>
      <c r="AV932" s="449"/>
      <c r="AW932" s="449"/>
      <c r="AX932" s="449"/>
    </row>
    <row r="933">
      <c r="A933" s="446" t="s">
        <v>256</v>
      </c>
      <c r="B933" s="155" t="s">
        <v>8390</v>
      </c>
      <c r="C933" s="455" t="s">
        <v>8391</v>
      </c>
      <c r="D933" s="68"/>
      <c r="E933" s="68"/>
      <c r="F933" s="68"/>
      <c r="G933" s="68"/>
      <c r="H933" s="68"/>
      <c r="I933" s="68"/>
      <c r="J933" s="68"/>
      <c r="K933" s="68"/>
      <c r="L933" s="68"/>
      <c r="M933" s="68"/>
      <c r="N933" s="68"/>
      <c r="O933" s="446" t="s">
        <v>8392</v>
      </c>
      <c r="P933" s="71"/>
      <c r="Q933" s="448"/>
      <c r="R933" s="448"/>
      <c r="S933" s="448"/>
      <c r="T933" s="447" t="s">
        <v>873</v>
      </c>
      <c r="U933" s="448"/>
      <c r="V933" s="448"/>
      <c r="W933" s="448"/>
      <c r="X933" s="448"/>
      <c r="Y933" s="448"/>
      <c r="Z933" s="448"/>
      <c r="AA933" s="448"/>
      <c r="AB933" s="448"/>
      <c r="AC933" s="448"/>
      <c r="AD933" s="448"/>
      <c r="AE933" s="448"/>
      <c r="AF933" s="448"/>
      <c r="AG933" s="448"/>
      <c r="AH933" s="448"/>
      <c r="AI933" s="448"/>
      <c r="AJ933" s="448"/>
      <c r="AK933" s="448"/>
      <c r="AL933" s="448"/>
      <c r="AM933" s="448"/>
      <c r="AN933" s="448"/>
      <c r="AO933" s="448"/>
      <c r="AP933" s="448"/>
      <c r="AQ933" s="448"/>
      <c r="AR933" s="448"/>
      <c r="AS933" s="448"/>
      <c r="AT933" s="448"/>
      <c r="AU933" s="449"/>
      <c r="AV933" s="449"/>
      <c r="AW933" s="449"/>
      <c r="AX933" s="449"/>
    </row>
    <row r="934" ht="15.75" customHeight="1">
      <c r="A934" s="82" t="s">
        <v>256</v>
      </c>
      <c r="B934" s="155" t="s">
        <v>8393</v>
      </c>
      <c r="C934" s="455" t="s">
        <v>8394</v>
      </c>
      <c r="D934" s="68"/>
      <c r="E934" s="68"/>
      <c r="F934" s="68"/>
      <c r="G934" s="68"/>
      <c r="H934" s="68"/>
      <c r="I934" s="68"/>
      <c r="J934" s="68"/>
      <c r="K934" s="68"/>
      <c r="L934" s="68"/>
      <c r="M934" s="68"/>
      <c r="N934" s="68"/>
      <c r="O934" s="82" t="s">
        <v>8395</v>
      </c>
      <c r="P934" s="71"/>
      <c r="Q934" s="71"/>
      <c r="R934" s="71"/>
      <c r="S934" s="71"/>
      <c r="T934" s="83" t="s">
        <v>873</v>
      </c>
      <c r="U934" s="71"/>
      <c r="V934" s="71"/>
      <c r="W934" s="71"/>
      <c r="X934" s="71"/>
      <c r="Y934" s="71"/>
      <c r="Z934" s="71"/>
      <c r="AA934" s="71"/>
      <c r="AB934" s="71"/>
      <c r="AC934" s="71"/>
      <c r="AD934" s="71"/>
      <c r="AE934" s="71"/>
      <c r="AF934" s="71"/>
      <c r="AG934" s="71"/>
      <c r="AH934" s="71"/>
      <c r="AI934" s="71"/>
      <c r="AJ934" s="71"/>
      <c r="AK934" s="71"/>
      <c r="AL934" s="71"/>
      <c r="AM934" s="71"/>
      <c r="AN934" s="71"/>
      <c r="AO934" s="71"/>
      <c r="AP934" s="71"/>
      <c r="AQ934" s="71"/>
      <c r="AR934" s="71"/>
      <c r="AS934" s="71"/>
      <c r="AT934" s="71"/>
      <c r="AU934" s="44"/>
      <c r="AV934" s="44"/>
      <c r="AW934" s="44"/>
      <c r="AX934" s="44"/>
    </row>
    <row r="935" ht="15.75" customHeight="1">
      <c r="A935" s="82" t="s">
        <v>256</v>
      </c>
      <c r="B935" s="155" t="s">
        <v>8396</v>
      </c>
      <c r="C935" s="455" t="s">
        <v>8397</v>
      </c>
      <c r="D935" s="68"/>
      <c r="E935" s="68"/>
      <c r="F935" s="68"/>
      <c r="G935" s="68"/>
      <c r="H935" s="68"/>
      <c r="I935" s="68"/>
      <c r="J935" s="68"/>
      <c r="K935" s="68"/>
      <c r="L935" s="68"/>
      <c r="M935" s="68"/>
      <c r="N935" s="68"/>
      <c r="O935" s="82" t="s">
        <v>8398</v>
      </c>
      <c r="P935" s="71"/>
      <c r="Q935" s="71"/>
      <c r="R935" s="71"/>
      <c r="S935" s="71"/>
      <c r="T935" s="83" t="s">
        <v>873</v>
      </c>
      <c r="U935" s="71"/>
      <c r="V935" s="71"/>
      <c r="W935" s="71"/>
      <c r="X935" s="71"/>
      <c r="Y935" s="71"/>
      <c r="Z935" s="71"/>
      <c r="AA935" s="71"/>
      <c r="AB935" s="71"/>
      <c r="AC935" s="71"/>
      <c r="AD935" s="71"/>
      <c r="AE935" s="71"/>
      <c r="AF935" s="71"/>
      <c r="AG935" s="71"/>
      <c r="AH935" s="71"/>
      <c r="AI935" s="71"/>
      <c r="AJ935" s="71"/>
      <c r="AK935" s="71"/>
      <c r="AL935" s="71"/>
      <c r="AM935" s="71"/>
      <c r="AN935" s="71"/>
      <c r="AO935" s="71"/>
      <c r="AP935" s="71"/>
      <c r="AQ935" s="71"/>
      <c r="AR935" s="71"/>
      <c r="AS935" s="71"/>
      <c r="AT935" s="71"/>
      <c r="AU935" s="44"/>
      <c r="AV935" s="44"/>
      <c r="AW935" s="44"/>
      <c r="AX935" s="44"/>
    </row>
    <row r="936" ht="15.75" customHeight="1">
      <c r="A936" s="82" t="s">
        <v>256</v>
      </c>
      <c r="B936" s="155" t="s">
        <v>8399</v>
      </c>
      <c r="C936" s="455" t="s">
        <v>8400</v>
      </c>
      <c r="D936" s="68"/>
      <c r="E936" s="68"/>
      <c r="F936" s="68"/>
      <c r="G936" s="68"/>
      <c r="H936" s="68"/>
      <c r="I936" s="68"/>
      <c r="J936" s="68"/>
      <c r="K936" s="68"/>
      <c r="L936" s="68"/>
      <c r="M936" s="68"/>
      <c r="N936" s="68"/>
      <c r="O936" s="82" t="s">
        <v>8223</v>
      </c>
      <c r="P936" s="71"/>
      <c r="Q936" s="71"/>
      <c r="R936" s="71"/>
      <c r="S936" s="71"/>
      <c r="T936" s="83" t="s">
        <v>873</v>
      </c>
      <c r="U936" s="71"/>
      <c r="V936" s="71"/>
      <c r="W936" s="71"/>
      <c r="X936" s="71"/>
      <c r="Y936" s="71"/>
      <c r="Z936" s="71"/>
      <c r="AA936" s="71"/>
      <c r="AB936" s="71"/>
      <c r="AC936" s="71"/>
      <c r="AD936" s="71"/>
      <c r="AE936" s="71"/>
      <c r="AF936" s="71"/>
      <c r="AG936" s="71"/>
      <c r="AH936" s="71"/>
      <c r="AI936" s="71"/>
      <c r="AJ936" s="71"/>
      <c r="AK936" s="71"/>
      <c r="AL936" s="71"/>
      <c r="AM936" s="71"/>
      <c r="AN936" s="71"/>
      <c r="AO936" s="71"/>
      <c r="AP936" s="71"/>
      <c r="AQ936" s="71"/>
      <c r="AR936" s="71"/>
      <c r="AS936" s="71"/>
      <c r="AT936" s="71"/>
      <c r="AU936" s="44"/>
      <c r="AV936" s="44"/>
      <c r="AW936" s="44"/>
      <c r="AX936" s="44"/>
    </row>
    <row r="937" ht="15.75" customHeight="1">
      <c r="A937" s="82" t="s">
        <v>256</v>
      </c>
      <c r="B937" s="155" t="s">
        <v>8401</v>
      </c>
      <c r="C937" s="455" t="s">
        <v>8402</v>
      </c>
      <c r="D937" s="68"/>
      <c r="E937" s="68"/>
      <c r="F937" s="68"/>
      <c r="G937" s="68"/>
      <c r="H937" s="68"/>
      <c r="I937" s="68"/>
      <c r="J937" s="68"/>
      <c r="K937" s="68"/>
      <c r="L937" s="68"/>
      <c r="M937" s="68"/>
      <c r="N937" s="68"/>
      <c r="O937" s="82" t="s">
        <v>8403</v>
      </c>
      <c r="P937" s="71"/>
      <c r="Q937" s="71"/>
      <c r="R937" s="71"/>
      <c r="S937" s="71"/>
      <c r="T937" s="83" t="s">
        <v>873</v>
      </c>
      <c r="U937" s="71"/>
      <c r="V937" s="71"/>
      <c r="W937" s="71"/>
      <c r="X937" s="71"/>
      <c r="Y937" s="71"/>
      <c r="Z937" s="71"/>
      <c r="AA937" s="71"/>
      <c r="AB937" s="71"/>
      <c r="AC937" s="71"/>
      <c r="AD937" s="71"/>
      <c r="AE937" s="71"/>
      <c r="AF937" s="71"/>
      <c r="AG937" s="71"/>
      <c r="AH937" s="71"/>
      <c r="AI937" s="71"/>
      <c r="AJ937" s="71"/>
      <c r="AK937" s="71"/>
      <c r="AL937" s="71"/>
      <c r="AM937" s="71"/>
      <c r="AN937" s="71"/>
      <c r="AO937" s="71"/>
      <c r="AP937" s="71"/>
      <c r="AQ937" s="71"/>
      <c r="AR937" s="71"/>
      <c r="AS937" s="71"/>
      <c r="AT937" s="71"/>
      <c r="AU937" s="44"/>
      <c r="AV937" s="44"/>
      <c r="AW937" s="44"/>
      <c r="AX937" s="44"/>
    </row>
    <row r="938" ht="15.75" customHeight="1">
      <c r="A938" s="82" t="s">
        <v>112</v>
      </c>
      <c r="B938" s="155" t="s">
        <v>8404</v>
      </c>
      <c r="C938" s="455" t="s">
        <v>8405</v>
      </c>
      <c r="D938" s="68"/>
      <c r="E938" s="68"/>
      <c r="F938" s="68"/>
      <c r="G938" s="68"/>
      <c r="H938" s="68"/>
      <c r="I938" s="68"/>
      <c r="J938" s="68"/>
      <c r="K938" s="68"/>
      <c r="L938" s="68"/>
      <c r="M938" s="68"/>
      <c r="N938" s="68"/>
      <c r="O938" s="82" t="s">
        <v>8389</v>
      </c>
      <c r="P938" s="71"/>
      <c r="Q938" s="71"/>
      <c r="R938" s="71"/>
      <c r="S938" s="71"/>
      <c r="T938" s="155" t="s">
        <v>8386</v>
      </c>
      <c r="U938" s="71"/>
      <c r="V938" s="71"/>
      <c r="W938" s="71"/>
      <c r="X938" s="71"/>
      <c r="Y938" s="71"/>
      <c r="Z938" s="71"/>
      <c r="AA938" s="71"/>
      <c r="AB938" s="71"/>
      <c r="AC938" s="71"/>
      <c r="AD938" s="71"/>
      <c r="AE938" s="71"/>
      <c r="AF938" s="71"/>
      <c r="AG938" s="71"/>
      <c r="AH938" s="71"/>
      <c r="AI938" s="71"/>
      <c r="AJ938" s="71"/>
      <c r="AK938" s="71"/>
      <c r="AL938" s="71"/>
      <c r="AM938" s="71"/>
      <c r="AN938" s="71"/>
      <c r="AO938" s="71"/>
      <c r="AP938" s="71"/>
      <c r="AQ938" s="71"/>
      <c r="AR938" s="71"/>
      <c r="AS938" s="71"/>
      <c r="AT938" s="71"/>
      <c r="AU938" s="44"/>
      <c r="AV938" s="44"/>
      <c r="AW938" s="44"/>
      <c r="AX938" s="44"/>
    </row>
    <row r="939" ht="15.75" customHeight="1">
      <c r="A939" s="82" t="s">
        <v>112</v>
      </c>
      <c r="B939" s="155" t="s">
        <v>8406</v>
      </c>
      <c r="C939" s="455" t="s">
        <v>8407</v>
      </c>
      <c r="D939" s="68"/>
      <c r="E939" s="68"/>
      <c r="F939" s="68"/>
      <c r="G939" s="68"/>
      <c r="H939" s="68"/>
      <c r="I939" s="68"/>
      <c r="J939" s="68"/>
      <c r="K939" s="68"/>
      <c r="L939" s="68"/>
      <c r="M939" s="68"/>
      <c r="N939" s="68"/>
      <c r="O939" s="82" t="s">
        <v>8392</v>
      </c>
      <c r="P939" s="71"/>
      <c r="Q939" s="71"/>
      <c r="R939" s="71"/>
      <c r="S939" s="71"/>
      <c r="T939" s="155" t="s">
        <v>8386</v>
      </c>
      <c r="U939" s="71"/>
      <c r="V939" s="71"/>
      <c r="W939" s="71"/>
      <c r="X939" s="71"/>
      <c r="Y939" s="71"/>
      <c r="Z939" s="71"/>
      <c r="AA939" s="71"/>
      <c r="AB939" s="71"/>
      <c r="AC939" s="71"/>
      <c r="AD939" s="71"/>
      <c r="AE939" s="71"/>
      <c r="AF939" s="71"/>
      <c r="AG939" s="71"/>
      <c r="AH939" s="71"/>
      <c r="AI939" s="71"/>
      <c r="AJ939" s="71"/>
      <c r="AK939" s="71"/>
      <c r="AL939" s="71"/>
      <c r="AM939" s="71"/>
      <c r="AN939" s="71"/>
      <c r="AO939" s="71"/>
      <c r="AP939" s="71"/>
      <c r="AQ939" s="71"/>
      <c r="AR939" s="71"/>
      <c r="AS939" s="71"/>
      <c r="AT939" s="71"/>
      <c r="AU939" s="44"/>
      <c r="AV939" s="44"/>
      <c r="AW939" s="44"/>
      <c r="AX939" s="44"/>
    </row>
    <row r="940" ht="15.75" customHeight="1">
      <c r="A940" s="82" t="s">
        <v>112</v>
      </c>
      <c r="B940" s="155" t="s">
        <v>8408</v>
      </c>
      <c r="C940" s="455" t="s">
        <v>8409</v>
      </c>
      <c r="D940" s="68"/>
      <c r="E940" s="68"/>
      <c r="F940" s="68"/>
      <c r="G940" s="68"/>
      <c r="H940" s="68"/>
      <c r="I940" s="68"/>
      <c r="J940" s="68"/>
      <c r="K940" s="68"/>
      <c r="L940" s="68"/>
      <c r="M940" s="68"/>
      <c r="N940" s="68"/>
      <c r="O940" s="82" t="s">
        <v>8395</v>
      </c>
      <c r="P940" s="71"/>
      <c r="Q940" s="71"/>
      <c r="R940" s="71"/>
      <c r="S940" s="71"/>
      <c r="T940" s="155" t="s">
        <v>8386</v>
      </c>
      <c r="U940" s="71"/>
      <c r="V940" s="71"/>
      <c r="W940" s="71"/>
      <c r="X940" s="71"/>
      <c r="Y940" s="71"/>
      <c r="Z940" s="71"/>
      <c r="AA940" s="71"/>
      <c r="AB940" s="71"/>
      <c r="AC940" s="71"/>
      <c r="AD940" s="71"/>
      <c r="AE940" s="71"/>
      <c r="AF940" s="71"/>
      <c r="AG940" s="71"/>
      <c r="AH940" s="71"/>
      <c r="AI940" s="71"/>
      <c r="AJ940" s="71"/>
      <c r="AK940" s="71"/>
      <c r="AL940" s="71"/>
      <c r="AM940" s="71"/>
      <c r="AN940" s="71"/>
      <c r="AO940" s="71"/>
      <c r="AP940" s="71"/>
      <c r="AQ940" s="71"/>
      <c r="AR940" s="71"/>
      <c r="AS940" s="71"/>
      <c r="AT940" s="71"/>
      <c r="AU940" s="44"/>
      <c r="AV940" s="44"/>
      <c r="AW940" s="44"/>
      <c r="AX940" s="44"/>
    </row>
    <row r="941" ht="15.75" customHeight="1">
      <c r="A941" s="82" t="s">
        <v>112</v>
      </c>
      <c r="B941" s="155" t="s">
        <v>8410</v>
      </c>
      <c r="C941" s="455" t="s">
        <v>8411</v>
      </c>
      <c r="D941" s="68"/>
      <c r="E941" s="68"/>
      <c r="F941" s="68"/>
      <c r="G941" s="68"/>
      <c r="H941" s="68"/>
      <c r="I941" s="68"/>
      <c r="J941" s="68"/>
      <c r="K941" s="68"/>
      <c r="L941" s="68"/>
      <c r="M941" s="68"/>
      <c r="N941" s="68"/>
      <c r="O941" s="82" t="s">
        <v>8398</v>
      </c>
      <c r="P941" s="71"/>
      <c r="Q941" s="71"/>
      <c r="R941" s="71"/>
      <c r="S941" s="71"/>
      <c r="T941" s="155" t="s">
        <v>8386</v>
      </c>
      <c r="U941" s="71"/>
      <c r="V941" s="71"/>
      <c r="W941" s="71"/>
      <c r="X941" s="71"/>
      <c r="Y941" s="71"/>
      <c r="Z941" s="71"/>
      <c r="AA941" s="71"/>
      <c r="AB941" s="71"/>
      <c r="AC941" s="71"/>
      <c r="AD941" s="71"/>
      <c r="AE941" s="71"/>
      <c r="AF941" s="71"/>
      <c r="AG941" s="71"/>
      <c r="AH941" s="71"/>
      <c r="AI941" s="71"/>
      <c r="AJ941" s="71"/>
      <c r="AK941" s="71"/>
      <c r="AL941" s="71"/>
      <c r="AM941" s="71"/>
      <c r="AN941" s="71"/>
      <c r="AO941" s="71"/>
      <c r="AP941" s="71"/>
      <c r="AQ941" s="71"/>
      <c r="AR941" s="71"/>
      <c r="AS941" s="71"/>
      <c r="AT941" s="71"/>
      <c r="AU941" s="44"/>
      <c r="AV941" s="44"/>
      <c r="AW941" s="44"/>
      <c r="AX941" s="44"/>
    </row>
    <row r="942" ht="15.75" customHeight="1">
      <c r="A942" s="82" t="s">
        <v>112</v>
      </c>
      <c r="B942" s="155" t="s">
        <v>8412</v>
      </c>
      <c r="C942" s="455" t="s">
        <v>8413</v>
      </c>
      <c r="D942" s="68"/>
      <c r="E942" s="68"/>
      <c r="F942" s="68"/>
      <c r="G942" s="68"/>
      <c r="H942" s="68"/>
      <c r="I942" s="68"/>
      <c r="J942" s="68"/>
      <c r="K942" s="68"/>
      <c r="L942" s="68"/>
      <c r="M942" s="68"/>
      <c r="N942" s="68"/>
      <c r="O942" s="82" t="s">
        <v>8223</v>
      </c>
      <c r="P942" s="71"/>
      <c r="Q942" s="71"/>
      <c r="R942" s="71"/>
      <c r="S942" s="71"/>
      <c r="T942" s="155" t="s">
        <v>8386</v>
      </c>
      <c r="U942" s="71"/>
      <c r="V942" s="71"/>
      <c r="W942" s="71"/>
      <c r="X942" s="71"/>
      <c r="Y942" s="71"/>
      <c r="Z942" s="71"/>
      <c r="AA942" s="71"/>
      <c r="AB942" s="71"/>
      <c r="AC942" s="71"/>
      <c r="AD942" s="71"/>
      <c r="AE942" s="71"/>
      <c r="AF942" s="71"/>
      <c r="AG942" s="71"/>
      <c r="AH942" s="71"/>
      <c r="AI942" s="71"/>
      <c r="AJ942" s="71"/>
      <c r="AK942" s="71"/>
      <c r="AL942" s="71"/>
      <c r="AM942" s="71"/>
      <c r="AN942" s="71"/>
      <c r="AO942" s="71"/>
      <c r="AP942" s="71"/>
      <c r="AQ942" s="71"/>
      <c r="AR942" s="71"/>
      <c r="AS942" s="71"/>
      <c r="AT942" s="71"/>
      <c r="AU942" s="44"/>
      <c r="AV942" s="44"/>
      <c r="AW942" s="44"/>
      <c r="AX942" s="44"/>
    </row>
    <row r="943" ht="15.75" customHeight="1">
      <c r="A943" s="82" t="s">
        <v>112</v>
      </c>
      <c r="B943" s="155" t="s">
        <v>8414</v>
      </c>
      <c r="C943" s="455" t="s">
        <v>8415</v>
      </c>
      <c r="D943" s="68"/>
      <c r="E943" s="68"/>
      <c r="F943" s="68"/>
      <c r="G943" s="68"/>
      <c r="H943" s="68"/>
      <c r="I943" s="68"/>
      <c r="J943" s="68"/>
      <c r="K943" s="68"/>
      <c r="L943" s="68"/>
      <c r="M943" s="68"/>
      <c r="N943" s="68"/>
      <c r="O943" s="82" t="s">
        <v>8403</v>
      </c>
      <c r="P943" s="71"/>
      <c r="Q943" s="71"/>
      <c r="R943" s="71"/>
      <c r="S943" s="71"/>
      <c r="T943" s="155" t="s">
        <v>8386</v>
      </c>
      <c r="U943" s="71"/>
      <c r="V943" s="71"/>
      <c r="W943" s="71"/>
      <c r="X943" s="71"/>
      <c r="Y943" s="71"/>
      <c r="Z943" s="71"/>
      <c r="AA943" s="71"/>
      <c r="AB943" s="71"/>
      <c r="AC943" s="71"/>
      <c r="AD943" s="71"/>
      <c r="AE943" s="71"/>
      <c r="AF943" s="71"/>
      <c r="AG943" s="71"/>
      <c r="AH943" s="71"/>
      <c r="AI943" s="71"/>
      <c r="AJ943" s="71"/>
      <c r="AK943" s="71"/>
      <c r="AL943" s="71"/>
      <c r="AM943" s="71"/>
      <c r="AN943" s="71"/>
      <c r="AO943" s="71"/>
      <c r="AP943" s="71"/>
      <c r="AQ943" s="71"/>
      <c r="AR943" s="71"/>
      <c r="AS943" s="71"/>
      <c r="AT943" s="71"/>
      <c r="AU943" s="44"/>
      <c r="AV943" s="44"/>
      <c r="AW943" s="44"/>
      <c r="AX943" s="44"/>
    </row>
    <row r="944" ht="15.75" customHeight="1">
      <c r="A944" s="44"/>
      <c r="B944" s="44"/>
      <c r="C944" s="154" t="s">
        <v>55</v>
      </c>
      <c r="D944" s="154" t="s">
        <v>55</v>
      </c>
      <c r="E944" s="154" t="s">
        <v>55</v>
      </c>
      <c r="F944" s="154"/>
      <c r="G944" s="154"/>
      <c r="H944" s="154"/>
      <c r="I944" s="154"/>
      <c r="J944" s="154"/>
      <c r="K944" s="154"/>
      <c r="L944" s="154"/>
      <c r="M944" s="154"/>
      <c r="N944" s="15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row>
    <row r="945" ht="15.75" customHeight="1">
      <c r="A945" s="134" t="s">
        <v>278</v>
      </c>
      <c r="B945" s="135" t="s">
        <v>8416</v>
      </c>
      <c r="C945" s="136" t="s">
        <v>55</v>
      </c>
      <c r="D945" s="136" t="s">
        <v>55</v>
      </c>
      <c r="E945" s="136" t="s">
        <v>55</v>
      </c>
      <c r="F945" s="136"/>
      <c r="G945" s="136"/>
      <c r="H945" s="136"/>
      <c r="I945" s="136"/>
      <c r="J945" s="136"/>
      <c r="K945" s="136"/>
      <c r="L945" s="136"/>
      <c r="M945" s="136"/>
      <c r="N945" s="136"/>
      <c r="O945" s="135"/>
      <c r="P945" s="137"/>
      <c r="Q945" s="137"/>
      <c r="R945" s="137"/>
      <c r="S945" s="137"/>
      <c r="T945" s="137"/>
      <c r="U945" s="137"/>
      <c r="V945" s="137"/>
      <c r="W945" s="137"/>
      <c r="X945" s="137"/>
      <c r="Y945" s="137"/>
      <c r="Z945" s="137"/>
      <c r="AA945" s="137"/>
      <c r="AB945" s="137"/>
      <c r="AC945" s="137"/>
      <c r="AD945" s="44"/>
      <c r="AE945" s="44"/>
      <c r="AF945" s="44"/>
      <c r="AG945" s="44"/>
      <c r="AH945" s="44"/>
      <c r="AI945" s="44"/>
      <c r="AJ945" s="44"/>
      <c r="AK945" s="44"/>
      <c r="AL945" s="44"/>
      <c r="AM945" s="44"/>
      <c r="AN945" s="44"/>
      <c r="AO945" s="44"/>
      <c r="AP945" s="44"/>
      <c r="AQ945" s="44"/>
      <c r="AR945" s="44"/>
      <c r="AS945" s="44"/>
      <c r="AT945" s="44"/>
      <c r="AU945" s="44"/>
      <c r="AV945" s="44"/>
      <c r="AW945" s="44"/>
      <c r="AX945" s="44"/>
    </row>
    <row r="946" ht="15.75" customHeight="1">
      <c r="A946" s="150" t="s">
        <v>46</v>
      </c>
      <c r="B946" s="151" t="s">
        <v>8417</v>
      </c>
      <c r="C946" s="132" t="s">
        <v>8418</v>
      </c>
      <c r="D946" s="132" t="s">
        <v>8419</v>
      </c>
      <c r="E946" s="132" t="s">
        <v>8420</v>
      </c>
      <c r="F946" s="131"/>
      <c r="G946" s="131"/>
      <c r="H946" s="131"/>
      <c r="I946" s="131"/>
      <c r="J946" s="131"/>
      <c r="K946" s="131"/>
      <c r="L946" s="131"/>
      <c r="M946" s="131"/>
      <c r="N946" s="131"/>
      <c r="O946" s="128" t="s">
        <v>8421</v>
      </c>
      <c r="P946" s="133"/>
      <c r="Q946" s="150" t="s">
        <v>307</v>
      </c>
      <c r="R946" s="133"/>
      <c r="S946" s="133"/>
      <c r="T946" s="133"/>
      <c r="U946" s="133"/>
      <c r="V946" s="133"/>
      <c r="W946" s="133"/>
      <c r="X946" s="133"/>
      <c r="Y946" s="133"/>
      <c r="Z946" s="133"/>
      <c r="AA946" s="133"/>
      <c r="AB946" s="133"/>
      <c r="AC946" s="133"/>
      <c r="AD946" s="44"/>
      <c r="AE946" s="44"/>
      <c r="AF946" s="44"/>
      <c r="AG946" s="44"/>
      <c r="AH946" s="44"/>
      <c r="AI946" s="44"/>
      <c r="AJ946" s="44"/>
      <c r="AK946" s="44"/>
      <c r="AL946" s="44"/>
      <c r="AM946" s="44"/>
      <c r="AN946" s="44"/>
      <c r="AO946" s="44"/>
      <c r="AP946" s="44"/>
      <c r="AQ946" s="44"/>
      <c r="AR946" s="44"/>
      <c r="AS946" s="44"/>
      <c r="AT946" s="44"/>
      <c r="AU946" s="44"/>
      <c r="AV946" s="44"/>
      <c r="AW946" s="44"/>
      <c r="AX946" s="44"/>
    </row>
    <row r="947" ht="15.75" customHeight="1">
      <c r="A947" s="150" t="s">
        <v>46</v>
      </c>
      <c r="B947" s="151" t="s">
        <v>8422</v>
      </c>
      <c r="C947" s="132" t="s">
        <v>8423</v>
      </c>
      <c r="D947" s="132" t="s">
        <v>8424</v>
      </c>
      <c r="E947" s="132" t="s">
        <v>8425</v>
      </c>
      <c r="F947" s="131"/>
      <c r="G947" s="131"/>
      <c r="H947" s="131"/>
      <c r="I947" s="131"/>
      <c r="J947" s="131"/>
      <c r="K947" s="131"/>
      <c r="L947" s="131"/>
      <c r="M947" s="131"/>
      <c r="N947" s="131"/>
      <c r="O947" s="128" t="s">
        <v>8426</v>
      </c>
      <c r="P947" s="133"/>
      <c r="Q947" s="150" t="s">
        <v>307</v>
      </c>
      <c r="R947" s="133"/>
      <c r="S947" s="133"/>
      <c r="T947" s="133"/>
      <c r="U947" s="133"/>
      <c r="V947" s="133"/>
      <c r="W947" s="133"/>
      <c r="X947" s="133"/>
      <c r="Y947" s="133"/>
      <c r="Z947" s="133"/>
      <c r="AA947" s="133"/>
      <c r="AB947" s="133"/>
      <c r="AC947" s="133"/>
      <c r="AD947" s="44"/>
      <c r="AE947" s="44"/>
      <c r="AF947" s="44"/>
      <c r="AG947" s="44"/>
      <c r="AH947" s="44"/>
      <c r="AI947" s="44"/>
      <c r="AJ947" s="44"/>
      <c r="AK947" s="44"/>
      <c r="AL947" s="44"/>
      <c r="AM947" s="44"/>
      <c r="AN947" s="44"/>
      <c r="AO947" s="44"/>
      <c r="AP947" s="44"/>
      <c r="AQ947" s="44"/>
      <c r="AR947" s="44"/>
      <c r="AS947" s="44"/>
      <c r="AT947" s="44"/>
      <c r="AU947" s="44"/>
      <c r="AV947" s="44"/>
      <c r="AW947" s="44"/>
      <c r="AX947" s="44"/>
    </row>
    <row r="948" ht="15.75" customHeight="1">
      <c r="A948" s="150" t="s">
        <v>46</v>
      </c>
      <c r="B948" s="151" t="s">
        <v>8427</v>
      </c>
      <c r="C948" s="132" t="s">
        <v>8428</v>
      </c>
      <c r="D948" s="132" t="s">
        <v>8429</v>
      </c>
      <c r="E948" s="132" t="s">
        <v>8430</v>
      </c>
      <c r="F948" s="131"/>
      <c r="G948" s="131"/>
      <c r="H948" s="131"/>
      <c r="I948" s="131"/>
      <c r="J948" s="131"/>
      <c r="K948" s="131"/>
      <c r="L948" s="131"/>
      <c r="M948" s="131"/>
      <c r="N948" s="131"/>
      <c r="O948" s="128" t="s">
        <v>8431</v>
      </c>
      <c r="P948" s="133"/>
      <c r="Q948" s="150" t="s">
        <v>307</v>
      </c>
      <c r="R948" s="133"/>
      <c r="S948" s="133"/>
      <c r="T948" s="133"/>
      <c r="U948" s="133"/>
      <c r="V948" s="133"/>
      <c r="W948" s="133"/>
      <c r="X948" s="133"/>
      <c r="Y948" s="133"/>
      <c r="Z948" s="133"/>
      <c r="AA948" s="133"/>
      <c r="AB948" s="133"/>
      <c r="AC948" s="133"/>
      <c r="AD948" s="44"/>
      <c r="AE948" s="44"/>
      <c r="AF948" s="44"/>
      <c r="AG948" s="44"/>
      <c r="AH948" s="44"/>
      <c r="AI948" s="44"/>
      <c r="AJ948" s="44"/>
      <c r="AK948" s="44"/>
      <c r="AL948" s="44"/>
      <c r="AM948" s="44"/>
      <c r="AN948" s="44"/>
      <c r="AO948" s="44"/>
      <c r="AP948" s="44"/>
      <c r="AQ948" s="44"/>
      <c r="AR948" s="44"/>
      <c r="AS948" s="44"/>
      <c r="AT948" s="44"/>
      <c r="AU948" s="44"/>
      <c r="AV948" s="44"/>
      <c r="AW948" s="44"/>
      <c r="AX948" s="44"/>
    </row>
    <row r="949" ht="15.75" customHeight="1">
      <c r="A949" s="150" t="s">
        <v>46</v>
      </c>
      <c r="B949" s="151" t="s">
        <v>8432</v>
      </c>
      <c r="C949" s="132" t="s">
        <v>8433</v>
      </c>
      <c r="D949" s="132" t="s">
        <v>8434</v>
      </c>
      <c r="E949" s="132" t="s">
        <v>8435</v>
      </c>
      <c r="F949" s="131"/>
      <c r="G949" s="131"/>
      <c r="H949" s="131"/>
      <c r="I949" s="131"/>
      <c r="J949" s="131"/>
      <c r="K949" s="131"/>
      <c r="L949" s="131"/>
      <c r="M949" s="131"/>
      <c r="N949" s="131"/>
      <c r="O949" s="128" t="s">
        <v>8436</v>
      </c>
      <c r="P949" s="133"/>
      <c r="Q949" s="150" t="s">
        <v>307</v>
      </c>
      <c r="R949" s="133"/>
      <c r="S949" s="133"/>
      <c r="T949" s="133"/>
      <c r="U949" s="133"/>
      <c r="V949" s="133"/>
      <c r="W949" s="133"/>
      <c r="X949" s="133"/>
      <c r="Y949" s="133"/>
      <c r="Z949" s="133"/>
      <c r="AA949" s="133"/>
      <c r="AB949" s="133"/>
      <c r="AC949" s="133"/>
      <c r="AD949" s="44"/>
      <c r="AE949" s="44"/>
      <c r="AF949" s="44"/>
      <c r="AG949" s="44"/>
      <c r="AH949" s="44"/>
      <c r="AI949" s="44"/>
      <c r="AJ949" s="44"/>
      <c r="AK949" s="44"/>
      <c r="AL949" s="44"/>
      <c r="AM949" s="44"/>
      <c r="AN949" s="44"/>
      <c r="AO949" s="44"/>
      <c r="AP949" s="44"/>
      <c r="AQ949" s="44"/>
      <c r="AR949" s="44"/>
      <c r="AS949" s="44"/>
      <c r="AT949" s="44"/>
      <c r="AU949" s="44"/>
      <c r="AV949" s="44"/>
      <c r="AW949" s="44"/>
      <c r="AX949" s="44"/>
    </row>
    <row r="950" ht="15.75" customHeight="1">
      <c r="A950" s="150" t="s">
        <v>46</v>
      </c>
      <c r="B950" s="151" t="s">
        <v>8437</v>
      </c>
      <c r="C950" s="132" t="s">
        <v>8438</v>
      </c>
      <c r="D950" s="132" t="s">
        <v>8439</v>
      </c>
      <c r="E950" s="132" t="s">
        <v>8440</v>
      </c>
      <c r="F950" s="131"/>
      <c r="G950" s="131"/>
      <c r="H950" s="131"/>
      <c r="I950" s="131"/>
      <c r="J950" s="131"/>
      <c r="K950" s="131"/>
      <c r="L950" s="131"/>
      <c r="M950" s="131"/>
      <c r="N950" s="131"/>
      <c r="O950" s="128" t="s">
        <v>8441</v>
      </c>
      <c r="P950" s="133"/>
      <c r="Q950" s="150" t="s">
        <v>307</v>
      </c>
      <c r="R950" s="133"/>
      <c r="S950" s="133"/>
      <c r="T950" s="133"/>
      <c r="U950" s="133"/>
      <c r="V950" s="133"/>
      <c r="W950" s="133"/>
      <c r="X950" s="133"/>
      <c r="Y950" s="133"/>
      <c r="Z950" s="133"/>
      <c r="AA950" s="133"/>
      <c r="AB950" s="133"/>
      <c r="AC950" s="133"/>
      <c r="AD950" s="44"/>
      <c r="AE950" s="44"/>
      <c r="AF950" s="44"/>
      <c r="AG950" s="44"/>
      <c r="AH950" s="44"/>
      <c r="AI950" s="44"/>
      <c r="AJ950" s="44"/>
      <c r="AK950" s="44"/>
      <c r="AL950" s="44"/>
      <c r="AM950" s="44"/>
      <c r="AN950" s="44"/>
      <c r="AO950" s="44"/>
      <c r="AP950" s="44"/>
      <c r="AQ950" s="44"/>
      <c r="AR950" s="44"/>
      <c r="AS950" s="44"/>
      <c r="AT950" s="44"/>
      <c r="AU950" s="44"/>
      <c r="AV950" s="44"/>
      <c r="AW950" s="44"/>
      <c r="AX950" s="44"/>
    </row>
    <row r="951" ht="15.75" customHeight="1">
      <c r="A951" s="150" t="s">
        <v>46</v>
      </c>
      <c r="B951" s="151" t="s">
        <v>8442</v>
      </c>
      <c r="C951" s="132" t="s">
        <v>8443</v>
      </c>
      <c r="D951" s="132" t="s">
        <v>8444</v>
      </c>
      <c r="E951" s="132" t="s">
        <v>8445</v>
      </c>
      <c r="F951" s="131"/>
      <c r="G951" s="131"/>
      <c r="H951" s="131"/>
      <c r="I951" s="131"/>
      <c r="J951" s="131"/>
      <c r="K951" s="131"/>
      <c r="L951" s="131"/>
      <c r="M951" s="131"/>
      <c r="N951" s="131"/>
      <c r="O951" s="128" t="s">
        <v>8446</v>
      </c>
      <c r="P951" s="133"/>
      <c r="Q951" s="150" t="s">
        <v>307</v>
      </c>
      <c r="R951" s="133"/>
      <c r="S951" s="133"/>
      <c r="T951" s="133"/>
      <c r="U951" s="133"/>
      <c r="V951" s="133"/>
      <c r="W951" s="133"/>
      <c r="X951" s="133"/>
      <c r="Y951" s="133"/>
      <c r="Z951" s="133"/>
      <c r="AA951" s="133"/>
      <c r="AB951" s="133"/>
      <c r="AC951" s="133"/>
      <c r="AD951" s="44"/>
      <c r="AE951" s="44"/>
      <c r="AF951" s="44"/>
      <c r="AG951" s="44"/>
      <c r="AH951" s="44"/>
      <c r="AI951" s="44"/>
      <c r="AJ951" s="44"/>
      <c r="AK951" s="44"/>
      <c r="AL951" s="44"/>
      <c r="AM951" s="44"/>
      <c r="AN951" s="44"/>
      <c r="AO951" s="44"/>
      <c r="AP951" s="44"/>
      <c r="AQ951" s="44"/>
      <c r="AR951" s="44"/>
      <c r="AS951" s="44"/>
      <c r="AT951" s="44"/>
      <c r="AU951" s="44"/>
      <c r="AV951" s="44"/>
      <c r="AW951" s="44"/>
      <c r="AX951" s="44"/>
    </row>
    <row r="952" ht="15.75" customHeight="1">
      <c r="A952" s="150" t="s">
        <v>46</v>
      </c>
      <c r="B952" s="151" t="s">
        <v>8447</v>
      </c>
      <c r="C952" s="132" t="s">
        <v>8448</v>
      </c>
      <c r="D952" s="132" t="s">
        <v>8449</v>
      </c>
      <c r="E952" s="132" t="s">
        <v>8450</v>
      </c>
      <c r="F952" s="131"/>
      <c r="G952" s="131"/>
      <c r="H952" s="131"/>
      <c r="I952" s="131"/>
      <c r="J952" s="131"/>
      <c r="K952" s="131"/>
      <c r="L952" s="131"/>
      <c r="M952" s="131"/>
      <c r="N952" s="131"/>
      <c r="O952" s="128" t="s">
        <v>8451</v>
      </c>
      <c r="P952" s="133"/>
      <c r="Q952" s="150" t="s">
        <v>307</v>
      </c>
      <c r="R952" s="133"/>
      <c r="S952" s="133"/>
      <c r="T952" s="133"/>
      <c r="U952" s="133"/>
      <c r="V952" s="133"/>
      <c r="W952" s="133"/>
      <c r="X952" s="133"/>
      <c r="Y952" s="133"/>
      <c r="Z952" s="133"/>
      <c r="AA952" s="133"/>
      <c r="AB952" s="133"/>
      <c r="AC952" s="133"/>
      <c r="AD952" s="44"/>
      <c r="AE952" s="44"/>
      <c r="AF952" s="44"/>
      <c r="AG952" s="44"/>
      <c r="AH952" s="44"/>
      <c r="AI952" s="44"/>
      <c r="AJ952" s="44"/>
      <c r="AK952" s="44"/>
      <c r="AL952" s="44"/>
      <c r="AM952" s="44"/>
      <c r="AN952" s="44"/>
      <c r="AO952" s="44"/>
      <c r="AP952" s="44"/>
      <c r="AQ952" s="44"/>
      <c r="AR952" s="44"/>
      <c r="AS952" s="44"/>
      <c r="AT952" s="44"/>
      <c r="AU952" s="44"/>
      <c r="AV952" s="44"/>
      <c r="AW952" s="44"/>
      <c r="AX952" s="44"/>
    </row>
    <row r="953" ht="15.75" customHeight="1">
      <c r="A953" s="150" t="s">
        <v>46</v>
      </c>
      <c r="B953" s="151" t="s">
        <v>8452</v>
      </c>
      <c r="C953" s="132" t="s">
        <v>8453</v>
      </c>
      <c r="D953" s="132" t="s">
        <v>8454</v>
      </c>
      <c r="E953" s="132" t="s">
        <v>8455</v>
      </c>
      <c r="F953" s="131"/>
      <c r="G953" s="131"/>
      <c r="H953" s="131"/>
      <c r="I953" s="131"/>
      <c r="J953" s="131"/>
      <c r="K953" s="131"/>
      <c r="L953" s="131"/>
      <c r="M953" s="131"/>
      <c r="N953" s="131"/>
      <c r="O953" s="326" t="s">
        <v>8456</v>
      </c>
      <c r="P953" s="133"/>
      <c r="Q953" s="150" t="s">
        <v>307</v>
      </c>
      <c r="R953" s="133"/>
      <c r="S953" s="133"/>
      <c r="T953" s="133"/>
      <c r="U953" s="133"/>
      <c r="V953" s="133"/>
      <c r="W953" s="133"/>
      <c r="X953" s="133"/>
      <c r="Y953" s="133"/>
      <c r="Z953" s="133"/>
      <c r="AA953" s="133"/>
      <c r="AB953" s="133"/>
      <c r="AC953" s="133"/>
      <c r="AD953" s="44"/>
      <c r="AE953" s="44"/>
      <c r="AF953" s="44"/>
      <c r="AG953" s="44"/>
      <c r="AH953" s="44"/>
      <c r="AI953" s="44"/>
      <c r="AJ953" s="44"/>
      <c r="AK953" s="44"/>
      <c r="AL953" s="44"/>
      <c r="AM953" s="44"/>
      <c r="AN953" s="44"/>
      <c r="AO953" s="44"/>
      <c r="AP953" s="44"/>
      <c r="AQ953" s="44"/>
      <c r="AR953" s="44"/>
      <c r="AS953" s="44"/>
      <c r="AT953" s="44"/>
      <c r="AU953" s="44"/>
      <c r="AV953" s="44"/>
      <c r="AW953" s="44"/>
      <c r="AX953" s="44"/>
    </row>
    <row r="954" ht="15.75" customHeight="1">
      <c r="A954" s="134" t="s">
        <v>331</v>
      </c>
      <c r="B954" s="134" t="s">
        <v>8416</v>
      </c>
      <c r="C954" s="153"/>
      <c r="D954" s="153"/>
      <c r="E954" s="153"/>
      <c r="F954" s="153"/>
      <c r="G954" s="153"/>
      <c r="H954" s="153"/>
      <c r="I954" s="153"/>
      <c r="J954" s="153"/>
      <c r="K954" s="153"/>
      <c r="L954" s="153"/>
      <c r="M954" s="153"/>
      <c r="N954" s="153"/>
      <c r="O954" s="137"/>
      <c r="P954" s="137"/>
      <c r="Q954" s="137"/>
      <c r="R954" s="137"/>
      <c r="S954" s="137"/>
      <c r="T954" s="137"/>
      <c r="U954" s="137"/>
      <c r="V954" s="137"/>
      <c r="W954" s="137"/>
      <c r="X954" s="137"/>
      <c r="Y954" s="137"/>
      <c r="Z954" s="137"/>
      <c r="AA954" s="137"/>
      <c r="AB954" s="137"/>
      <c r="AC954" s="137"/>
      <c r="AD954" s="44"/>
      <c r="AE954" s="44"/>
      <c r="AF954" s="44"/>
      <c r="AG954" s="44"/>
      <c r="AH954" s="44"/>
      <c r="AI954" s="44"/>
      <c r="AJ954" s="44"/>
      <c r="AK954" s="44"/>
      <c r="AL954" s="44"/>
      <c r="AM954" s="44"/>
      <c r="AN954" s="44"/>
      <c r="AO954" s="44"/>
      <c r="AP954" s="44"/>
      <c r="AQ954" s="44"/>
      <c r="AR954" s="44"/>
      <c r="AS954" s="44"/>
      <c r="AT954" s="44"/>
      <c r="AU954" s="44"/>
      <c r="AV954" s="44"/>
      <c r="AW954" s="44"/>
      <c r="AX954" s="44"/>
    </row>
    <row r="955" ht="15.75" customHeight="1">
      <c r="A955" s="134" t="s">
        <v>278</v>
      </c>
      <c r="B955" s="135" t="s">
        <v>8457</v>
      </c>
      <c r="C955" s="143" t="s">
        <v>8458</v>
      </c>
      <c r="D955" s="136"/>
      <c r="E955" s="136"/>
      <c r="F955" s="136"/>
      <c r="G955" s="136"/>
      <c r="H955" s="136"/>
      <c r="I955" s="136"/>
      <c r="J955" s="136"/>
      <c r="K955" s="136"/>
      <c r="L955" s="136"/>
      <c r="M955" s="136"/>
      <c r="N955" s="136"/>
      <c r="O955" s="144"/>
      <c r="P955" s="137"/>
      <c r="Q955" s="137"/>
      <c r="R955" s="137"/>
      <c r="S955" s="137"/>
      <c r="T955" s="137"/>
      <c r="U955" s="137"/>
      <c r="V955" s="137"/>
      <c r="W955" s="137"/>
      <c r="X955" s="137"/>
      <c r="Y955" s="137"/>
      <c r="Z955" s="137"/>
      <c r="AA955" s="137"/>
      <c r="AB955" s="137"/>
      <c r="AC955" s="137"/>
      <c r="AD955" s="44"/>
      <c r="AE955" s="44"/>
      <c r="AF955" s="44"/>
      <c r="AG955" s="44"/>
      <c r="AH955" s="44"/>
      <c r="AI955" s="44"/>
      <c r="AJ955" s="44"/>
      <c r="AK955" s="44"/>
      <c r="AL955" s="44"/>
      <c r="AM955" s="44"/>
      <c r="AN955" s="44"/>
      <c r="AO955" s="44"/>
      <c r="AP955" s="44"/>
      <c r="AQ955" s="44"/>
      <c r="AR955" s="44"/>
      <c r="AS955" s="44"/>
      <c r="AT955" s="44"/>
      <c r="AU955" s="44"/>
      <c r="AV955" s="44"/>
      <c r="AW955" s="44"/>
      <c r="AX955" s="44"/>
    </row>
    <row r="956" ht="15.75" customHeight="1">
      <c r="A956" s="150" t="s">
        <v>46</v>
      </c>
      <c r="B956" s="151" t="s">
        <v>8459</v>
      </c>
      <c r="C956" s="132" t="s">
        <v>8460</v>
      </c>
      <c r="D956" s="132" t="s">
        <v>8461</v>
      </c>
      <c r="E956" s="132" t="s">
        <v>8462</v>
      </c>
      <c r="F956" s="131"/>
      <c r="G956" s="131"/>
      <c r="H956" s="131"/>
      <c r="I956" s="131"/>
      <c r="J956" s="131"/>
      <c r="K956" s="131"/>
      <c r="L956" s="131"/>
      <c r="M956" s="131"/>
      <c r="N956" s="131"/>
      <c r="O956" s="133"/>
      <c r="P956" s="133"/>
      <c r="Q956" s="133"/>
      <c r="R956" s="133"/>
      <c r="S956" s="133"/>
      <c r="T956" s="133"/>
      <c r="U956" s="133"/>
      <c r="V956" s="133"/>
      <c r="W956" s="133"/>
      <c r="X956" s="133"/>
      <c r="Y956" s="133"/>
      <c r="Z956" s="133"/>
      <c r="AA956" s="133"/>
      <c r="AB956" s="133"/>
      <c r="AC956" s="133"/>
      <c r="AD956" s="44"/>
      <c r="AE956" s="44"/>
      <c r="AF956" s="44"/>
      <c r="AG956" s="44"/>
      <c r="AH956" s="44"/>
      <c r="AI956" s="44"/>
      <c r="AJ956" s="44"/>
      <c r="AK956" s="44"/>
      <c r="AL956" s="44"/>
      <c r="AM956" s="44"/>
      <c r="AN956" s="44"/>
      <c r="AO956" s="44"/>
      <c r="AP956" s="44"/>
      <c r="AQ956" s="44"/>
      <c r="AR956" s="44"/>
      <c r="AS956" s="44"/>
      <c r="AT956" s="44"/>
      <c r="AU956" s="44"/>
      <c r="AV956" s="44"/>
      <c r="AW956" s="44"/>
      <c r="AX956" s="44"/>
    </row>
    <row r="957" ht="15.75" customHeight="1">
      <c r="A957" s="215" t="s">
        <v>220</v>
      </c>
      <c r="B957" s="216" t="s">
        <v>820</v>
      </c>
      <c r="C957" s="240" t="s">
        <v>8463</v>
      </c>
      <c r="D957" s="240" t="s">
        <v>8464</v>
      </c>
      <c r="E957" s="240" t="s">
        <v>8465</v>
      </c>
      <c r="F957" s="218"/>
      <c r="G957" s="218"/>
      <c r="H957" s="218"/>
      <c r="I957" s="218"/>
      <c r="J957" s="218"/>
      <c r="K957" s="218"/>
      <c r="L957" s="218"/>
      <c r="M957" s="218"/>
      <c r="N957" s="218"/>
      <c r="O957" s="220"/>
      <c r="P957" s="220"/>
      <c r="Q957" s="220"/>
      <c r="R957" s="220"/>
      <c r="S957" s="220"/>
      <c r="T957" s="220"/>
      <c r="U957" s="220"/>
      <c r="V957" s="220"/>
      <c r="W957" s="220"/>
      <c r="X957" s="220"/>
      <c r="Y957" s="220"/>
      <c r="Z957" s="220"/>
      <c r="AA957" s="220"/>
      <c r="AB957" s="220"/>
      <c r="AC957" s="220"/>
      <c r="AD957" s="44"/>
      <c r="AE957" s="44"/>
      <c r="AF957" s="44"/>
      <c r="AG957" s="44"/>
      <c r="AH957" s="44"/>
      <c r="AI957" s="44"/>
      <c r="AJ957" s="44"/>
      <c r="AK957" s="44"/>
      <c r="AL957" s="44"/>
      <c r="AM957" s="44"/>
      <c r="AN957" s="44"/>
      <c r="AO957" s="44"/>
      <c r="AP957" s="44"/>
      <c r="AQ957" s="44"/>
      <c r="AR957" s="44"/>
      <c r="AS957" s="44"/>
      <c r="AT957" s="44"/>
      <c r="AU957" s="44"/>
      <c r="AV957" s="44"/>
      <c r="AW957" s="44"/>
      <c r="AX957" s="44"/>
    </row>
    <row r="958" ht="15.75" customHeight="1">
      <c r="A958" s="134" t="s">
        <v>331</v>
      </c>
      <c r="B958" s="134" t="s">
        <v>8457</v>
      </c>
      <c r="C958" s="152" t="s">
        <v>8458</v>
      </c>
      <c r="D958" s="153"/>
      <c r="E958" s="153"/>
      <c r="F958" s="153"/>
      <c r="G958" s="153"/>
      <c r="H958" s="153"/>
      <c r="I958" s="153"/>
      <c r="J958" s="153"/>
      <c r="K958" s="153"/>
      <c r="L958" s="153"/>
      <c r="M958" s="153"/>
      <c r="N958" s="153"/>
      <c r="O958" s="137"/>
      <c r="P958" s="137"/>
      <c r="Q958" s="137"/>
      <c r="R958" s="137"/>
      <c r="S958" s="137"/>
      <c r="T958" s="137"/>
      <c r="U958" s="137"/>
      <c r="V958" s="137"/>
      <c r="W958" s="137"/>
      <c r="X958" s="137"/>
      <c r="Y958" s="137"/>
      <c r="Z958" s="137"/>
      <c r="AA958" s="137"/>
      <c r="AB958" s="137"/>
      <c r="AC958" s="137"/>
      <c r="AD958" s="44"/>
      <c r="AE958" s="44"/>
      <c r="AF958" s="44"/>
      <c r="AG958" s="44"/>
      <c r="AH958" s="44"/>
      <c r="AI958" s="44"/>
      <c r="AJ958" s="44"/>
      <c r="AK958" s="44"/>
      <c r="AL958" s="44"/>
      <c r="AM958" s="44"/>
      <c r="AN958" s="44"/>
      <c r="AO958" s="44"/>
      <c r="AP958" s="44"/>
      <c r="AQ958" s="44"/>
      <c r="AR958" s="44"/>
      <c r="AS958" s="44"/>
      <c r="AT958" s="44"/>
      <c r="AU958" s="44"/>
      <c r="AV958" s="44"/>
      <c r="AW958" s="44"/>
      <c r="AX958" s="44"/>
    </row>
    <row r="959" ht="15.75" customHeight="1">
      <c r="A959" s="141" t="s">
        <v>331</v>
      </c>
      <c r="B959" s="141" t="s">
        <v>279</v>
      </c>
      <c r="C959" s="153"/>
      <c r="D959" s="153"/>
      <c r="E959" s="153"/>
      <c r="F959" s="153"/>
      <c r="G959" s="153"/>
      <c r="H959" s="153"/>
      <c r="I959" s="153"/>
      <c r="J959" s="153"/>
      <c r="K959" s="153"/>
      <c r="L959" s="153"/>
      <c r="M959" s="153"/>
      <c r="N959" s="153"/>
      <c r="O959" s="137"/>
      <c r="P959" s="137"/>
      <c r="Q959" s="137"/>
      <c r="R959" s="137"/>
      <c r="S959" s="137"/>
      <c r="T959" s="137"/>
      <c r="U959" s="137"/>
      <c r="V959" s="137"/>
      <c r="W959" s="137"/>
      <c r="X959" s="137"/>
      <c r="Y959" s="137"/>
      <c r="Z959" s="137"/>
      <c r="AA959" s="137"/>
      <c r="AB959" s="137"/>
      <c r="AC959" s="137"/>
      <c r="AD959" s="44"/>
      <c r="AE959" s="44"/>
      <c r="AF959" s="44"/>
      <c r="AG959" s="44"/>
      <c r="AH959" s="44"/>
      <c r="AI959" s="44"/>
      <c r="AJ959" s="44"/>
      <c r="AK959" s="44"/>
      <c r="AL959" s="44"/>
      <c r="AM959" s="44"/>
      <c r="AN959" s="44"/>
      <c r="AO959" s="44"/>
      <c r="AP959" s="44"/>
      <c r="AQ959" s="44"/>
      <c r="AR959" s="44"/>
      <c r="AS959" s="44"/>
      <c r="AT959" s="44"/>
      <c r="AU959" s="44"/>
      <c r="AV959" s="44"/>
      <c r="AW959" s="44"/>
      <c r="AX959" s="44"/>
    </row>
    <row r="960" ht="15.75" customHeight="1">
      <c r="A960" s="150" t="s">
        <v>46</v>
      </c>
      <c r="B960" s="151" t="s">
        <v>8466</v>
      </c>
      <c r="C960" s="132" t="s">
        <v>8467</v>
      </c>
      <c r="D960" s="132" t="s">
        <v>8468</v>
      </c>
      <c r="E960" s="132" t="s">
        <v>8469</v>
      </c>
      <c r="F960" s="131"/>
      <c r="G960" s="131"/>
      <c r="H960" s="131"/>
      <c r="I960" s="131"/>
      <c r="J960" s="131"/>
      <c r="K960" s="131"/>
      <c r="L960" s="131"/>
      <c r="M960" s="131"/>
      <c r="N960" s="131"/>
      <c r="O960" s="128" t="s">
        <v>8470</v>
      </c>
      <c r="P960" s="133"/>
      <c r="Q960" s="133"/>
      <c r="R960" s="133"/>
      <c r="S960" s="133"/>
      <c r="T960" s="133"/>
      <c r="U960" s="133"/>
      <c r="V960" s="133"/>
      <c r="W960" s="133"/>
      <c r="X960" s="133"/>
      <c r="Y960" s="133"/>
      <c r="Z960" s="133"/>
      <c r="AA960" s="133"/>
      <c r="AB960" s="133"/>
      <c r="AC960" s="133"/>
      <c r="AD960" s="44"/>
      <c r="AE960" s="44"/>
      <c r="AF960" s="44"/>
      <c r="AG960" s="44"/>
      <c r="AH960" s="44"/>
      <c r="AI960" s="44"/>
      <c r="AJ960" s="44"/>
      <c r="AK960" s="44"/>
      <c r="AL960" s="44"/>
      <c r="AM960" s="44"/>
      <c r="AN960" s="44"/>
      <c r="AO960" s="44"/>
      <c r="AP960" s="44"/>
      <c r="AQ960" s="44"/>
      <c r="AR960" s="44"/>
      <c r="AS960" s="44"/>
      <c r="AT960" s="44"/>
      <c r="AU960" s="44"/>
      <c r="AV960" s="44"/>
      <c r="AW960" s="44"/>
      <c r="AX960" s="44"/>
    </row>
    <row r="961" ht="15.75" customHeight="1">
      <c r="A961" s="150" t="s">
        <v>46</v>
      </c>
      <c r="B961" s="151" t="s">
        <v>8471</v>
      </c>
      <c r="C961" s="130" t="s">
        <v>8472</v>
      </c>
      <c r="D961" s="130" t="s">
        <v>8473</v>
      </c>
      <c r="E961" s="130" t="s">
        <v>8474</v>
      </c>
      <c r="F961" s="131"/>
      <c r="G961" s="131"/>
      <c r="H961" s="131"/>
      <c r="I961" s="131"/>
      <c r="J961" s="131"/>
      <c r="K961" s="131"/>
      <c r="L961" s="131"/>
      <c r="M961" s="131"/>
      <c r="N961" s="131"/>
      <c r="O961" s="128" t="s">
        <v>8470</v>
      </c>
      <c r="P961" s="133"/>
      <c r="Q961" s="133"/>
      <c r="R961" s="133"/>
      <c r="S961" s="133"/>
      <c r="T961" s="133"/>
      <c r="U961" s="133"/>
      <c r="V961" s="133"/>
      <c r="W961" s="133"/>
      <c r="X961" s="133"/>
      <c r="Y961" s="133"/>
      <c r="Z961" s="133"/>
      <c r="AA961" s="133"/>
      <c r="AB961" s="133"/>
      <c r="AC961" s="133"/>
      <c r="AD961" s="44"/>
      <c r="AE961" s="44"/>
      <c r="AF961" s="44"/>
      <c r="AG961" s="44"/>
      <c r="AH961" s="44"/>
      <c r="AI961" s="44"/>
      <c r="AJ961" s="44"/>
      <c r="AK961" s="44"/>
      <c r="AL961" s="44"/>
      <c r="AM961" s="44"/>
      <c r="AN961" s="44"/>
      <c r="AO961" s="44"/>
      <c r="AP961" s="44"/>
      <c r="AQ961" s="44"/>
      <c r="AR961" s="44"/>
      <c r="AS961" s="44"/>
      <c r="AT961" s="44"/>
      <c r="AU961" s="44"/>
      <c r="AV961" s="44"/>
      <c r="AW961" s="44"/>
      <c r="AX961" s="44"/>
    </row>
    <row r="962" ht="15.75" customHeight="1">
      <c r="A962" s="150" t="s">
        <v>46</v>
      </c>
      <c r="B962" s="151" t="s">
        <v>8044</v>
      </c>
      <c r="C962" s="132" t="s">
        <v>8475</v>
      </c>
      <c r="D962" s="132" t="s">
        <v>8476</v>
      </c>
      <c r="E962" s="132" t="s">
        <v>8477</v>
      </c>
      <c r="F962" s="131"/>
      <c r="G962" s="131"/>
      <c r="H962" s="131"/>
      <c r="I962" s="131"/>
      <c r="J962" s="456" t="s">
        <v>8044</v>
      </c>
      <c r="K962" s="131"/>
      <c r="L962" s="131"/>
      <c r="M962" s="131"/>
      <c r="N962" s="131"/>
      <c r="O962" s="128" t="s">
        <v>8478</v>
      </c>
      <c r="P962" s="133"/>
      <c r="Q962" s="133"/>
      <c r="R962" s="133"/>
      <c r="S962" s="133"/>
      <c r="T962" s="133"/>
      <c r="U962" s="133"/>
      <c r="V962" s="133"/>
      <c r="W962" s="133"/>
      <c r="X962" s="133"/>
      <c r="Y962" s="133"/>
      <c r="Z962" s="133"/>
      <c r="AA962" s="133"/>
      <c r="AB962" s="133"/>
      <c r="AC962" s="133"/>
      <c r="AD962" s="44"/>
      <c r="AE962" s="44"/>
      <c r="AF962" s="44"/>
      <c r="AG962" s="44"/>
      <c r="AH962" s="44"/>
      <c r="AI962" s="44"/>
      <c r="AJ962" s="44"/>
      <c r="AK962" s="44"/>
      <c r="AL962" s="44"/>
      <c r="AM962" s="44"/>
      <c r="AN962" s="44"/>
      <c r="AO962" s="44"/>
      <c r="AP962" s="44"/>
      <c r="AQ962" s="44"/>
      <c r="AR962" s="44"/>
      <c r="AS962" s="44"/>
      <c r="AT962" s="44"/>
      <c r="AU962" s="44"/>
      <c r="AV962" s="44"/>
      <c r="AW962" s="44"/>
      <c r="AX962" s="44"/>
    </row>
    <row r="963" ht="15.75" customHeight="1">
      <c r="A963" s="159"/>
      <c r="B963" s="160"/>
      <c r="C963" s="161"/>
      <c r="D963" s="161"/>
      <c r="E963" s="161"/>
      <c r="F963" s="162"/>
      <c r="G963" s="162"/>
      <c r="H963" s="162"/>
      <c r="I963" s="162"/>
      <c r="J963" s="162"/>
      <c r="K963" s="162"/>
      <c r="L963" s="162"/>
      <c r="M963" s="162"/>
      <c r="N963" s="162"/>
      <c r="O963" s="160"/>
      <c r="P963" s="159"/>
      <c r="Q963" s="159"/>
      <c r="R963" s="159"/>
      <c r="S963" s="159"/>
      <c r="T963" s="159"/>
      <c r="U963" s="160"/>
      <c r="V963" s="159"/>
      <c r="W963" s="159"/>
      <c r="X963" s="159"/>
      <c r="Y963" s="159"/>
      <c r="Z963" s="159"/>
      <c r="AA963" s="159"/>
      <c r="AB963" s="159"/>
      <c r="AC963" s="159"/>
      <c r="AD963" s="44"/>
      <c r="AE963" s="44"/>
      <c r="AF963" s="44"/>
      <c r="AG963" s="44"/>
      <c r="AH963" s="44"/>
      <c r="AI963" s="44"/>
      <c r="AJ963" s="44"/>
      <c r="AK963" s="44"/>
      <c r="AL963" s="44"/>
      <c r="AM963" s="44"/>
      <c r="AN963" s="44"/>
      <c r="AO963" s="44"/>
      <c r="AP963" s="44"/>
      <c r="AQ963" s="44"/>
      <c r="AR963" s="44"/>
      <c r="AS963" s="44"/>
      <c r="AT963" s="44"/>
      <c r="AU963" s="44"/>
      <c r="AV963" s="44"/>
      <c r="AW963" s="44"/>
      <c r="AX963" s="44"/>
    </row>
    <row r="964" ht="15.75" customHeight="1">
      <c r="A964" s="163" t="s">
        <v>385</v>
      </c>
      <c r="B964" s="164" t="s">
        <v>8479</v>
      </c>
      <c r="C964" s="165" t="s">
        <v>8480</v>
      </c>
      <c r="D964" s="161"/>
      <c r="E964" s="161"/>
      <c r="F964" s="161"/>
      <c r="G964" s="161"/>
      <c r="H964" s="161"/>
      <c r="I964" s="161"/>
      <c r="J964" s="161"/>
      <c r="K964" s="161"/>
      <c r="L964" s="161"/>
      <c r="M964" s="161"/>
      <c r="N964" s="161"/>
      <c r="O964" s="274"/>
      <c r="P964" s="159"/>
      <c r="Q964" s="159"/>
      <c r="R964" s="159"/>
      <c r="S964" s="159"/>
      <c r="T964" s="159"/>
      <c r="U964" s="164" t="s">
        <v>8481</v>
      </c>
      <c r="V964" s="159"/>
      <c r="W964" s="159"/>
      <c r="X964" s="159"/>
      <c r="Y964" s="159"/>
      <c r="Z964" s="159"/>
      <c r="AA964" s="159"/>
      <c r="AB964" s="159"/>
      <c r="AC964" s="159"/>
      <c r="AD964" s="44"/>
      <c r="AE964" s="44"/>
      <c r="AF964" s="44"/>
      <c r="AG964" s="44"/>
      <c r="AH964" s="44"/>
      <c r="AI964" s="44"/>
      <c r="AJ964" s="44"/>
      <c r="AK964" s="44"/>
      <c r="AL964" s="44"/>
      <c r="AM964" s="44"/>
      <c r="AN964" s="44"/>
      <c r="AO964" s="44"/>
      <c r="AP964" s="44"/>
      <c r="AQ964" s="44"/>
      <c r="AR964" s="44"/>
      <c r="AS964" s="44"/>
      <c r="AT964" s="44"/>
      <c r="AU964" s="44"/>
      <c r="AV964" s="44"/>
      <c r="AW964" s="44"/>
      <c r="AX964" s="44"/>
    </row>
    <row r="965" ht="15.75" customHeight="1">
      <c r="A965" s="82" t="s">
        <v>112</v>
      </c>
      <c r="B965" s="83" t="s">
        <v>8482</v>
      </c>
      <c r="C965" s="84" t="s">
        <v>8483</v>
      </c>
      <c r="D965" s="68"/>
      <c r="E965" s="68"/>
      <c r="F965" s="68"/>
      <c r="G965" s="68"/>
      <c r="H965" s="68"/>
      <c r="I965" s="68"/>
      <c r="J965" s="68"/>
      <c r="K965" s="68"/>
      <c r="L965" s="68"/>
      <c r="M965" s="68"/>
      <c r="N965" s="68"/>
      <c r="O965" s="71"/>
      <c r="P965" s="71"/>
      <c r="Q965" s="71"/>
      <c r="R965" s="71"/>
      <c r="S965" s="71"/>
      <c r="T965" s="83" t="s">
        <v>8484</v>
      </c>
      <c r="U965" s="71"/>
      <c r="V965" s="71"/>
      <c r="W965" s="71"/>
      <c r="X965" s="71"/>
      <c r="Y965" s="71"/>
      <c r="Z965" s="71"/>
      <c r="AA965" s="71"/>
      <c r="AB965" s="71"/>
      <c r="AC965" s="71"/>
      <c r="AD965" s="44"/>
      <c r="AE965" s="44"/>
      <c r="AF965" s="44"/>
      <c r="AG965" s="44"/>
      <c r="AH965" s="44"/>
      <c r="AI965" s="44"/>
      <c r="AJ965" s="44"/>
      <c r="AK965" s="44"/>
      <c r="AL965" s="44"/>
      <c r="AM965" s="44"/>
      <c r="AN965" s="44"/>
      <c r="AO965" s="44"/>
      <c r="AP965" s="44"/>
      <c r="AQ965" s="44"/>
      <c r="AR965" s="44"/>
      <c r="AS965" s="44"/>
      <c r="AT965" s="44"/>
      <c r="AU965" s="44"/>
      <c r="AV965" s="44"/>
      <c r="AW965" s="44"/>
      <c r="AX965" s="44"/>
    </row>
    <row r="966" ht="15.75" customHeight="1">
      <c r="A966" s="82" t="s">
        <v>112</v>
      </c>
      <c r="B966" s="83" t="s">
        <v>8485</v>
      </c>
      <c r="C966" s="84" t="s">
        <v>8486</v>
      </c>
      <c r="D966" s="68"/>
      <c r="E966" s="68"/>
      <c r="F966" s="68"/>
      <c r="G966" s="68"/>
      <c r="H966" s="68"/>
      <c r="I966" s="68"/>
      <c r="J966" s="68"/>
      <c r="K966" s="68"/>
      <c r="L966" s="68"/>
      <c r="M966" s="68"/>
      <c r="N966" s="68"/>
      <c r="O966" s="71"/>
      <c r="P966" s="71"/>
      <c r="Q966" s="71"/>
      <c r="R966" s="71"/>
      <c r="S966" s="71"/>
      <c r="T966" s="83" t="s">
        <v>8487</v>
      </c>
      <c r="U966" s="71"/>
      <c r="V966" s="71"/>
      <c r="W966" s="71"/>
      <c r="X966" s="71"/>
      <c r="Y966" s="71"/>
      <c r="Z966" s="71"/>
      <c r="AA966" s="71"/>
      <c r="AB966" s="71"/>
      <c r="AC966" s="71"/>
      <c r="AD966" s="44"/>
      <c r="AE966" s="44"/>
      <c r="AF966" s="44"/>
      <c r="AG966" s="44"/>
      <c r="AH966" s="44"/>
      <c r="AI966" s="44"/>
      <c r="AJ966" s="44"/>
      <c r="AK966" s="44"/>
      <c r="AL966" s="44"/>
      <c r="AM966" s="44"/>
      <c r="AN966" s="44"/>
      <c r="AO966" s="44"/>
      <c r="AP966" s="44"/>
      <c r="AQ966" s="44"/>
      <c r="AR966" s="44"/>
      <c r="AS966" s="44"/>
      <c r="AT966" s="44"/>
      <c r="AU966" s="44"/>
      <c r="AV966" s="44"/>
      <c r="AW966" s="44"/>
      <c r="AX966" s="44"/>
    </row>
    <row r="967" ht="15.75" customHeight="1">
      <c r="A967" s="82" t="s">
        <v>112</v>
      </c>
      <c r="B967" s="83" t="s">
        <v>8488</v>
      </c>
      <c r="C967" s="84" t="s">
        <v>8489</v>
      </c>
      <c r="D967" s="68"/>
      <c r="E967" s="68"/>
      <c r="F967" s="68"/>
      <c r="G967" s="68"/>
      <c r="H967" s="68"/>
      <c r="I967" s="68"/>
      <c r="J967" s="68"/>
      <c r="K967" s="68"/>
      <c r="L967" s="68"/>
      <c r="M967" s="68"/>
      <c r="N967" s="68"/>
      <c r="O967" s="66" t="s">
        <v>8490</v>
      </c>
      <c r="P967" s="71"/>
      <c r="Q967" s="71"/>
      <c r="R967" s="71"/>
      <c r="S967" s="71"/>
      <c r="T967" s="249">
        <v>1.0</v>
      </c>
      <c r="U967" s="71"/>
      <c r="V967" s="71"/>
      <c r="W967" s="71"/>
      <c r="X967" s="71"/>
      <c r="Y967" s="71"/>
      <c r="Z967" s="71"/>
      <c r="AA967" s="71"/>
      <c r="AB967" s="71"/>
      <c r="AC967" s="71"/>
      <c r="AD967" s="44"/>
      <c r="AE967" s="44"/>
      <c r="AF967" s="44"/>
      <c r="AG967" s="44"/>
      <c r="AH967" s="44"/>
      <c r="AI967" s="44"/>
      <c r="AJ967" s="44"/>
      <c r="AK967" s="44"/>
      <c r="AL967" s="44"/>
      <c r="AM967" s="44"/>
      <c r="AN967" s="44"/>
      <c r="AO967" s="44"/>
      <c r="AP967" s="44"/>
      <c r="AQ967" s="44"/>
      <c r="AR967" s="44"/>
      <c r="AS967" s="44"/>
      <c r="AT967" s="44"/>
      <c r="AU967" s="44"/>
      <c r="AV967" s="44"/>
      <c r="AW967" s="44"/>
      <c r="AX967" s="44"/>
    </row>
    <row r="968" ht="15.75" customHeight="1">
      <c r="A968" s="82" t="s">
        <v>112</v>
      </c>
      <c r="B968" s="83" t="s">
        <v>8491</v>
      </c>
      <c r="C968" s="84" t="s">
        <v>8492</v>
      </c>
      <c r="D968" s="68"/>
      <c r="E968" s="68"/>
      <c r="F968" s="68"/>
      <c r="G968" s="68"/>
      <c r="H968" s="68"/>
      <c r="I968" s="68"/>
      <c r="J968" s="68"/>
      <c r="K968" s="68"/>
      <c r="L968" s="68"/>
      <c r="M968" s="68"/>
      <c r="N968" s="68"/>
      <c r="O968" s="66" t="s">
        <v>8493</v>
      </c>
      <c r="P968" s="71"/>
      <c r="Q968" s="71"/>
      <c r="R968" s="71"/>
      <c r="S968" s="71"/>
      <c r="T968" s="83" t="s">
        <v>8494</v>
      </c>
      <c r="U968" s="71"/>
      <c r="V968" s="71"/>
      <c r="W968" s="71"/>
      <c r="X968" s="71"/>
      <c r="Y968" s="71"/>
      <c r="Z968" s="71"/>
      <c r="AA968" s="71"/>
      <c r="AB968" s="71"/>
      <c r="AC968" s="71"/>
      <c r="AD968" s="44"/>
      <c r="AE968" s="44"/>
      <c r="AF968" s="44"/>
      <c r="AG968" s="44"/>
      <c r="AH968" s="44"/>
      <c r="AI968" s="44"/>
      <c r="AJ968" s="44"/>
      <c r="AK968" s="44"/>
      <c r="AL968" s="44"/>
      <c r="AM968" s="44"/>
      <c r="AN968" s="44"/>
      <c r="AO968" s="44"/>
      <c r="AP968" s="44"/>
      <c r="AQ968" s="44"/>
      <c r="AR968" s="44"/>
      <c r="AS968" s="44"/>
      <c r="AT968" s="44"/>
      <c r="AU968" s="44"/>
      <c r="AV968" s="44"/>
      <c r="AW968" s="44"/>
      <c r="AX968" s="44"/>
    </row>
    <row r="969" ht="15.75" customHeight="1">
      <c r="A969" s="44"/>
      <c r="B969" s="44"/>
      <c r="C969" s="154" t="s">
        <v>55</v>
      </c>
      <c r="D969" s="154" t="s">
        <v>55</v>
      </c>
      <c r="E969" s="154" t="s">
        <v>55</v>
      </c>
      <c r="F969" s="154"/>
      <c r="G969" s="154"/>
      <c r="H969" s="154"/>
      <c r="I969" s="154"/>
      <c r="J969" s="154"/>
      <c r="K969" s="154"/>
      <c r="L969" s="154"/>
      <c r="M969" s="154"/>
      <c r="N969" s="15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c r="AS969" s="44"/>
      <c r="AT969" s="44"/>
      <c r="AU969" s="44"/>
      <c r="AV969" s="44"/>
      <c r="AW969" s="44"/>
      <c r="AX969" s="44"/>
    </row>
    <row r="970" ht="15.75" customHeight="1">
      <c r="A970" s="82" t="s">
        <v>112</v>
      </c>
      <c r="B970" s="83" t="s">
        <v>8495</v>
      </c>
      <c r="C970" s="84" t="s">
        <v>8496</v>
      </c>
      <c r="D970" s="68"/>
      <c r="E970" s="68"/>
      <c r="F970" s="68"/>
      <c r="G970" s="68"/>
      <c r="H970" s="68"/>
      <c r="I970" s="68"/>
      <c r="J970" s="68"/>
      <c r="K970" s="68"/>
      <c r="L970" s="68"/>
      <c r="M970" s="68"/>
      <c r="N970" s="68"/>
      <c r="O970" s="66" t="s">
        <v>8497</v>
      </c>
      <c r="P970" s="71"/>
      <c r="Q970" s="71"/>
      <c r="R970" s="71"/>
      <c r="S970" s="71"/>
      <c r="T970" s="83" t="s">
        <v>8498</v>
      </c>
      <c r="U970" s="71"/>
      <c r="V970" s="71"/>
      <c r="W970" s="71"/>
      <c r="X970" s="71"/>
      <c r="Y970" s="71"/>
      <c r="Z970" s="71"/>
      <c r="AA970" s="71"/>
      <c r="AB970" s="71"/>
      <c r="AC970" s="71"/>
      <c r="AD970" s="44"/>
      <c r="AE970" s="44"/>
      <c r="AF970" s="44"/>
      <c r="AG970" s="44"/>
      <c r="AH970" s="44"/>
      <c r="AI970" s="44"/>
      <c r="AJ970" s="44"/>
      <c r="AK970" s="44"/>
      <c r="AL970" s="44"/>
      <c r="AM970" s="44"/>
      <c r="AN970" s="44"/>
      <c r="AO970" s="44"/>
      <c r="AP970" s="44"/>
      <c r="AQ970" s="44"/>
      <c r="AR970" s="44"/>
      <c r="AS970" s="44"/>
      <c r="AT970" s="44"/>
      <c r="AU970" s="44"/>
      <c r="AV970" s="44"/>
      <c r="AW970" s="44"/>
      <c r="AX970" s="44"/>
    </row>
    <row r="971" ht="15.75" customHeight="1">
      <c r="A971" s="82" t="s">
        <v>112</v>
      </c>
      <c r="B971" s="83" t="s">
        <v>8499</v>
      </c>
      <c r="C971" s="84" t="s">
        <v>8500</v>
      </c>
      <c r="D971" s="68"/>
      <c r="E971" s="68"/>
      <c r="F971" s="68"/>
      <c r="G971" s="68"/>
      <c r="H971" s="68"/>
      <c r="I971" s="68"/>
      <c r="J971" s="68"/>
      <c r="K971" s="68"/>
      <c r="L971" s="68"/>
      <c r="M971" s="68"/>
      <c r="N971" s="68"/>
      <c r="O971" s="66" t="s">
        <v>8497</v>
      </c>
      <c r="P971" s="71"/>
      <c r="Q971" s="71"/>
      <c r="R971" s="71"/>
      <c r="S971" s="71"/>
      <c r="T971" s="83" t="s">
        <v>8501</v>
      </c>
      <c r="U971" s="71"/>
      <c r="V971" s="71"/>
      <c r="W971" s="71"/>
      <c r="X971" s="71"/>
      <c r="Y971" s="71"/>
      <c r="Z971" s="71"/>
      <c r="AA971" s="71"/>
      <c r="AB971" s="71"/>
      <c r="AC971" s="71"/>
      <c r="AD971" s="44"/>
      <c r="AE971" s="44"/>
      <c r="AF971" s="44"/>
      <c r="AG971" s="44"/>
      <c r="AH971" s="44"/>
      <c r="AI971" s="44"/>
      <c r="AJ971" s="44"/>
      <c r="AK971" s="44"/>
      <c r="AL971" s="44"/>
      <c r="AM971" s="44"/>
      <c r="AN971" s="44"/>
      <c r="AO971" s="44"/>
      <c r="AP971" s="44"/>
      <c r="AQ971" s="44"/>
      <c r="AR971" s="44"/>
      <c r="AS971" s="44"/>
      <c r="AT971" s="44"/>
      <c r="AU971" s="44"/>
      <c r="AV971" s="44"/>
      <c r="AW971" s="44"/>
      <c r="AX971" s="44"/>
    </row>
    <row r="972" ht="15.75" customHeight="1">
      <c r="A972" s="44"/>
      <c r="B972" s="44"/>
      <c r="C972" s="154" t="s">
        <v>55</v>
      </c>
      <c r="D972" s="154" t="s">
        <v>55</v>
      </c>
      <c r="E972" s="154" t="s">
        <v>55</v>
      </c>
      <c r="F972" s="154"/>
      <c r="G972" s="154"/>
      <c r="H972" s="154"/>
      <c r="I972" s="154"/>
      <c r="J972" s="154"/>
      <c r="K972" s="154"/>
      <c r="L972" s="154"/>
      <c r="M972" s="154"/>
      <c r="N972" s="15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c r="AS972" s="44"/>
      <c r="AT972" s="44"/>
      <c r="AU972" s="44"/>
      <c r="AV972" s="44"/>
      <c r="AW972" s="44"/>
      <c r="AX972" s="44"/>
    </row>
    <row r="973" ht="15.75" customHeight="1">
      <c r="A973" s="163" t="s">
        <v>450</v>
      </c>
      <c r="B973" s="163" t="s">
        <v>8479</v>
      </c>
      <c r="C973" s="178" t="s">
        <v>8480</v>
      </c>
      <c r="D973" s="162"/>
      <c r="E973" s="162"/>
      <c r="F973" s="162"/>
      <c r="G973" s="162"/>
      <c r="H973" s="162"/>
      <c r="I973" s="162"/>
      <c r="J973" s="162"/>
      <c r="K973" s="162"/>
      <c r="L973" s="162"/>
      <c r="M973" s="162"/>
      <c r="N973" s="162"/>
      <c r="O973" s="159"/>
      <c r="P973" s="159"/>
      <c r="Q973" s="159"/>
      <c r="R973" s="159"/>
      <c r="S973" s="159"/>
      <c r="T973" s="159"/>
      <c r="U973" s="159"/>
      <c r="V973" s="159"/>
      <c r="W973" s="159"/>
      <c r="X973" s="159"/>
      <c r="Y973" s="159"/>
      <c r="Z973" s="159"/>
      <c r="AA973" s="159"/>
      <c r="AB973" s="159"/>
      <c r="AC973" s="159"/>
      <c r="AD973" s="44"/>
      <c r="AE973" s="44"/>
      <c r="AF973" s="44"/>
      <c r="AG973" s="44"/>
      <c r="AH973" s="44"/>
      <c r="AI973" s="44"/>
      <c r="AJ973" s="44"/>
      <c r="AK973" s="44"/>
      <c r="AL973" s="44"/>
      <c r="AM973" s="44"/>
      <c r="AN973" s="44"/>
      <c r="AO973" s="44"/>
      <c r="AP973" s="44"/>
      <c r="AQ973" s="44"/>
      <c r="AR973" s="44"/>
      <c r="AS973" s="44"/>
      <c r="AT973" s="44"/>
      <c r="AU973" s="44"/>
      <c r="AV973" s="44"/>
      <c r="AW973" s="44"/>
      <c r="AX973" s="44"/>
    </row>
    <row r="974" ht="15.75" customHeight="1">
      <c r="A974" s="44"/>
      <c r="B974" s="44"/>
      <c r="C974" s="154"/>
      <c r="D974" s="154"/>
      <c r="E974" s="154"/>
      <c r="F974" s="154"/>
      <c r="G974" s="154"/>
      <c r="H974" s="154"/>
      <c r="I974" s="154"/>
      <c r="J974" s="154"/>
      <c r="K974" s="154"/>
      <c r="L974" s="154"/>
      <c r="M974" s="154"/>
      <c r="N974" s="15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row>
    <row r="975" ht="15.75" customHeight="1">
      <c r="A975" s="82" t="s">
        <v>112</v>
      </c>
      <c r="B975" s="83" t="s">
        <v>8502</v>
      </c>
      <c r="C975" s="84" t="s">
        <v>8503</v>
      </c>
      <c r="D975" s="68"/>
      <c r="E975" s="68"/>
      <c r="F975" s="68"/>
      <c r="G975" s="68"/>
      <c r="H975" s="68"/>
      <c r="I975" s="68"/>
      <c r="J975" s="68"/>
      <c r="K975" s="68"/>
      <c r="L975" s="68"/>
      <c r="M975" s="68"/>
      <c r="N975" s="68"/>
      <c r="O975" s="71"/>
      <c r="P975" s="71"/>
      <c r="Q975" s="71"/>
      <c r="R975" s="71"/>
      <c r="S975" s="71"/>
      <c r="T975" s="155" t="s">
        <v>8504</v>
      </c>
      <c r="U975" s="71"/>
      <c r="V975" s="71"/>
      <c r="W975" s="71"/>
      <c r="X975" s="71"/>
      <c r="Y975" s="71"/>
      <c r="Z975" s="71"/>
      <c r="AA975" s="71"/>
      <c r="AB975" s="71"/>
      <c r="AC975" s="71"/>
      <c r="AD975" s="44"/>
      <c r="AE975" s="44"/>
      <c r="AF975" s="44"/>
      <c r="AG975" s="44"/>
      <c r="AH975" s="44"/>
      <c r="AI975" s="44"/>
      <c r="AJ975" s="44"/>
      <c r="AK975" s="44"/>
      <c r="AL975" s="44"/>
      <c r="AM975" s="44"/>
      <c r="AN975" s="44"/>
      <c r="AO975" s="44"/>
      <c r="AP975" s="44"/>
      <c r="AQ975" s="44"/>
      <c r="AR975" s="44"/>
      <c r="AS975" s="44"/>
      <c r="AT975" s="44"/>
      <c r="AU975" s="44"/>
      <c r="AV975" s="44"/>
      <c r="AW975" s="44"/>
      <c r="AX975" s="44"/>
    </row>
    <row r="976" ht="15.75" customHeight="1">
      <c r="A976" s="82" t="s">
        <v>112</v>
      </c>
      <c r="B976" s="155" t="s">
        <v>8505</v>
      </c>
      <c r="C976" s="84" t="s">
        <v>8506</v>
      </c>
      <c r="D976" s="68"/>
      <c r="E976" s="68"/>
      <c r="F976" s="68"/>
      <c r="G976" s="68"/>
      <c r="H976" s="68"/>
      <c r="I976" s="68"/>
      <c r="J976" s="68"/>
      <c r="K976" s="68"/>
      <c r="L976" s="68"/>
      <c r="M976" s="68"/>
      <c r="N976" s="68"/>
      <c r="O976" s="71"/>
      <c r="P976" s="71"/>
      <c r="Q976" s="71"/>
      <c r="R976" s="71"/>
      <c r="S976" s="71"/>
      <c r="T976" s="155" t="s">
        <v>8507</v>
      </c>
      <c r="U976" s="71"/>
      <c r="V976" s="71"/>
      <c r="W976" s="71"/>
      <c r="X976" s="71"/>
      <c r="Y976" s="71"/>
      <c r="Z976" s="71"/>
      <c r="AA976" s="71"/>
      <c r="AB976" s="71"/>
      <c r="AC976" s="71"/>
      <c r="AD976" s="44"/>
      <c r="AE976" s="44"/>
      <c r="AF976" s="44"/>
      <c r="AG976" s="44"/>
      <c r="AH976" s="44"/>
      <c r="AI976" s="44"/>
      <c r="AJ976" s="44"/>
      <c r="AK976" s="44"/>
      <c r="AL976" s="44"/>
      <c r="AM976" s="44"/>
      <c r="AN976" s="44"/>
      <c r="AO976" s="44"/>
      <c r="AP976" s="44"/>
      <c r="AQ976" s="44"/>
      <c r="AR976" s="44"/>
      <c r="AS976" s="44"/>
      <c r="AT976" s="44"/>
      <c r="AU976" s="44"/>
      <c r="AV976" s="44"/>
      <c r="AW976" s="44"/>
      <c r="AX976" s="44"/>
    </row>
    <row r="977" ht="15.75" customHeight="1">
      <c r="A977" s="82" t="s">
        <v>112</v>
      </c>
      <c r="B977" s="83" t="s">
        <v>8508</v>
      </c>
      <c r="C977" s="68"/>
      <c r="D977" s="68"/>
      <c r="E977" s="68"/>
      <c r="F977" s="68"/>
      <c r="G977" s="68"/>
      <c r="H977" s="68"/>
      <c r="I977" s="68"/>
      <c r="J977" s="68"/>
      <c r="K977" s="68"/>
      <c r="L977" s="68"/>
      <c r="M977" s="68"/>
      <c r="N977" s="68"/>
      <c r="O977" s="71"/>
      <c r="P977" s="71"/>
      <c r="Q977" s="71"/>
      <c r="R977" s="71"/>
      <c r="S977" s="71"/>
      <c r="T977" s="155" t="s">
        <v>8509</v>
      </c>
      <c r="U977" s="71"/>
      <c r="V977" s="71"/>
      <c r="W977" s="71"/>
      <c r="X977" s="71"/>
      <c r="Y977" s="71"/>
      <c r="Z977" s="71"/>
      <c r="AA977" s="71"/>
      <c r="AB977" s="71"/>
      <c r="AC977" s="71"/>
      <c r="AD977" s="44"/>
      <c r="AE977" s="44"/>
      <c r="AF977" s="44"/>
      <c r="AG977" s="44"/>
      <c r="AH977" s="44"/>
      <c r="AI977" s="44"/>
      <c r="AJ977" s="44"/>
      <c r="AK977" s="44"/>
      <c r="AL977" s="44"/>
      <c r="AM977" s="44"/>
      <c r="AN977" s="44"/>
      <c r="AO977" s="44"/>
      <c r="AP977" s="44"/>
      <c r="AQ977" s="44"/>
      <c r="AR977" s="44"/>
      <c r="AS977" s="44"/>
      <c r="AT977" s="44"/>
      <c r="AU977" s="44"/>
      <c r="AV977" s="44"/>
      <c r="AW977" s="44"/>
      <c r="AX977" s="44"/>
    </row>
    <row r="978" ht="15.75" customHeight="1">
      <c r="A978" s="82" t="s">
        <v>112</v>
      </c>
      <c r="B978" s="155" t="s">
        <v>8510</v>
      </c>
      <c r="C978" s="84" t="s">
        <v>8511</v>
      </c>
      <c r="D978" s="68"/>
      <c r="E978" s="68"/>
      <c r="F978" s="68"/>
      <c r="G978" s="68"/>
      <c r="H978" s="68"/>
      <c r="I978" s="68"/>
      <c r="J978" s="68"/>
      <c r="K978" s="68"/>
      <c r="L978" s="68"/>
      <c r="M978" s="68"/>
      <c r="N978" s="68"/>
      <c r="O978" s="71"/>
      <c r="P978" s="71"/>
      <c r="Q978" s="71"/>
      <c r="R978" s="71"/>
      <c r="S978" s="71"/>
      <c r="T978" s="249" t="s">
        <v>8512</v>
      </c>
      <c r="U978" s="71"/>
      <c r="V978" s="71"/>
      <c r="W978" s="71"/>
      <c r="X978" s="71"/>
      <c r="Y978" s="71"/>
      <c r="Z978" s="71"/>
      <c r="AA978" s="71"/>
      <c r="AB978" s="71"/>
      <c r="AC978" s="71"/>
      <c r="AD978" s="44"/>
      <c r="AE978" s="44"/>
      <c r="AF978" s="44"/>
      <c r="AG978" s="44"/>
      <c r="AH978" s="44"/>
      <c r="AI978" s="44"/>
      <c r="AJ978" s="44"/>
      <c r="AK978" s="44"/>
      <c r="AL978" s="44"/>
      <c r="AM978" s="44"/>
      <c r="AN978" s="44"/>
      <c r="AO978" s="44"/>
      <c r="AP978" s="44"/>
      <c r="AQ978" s="44"/>
      <c r="AR978" s="44"/>
      <c r="AS978" s="44"/>
      <c r="AT978" s="44"/>
      <c r="AU978" s="44"/>
      <c r="AV978" s="44"/>
      <c r="AW978" s="44"/>
      <c r="AX978" s="44"/>
    </row>
    <row r="979" ht="15.75" customHeight="1">
      <c r="A979" s="82" t="s">
        <v>112</v>
      </c>
      <c r="B979" s="83" t="s">
        <v>8513</v>
      </c>
      <c r="C979" s="84" t="s">
        <v>8514</v>
      </c>
      <c r="D979" s="68"/>
      <c r="E979" s="68"/>
      <c r="F979" s="68"/>
      <c r="G979" s="68"/>
      <c r="H979" s="68"/>
      <c r="I979" s="68"/>
      <c r="J979" s="68"/>
      <c r="K979" s="68"/>
      <c r="L979" s="68"/>
      <c r="M979" s="68"/>
      <c r="N979" s="68"/>
      <c r="O979" s="71"/>
      <c r="P979" s="71"/>
      <c r="Q979" s="71"/>
      <c r="R979" s="71"/>
      <c r="S979" s="71"/>
      <c r="T979" s="155" t="s">
        <v>8515</v>
      </c>
      <c r="U979" s="71"/>
      <c r="V979" s="71"/>
      <c r="W979" s="71"/>
      <c r="X979" s="71"/>
      <c r="Y979" s="71"/>
      <c r="Z979" s="71"/>
      <c r="AA979" s="71"/>
      <c r="AB979" s="71"/>
      <c r="AC979" s="71"/>
      <c r="AD979" s="44"/>
      <c r="AE979" s="44"/>
      <c r="AF979" s="44"/>
      <c r="AG979" s="44"/>
      <c r="AH979" s="44"/>
      <c r="AI979" s="44"/>
      <c r="AJ979" s="44"/>
      <c r="AK979" s="44"/>
      <c r="AL979" s="44"/>
      <c r="AM979" s="44"/>
      <c r="AN979" s="44"/>
      <c r="AO979" s="44"/>
      <c r="AP979" s="44"/>
      <c r="AQ979" s="44"/>
      <c r="AR979" s="44"/>
      <c r="AS979" s="44"/>
      <c r="AT979" s="44"/>
      <c r="AU979" s="44"/>
      <c r="AV979" s="44"/>
      <c r="AW979" s="44"/>
      <c r="AX979" s="44"/>
    </row>
    <row r="980" ht="15.75" customHeight="1">
      <c r="A980" s="82" t="s">
        <v>112</v>
      </c>
      <c r="B980" s="155" t="s">
        <v>8516</v>
      </c>
      <c r="C980" s="68"/>
      <c r="D980" s="68"/>
      <c r="E980" s="68"/>
      <c r="F980" s="68"/>
      <c r="G980" s="68"/>
      <c r="H980" s="68"/>
      <c r="I980" s="68"/>
      <c r="J980" s="68"/>
      <c r="K980" s="68"/>
      <c r="L980" s="68"/>
      <c r="M980" s="68"/>
      <c r="N980" s="68"/>
      <c r="O980" s="71"/>
      <c r="P980" s="71"/>
      <c r="Q980" s="71"/>
      <c r="R980" s="71"/>
      <c r="S980" s="71"/>
      <c r="T980" s="83" t="s">
        <v>8517</v>
      </c>
      <c r="U980" s="71"/>
      <c r="V980" s="71"/>
      <c r="W980" s="71"/>
      <c r="X980" s="71"/>
      <c r="Y980" s="71"/>
      <c r="Z980" s="71"/>
      <c r="AA980" s="71"/>
      <c r="AB980" s="71"/>
      <c r="AC980" s="71"/>
      <c r="AD980" s="44"/>
      <c r="AE980" s="44"/>
      <c r="AF980" s="44"/>
      <c r="AG980" s="44"/>
      <c r="AH980" s="44"/>
      <c r="AI980" s="44"/>
      <c r="AJ980" s="44"/>
      <c r="AK980" s="44"/>
      <c r="AL980" s="44"/>
      <c r="AM980" s="44"/>
      <c r="AN980" s="44"/>
      <c r="AO980" s="44"/>
      <c r="AP980" s="44"/>
      <c r="AQ980" s="44"/>
      <c r="AR980" s="44"/>
      <c r="AS980" s="44"/>
      <c r="AT980" s="44"/>
      <c r="AU980" s="44"/>
      <c r="AV980" s="44"/>
      <c r="AW980" s="44"/>
      <c r="AX980" s="44"/>
    </row>
    <row r="981" ht="15.75" customHeight="1">
      <c r="A981" s="82" t="s">
        <v>112</v>
      </c>
      <c r="B981" s="155" t="s">
        <v>8518</v>
      </c>
      <c r="C981" s="84" t="s">
        <v>8519</v>
      </c>
      <c r="D981" s="68"/>
      <c r="E981" s="68"/>
      <c r="F981" s="68"/>
      <c r="G981" s="68"/>
      <c r="H981" s="68"/>
      <c r="I981" s="68"/>
      <c r="J981" s="68"/>
      <c r="K981" s="68"/>
      <c r="L981" s="68"/>
      <c r="M981" s="68"/>
      <c r="N981" s="68"/>
      <c r="O981" s="71"/>
      <c r="P981" s="71"/>
      <c r="Q981" s="71"/>
      <c r="R981" s="71"/>
      <c r="S981" s="71"/>
      <c r="T981" s="83" t="s">
        <v>8520</v>
      </c>
      <c r="U981" s="71"/>
      <c r="V981" s="71"/>
      <c r="W981" s="71"/>
      <c r="X981" s="71"/>
      <c r="Y981" s="71"/>
      <c r="Z981" s="71"/>
      <c r="AA981" s="71"/>
      <c r="AB981" s="71"/>
      <c r="AC981" s="71"/>
      <c r="AD981" s="44"/>
      <c r="AE981" s="44"/>
      <c r="AF981" s="44"/>
      <c r="AG981" s="44"/>
      <c r="AH981" s="44"/>
      <c r="AI981" s="44"/>
      <c r="AJ981" s="44"/>
      <c r="AK981" s="44"/>
      <c r="AL981" s="44"/>
      <c r="AM981" s="44"/>
      <c r="AN981" s="44"/>
      <c r="AO981" s="44"/>
      <c r="AP981" s="44"/>
      <c r="AQ981" s="44"/>
      <c r="AR981" s="44"/>
      <c r="AS981" s="44"/>
      <c r="AT981" s="44"/>
      <c r="AU981" s="44"/>
      <c r="AV981" s="44"/>
      <c r="AW981" s="44"/>
      <c r="AX981" s="44"/>
    </row>
    <row r="982" ht="15.75" customHeight="1">
      <c r="A982" s="82" t="s">
        <v>112</v>
      </c>
      <c r="B982" s="83" t="s">
        <v>8521</v>
      </c>
      <c r="C982" s="68"/>
      <c r="D982" s="68"/>
      <c r="E982" s="68"/>
      <c r="F982" s="68"/>
      <c r="G982" s="68"/>
      <c r="H982" s="68"/>
      <c r="I982" s="68"/>
      <c r="J982" s="68"/>
      <c r="K982" s="68"/>
      <c r="L982" s="68"/>
      <c r="M982" s="68"/>
      <c r="N982" s="68"/>
      <c r="O982" s="71"/>
      <c r="P982" s="71"/>
      <c r="Q982" s="71"/>
      <c r="R982" s="71"/>
      <c r="S982" s="71"/>
      <c r="T982" s="155" t="s">
        <v>8522</v>
      </c>
      <c r="U982" s="71"/>
      <c r="V982" s="71"/>
      <c r="W982" s="71"/>
      <c r="X982" s="71"/>
      <c r="Y982" s="71"/>
      <c r="Z982" s="71"/>
      <c r="AA982" s="71"/>
      <c r="AB982" s="71"/>
      <c r="AC982" s="71"/>
      <c r="AD982" s="44"/>
      <c r="AE982" s="44"/>
      <c r="AF982" s="44"/>
      <c r="AG982" s="44"/>
      <c r="AH982" s="44"/>
      <c r="AI982" s="44"/>
      <c r="AJ982" s="44"/>
      <c r="AK982" s="44"/>
      <c r="AL982" s="44"/>
      <c r="AM982" s="44"/>
      <c r="AN982" s="44"/>
      <c r="AO982" s="44"/>
      <c r="AP982" s="44"/>
      <c r="AQ982" s="44"/>
      <c r="AR982" s="44"/>
      <c r="AS982" s="44"/>
      <c r="AT982" s="44"/>
      <c r="AU982" s="44"/>
      <c r="AV982" s="44"/>
      <c r="AW982" s="44"/>
      <c r="AX982" s="44"/>
    </row>
    <row r="983" ht="15.75" customHeight="1">
      <c r="A983" s="82" t="s">
        <v>112</v>
      </c>
      <c r="B983" s="155" t="s">
        <v>8523</v>
      </c>
      <c r="C983" s="84" t="s">
        <v>8524</v>
      </c>
      <c r="D983" s="68"/>
      <c r="E983" s="68"/>
      <c r="F983" s="68"/>
      <c r="G983" s="68"/>
      <c r="H983" s="68"/>
      <c r="I983" s="68"/>
      <c r="J983" s="68"/>
      <c r="K983" s="68"/>
      <c r="L983" s="68"/>
      <c r="M983" s="68"/>
      <c r="N983" s="68"/>
      <c r="O983" s="71"/>
      <c r="P983" s="71"/>
      <c r="Q983" s="71"/>
      <c r="R983" s="71"/>
      <c r="S983" s="71"/>
      <c r="T983" s="83" t="s">
        <v>8525</v>
      </c>
      <c r="U983" s="71"/>
      <c r="V983" s="71"/>
      <c r="W983" s="71"/>
      <c r="X983" s="71"/>
      <c r="Y983" s="71"/>
      <c r="Z983" s="71"/>
      <c r="AA983" s="71"/>
      <c r="AB983" s="71"/>
      <c r="AC983" s="71"/>
      <c r="AD983" s="44"/>
      <c r="AE983" s="44"/>
      <c r="AF983" s="44"/>
      <c r="AG983" s="44"/>
      <c r="AH983" s="44"/>
      <c r="AI983" s="44"/>
      <c r="AJ983" s="44"/>
      <c r="AK983" s="44"/>
      <c r="AL983" s="44"/>
      <c r="AM983" s="44"/>
      <c r="AN983" s="44"/>
      <c r="AO983" s="44"/>
      <c r="AP983" s="44"/>
      <c r="AQ983" s="44"/>
      <c r="AR983" s="44"/>
      <c r="AS983" s="44"/>
      <c r="AT983" s="44"/>
      <c r="AU983" s="44"/>
      <c r="AV983" s="44"/>
      <c r="AW983" s="44"/>
      <c r="AX983" s="44"/>
    </row>
    <row r="984" ht="15.75" customHeight="1">
      <c r="A984" s="82" t="s">
        <v>112</v>
      </c>
      <c r="B984" s="83" t="s">
        <v>8526</v>
      </c>
      <c r="C984" s="68"/>
      <c r="D984" s="68"/>
      <c r="E984" s="68"/>
      <c r="F984" s="68"/>
      <c r="G984" s="68"/>
      <c r="H984" s="68"/>
      <c r="I984" s="68"/>
      <c r="J984" s="68"/>
      <c r="K984" s="68"/>
      <c r="L984" s="68"/>
      <c r="M984" s="68"/>
      <c r="N984" s="68"/>
      <c r="O984" s="71"/>
      <c r="P984" s="71"/>
      <c r="Q984" s="71"/>
      <c r="R984" s="71"/>
      <c r="S984" s="71"/>
      <c r="T984" s="155" t="s">
        <v>8527</v>
      </c>
      <c r="U984" s="71"/>
      <c r="V984" s="71"/>
      <c r="W984" s="71"/>
      <c r="X984" s="71"/>
      <c r="Y984" s="71"/>
      <c r="Z984" s="71"/>
      <c r="AA984" s="71"/>
      <c r="AB984" s="71"/>
      <c r="AC984" s="71"/>
      <c r="AD984" s="44"/>
      <c r="AE984" s="44"/>
      <c r="AF984" s="44"/>
      <c r="AG984" s="44"/>
      <c r="AH984" s="44"/>
      <c r="AI984" s="44"/>
      <c r="AJ984" s="44"/>
      <c r="AK984" s="44"/>
      <c r="AL984" s="44"/>
      <c r="AM984" s="44"/>
      <c r="AN984" s="44"/>
      <c r="AO984" s="44"/>
      <c r="AP984" s="44"/>
      <c r="AQ984" s="44"/>
      <c r="AR984" s="44"/>
      <c r="AS984" s="44"/>
      <c r="AT984" s="44"/>
      <c r="AU984" s="44"/>
      <c r="AV984" s="44"/>
      <c r="AW984" s="44"/>
      <c r="AX984" s="44"/>
    </row>
    <row r="985" ht="15.75" customHeight="1">
      <c r="A985" s="82" t="s">
        <v>112</v>
      </c>
      <c r="B985" s="83" t="s">
        <v>8528</v>
      </c>
      <c r="C985" s="84" t="s">
        <v>8529</v>
      </c>
      <c r="D985" s="68"/>
      <c r="E985" s="68"/>
      <c r="F985" s="68"/>
      <c r="G985" s="68"/>
      <c r="H985" s="68"/>
      <c r="I985" s="68"/>
      <c r="J985" s="68"/>
      <c r="K985" s="68"/>
      <c r="L985" s="68"/>
      <c r="M985" s="68"/>
      <c r="N985" s="68"/>
      <c r="O985" s="66" t="s">
        <v>8530</v>
      </c>
      <c r="P985" s="71"/>
      <c r="Q985" s="71"/>
      <c r="R985" s="71"/>
      <c r="S985" s="71"/>
      <c r="T985" s="83" t="s">
        <v>8531</v>
      </c>
      <c r="U985" s="71"/>
      <c r="V985" s="71"/>
      <c r="W985" s="71"/>
      <c r="X985" s="71"/>
      <c r="Y985" s="71"/>
      <c r="Z985" s="71"/>
      <c r="AA985" s="71"/>
      <c r="AB985" s="71"/>
      <c r="AC985" s="71"/>
      <c r="AD985" s="44"/>
      <c r="AE985" s="44"/>
      <c r="AF985" s="44"/>
      <c r="AG985" s="44"/>
      <c r="AH985" s="44"/>
      <c r="AI985" s="44"/>
      <c r="AJ985" s="44"/>
      <c r="AK985" s="44"/>
      <c r="AL985" s="44"/>
      <c r="AM985" s="44"/>
      <c r="AN985" s="44"/>
      <c r="AO985" s="44"/>
      <c r="AP985" s="44"/>
      <c r="AQ985" s="44"/>
      <c r="AR985" s="44"/>
      <c r="AS985" s="44"/>
      <c r="AT985" s="44"/>
      <c r="AU985" s="44"/>
      <c r="AV985" s="44"/>
      <c r="AW985" s="44"/>
      <c r="AX985" s="44"/>
    </row>
    <row r="986" ht="15.75" customHeight="1">
      <c r="A986" s="82" t="s">
        <v>112</v>
      </c>
      <c r="B986" s="155" t="s">
        <v>8532</v>
      </c>
      <c r="C986" s="68"/>
      <c r="D986" s="68"/>
      <c r="E986" s="68"/>
      <c r="F986" s="68"/>
      <c r="G986" s="68"/>
      <c r="H986" s="68"/>
      <c r="I986" s="68"/>
      <c r="J986" s="68"/>
      <c r="K986" s="68"/>
      <c r="L986" s="68"/>
      <c r="M986" s="68"/>
      <c r="N986" s="68"/>
      <c r="O986" s="71"/>
      <c r="P986" s="71"/>
      <c r="Q986" s="71"/>
      <c r="R986" s="71"/>
      <c r="S986" s="71"/>
      <c r="T986" s="83" t="s">
        <v>8533</v>
      </c>
      <c r="U986" s="71"/>
      <c r="V986" s="71"/>
      <c r="W986" s="71"/>
      <c r="X986" s="71"/>
      <c r="Y986" s="71"/>
      <c r="Z986" s="71"/>
      <c r="AA986" s="71"/>
      <c r="AB986" s="71"/>
      <c r="AC986" s="71"/>
      <c r="AD986" s="44"/>
      <c r="AE986" s="44"/>
      <c r="AF986" s="44"/>
      <c r="AG986" s="44"/>
      <c r="AH986" s="44"/>
      <c r="AI986" s="44"/>
      <c r="AJ986" s="44"/>
      <c r="AK986" s="44"/>
      <c r="AL986" s="44"/>
      <c r="AM986" s="44"/>
      <c r="AN986" s="44"/>
      <c r="AO986" s="44"/>
      <c r="AP986" s="44"/>
      <c r="AQ986" s="44"/>
      <c r="AR986" s="44"/>
      <c r="AS986" s="44"/>
      <c r="AT986" s="44"/>
      <c r="AU986" s="44"/>
      <c r="AV986" s="44"/>
      <c r="AW986" s="44"/>
      <c r="AX986" s="44"/>
    </row>
    <row r="987" ht="15.75" customHeight="1">
      <c r="A987" s="82" t="s">
        <v>112</v>
      </c>
      <c r="B987" s="83" t="s">
        <v>8534</v>
      </c>
      <c r="C987" s="68"/>
      <c r="D987" s="68"/>
      <c r="E987" s="68"/>
      <c r="F987" s="68"/>
      <c r="G987" s="68"/>
      <c r="H987" s="68"/>
      <c r="I987" s="68"/>
      <c r="J987" s="68"/>
      <c r="K987" s="68"/>
      <c r="L987" s="68"/>
      <c r="M987" s="68"/>
      <c r="N987" s="68"/>
      <c r="O987" s="66" t="s">
        <v>8530</v>
      </c>
      <c r="P987" s="71"/>
      <c r="Q987" s="71"/>
      <c r="R987" s="71"/>
      <c r="S987" s="71"/>
      <c r="T987" s="83" t="s">
        <v>8535</v>
      </c>
      <c r="U987" s="71"/>
      <c r="V987" s="71"/>
      <c r="W987" s="71"/>
      <c r="X987" s="71"/>
      <c r="Y987" s="71"/>
      <c r="Z987" s="71"/>
      <c r="AA987" s="71"/>
      <c r="AB987" s="71"/>
      <c r="AC987" s="71"/>
      <c r="AD987" s="44"/>
      <c r="AE987" s="44"/>
      <c r="AF987" s="44"/>
      <c r="AG987" s="44"/>
      <c r="AH987" s="44"/>
      <c r="AI987" s="44"/>
      <c r="AJ987" s="44"/>
      <c r="AK987" s="44"/>
      <c r="AL987" s="44"/>
      <c r="AM987" s="44"/>
      <c r="AN987" s="44"/>
      <c r="AO987" s="44"/>
      <c r="AP987" s="44"/>
      <c r="AQ987" s="44"/>
      <c r="AR987" s="44"/>
      <c r="AS987" s="44"/>
      <c r="AT987" s="44"/>
      <c r="AU987" s="44"/>
      <c r="AV987" s="44"/>
      <c r="AW987" s="44"/>
      <c r="AX987" s="44"/>
    </row>
    <row r="988" ht="15.75" customHeight="1">
      <c r="A988" s="82" t="s">
        <v>112</v>
      </c>
      <c r="B988" s="155" t="s">
        <v>8536</v>
      </c>
      <c r="C988" s="68"/>
      <c r="D988" s="68"/>
      <c r="E988" s="68"/>
      <c r="F988" s="68"/>
      <c r="G988" s="68"/>
      <c r="H988" s="68"/>
      <c r="I988" s="68"/>
      <c r="J988" s="68"/>
      <c r="K988" s="68"/>
      <c r="L988" s="68"/>
      <c r="M988" s="68"/>
      <c r="N988" s="68"/>
      <c r="O988" s="71"/>
      <c r="P988" s="71"/>
      <c r="Q988" s="71"/>
      <c r="R988" s="71"/>
      <c r="S988" s="71"/>
      <c r="T988" s="83" t="s">
        <v>8537</v>
      </c>
      <c r="U988" s="71"/>
      <c r="V988" s="71"/>
      <c r="W988" s="71"/>
      <c r="X988" s="71"/>
      <c r="Y988" s="71"/>
      <c r="Z988" s="71"/>
      <c r="AA988" s="71"/>
      <c r="AB988" s="71"/>
      <c r="AC988" s="71"/>
      <c r="AD988" s="44"/>
      <c r="AE988" s="44"/>
      <c r="AF988" s="44"/>
      <c r="AG988" s="44"/>
      <c r="AH988" s="44"/>
      <c r="AI988" s="44"/>
      <c r="AJ988" s="44"/>
      <c r="AK988" s="44"/>
      <c r="AL988" s="44"/>
      <c r="AM988" s="44"/>
      <c r="AN988" s="44"/>
      <c r="AO988" s="44"/>
      <c r="AP988" s="44"/>
      <c r="AQ988" s="44"/>
      <c r="AR988" s="44"/>
      <c r="AS988" s="44"/>
      <c r="AT988" s="44"/>
      <c r="AU988" s="44"/>
      <c r="AV988" s="44"/>
      <c r="AW988" s="44"/>
      <c r="AX988" s="44"/>
    </row>
    <row r="989" ht="15.75" customHeight="1">
      <c r="A989" s="82" t="s">
        <v>112</v>
      </c>
      <c r="B989" s="83" t="s">
        <v>8538</v>
      </c>
      <c r="C989" s="68"/>
      <c r="D989" s="68"/>
      <c r="E989" s="68"/>
      <c r="F989" s="68"/>
      <c r="G989" s="68"/>
      <c r="H989" s="68"/>
      <c r="I989" s="68"/>
      <c r="J989" s="68"/>
      <c r="K989" s="68"/>
      <c r="L989" s="68"/>
      <c r="M989" s="68"/>
      <c r="N989" s="68"/>
      <c r="O989" s="66" t="s">
        <v>8530</v>
      </c>
      <c r="P989" s="71"/>
      <c r="Q989" s="71"/>
      <c r="R989" s="71"/>
      <c r="S989" s="71"/>
      <c r="T989" s="83" t="s">
        <v>8539</v>
      </c>
      <c r="U989" s="71"/>
      <c r="V989" s="71"/>
      <c r="W989" s="71"/>
      <c r="X989" s="71"/>
      <c r="Y989" s="71"/>
      <c r="Z989" s="71"/>
      <c r="AA989" s="71"/>
      <c r="AB989" s="71"/>
      <c r="AC989" s="71"/>
      <c r="AD989" s="44"/>
      <c r="AE989" s="44"/>
      <c r="AF989" s="44"/>
      <c r="AG989" s="44"/>
      <c r="AH989" s="44"/>
      <c r="AI989" s="44"/>
      <c r="AJ989" s="44"/>
      <c r="AK989" s="44"/>
      <c r="AL989" s="44"/>
      <c r="AM989" s="44"/>
      <c r="AN989" s="44"/>
      <c r="AO989" s="44"/>
      <c r="AP989" s="44"/>
      <c r="AQ989" s="44"/>
      <c r="AR989" s="44"/>
      <c r="AS989" s="44"/>
      <c r="AT989" s="44"/>
      <c r="AU989" s="44"/>
      <c r="AV989" s="44"/>
      <c r="AW989" s="44"/>
      <c r="AX989" s="44"/>
    </row>
    <row r="990" ht="15.75" customHeight="1">
      <c r="A990" s="82" t="s">
        <v>112</v>
      </c>
      <c r="B990" s="155" t="s">
        <v>8540</v>
      </c>
      <c r="C990" s="68"/>
      <c r="D990" s="68"/>
      <c r="E990" s="68"/>
      <c r="F990" s="68"/>
      <c r="G990" s="68"/>
      <c r="H990" s="68"/>
      <c r="I990" s="68"/>
      <c r="J990" s="68"/>
      <c r="K990" s="68"/>
      <c r="L990" s="68"/>
      <c r="M990" s="68"/>
      <c r="N990" s="68"/>
      <c r="O990" s="71"/>
      <c r="P990" s="71"/>
      <c r="Q990" s="71"/>
      <c r="R990" s="71"/>
      <c r="S990" s="71"/>
      <c r="T990" s="83" t="s">
        <v>8541</v>
      </c>
      <c r="U990" s="71"/>
      <c r="V990" s="71"/>
      <c r="W990" s="71"/>
      <c r="X990" s="71"/>
      <c r="Y990" s="71"/>
      <c r="Z990" s="71"/>
      <c r="AA990" s="71"/>
      <c r="AB990" s="71"/>
      <c r="AC990" s="71"/>
      <c r="AD990" s="44"/>
      <c r="AE990" s="44"/>
      <c r="AF990" s="44"/>
      <c r="AG990" s="44"/>
      <c r="AH990" s="44"/>
      <c r="AI990" s="44"/>
      <c r="AJ990" s="44"/>
      <c r="AK990" s="44"/>
      <c r="AL990" s="44"/>
      <c r="AM990" s="44"/>
      <c r="AN990" s="44"/>
      <c r="AO990" s="44"/>
      <c r="AP990" s="44"/>
      <c r="AQ990" s="44"/>
      <c r="AR990" s="44"/>
      <c r="AS990" s="44"/>
      <c r="AT990" s="44"/>
      <c r="AU990" s="44"/>
      <c r="AV990" s="44"/>
      <c r="AW990" s="44"/>
      <c r="AX990" s="44"/>
    </row>
    <row r="991" ht="15.75" customHeight="1">
      <c r="A991" s="82" t="s">
        <v>112</v>
      </c>
      <c r="B991" s="83" t="s">
        <v>8542</v>
      </c>
      <c r="C991" s="84" t="s">
        <v>8543</v>
      </c>
      <c r="D991" s="68"/>
      <c r="E991" s="68"/>
      <c r="F991" s="68"/>
      <c r="G991" s="68"/>
      <c r="H991" s="68"/>
      <c r="I991" s="68"/>
      <c r="J991" s="68"/>
      <c r="K991" s="68"/>
      <c r="L991" s="68"/>
      <c r="M991" s="68"/>
      <c r="N991" s="68"/>
      <c r="O991" s="71"/>
      <c r="P991" s="71"/>
      <c r="Q991" s="71"/>
      <c r="R991" s="71"/>
      <c r="S991" s="71"/>
      <c r="T991" s="83" t="s">
        <v>8481</v>
      </c>
      <c r="U991" s="71"/>
      <c r="V991" s="71"/>
      <c r="W991" s="71"/>
      <c r="X991" s="71"/>
      <c r="Y991" s="71"/>
      <c r="Z991" s="71"/>
      <c r="AA991" s="71"/>
      <c r="AB991" s="71"/>
      <c r="AC991" s="71"/>
      <c r="AD991" s="44"/>
      <c r="AE991" s="44"/>
      <c r="AF991" s="44"/>
      <c r="AG991" s="44"/>
      <c r="AH991" s="44"/>
      <c r="AI991" s="44"/>
      <c r="AJ991" s="44"/>
      <c r="AK991" s="44"/>
      <c r="AL991" s="44"/>
      <c r="AM991" s="44"/>
      <c r="AN991" s="44"/>
      <c r="AO991" s="44"/>
      <c r="AP991" s="44"/>
      <c r="AQ991" s="44"/>
      <c r="AR991" s="44"/>
      <c r="AS991" s="44"/>
      <c r="AT991" s="44"/>
      <c r="AU991" s="44"/>
      <c r="AV991" s="44"/>
      <c r="AW991" s="44"/>
      <c r="AX991" s="44"/>
    </row>
    <row r="992" ht="15.75" customHeight="1">
      <c r="A992" s="82" t="s">
        <v>112</v>
      </c>
      <c r="B992" s="155" t="s">
        <v>8544</v>
      </c>
      <c r="C992" s="84" t="s">
        <v>8545</v>
      </c>
      <c r="D992" s="68"/>
      <c r="E992" s="68"/>
      <c r="F992" s="68"/>
      <c r="G992" s="68"/>
      <c r="H992" s="68"/>
      <c r="I992" s="68"/>
      <c r="J992" s="68"/>
      <c r="K992" s="68"/>
      <c r="L992" s="68"/>
      <c r="M992" s="68"/>
      <c r="N992" s="68"/>
      <c r="O992" s="71"/>
      <c r="P992" s="71"/>
      <c r="Q992" s="71"/>
      <c r="R992" s="71"/>
      <c r="S992" s="71"/>
      <c r="T992" s="155" t="s">
        <v>8546</v>
      </c>
      <c r="U992" s="71"/>
      <c r="V992" s="71"/>
      <c r="W992" s="71"/>
      <c r="X992" s="71"/>
      <c r="Y992" s="71"/>
      <c r="Z992" s="71"/>
      <c r="AA992" s="71"/>
      <c r="AB992" s="71"/>
      <c r="AC992" s="71"/>
      <c r="AD992" s="44"/>
      <c r="AE992" s="44"/>
      <c r="AF992" s="44"/>
      <c r="AG992" s="44"/>
      <c r="AH992" s="44"/>
      <c r="AI992" s="44"/>
      <c r="AJ992" s="44"/>
      <c r="AK992" s="44"/>
      <c r="AL992" s="44"/>
      <c r="AM992" s="44"/>
      <c r="AN992" s="44"/>
      <c r="AO992" s="44"/>
      <c r="AP992" s="44"/>
      <c r="AQ992" s="44"/>
      <c r="AR992" s="44"/>
      <c r="AS992" s="44"/>
      <c r="AT992" s="44"/>
      <c r="AU992" s="44"/>
      <c r="AV992" s="44"/>
      <c r="AW992" s="44"/>
      <c r="AX992" s="44"/>
    </row>
    <row r="993" ht="15.75" customHeight="1">
      <c r="A993" s="82" t="s">
        <v>112</v>
      </c>
      <c r="B993" s="83" t="s">
        <v>8547</v>
      </c>
      <c r="C993" s="68"/>
      <c r="D993" s="68"/>
      <c r="E993" s="68"/>
      <c r="F993" s="68"/>
      <c r="G993" s="68"/>
      <c r="H993" s="68"/>
      <c r="I993" s="68"/>
      <c r="J993" s="68"/>
      <c r="K993" s="68"/>
      <c r="L993" s="68"/>
      <c r="M993" s="68"/>
      <c r="N993" s="68"/>
      <c r="O993" s="187" t="s">
        <v>8548</v>
      </c>
      <c r="P993" s="71"/>
      <c r="Q993" s="71"/>
      <c r="R993" s="71"/>
      <c r="S993" s="71"/>
      <c r="T993" s="155" t="s">
        <v>8549</v>
      </c>
      <c r="U993" s="71"/>
      <c r="V993" s="71"/>
      <c r="W993" s="71"/>
      <c r="X993" s="71"/>
      <c r="Y993" s="71"/>
      <c r="Z993" s="71"/>
      <c r="AA993" s="71"/>
      <c r="AB993" s="71"/>
      <c r="AC993" s="71"/>
      <c r="AD993" s="44"/>
      <c r="AE993" s="44"/>
      <c r="AF993" s="44"/>
      <c r="AG993" s="44"/>
      <c r="AH993" s="44"/>
      <c r="AI993" s="44"/>
      <c r="AJ993" s="44"/>
      <c r="AK993" s="44"/>
      <c r="AL993" s="44"/>
      <c r="AM993" s="44"/>
      <c r="AN993" s="44"/>
      <c r="AO993" s="44"/>
      <c r="AP993" s="44"/>
      <c r="AQ993" s="44"/>
      <c r="AR993" s="44"/>
      <c r="AS993" s="44"/>
      <c r="AT993" s="44"/>
      <c r="AU993" s="44"/>
      <c r="AV993" s="44"/>
      <c r="AW993" s="44"/>
      <c r="AX993" s="44"/>
    </row>
    <row r="994" ht="15.75" customHeight="1">
      <c r="A994" s="82" t="s">
        <v>112</v>
      </c>
      <c r="B994" s="83" t="s">
        <v>8550</v>
      </c>
      <c r="C994" s="68" t="s">
        <v>55</v>
      </c>
      <c r="D994" s="68"/>
      <c r="E994" s="68"/>
      <c r="F994" s="68"/>
      <c r="G994" s="68"/>
      <c r="H994" s="68"/>
      <c r="I994" s="68"/>
      <c r="J994" s="68"/>
      <c r="K994" s="68"/>
      <c r="L994" s="68"/>
      <c r="M994" s="68"/>
      <c r="N994" s="68"/>
      <c r="O994" s="187" t="s">
        <v>8548</v>
      </c>
      <c r="P994" s="71"/>
      <c r="Q994" s="71"/>
      <c r="R994" s="71"/>
      <c r="S994" s="71"/>
      <c r="T994" s="83" t="s">
        <v>8551</v>
      </c>
      <c r="U994" s="71"/>
      <c r="V994" s="71"/>
      <c r="W994" s="71"/>
      <c r="X994" s="71"/>
      <c r="Y994" s="71"/>
      <c r="Z994" s="71"/>
      <c r="AA994" s="71"/>
      <c r="AB994" s="71"/>
      <c r="AC994" s="71"/>
      <c r="AD994" s="44"/>
      <c r="AE994" s="44"/>
      <c r="AF994" s="44"/>
      <c r="AG994" s="44"/>
      <c r="AH994" s="44"/>
      <c r="AI994" s="44"/>
      <c r="AJ994" s="44"/>
      <c r="AK994" s="44"/>
      <c r="AL994" s="44"/>
      <c r="AM994" s="44"/>
      <c r="AN994" s="44"/>
      <c r="AO994" s="44"/>
      <c r="AP994" s="44"/>
      <c r="AQ994" s="44"/>
      <c r="AR994" s="44"/>
      <c r="AS994" s="44"/>
      <c r="AT994" s="44"/>
      <c r="AU994" s="44"/>
      <c r="AV994" s="44"/>
      <c r="AW994" s="44"/>
      <c r="AX994" s="44"/>
    </row>
    <row r="995" ht="15.75" customHeight="1">
      <c r="A995" s="82" t="s">
        <v>112</v>
      </c>
      <c r="B995" s="83" t="s">
        <v>8552</v>
      </c>
      <c r="C995" s="84" t="s">
        <v>8553</v>
      </c>
      <c r="D995" s="68"/>
      <c r="E995" s="68"/>
      <c r="F995" s="68"/>
      <c r="G995" s="68"/>
      <c r="H995" s="68"/>
      <c r="I995" s="68"/>
      <c r="J995" s="68"/>
      <c r="K995" s="68"/>
      <c r="L995" s="68"/>
      <c r="M995" s="68"/>
      <c r="N995" s="68"/>
      <c r="O995" s="71"/>
      <c r="P995" s="71"/>
      <c r="Q995" s="71"/>
      <c r="R995" s="71"/>
      <c r="S995" s="71"/>
      <c r="T995" s="155" t="s">
        <v>8554</v>
      </c>
      <c r="U995" s="71"/>
      <c r="V995" s="71"/>
      <c r="W995" s="71"/>
      <c r="X995" s="71"/>
      <c r="Y995" s="71"/>
      <c r="Z995" s="71"/>
      <c r="AA995" s="71"/>
      <c r="AB995" s="71"/>
      <c r="AC995" s="71"/>
      <c r="AD995" s="44"/>
      <c r="AE995" s="44"/>
      <c r="AF995" s="44"/>
      <c r="AG995" s="44"/>
      <c r="AH995" s="44"/>
      <c r="AI995" s="44"/>
      <c r="AJ995" s="44"/>
      <c r="AK995" s="44"/>
      <c r="AL995" s="44"/>
      <c r="AM995" s="44"/>
      <c r="AN995" s="44"/>
      <c r="AO995" s="44"/>
      <c r="AP995" s="44"/>
      <c r="AQ995" s="44"/>
      <c r="AR995" s="44"/>
      <c r="AS995" s="44"/>
      <c r="AT995" s="44"/>
      <c r="AU995" s="44"/>
      <c r="AV995" s="44"/>
      <c r="AW995" s="44"/>
      <c r="AX995" s="44"/>
    </row>
    <row r="996" ht="15.75" customHeight="1">
      <c r="A996" s="189"/>
      <c r="B996" s="189"/>
      <c r="C996" s="190"/>
      <c r="D996" s="190"/>
      <c r="E996" s="190"/>
      <c r="F996" s="190"/>
      <c r="G996" s="189"/>
      <c r="H996" s="189"/>
      <c r="I996" s="189"/>
      <c r="J996" s="189"/>
      <c r="K996" s="189"/>
      <c r="L996" s="189"/>
      <c r="M996" s="189"/>
      <c r="N996" s="189"/>
      <c r="O996" s="189"/>
      <c r="P996" s="291"/>
      <c r="Q996" s="189"/>
      <c r="R996" s="189"/>
      <c r="S996" s="189"/>
      <c r="T996" s="189"/>
      <c r="U996" s="189"/>
      <c r="V996" s="189"/>
      <c r="W996" s="189"/>
      <c r="X996" s="189"/>
      <c r="Y996" s="189"/>
      <c r="Z996" s="189"/>
      <c r="AA996" s="189"/>
      <c r="AB996" s="189"/>
      <c r="AC996" s="189"/>
      <c r="AD996" s="189"/>
      <c r="AE996" s="189"/>
      <c r="AF996" s="189"/>
      <c r="AG996" s="189"/>
      <c r="AH996" s="189"/>
      <c r="AI996" s="189"/>
      <c r="AJ996" s="189"/>
      <c r="AK996" s="189"/>
      <c r="AL996" s="189"/>
      <c r="AM996" s="189"/>
      <c r="AN996" s="189"/>
      <c r="AO996" s="189"/>
      <c r="AP996" s="189"/>
      <c r="AQ996" s="189"/>
      <c r="AR996" s="189"/>
      <c r="AS996" s="189"/>
      <c r="AT996" s="189"/>
      <c r="AU996" s="189"/>
      <c r="AV996" s="189"/>
      <c r="AW996" s="189"/>
      <c r="AX996" s="189"/>
    </row>
    <row r="997" ht="15.75" customHeight="1">
      <c r="A997" s="189"/>
      <c r="B997" s="189"/>
      <c r="C997" s="190"/>
      <c r="D997" s="190"/>
      <c r="E997" s="190"/>
      <c r="F997" s="190"/>
      <c r="G997" s="189"/>
      <c r="H997" s="189"/>
      <c r="I997" s="189"/>
      <c r="J997" s="189"/>
      <c r="K997" s="189"/>
      <c r="L997" s="189"/>
      <c r="M997" s="189"/>
      <c r="N997" s="189"/>
      <c r="O997" s="189"/>
      <c r="P997" s="291"/>
      <c r="Q997" s="189"/>
      <c r="R997" s="189"/>
      <c r="S997" s="189"/>
      <c r="T997" s="189"/>
      <c r="U997" s="189"/>
      <c r="V997" s="189"/>
      <c r="W997" s="189"/>
      <c r="X997" s="189"/>
      <c r="Y997" s="189"/>
      <c r="Z997" s="189"/>
      <c r="AA997" s="189"/>
      <c r="AB997" s="189"/>
      <c r="AC997" s="189"/>
      <c r="AD997" s="189"/>
      <c r="AE997" s="189"/>
      <c r="AF997" s="189"/>
      <c r="AG997" s="189"/>
      <c r="AH997" s="189"/>
      <c r="AI997" s="189"/>
      <c r="AJ997" s="189"/>
      <c r="AK997" s="189"/>
      <c r="AL997" s="189"/>
      <c r="AM997" s="189"/>
      <c r="AN997" s="189"/>
      <c r="AO997" s="189"/>
      <c r="AP997" s="189"/>
      <c r="AQ997" s="189"/>
      <c r="AR997" s="189"/>
      <c r="AS997" s="189"/>
      <c r="AT997" s="189"/>
      <c r="AU997" s="189"/>
      <c r="AV997" s="189"/>
      <c r="AW997" s="189"/>
      <c r="AX997" s="189"/>
    </row>
    <row r="998" ht="15.75" customHeight="1">
      <c r="A998" s="189"/>
      <c r="B998" s="189"/>
      <c r="C998" s="190"/>
      <c r="D998" s="190"/>
      <c r="E998" s="190"/>
      <c r="F998" s="190"/>
      <c r="G998" s="189"/>
      <c r="H998" s="189"/>
      <c r="I998" s="189"/>
      <c r="J998" s="189"/>
      <c r="K998" s="189"/>
      <c r="L998" s="189"/>
      <c r="M998" s="189"/>
      <c r="N998" s="189"/>
      <c r="O998" s="189"/>
      <c r="P998" s="291"/>
      <c r="Q998" s="189"/>
      <c r="R998" s="189"/>
      <c r="S998" s="189"/>
      <c r="T998" s="189"/>
      <c r="U998" s="189"/>
      <c r="V998" s="189"/>
      <c r="W998" s="189"/>
      <c r="X998" s="189"/>
      <c r="Y998" s="189"/>
      <c r="Z998" s="189"/>
      <c r="AA998" s="189"/>
      <c r="AB998" s="189"/>
      <c r="AC998" s="189"/>
      <c r="AD998" s="189"/>
      <c r="AE998" s="189"/>
      <c r="AF998" s="189"/>
      <c r="AG998" s="189"/>
      <c r="AH998" s="189"/>
      <c r="AI998" s="189"/>
      <c r="AJ998" s="189"/>
      <c r="AK998" s="189"/>
      <c r="AL998" s="189"/>
      <c r="AM998" s="189"/>
      <c r="AN998" s="189"/>
      <c r="AO998" s="189"/>
      <c r="AP998" s="189"/>
      <c r="AQ998" s="189"/>
      <c r="AR998" s="189"/>
      <c r="AS998" s="189"/>
      <c r="AT998" s="189"/>
      <c r="AU998" s="189"/>
      <c r="AV998" s="189"/>
      <c r="AW998" s="189"/>
      <c r="AX998" s="189"/>
    </row>
    <row r="999" ht="15.75" customHeight="1">
      <c r="A999" s="189"/>
      <c r="B999" s="189"/>
      <c r="C999" s="190"/>
      <c r="D999" s="190"/>
      <c r="E999" s="190"/>
      <c r="F999" s="190"/>
      <c r="G999" s="189"/>
      <c r="H999" s="189"/>
      <c r="I999" s="189"/>
      <c r="J999" s="189"/>
      <c r="K999" s="189"/>
      <c r="L999" s="189"/>
      <c r="M999" s="189"/>
      <c r="N999" s="189"/>
      <c r="O999" s="189"/>
      <c r="P999" s="291"/>
      <c r="Q999" s="189"/>
      <c r="R999" s="189"/>
      <c r="S999" s="189"/>
      <c r="T999" s="189"/>
      <c r="U999" s="189"/>
      <c r="V999" s="189"/>
      <c r="W999" s="189"/>
      <c r="X999" s="189"/>
      <c r="Y999" s="189"/>
      <c r="Z999" s="189"/>
      <c r="AA999" s="189"/>
      <c r="AB999" s="189"/>
      <c r="AC999" s="189"/>
      <c r="AD999" s="189"/>
      <c r="AE999" s="189"/>
      <c r="AF999" s="189"/>
      <c r="AG999" s="189"/>
      <c r="AH999" s="189"/>
      <c r="AI999" s="189"/>
      <c r="AJ999" s="189"/>
      <c r="AK999" s="189"/>
      <c r="AL999" s="189"/>
      <c r="AM999" s="189"/>
      <c r="AN999" s="189"/>
      <c r="AO999" s="189"/>
      <c r="AP999" s="189"/>
      <c r="AQ999" s="189"/>
      <c r="AR999" s="189"/>
      <c r="AS999" s="189"/>
      <c r="AT999" s="189"/>
      <c r="AU999" s="189"/>
      <c r="AV999" s="189"/>
      <c r="AW999" s="189"/>
      <c r="AX999" s="189"/>
    </row>
    <row r="1000" ht="15.75" customHeight="1">
      <c r="A1000" s="189"/>
      <c r="B1000" s="189"/>
      <c r="C1000" s="190"/>
      <c r="D1000" s="190"/>
      <c r="E1000" s="190"/>
      <c r="F1000" s="190"/>
      <c r="G1000" s="189"/>
      <c r="H1000" s="189"/>
      <c r="I1000" s="189"/>
      <c r="J1000" s="189"/>
      <c r="K1000" s="189"/>
      <c r="L1000" s="189"/>
      <c r="M1000" s="189"/>
      <c r="N1000" s="189"/>
      <c r="O1000" s="189"/>
      <c r="P1000" s="291"/>
      <c r="Q1000" s="189"/>
      <c r="R1000" s="189"/>
      <c r="S1000" s="189"/>
      <c r="T1000" s="189"/>
      <c r="U1000" s="189"/>
      <c r="V1000" s="189"/>
      <c r="W1000" s="189"/>
      <c r="X1000" s="189"/>
      <c r="Y1000" s="189"/>
      <c r="Z1000" s="189"/>
      <c r="AA1000" s="189"/>
      <c r="AB1000" s="189"/>
      <c r="AC1000" s="189"/>
      <c r="AD1000" s="189"/>
      <c r="AE1000" s="189"/>
      <c r="AF1000" s="189"/>
      <c r="AG1000" s="189"/>
      <c r="AH1000" s="189"/>
      <c r="AI1000" s="189"/>
      <c r="AJ1000" s="189"/>
      <c r="AK1000" s="189"/>
      <c r="AL1000" s="189"/>
      <c r="AM1000" s="189"/>
      <c r="AN1000" s="189"/>
      <c r="AO1000" s="189"/>
      <c r="AP1000" s="189"/>
      <c r="AQ1000" s="189"/>
      <c r="AR1000" s="189"/>
      <c r="AS1000" s="189"/>
      <c r="AT1000" s="189"/>
      <c r="AU1000" s="189"/>
      <c r="AV1000" s="189"/>
      <c r="AW1000" s="189"/>
      <c r="AX1000" s="189"/>
    </row>
    <row r="1001" ht="15.75" customHeight="1">
      <c r="A1001" s="189"/>
      <c r="B1001" s="189"/>
      <c r="C1001" s="190"/>
      <c r="D1001" s="190"/>
      <c r="E1001" s="190"/>
      <c r="F1001" s="190"/>
      <c r="G1001" s="189"/>
      <c r="H1001" s="189"/>
      <c r="I1001" s="189"/>
      <c r="J1001" s="189"/>
      <c r="K1001" s="189"/>
      <c r="L1001" s="189"/>
      <c r="M1001" s="189"/>
      <c r="N1001" s="189"/>
      <c r="O1001" s="189"/>
      <c r="P1001" s="291"/>
      <c r="Q1001" s="189"/>
      <c r="R1001" s="189"/>
      <c r="S1001" s="189"/>
      <c r="T1001" s="189"/>
      <c r="U1001" s="189"/>
      <c r="V1001" s="189"/>
      <c r="W1001" s="189"/>
      <c r="X1001" s="189"/>
      <c r="Y1001" s="189"/>
      <c r="Z1001" s="189"/>
      <c r="AA1001" s="189"/>
      <c r="AB1001" s="189"/>
      <c r="AC1001" s="189"/>
      <c r="AD1001" s="189"/>
      <c r="AE1001" s="189"/>
      <c r="AF1001" s="189"/>
      <c r="AG1001" s="189"/>
      <c r="AH1001" s="189"/>
      <c r="AI1001" s="189"/>
      <c r="AJ1001" s="189"/>
      <c r="AK1001" s="189"/>
      <c r="AL1001" s="189"/>
      <c r="AM1001" s="189"/>
      <c r="AN1001" s="189"/>
      <c r="AO1001" s="189"/>
      <c r="AP1001" s="189"/>
      <c r="AQ1001" s="189"/>
      <c r="AR1001" s="189"/>
      <c r="AS1001" s="189"/>
      <c r="AT1001" s="189"/>
      <c r="AU1001" s="189"/>
      <c r="AV1001" s="189"/>
      <c r="AW1001" s="189"/>
      <c r="AX1001" s="189"/>
    </row>
    <row r="1002" ht="15.75" customHeight="1">
      <c r="A1002" s="189"/>
      <c r="B1002" s="189"/>
      <c r="C1002" s="190"/>
      <c r="D1002" s="190"/>
      <c r="E1002" s="190"/>
      <c r="F1002" s="190"/>
      <c r="G1002" s="189"/>
      <c r="H1002" s="189"/>
      <c r="I1002" s="189"/>
      <c r="J1002" s="189"/>
      <c r="K1002" s="189"/>
      <c r="L1002" s="189"/>
      <c r="M1002" s="189"/>
      <c r="N1002" s="189"/>
      <c r="O1002" s="189"/>
      <c r="P1002" s="291"/>
      <c r="Q1002" s="189"/>
      <c r="R1002" s="189"/>
      <c r="S1002" s="189"/>
      <c r="T1002" s="189"/>
      <c r="U1002" s="189"/>
      <c r="V1002" s="189"/>
      <c r="W1002" s="189"/>
      <c r="X1002" s="189"/>
      <c r="Y1002" s="189"/>
      <c r="Z1002" s="189"/>
      <c r="AA1002" s="189"/>
      <c r="AB1002" s="189"/>
      <c r="AC1002" s="189"/>
      <c r="AD1002" s="189"/>
      <c r="AE1002" s="189"/>
      <c r="AF1002" s="189"/>
      <c r="AG1002" s="189"/>
      <c r="AH1002" s="189"/>
      <c r="AI1002" s="189"/>
      <c r="AJ1002" s="189"/>
      <c r="AK1002" s="189"/>
      <c r="AL1002" s="189"/>
      <c r="AM1002" s="189"/>
      <c r="AN1002" s="189"/>
      <c r="AO1002" s="189"/>
      <c r="AP1002" s="189"/>
      <c r="AQ1002" s="189"/>
      <c r="AR1002" s="189"/>
      <c r="AS1002" s="189"/>
      <c r="AT1002" s="189"/>
      <c r="AU1002" s="189"/>
      <c r="AV1002" s="189"/>
      <c r="AW1002" s="189"/>
      <c r="AX1002" s="189"/>
    </row>
    <row r="1003" ht="15.75" customHeight="1">
      <c r="A1003" s="189"/>
      <c r="B1003" s="189"/>
      <c r="C1003" s="190"/>
      <c r="D1003" s="190"/>
      <c r="E1003" s="190"/>
      <c r="F1003" s="190"/>
      <c r="G1003" s="189"/>
      <c r="H1003" s="189"/>
      <c r="I1003" s="189"/>
      <c r="J1003" s="189"/>
      <c r="K1003" s="189"/>
      <c r="L1003" s="189"/>
      <c r="M1003" s="189"/>
      <c r="N1003" s="189"/>
      <c r="O1003" s="189"/>
      <c r="P1003" s="291"/>
      <c r="Q1003" s="189"/>
      <c r="R1003" s="189"/>
      <c r="S1003" s="189"/>
      <c r="T1003" s="189"/>
      <c r="U1003" s="189"/>
      <c r="V1003" s="189"/>
      <c r="W1003" s="189"/>
      <c r="X1003" s="189"/>
      <c r="Y1003" s="189"/>
      <c r="Z1003" s="189"/>
      <c r="AA1003" s="189"/>
      <c r="AB1003" s="189"/>
      <c r="AC1003" s="189"/>
      <c r="AD1003" s="189"/>
      <c r="AE1003" s="189"/>
      <c r="AF1003" s="189"/>
      <c r="AG1003" s="189"/>
      <c r="AH1003" s="189"/>
      <c r="AI1003" s="189"/>
      <c r="AJ1003" s="189"/>
      <c r="AK1003" s="189"/>
      <c r="AL1003" s="189"/>
      <c r="AM1003" s="189"/>
      <c r="AN1003" s="189"/>
      <c r="AO1003" s="189"/>
      <c r="AP1003" s="189"/>
      <c r="AQ1003" s="189"/>
      <c r="AR1003" s="189"/>
      <c r="AS1003" s="189"/>
      <c r="AT1003" s="189"/>
      <c r="AU1003" s="189"/>
      <c r="AV1003" s="189"/>
      <c r="AW1003" s="189"/>
      <c r="AX1003" s="189"/>
    </row>
    <row r="1004" ht="15.75" customHeight="1">
      <c r="A1004" s="189"/>
      <c r="B1004" s="189"/>
      <c r="C1004" s="190"/>
      <c r="D1004" s="190"/>
      <c r="E1004" s="190"/>
      <c r="F1004" s="190"/>
      <c r="G1004" s="189"/>
      <c r="H1004" s="189"/>
      <c r="I1004" s="189"/>
      <c r="J1004" s="189"/>
      <c r="K1004" s="189"/>
      <c r="L1004" s="189"/>
      <c r="M1004" s="189"/>
      <c r="N1004" s="189"/>
      <c r="O1004" s="189"/>
      <c r="P1004" s="291"/>
      <c r="Q1004" s="189"/>
      <c r="R1004" s="189"/>
      <c r="S1004" s="189"/>
      <c r="T1004" s="189"/>
      <c r="U1004" s="189"/>
      <c r="V1004" s="189"/>
      <c r="W1004" s="189"/>
      <c r="X1004" s="189"/>
      <c r="Y1004" s="189"/>
      <c r="Z1004" s="189"/>
      <c r="AA1004" s="189"/>
      <c r="AB1004" s="189"/>
      <c r="AC1004" s="189"/>
      <c r="AD1004" s="189"/>
      <c r="AE1004" s="189"/>
      <c r="AF1004" s="189"/>
      <c r="AG1004" s="189"/>
      <c r="AH1004" s="189"/>
      <c r="AI1004" s="189"/>
      <c r="AJ1004" s="189"/>
      <c r="AK1004" s="189"/>
      <c r="AL1004" s="189"/>
      <c r="AM1004" s="189"/>
      <c r="AN1004" s="189"/>
      <c r="AO1004" s="189"/>
      <c r="AP1004" s="189"/>
      <c r="AQ1004" s="189"/>
      <c r="AR1004" s="189"/>
      <c r="AS1004" s="189"/>
      <c r="AT1004" s="189"/>
      <c r="AU1004" s="189"/>
      <c r="AV1004" s="189"/>
      <c r="AW1004" s="189"/>
      <c r="AX1004" s="189"/>
    </row>
    <row r="1005" ht="15.75" customHeight="1">
      <c r="A1005" s="189"/>
      <c r="B1005" s="189"/>
      <c r="C1005" s="190"/>
      <c r="D1005" s="190"/>
      <c r="E1005" s="190"/>
      <c r="F1005" s="190"/>
      <c r="G1005" s="189"/>
      <c r="H1005" s="189"/>
      <c r="I1005" s="189"/>
      <c r="J1005" s="189"/>
      <c r="K1005" s="189"/>
      <c r="L1005" s="189"/>
      <c r="M1005" s="189"/>
      <c r="N1005" s="189"/>
      <c r="O1005" s="189"/>
      <c r="P1005" s="291"/>
      <c r="Q1005" s="189"/>
      <c r="R1005" s="189"/>
      <c r="S1005" s="189"/>
      <c r="T1005" s="189"/>
      <c r="U1005" s="189"/>
      <c r="V1005" s="189"/>
      <c r="W1005" s="189"/>
      <c r="X1005" s="189"/>
      <c r="Y1005" s="189"/>
      <c r="Z1005" s="189"/>
      <c r="AA1005" s="189"/>
      <c r="AB1005" s="189"/>
      <c r="AC1005" s="189"/>
      <c r="AD1005" s="189"/>
      <c r="AE1005" s="189"/>
      <c r="AF1005" s="189"/>
      <c r="AG1005" s="189"/>
      <c r="AH1005" s="189"/>
      <c r="AI1005" s="189"/>
      <c r="AJ1005" s="189"/>
      <c r="AK1005" s="189"/>
      <c r="AL1005" s="189"/>
      <c r="AM1005" s="189"/>
      <c r="AN1005" s="189"/>
      <c r="AO1005" s="189"/>
      <c r="AP1005" s="189"/>
      <c r="AQ1005" s="189"/>
      <c r="AR1005" s="189"/>
      <c r="AS1005" s="189"/>
      <c r="AT1005" s="189"/>
      <c r="AU1005" s="189"/>
      <c r="AV1005" s="189"/>
      <c r="AW1005" s="189"/>
      <c r="AX1005" s="189"/>
    </row>
    <row r="1006" ht="15.75" customHeight="1">
      <c r="A1006" s="189"/>
      <c r="B1006" s="189"/>
      <c r="C1006" s="190"/>
      <c r="D1006" s="190"/>
      <c r="E1006" s="190"/>
      <c r="F1006" s="190"/>
      <c r="G1006" s="189"/>
      <c r="H1006" s="189"/>
      <c r="I1006" s="189"/>
      <c r="J1006" s="189"/>
      <c r="K1006" s="189"/>
      <c r="L1006" s="189"/>
      <c r="M1006" s="189"/>
      <c r="N1006" s="189"/>
      <c r="O1006" s="189"/>
      <c r="P1006" s="291"/>
      <c r="Q1006" s="189"/>
      <c r="R1006" s="189"/>
      <c r="S1006" s="189"/>
      <c r="T1006" s="189"/>
      <c r="U1006" s="189"/>
      <c r="V1006" s="189"/>
      <c r="W1006" s="189"/>
      <c r="X1006" s="189"/>
      <c r="Y1006" s="189"/>
      <c r="Z1006" s="189"/>
      <c r="AA1006" s="189"/>
      <c r="AB1006" s="189"/>
      <c r="AC1006" s="189"/>
      <c r="AD1006" s="189"/>
      <c r="AE1006" s="189"/>
      <c r="AF1006" s="189"/>
      <c r="AG1006" s="189"/>
      <c r="AH1006" s="189"/>
      <c r="AI1006" s="189"/>
      <c r="AJ1006" s="189"/>
      <c r="AK1006" s="189"/>
      <c r="AL1006" s="189"/>
      <c r="AM1006" s="189"/>
      <c r="AN1006" s="189"/>
      <c r="AO1006" s="189"/>
      <c r="AP1006" s="189"/>
      <c r="AQ1006" s="189"/>
      <c r="AR1006" s="189"/>
      <c r="AS1006" s="189"/>
      <c r="AT1006" s="189"/>
      <c r="AU1006" s="189"/>
      <c r="AV1006" s="189"/>
      <c r="AW1006" s="189"/>
      <c r="AX1006" s="189"/>
    </row>
    <row r="1007" ht="15.75" customHeight="1">
      <c r="A1007" s="189"/>
      <c r="B1007" s="189"/>
      <c r="C1007" s="190"/>
      <c r="D1007" s="190"/>
      <c r="E1007" s="190"/>
      <c r="F1007" s="190"/>
      <c r="G1007" s="189"/>
      <c r="H1007" s="189"/>
      <c r="I1007" s="189"/>
      <c r="J1007" s="189"/>
      <c r="K1007" s="189"/>
      <c r="L1007" s="189"/>
      <c r="M1007" s="189"/>
      <c r="N1007" s="189"/>
      <c r="O1007" s="189"/>
      <c r="P1007" s="291"/>
      <c r="Q1007" s="189"/>
      <c r="R1007" s="189"/>
      <c r="S1007" s="189"/>
      <c r="T1007" s="189"/>
      <c r="U1007" s="189"/>
      <c r="V1007" s="189"/>
      <c r="W1007" s="189"/>
      <c r="X1007" s="189"/>
      <c r="Y1007" s="189"/>
      <c r="Z1007" s="189"/>
      <c r="AA1007" s="189"/>
      <c r="AB1007" s="189"/>
      <c r="AC1007" s="189"/>
      <c r="AD1007" s="189"/>
      <c r="AE1007" s="189"/>
      <c r="AF1007" s="189"/>
      <c r="AG1007" s="189"/>
      <c r="AH1007" s="189"/>
      <c r="AI1007" s="189"/>
      <c r="AJ1007" s="189"/>
      <c r="AK1007" s="189"/>
      <c r="AL1007" s="189"/>
      <c r="AM1007" s="189"/>
      <c r="AN1007" s="189"/>
      <c r="AO1007" s="189"/>
      <c r="AP1007" s="189"/>
      <c r="AQ1007" s="189"/>
      <c r="AR1007" s="189"/>
      <c r="AS1007" s="189"/>
      <c r="AT1007" s="189"/>
      <c r="AU1007" s="189"/>
      <c r="AV1007" s="189"/>
      <c r="AW1007" s="189"/>
      <c r="AX1007" s="189"/>
    </row>
    <row r="1008" ht="15.75" customHeight="1">
      <c r="A1008" s="189"/>
      <c r="B1008" s="189"/>
      <c r="C1008" s="190"/>
      <c r="D1008" s="190"/>
      <c r="E1008" s="190"/>
      <c r="F1008" s="190"/>
      <c r="G1008" s="189"/>
      <c r="H1008" s="189"/>
      <c r="I1008" s="189"/>
      <c r="J1008" s="189"/>
      <c r="K1008" s="189"/>
      <c r="L1008" s="189"/>
      <c r="M1008" s="189"/>
      <c r="N1008" s="189"/>
      <c r="O1008" s="189"/>
      <c r="P1008" s="291"/>
      <c r="Q1008" s="189"/>
      <c r="R1008" s="189"/>
      <c r="S1008" s="189"/>
      <c r="T1008" s="189"/>
      <c r="U1008" s="189"/>
      <c r="V1008" s="189"/>
      <c r="W1008" s="189"/>
      <c r="X1008" s="189"/>
      <c r="Y1008" s="189"/>
      <c r="Z1008" s="189"/>
      <c r="AA1008" s="189"/>
      <c r="AB1008" s="189"/>
      <c r="AC1008" s="189"/>
      <c r="AD1008" s="189"/>
      <c r="AE1008" s="189"/>
      <c r="AF1008" s="189"/>
      <c r="AG1008" s="189"/>
      <c r="AH1008" s="189"/>
      <c r="AI1008" s="189"/>
      <c r="AJ1008" s="189"/>
      <c r="AK1008" s="189"/>
      <c r="AL1008" s="189"/>
      <c r="AM1008" s="189"/>
      <c r="AN1008" s="189"/>
      <c r="AO1008" s="189"/>
      <c r="AP1008" s="189"/>
      <c r="AQ1008" s="189"/>
      <c r="AR1008" s="189"/>
      <c r="AS1008" s="189"/>
      <c r="AT1008" s="189"/>
      <c r="AU1008" s="189"/>
      <c r="AV1008" s="189"/>
      <c r="AW1008" s="189"/>
      <c r="AX1008" s="189"/>
    </row>
    <row r="1009" ht="15.75" customHeight="1">
      <c r="A1009" s="189"/>
      <c r="B1009" s="189"/>
      <c r="C1009" s="190"/>
      <c r="D1009" s="190"/>
      <c r="E1009" s="190"/>
      <c r="F1009" s="190"/>
      <c r="G1009" s="189"/>
      <c r="H1009" s="189"/>
      <c r="I1009" s="189"/>
      <c r="J1009" s="189"/>
      <c r="K1009" s="189"/>
      <c r="L1009" s="189"/>
      <c r="M1009" s="189"/>
      <c r="N1009" s="189"/>
      <c r="O1009" s="189"/>
      <c r="P1009" s="291"/>
      <c r="Q1009" s="189"/>
      <c r="R1009" s="189"/>
      <c r="S1009" s="189"/>
      <c r="T1009" s="189"/>
      <c r="U1009" s="189"/>
      <c r="V1009" s="189"/>
      <c r="W1009" s="189"/>
      <c r="X1009" s="189"/>
      <c r="Y1009" s="189"/>
      <c r="Z1009" s="189"/>
      <c r="AA1009" s="189"/>
      <c r="AB1009" s="189"/>
      <c r="AC1009" s="189"/>
      <c r="AD1009" s="189"/>
      <c r="AE1009" s="189"/>
      <c r="AF1009" s="189"/>
      <c r="AG1009" s="189"/>
      <c r="AH1009" s="189"/>
      <c r="AI1009" s="189"/>
      <c r="AJ1009" s="189"/>
      <c r="AK1009" s="189"/>
      <c r="AL1009" s="189"/>
      <c r="AM1009" s="189"/>
      <c r="AN1009" s="189"/>
      <c r="AO1009" s="189"/>
      <c r="AP1009" s="189"/>
      <c r="AQ1009" s="189"/>
      <c r="AR1009" s="189"/>
      <c r="AS1009" s="189"/>
      <c r="AT1009" s="189"/>
      <c r="AU1009" s="189"/>
      <c r="AV1009" s="189"/>
      <c r="AW1009" s="189"/>
      <c r="AX1009" s="189"/>
    </row>
    <row r="1010" ht="15.75" customHeight="1">
      <c r="A1010" s="189"/>
      <c r="B1010" s="189"/>
      <c r="C1010" s="190"/>
      <c r="D1010" s="190"/>
      <c r="E1010" s="190"/>
      <c r="F1010" s="190"/>
      <c r="G1010" s="189"/>
      <c r="H1010" s="189"/>
      <c r="I1010" s="189"/>
      <c r="J1010" s="189"/>
      <c r="K1010" s="189"/>
      <c r="L1010" s="189"/>
      <c r="M1010" s="189"/>
      <c r="N1010" s="189"/>
      <c r="O1010" s="189"/>
      <c r="P1010" s="291"/>
      <c r="Q1010" s="189"/>
      <c r="R1010" s="189"/>
      <c r="S1010" s="189"/>
      <c r="T1010" s="189"/>
      <c r="U1010" s="189"/>
      <c r="V1010" s="189"/>
      <c r="W1010" s="189"/>
      <c r="X1010" s="189"/>
      <c r="Y1010" s="189"/>
      <c r="Z1010" s="189"/>
      <c r="AA1010" s="189"/>
      <c r="AB1010" s="189"/>
      <c r="AC1010" s="189"/>
      <c r="AD1010" s="189"/>
      <c r="AE1010" s="189"/>
      <c r="AF1010" s="189"/>
      <c r="AG1010" s="189"/>
      <c r="AH1010" s="189"/>
      <c r="AI1010" s="189"/>
      <c r="AJ1010" s="189"/>
      <c r="AK1010" s="189"/>
      <c r="AL1010" s="189"/>
      <c r="AM1010" s="189"/>
      <c r="AN1010" s="189"/>
      <c r="AO1010" s="189"/>
      <c r="AP1010" s="189"/>
      <c r="AQ1010" s="189"/>
      <c r="AR1010" s="189"/>
      <c r="AS1010" s="189"/>
      <c r="AT1010" s="189"/>
      <c r="AU1010" s="189"/>
      <c r="AV1010" s="189"/>
      <c r="AW1010" s="189"/>
      <c r="AX1010" s="189"/>
    </row>
    <row r="1011" ht="15.75" customHeight="1">
      <c r="A1011" s="189"/>
      <c r="B1011" s="189"/>
      <c r="C1011" s="190"/>
      <c r="D1011" s="190"/>
      <c r="E1011" s="190"/>
      <c r="F1011" s="190"/>
      <c r="G1011" s="189"/>
      <c r="H1011" s="189"/>
      <c r="I1011" s="189"/>
      <c r="J1011" s="189"/>
      <c r="K1011" s="189"/>
      <c r="L1011" s="189"/>
      <c r="M1011" s="189"/>
      <c r="N1011" s="189"/>
      <c r="O1011" s="189"/>
      <c r="P1011" s="291"/>
      <c r="Q1011" s="189"/>
      <c r="R1011" s="189"/>
      <c r="S1011" s="189"/>
      <c r="T1011" s="189"/>
      <c r="U1011" s="189"/>
      <c r="V1011" s="189"/>
      <c r="W1011" s="189"/>
      <c r="X1011" s="189"/>
      <c r="Y1011" s="189"/>
      <c r="Z1011" s="189"/>
      <c r="AA1011" s="189"/>
      <c r="AB1011" s="189"/>
      <c r="AC1011" s="189"/>
      <c r="AD1011" s="189"/>
      <c r="AE1011" s="189"/>
      <c r="AF1011" s="189"/>
      <c r="AG1011" s="189"/>
      <c r="AH1011" s="189"/>
      <c r="AI1011" s="189"/>
      <c r="AJ1011" s="189"/>
      <c r="AK1011" s="189"/>
      <c r="AL1011" s="189"/>
      <c r="AM1011" s="189"/>
      <c r="AN1011" s="189"/>
      <c r="AO1011" s="189"/>
      <c r="AP1011" s="189"/>
      <c r="AQ1011" s="189"/>
      <c r="AR1011" s="189"/>
      <c r="AS1011" s="189"/>
      <c r="AT1011" s="189"/>
      <c r="AU1011" s="189"/>
      <c r="AV1011" s="189"/>
      <c r="AW1011" s="189"/>
      <c r="AX1011" s="189"/>
    </row>
    <row r="1012" ht="15.75" customHeight="1">
      <c r="A1012" s="189"/>
      <c r="B1012" s="189"/>
      <c r="C1012" s="190"/>
      <c r="D1012" s="190"/>
      <c r="E1012" s="190"/>
      <c r="F1012" s="190"/>
      <c r="G1012" s="189"/>
      <c r="H1012" s="189"/>
      <c r="I1012" s="189"/>
      <c r="J1012" s="189"/>
      <c r="K1012" s="189"/>
      <c r="L1012" s="189"/>
      <c r="M1012" s="189"/>
      <c r="N1012" s="189"/>
      <c r="O1012" s="189"/>
      <c r="P1012" s="291"/>
      <c r="Q1012" s="189"/>
      <c r="R1012" s="189"/>
      <c r="S1012" s="189"/>
      <c r="T1012" s="189"/>
      <c r="U1012" s="189"/>
      <c r="V1012" s="189"/>
      <c r="W1012" s="189"/>
      <c r="X1012" s="189"/>
      <c r="Y1012" s="189"/>
      <c r="Z1012" s="189"/>
      <c r="AA1012" s="189"/>
      <c r="AB1012" s="189"/>
      <c r="AC1012" s="189"/>
      <c r="AD1012" s="189"/>
      <c r="AE1012" s="189"/>
      <c r="AF1012" s="189"/>
      <c r="AG1012" s="189"/>
      <c r="AH1012" s="189"/>
      <c r="AI1012" s="189"/>
      <c r="AJ1012" s="189"/>
      <c r="AK1012" s="189"/>
      <c r="AL1012" s="189"/>
      <c r="AM1012" s="189"/>
      <c r="AN1012" s="189"/>
      <c r="AO1012" s="189"/>
      <c r="AP1012" s="189"/>
      <c r="AQ1012" s="189"/>
      <c r="AR1012" s="189"/>
      <c r="AS1012" s="189"/>
      <c r="AT1012" s="189"/>
      <c r="AU1012" s="189"/>
      <c r="AV1012" s="189"/>
      <c r="AW1012" s="189"/>
      <c r="AX1012" s="189"/>
    </row>
    <row r="1013" ht="15.75" customHeight="1">
      <c r="A1013" s="189"/>
      <c r="B1013" s="189"/>
      <c r="C1013" s="190"/>
      <c r="D1013" s="190"/>
      <c r="E1013" s="190"/>
      <c r="F1013" s="190"/>
      <c r="G1013" s="189"/>
      <c r="H1013" s="189"/>
      <c r="I1013" s="189"/>
      <c r="J1013" s="189"/>
      <c r="K1013" s="189"/>
      <c r="L1013" s="189"/>
      <c r="M1013" s="189"/>
      <c r="N1013" s="189"/>
      <c r="O1013" s="189"/>
      <c r="P1013" s="291"/>
      <c r="Q1013" s="189"/>
      <c r="R1013" s="189"/>
      <c r="S1013" s="189"/>
      <c r="T1013" s="189"/>
      <c r="U1013" s="189"/>
      <c r="V1013" s="189"/>
      <c r="W1013" s="189"/>
      <c r="X1013" s="189"/>
      <c r="Y1013" s="189"/>
      <c r="Z1013" s="189"/>
      <c r="AA1013" s="189"/>
      <c r="AB1013" s="189"/>
      <c r="AC1013" s="189"/>
      <c r="AD1013" s="189"/>
      <c r="AE1013" s="189"/>
      <c r="AF1013" s="189"/>
      <c r="AG1013" s="189"/>
      <c r="AH1013" s="189"/>
      <c r="AI1013" s="189"/>
      <c r="AJ1013" s="189"/>
      <c r="AK1013" s="189"/>
      <c r="AL1013" s="189"/>
      <c r="AM1013" s="189"/>
      <c r="AN1013" s="189"/>
      <c r="AO1013" s="189"/>
      <c r="AP1013" s="189"/>
      <c r="AQ1013" s="189"/>
      <c r="AR1013" s="189"/>
      <c r="AS1013" s="189"/>
      <c r="AT1013" s="189"/>
      <c r="AU1013" s="189"/>
      <c r="AV1013" s="189"/>
      <c r="AW1013" s="189"/>
      <c r="AX1013" s="189"/>
    </row>
    <row r="1014" ht="15.75" customHeight="1">
      <c r="A1014" s="189"/>
      <c r="B1014" s="189"/>
      <c r="C1014" s="190"/>
      <c r="D1014" s="190"/>
      <c r="E1014" s="190"/>
      <c r="F1014" s="190"/>
      <c r="G1014" s="189"/>
      <c r="H1014" s="189"/>
      <c r="I1014" s="189"/>
      <c r="J1014" s="189"/>
      <c r="K1014" s="189"/>
      <c r="L1014" s="189"/>
      <c r="M1014" s="189"/>
      <c r="N1014" s="189"/>
      <c r="O1014" s="189"/>
      <c r="P1014" s="291"/>
      <c r="Q1014" s="189"/>
      <c r="R1014" s="189"/>
      <c r="S1014" s="189"/>
      <c r="T1014" s="189"/>
      <c r="U1014" s="189"/>
      <c r="V1014" s="189"/>
      <c r="W1014" s="189"/>
      <c r="X1014" s="189"/>
      <c r="Y1014" s="189"/>
      <c r="Z1014" s="189"/>
      <c r="AA1014" s="189"/>
      <c r="AB1014" s="189"/>
      <c r="AC1014" s="189"/>
      <c r="AD1014" s="189"/>
      <c r="AE1014" s="189"/>
      <c r="AF1014" s="189"/>
      <c r="AG1014" s="189"/>
      <c r="AH1014" s="189"/>
      <c r="AI1014" s="189"/>
      <c r="AJ1014" s="189"/>
      <c r="AK1014" s="189"/>
      <c r="AL1014" s="189"/>
      <c r="AM1014" s="189"/>
      <c r="AN1014" s="189"/>
      <c r="AO1014" s="189"/>
      <c r="AP1014" s="189"/>
      <c r="AQ1014" s="189"/>
      <c r="AR1014" s="189"/>
      <c r="AS1014" s="189"/>
      <c r="AT1014" s="189"/>
      <c r="AU1014" s="189"/>
      <c r="AV1014" s="189"/>
      <c r="AW1014" s="189"/>
      <c r="AX1014" s="189"/>
    </row>
    <row r="1015" ht="15.75" customHeight="1">
      <c r="A1015" s="189"/>
      <c r="B1015" s="189"/>
      <c r="C1015" s="190"/>
      <c r="D1015" s="190"/>
      <c r="E1015" s="190"/>
      <c r="F1015" s="190"/>
      <c r="G1015" s="189"/>
      <c r="H1015" s="189"/>
      <c r="I1015" s="189"/>
      <c r="J1015" s="189"/>
      <c r="K1015" s="189"/>
      <c r="L1015" s="189"/>
      <c r="M1015" s="189"/>
      <c r="N1015" s="189"/>
      <c r="O1015" s="189"/>
      <c r="P1015" s="291"/>
      <c r="Q1015" s="189"/>
      <c r="R1015" s="189"/>
      <c r="S1015" s="189"/>
      <c r="T1015" s="189"/>
      <c r="U1015" s="189"/>
      <c r="V1015" s="189"/>
      <c r="W1015" s="189"/>
      <c r="X1015" s="189"/>
      <c r="Y1015" s="189"/>
      <c r="Z1015" s="189"/>
      <c r="AA1015" s="189"/>
      <c r="AB1015" s="189"/>
      <c r="AC1015" s="189"/>
      <c r="AD1015" s="189"/>
      <c r="AE1015" s="189"/>
      <c r="AF1015" s="189"/>
      <c r="AG1015" s="189"/>
      <c r="AH1015" s="189"/>
      <c r="AI1015" s="189"/>
      <c r="AJ1015" s="189"/>
      <c r="AK1015" s="189"/>
      <c r="AL1015" s="189"/>
      <c r="AM1015" s="189"/>
      <c r="AN1015" s="189"/>
      <c r="AO1015" s="189"/>
      <c r="AP1015" s="189"/>
      <c r="AQ1015" s="189"/>
      <c r="AR1015" s="189"/>
      <c r="AS1015" s="189"/>
      <c r="AT1015" s="189"/>
      <c r="AU1015" s="189"/>
      <c r="AV1015" s="189"/>
      <c r="AW1015" s="189"/>
      <c r="AX1015" s="189"/>
    </row>
    <row r="1016" ht="15.75" customHeight="1">
      <c r="A1016" s="189"/>
      <c r="B1016" s="189"/>
      <c r="C1016" s="190"/>
      <c r="D1016" s="190"/>
      <c r="E1016" s="190"/>
      <c r="F1016" s="190"/>
      <c r="G1016" s="189"/>
      <c r="H1016" s="189"/>
      <c r="I1016" s="189"/>
      <c r="J1016" s="189"/>
      <c r="K1016" s="189"/>
      <c r="L1016" s="189"/>
      <c r="M1016" s="189"/>
      <c r="N1016" s="189"/>
      <c r="O1016" s="189"/>
      <c r="P1016" s="291"/>
      <c r="Q1016" s="189"/>
      <c r="R1016" s="189"/>
      <c r="S1016" s="189"/>
      <c r="T1016" s="189"/>
      <c r="U1016" s="189"/>
      <c r="V1016" s="189"/>
      <c r="W1016" s="189"/>
      <c r="X1016" s="189"/>
      <c r="Y1016" s="189"/>
      <c r="Z1016" s="189"/>
      <c r="AA1016" s="189"/>
      <c r="AB1016" s="189"/>
      <c r="AC1016" s="189"/>
      <c r="AD1016" s="189"/>
      <c r="AE1016" s="189"/>
      <c r="AF1016" s="189"/>
      <c r="AG1016" s="189"/>
      <c r="AH1016" s="189"/>
      <c r="AI1016" s="189"/>
      <c r="AJ1016" s="189"/>
      <c r="AK1016" s="189"/>
      <c r="AL1016" s="189"/>
      <c r="AM1016" s="189"/>
      <c r="AN1016" s="189"/>
      <c r="AO1016" s="189"/>
      <c r="AP1016" s="189"/>
      <c r="AQ1016" s="189"/>
      <c r="AR1016" s="189"/>
      <c r="AS1016" s="189"/>
      <c r="AT1016" s="189"/>
      <c r="AU1016" s="189"/>
      <c r="AV1016" s="189"/>
      <c r="AW1016" s="189"/>
      <c r="AX1016" s="189"/>
    </row>
    <row r="1017" ht="15.75" customHeight="1">
      <c r="A1017" s="189"/>
      <c r="B1017" s="189"/>
      <c r="C1017" s="190"/>
      <c r="D1017" s="190"/>
      <c r="E1017" s="190"/>
      <c r="F1017" s="190"/>
      <c r="G1017" s="189"/>
      <c r="H1017" s="189"/>
      <c r="I1017" s="189"/>
      <c r="J1017" s="189"/>
      <c r="K1017" s="189"/>
      <c r="L1017" s="189"/>
      <c r="M1017" s="189"/>
      <c r="N1017" s="189"/>
      <c r="O1017" s="189"/>
      <c r="P1017" s="291"/>
      <c r="Q1017" s="189"/>
      <c r="R1017" s="189"/>
      <c r="S1017" s="189"/>
      <c r="T1017" s="189"/>
      <c r="U1017" s="189"/>
      <c r="V1017" s="189"/>
      <c r="W1017" s="189"/>
      <c r="X1017" s="189"/>
      <c r="Y1017" s="189"/>
      <c r="Z1017" s="189"/>
      <c r="AA1017" s="189"/>
      <c r="AB1017" s="189"/>
      <c r="AC1017" s="189"/>
      <c r="AD1017" s="189"/>
      <c r="AE1017" s="189"/>
      <c r="AF1017" s="189"/>
      <c r="AG1017" s="189"/>
      <c r="AH1017" s="189"/>
      <c r="AI1017" s="189"/>
      <c r="AJ1017" s="189"/>
      <c r="AK1017" s="189"/>
      <c r="AL1017" s="189"/>
      <c r="AM1017" s="189"/>
      <c r="AN1017" s="189"/>
      <c r="AO1017" s="189"/>
      <c r="AP1017" s="189"/>
      <c r="AQ1017" s="189"/>
      <c r="AR1017" s="189"/>
      <c r="AS1017" s="189"/>
      <c r="AT1017" s="189"/>
      <c r="AU1017" s="189"/>
      <c r="AV1017" s="189"/>
      <c r="AW1017" s="189"/>
      <c r="AX1017" s="189"/>
    </row>
    <row r="1018" ht="15.75" customHeight="1">
      <c r="A1018" s="189"/>
      <c r="B1018" s="189"/>
      <c r="C1018" s="190"/>
      <c r="D1018" s="190"/>
      <c r="E1018" s="190"/>
      <c r="F1018" s="190"/>
      <c r="G1018" s="189"/>
      <c r="H1018" s="189"/>
      <c r="I1018" s="189"/>
      <c r="J1018" s="189"/>
      <c r="K1018" s="189"/>
      <c r="L1018" s="189"/>
      <c r="M1018" s="189"/>
      <c r="N1018" s="189"/>
      <c r="O1018" s="189"/>
      <c r="P1018" s="291"/>
      <c r="Q1018" s="189"/>
      <c r="R1018" s="189"/>
      <c r="S1018" s="189"/>
      <c r="T1018" s="189"/>
      <c r="U1018" s="189"/>
      <c r="V1018" s="189"/>
      <c r="W1018" s="189"/>
      <c r="X1018" s="189"/>
      <c r="Y1018" s="189"/>
      <c r="Z1018" s="189"/>
      <c r="AA1018" s="189"/>
      <c r="AB1018" s="189"/>
      <c r="AC1018" s="189"/>
      <c r="AD1018" s="189"/>
      <c r="AE1018" s="189"/>
      <c r="AF1018" s="189"/>
      <c r="AG1018" s="189"/>
      <c r="AH1018" s="189"/>
      <c r="AI1018" s="189"/>
      <c r="AJ1018" s="189"/>
      <c r="AK1018" s="189"/>
      <c r="AL1018" s="189"/>
      <c r="AM1018" s="189"/>
      <c r="AN1018" s="189"/>
      <c r="AO1018" s="189"/>
      <c r="AP1018" s="189"/>
      <c r="AQ1018" s="189"/>
      <c r="AR1018" s="189"/>
      <c r="AS1018" s="189"/>
      <c r="AT1018" s="189"/>
      <c r="AU1018" s="189"/>
      <c r="AV1018" s="189"/>
      <c r="AW1018" s="189"/>
      <c r="AX1018" s="189"/>
    </row>
    <row r="1019" ht="15.75" customHeight="1">
      <c r="A1019" s="189"/>
      <c r="B1019" s="189"/>
      <c r="C1019" s="190"/>
      <c r="D1019" s="190"/>
      <c r="E1019" s="190"/>
      <c r="F1019" s="190"/>
      <c r="G1019" s="189"/>
      <c r="H1019" s="189"/>
      <c r="I1019" s="189"/>
      <c r="J1019" s="189"/>
      <c r="K1019" s="189"/>
      <c r="L1019" s="189"/>
      <c r="M1019" s="189"/>
      <c r="N1019" s="189"/>
      <c r="O1019" s="189"/>
      <c r="P1019" s="291"/>
      <c r="Q1019" s="189"/>
      <c r="R1019" s="189"/>
      <c r="S1019" s="189"/>
      <c r="T1019" s="189"/>
      <c r="U1019" s="189"/>
      <c r="V1019" s="189"/>
      <c r="W1019" s="189"/>
      <c r="X1019" s="189"/>
      <c r="Y1019" s="189"/>
      <c r="Z1019" s="189"/>
      <c r="AA1019" s="189"/>
      <c r="AB1019" s="189"/>
      <c r="AC1019" s="189"/>
      <c r="AD1019" s="189"/>
      <c r="AE1019" s="189"/>
      <c r="AF1019" s="189"/>
      <c r="AG1019" s="189"/>
      <c r="AH1019" s="189"/>
      <c r="AI1019" s="189"/>
      <c r="AJ1019" s="189"/>
      <c r="AK1019" s="189"/>
      <c r="AL1019" s="189"/>
      <c r="AM1019" s="189"/>
      <c r="AN1019" s="189"/>
      <c r="AO1019" s="189"/>
      <c r="AP1019" s="189"/>
      <c r="AQ1019" s="189"/>
      <c r="AR1019" s="189"/>
      <c r="AS1019" s="189"/>
      <c r="AT1019" s="189"/>
      <c r="AU1019" s="189"/>
      <c r="AV1019" s="189"/>
      <c r="AW1019" s="189"/>
      <c r="AX1019" s="189"/>
    </row>
    <row r="1020" ht="15.75" customHeight="1">
      <c r="A1020" s="189"/>
      <c r="B1020" s="189"/>
      <c r="C1020" s="190"/>
      <c r="D1020" s="190"/>
      <c r="E1020" s="190"/>
      <c r="F1020" s="190"/>
      <c r="G1020" s="189"/>
      <c r="H1020" s="189"/>
      <c r="I1020" s="189"/>
      <c r="J1020" s="189"/>
      <c r="K1020" s="189"/>
      <c r="L1020" s="189"/>
      <c r="M1020" s="189"/>
      <c r="N1020" s="189"/>
      <c r="O1020" s="189"/>
      <c r="P1020" s="291"/>
      <c r="Q1020" s="189"/>
      <c r="R1020" s="189"/>
      <c r="S1020" s="189"/>
      <c r="T1020" s="189"/>
      <c r="U1020" s="189"/>
      <c r="V1020" s="189"/>
      <c r="W1020" s="189"/>
      <c r="X1020" s="189"/>
      <c r="Y1020" s="189"/>
      <c r="Z1020" s="189"/>
      <c r="AA1020" s="189"/>
      <c r="AB1020" s="189"/>
      <c r="AC1020" s="189"/>
      <c r="AD1020" s="189"/>
      <c r="AE1020" s="189"/>
      <c r="AF1020" s="189"/>
      <c r="AG1020" s="189"/>
      <c r="AH1020" s="189"/>
      <c r="AI1020" s="189"/>
      <c r="AJ1020" s="189"/>
      <c r="AK1020" s="189"/>
      <c r="AL1020" s="189"/>
      <c r="AM1020" s="189"/>
      <c r="AN1020" s="189"/>
      <c r="AO1020" s="189"/>
      <c r="AP1020" s="189"/>
      <c r="AQ1020" s="189"/>
      <c r="AR1020" s="189"/>
      <c r="AS1020" s="189"/>
      <c r="AT1020" s="189"/>
      <c r="AU1020" s="189"/>
      <c r="AV1020" s="189"/>
      <c r="AW1020" s="189"/>
      <c r="AX1020" s="189"/>
    </row>
    <row r="1021" ht="15.75" customHeight="1">
      <c r="A1021" s="189"/>
      <c r="B1021" s="189"/>
      <c r="C1021" s="190"/>
      <c r="D1021" s="190"/>
      <c r="E1021" s="190"/>
      <c r="F1021" s="190"/>
      <c r="G1021" s="189"/>
      <c r="H1021" s="189"/>
      <c r="I1021" s="189"/>
      <c r="J1021" s="189"/>
      <c r="K1021" s="189"/>
      <c r="L1021" s="189"/>
      <c r="M1021" s="189"/>
      <c r="N1021" s="189"/>
      <c r="O1021" s="189"/>
      <c r="P1021" s="291"/>
      <c r="Q1021" s="189"/>
      <c r="R1021" s="189"/>
      <c r="S1021" s="189"/>
      <c r="T1021" s="189"/>
      <c r="U1021" s="189"/>
      <c r="V1021" s="189"/>
      <c r="W1021" s="189"/>
      <c r="X1021" s="189"/>
      <c r="Y1021" s="189"/>
      <c r="Z1021" s="189"/>
      <c r="AA1021" s="189"/>
      <c r="AB1021" s="189"/>
      <c r="AC1021" s="189"/>
      <c r="AD1021" s="189"/>
      <c r="AE1021" s="189"/>
      <c r="AF1021" s="189"/>
      <c r="AG1021" s="189"/>
      <c r="AH1021" s="189"/>
      <c r="AI1021" s="189"/>
      <c r="AJ1021" s="189"/>
      <c r="AK1021" s="189"/>
      <c r="AL1021" s="189"/>
      <c r="AM1021" s="189"/>
      <c r="AN1021" s="189"/>
      <c r="AO1021" s="189"/>
      <c r="AP1021" s="189"/>
      <c r="AQ1021" s="189"/>
      <c r="AR1021" s="189"/>
      <c r="AS1021" s="189"/>
      <c r="AT1021" s="189"/>
      <c r="AU1021" s="189"/>
      <c r="AV1021" s="189"/>
      <c r="AW1021" s="189"/>
      <c r="AX1021" s="189"/>
    </row>
    <row r="1022" ht="15.75" customHeight="1">
      <c r="A1022" s="189"/>
      <c r="B1022" s="189"/>
      <c r="C1022" s="190"/>
      <c r="D1022" s="190"/>
      <c r="E1022" s="190"/>
      <c r="F1022" s="190"/>
      <c r="G1022" s="189"/>
      <c r="H1022" s="189"/>
      <c r="I1022" s="189"/>
      <c r="J1022" s="189"/>
      <c r="K1022" s="189"/>
      <c r="L1022" s="189"/>
      <c r="M1022" s="189"/>
      <c r="N1022" s="189"/>
      <c r="O1022" s="189"/>
      <c r="P1022" s="291"/>
      <c r="Q1022" s="189"/>
      <c r="R1022" s="189"/>
      <c r="S1022" s="189"/>
      <c r="T1022" s="189"/>
      <c r="U1022" s="189"/>
      <c r="V1022" s="189"/>
      <c r="W1022" s="189"/>
      <c r="X1022" s="189"/>
      <c r="Y1022" s="189"/>
      <c r="Z1022" s="189"/>
      <c r="AA1022" s="189"/>
      <c r="AB1022" s="189"/>
      <c r="AC1022" s="189"/>
      <c r="AD1022" s="189"/>
      <c r="AE1022" s="189"/>
      <c r="AF1022" s="189"/>
      <c r="AG1022" s="189"/>
      <c r="AH1022" s="189"/>
      <c r="AI1022" s="189"/>
      <c r="AJ1022" s="189"/>
      <c r="AK1022" s="189"/>
      <c r="AL1022" s="189"/>
      <c r="AM1022" s="189"/>
      <c r="AN1022" s="189"/>
      <c r="AO1022" s="189"/>
      <c r="AP1022" s="189"/>
      <c r="AQ1022" s="189"/>
      <c r="AR1022" s="189"/>
      <c r="AS1022" s="189"/>
      <c r="AT1022" s="189"/>
      <c r="AU1022" s="189"/>
      <c r="AV1022" s="189"/>
      <c r="AW1022" s="189"/>
      <c r="AX1022" s="189"/>
    </row>
    <row r="1023" ht="15.75" customHeight="1">
      <c r="A1023" s="189"/>
      <c r="B1023" s="189"/>
      <c r="C1023" s="190"/>
      <c r="D1023" s="190"/>
      <c r="E1023" s="190"/>
      <c r="F1023" s="190"/>
      <c r="G1023" s="189"/>
      <c r="H1023" s="189"/>
      <c r="I1023" s="189"/>
      <c r="J1023" s="189"/>
      <c r="K1023" s="189"/>
      <c r="L1023" s="189"/>
      <c r="M1023" s="189"/>
      <c r="N1023" s="189"/>
      <c r="O1023" s="189"/>
      <c r="P1023" s="291"/>
      <c r="Q1023" s="189"/>
      <c r="R1023" s="189"/>
      <c r="S1023" s="189"/>
      <c r="T1023" s="189"/>
      <c r="U1023" s="189"/>
      <c r="V1023" s="189"/>
      <c r="W1023" s="189"/>
      <c r="X1023" s="189"/>
      <c r="Y1023" s="189"/>
      <c r="Z1023" s="189"/>
      <c r="AA1023" s="189"/>
      <c r="AB1023" s="189"/>
      <c r="AC1023" s="189"/>
      <c r="AD1023" s="189"/>
      <c r="AE1023" s="189"/>
      <c r="AF1023" s="189"/>
      <c r="AG1023" s="189"/>
      <c r="AH1023" s="189"/>
      <c r="AI1023" s="189"/>
      <c r="AJ1023" s="189"/>
      <c r="AK1023" s="189"/>
      <c r="AL1023" s="189"/>
      <c r="AM1023" s="189"/>
      <c r="AN1023" s="189"/>
      <c r="AO1023" s="189"/>
      <c r="AP1023" s="189"/>
      <c r="AQ1023" s="189"/>
      <c r="AR1023" s="189"/>
      <c r="AS1023" s="189"/>
      <c r="AT1023" s="189"/>
      <c r="AU1023" s="189"/>
      <c r="AV1023" s="189"/>
      <c r="AW1023" s="189"/>
      <c r="AX1023" s="189"/>
    </row>
    <row r="1024" ht="15.75" customHeight="1">
      <c r="A1024" s="189"/>
      <c r="B1024" s="189"/>
      <c r="C1024" s="190"/>
      <c r="D1024" s="190"/>
      <c r="E1024" s="190"/>
      <c r="F1024" s="190"/>
      <c r="G1024" s="189"/>
      <c r="H1024" s="189"/>
      <c r="I1024" s="189"/>
      <c r="J1024" s="189"/>
      <c r="K1024" s="189"/>
      <c r="L1024" s="189"/>
      <c r="M1024" s="189"/>
      <c r="N1024" s="189"/>
      <c r="O1024" s="189"/>
      <c r="P1024" s="291"/>
      <c r="Q1024" s="189"/>
      <c r="R1024" s="189"/>
      <c r="S1024" s="189"/>
      <c r="T1024" s="189"/>
      <c r="U1024" s="189"/>
      <c r="V1024" s="189"/>
      <c r="W1024" s="189"/>
      <c r="X1024" s="189"/>
      <c r="Y1024" s="189"/>
      <c r="Z1024" s="189"/>
      <c r="AA1024" s="189"/>
      <c r="AB1024" s="189"/>
      <c r="AC1024" s="189"/>
      <c r="AD1024" s="189"/>
      <c r="AE1024" s="189"/>
      <c r="AF1024" s="189"/>
      <c r="AG1024" s="189"/>
      <c r="AH1024" s="189"/>
      <c r="AI1024" s="189"/>
      <c r="AJ1024" s="189"/>
      <c r="AK1024" s="189"/>
      <c r="AL1024" s="189"/>
      <c r="AM1024" s="189"/>
      <c r="AN1024" s="189"/>
      <c r="AO1024" s="189"/>
      <c r="AP1024" s="189"/>
      <c r="AQ1024" s="189"/>
      <c r="AR1024" s="189"/>
      <c r="AS1024" s="189"/>
      <c r="AT1024" s="189"/>
      <c r="AU1024" s="189"/>
      <c r="AV1024" s="189"/>
      <c r="AW1024" s="189"/>
      <c r="AX1024" s="189"/>
    </row>
    <row r="1025" ht="15.75" customHeight="1">
      <c r="A1025" s="189"/>
      <c r="B1025" s="189"/>
      <c r="C1025" s="190"/>
      <c r="D1025" s="190"/>
      <c r="E1025" s="190"/>
      <c r="F1025" s="190"/>
      <c r="G1025" s="189"/>
      <c r="H1025" s="189"/>
      <c r="I1025" s="189"/>
      <c r="J1025" s="189"/>
      <c r="K1025" s="189"/>
      <c r="L1025" s="189"/>
      <c r="M1025" s="189"/>
      <c r="N1025" s="189"/>
      <c r="O1025" s="189"/>
      <c r="P1025" s="291"/>
      <c r="Q1025" s="189"/>
      <c r="R1025" s="189"/>
      <c r="S1025" s="189"/>
      <c r="T1025" s="189"/>
      <c r="U1025" s="189"/>
      <c r="V1025" s="189"/>
      <c r="W1025" s="189"/>
      <c r="X1025" s="189"/>
      <c r="Y1025" s="189"/>
      <c r="Z1025" s="189"/>
      <c r="AA1025" s="189"/>
      <c r="AB1025" s="189"/>
      <c r="AC1025" s="189"/>
      <c r="AD1025" s="189"/>
      <c r="AE1025" s="189"/>
      <c r="AF1025" s="189"/>
      <c r="AG1025" s="189"/>
      <c r="AH1025" s="189"/>
      <c r="AI1025" s="189"/>
      <c r="AJ1025" s="189"/>
      <c r="AK1025" s="189"/>
      <c r="AL1025" s="189"/>
      <c r="AM1025" s="189"/>
      <c r="AN1025" s="189"/>
      <c r="AO1025" s="189"/>
      <c r="AP1025" s="189"/>
      <c r="AQ1025" s="189"/>
      <c r="AR1025" s="189"/>
      <c r="AS1025" s="189"/>
      <c r="AT1025" s="189"/>
      <c r="AU1025" s="189"/>
      <c r="AV1025" s="189"/>
      <c r="AW1025" s="189"/>
      <c r="AX1025" s="189"/>
    </row>
    <row r="1026" ht="15.75" customHeight="1">
      <c r="A1026" s="189"/>
      <c r="B1026" s="189"/>
      <c r="C1026" s="190"/>
      <c r="D1026" s="190"/>
      <c r="E1026" s="190"/>
      <c r="F1026" s="190"/>
      <c r="G1026" s="189"/>
      <c r="H1026" s="189"/>
      <c r="I1026" s="189"/>
      <c r="J1026" s="189"/>
      <c r="K1026" s="189"/>
      <c r="L1026" s="189"/>
      <c r="M1026" s="189"/>
      <c r="N1026" s="189"/>
      <c r="O1026" s="189"/>
      <c r="P1026" s="291"/>
      <c r="Q1026" s="189"/>
      <c r="R1026" s="189"/>
      <c r="S1026" s="189"/>
      <c r="T1026" s="189"/>
      <c r="U1026" s="189"/>
      <c r="V1026" s="189"/>
      <c r="W1026" s="189"/>
      <c r="X1026" s="189"/>
      <c r="Y1026" s="189"/>
      <c r="Z1026" s="189"/>
      <c r="AA1026" s="189"/>
      <c r="AB1026" s="189"/>
      <c r="AC1026" s="189"/>
      <c r="AD1026" s="189"/>
      <c r="AE1026" s="189"/>
      <c r="AF1026" s="189"/>
      <c r="AG1026" s="189"/>
      <c r="AH1026" s="189"/>
      <c r="AI1026" s="189"/>
      <c r="AJ1026" s="189"/>
      <c r="AK1026" s="189"/>
      <c r="AL1026" s="189"/>
      <c r="AM1026" s="189"/>
      <c r="AN1026" s="189"/>
      <c r="AO1026" s="189"/>
      <c r="AP1026" s="189"/>
      <c r="AQ1026" s="189"/>
      <c r="AR1026" s="189"/>
      <c r="AS1026" s="189"/>
      <c r="AT1026" s="189"/>
      <c r="AU1026" s="189"/>
      <c r="AV1026" s="189"/>
      <c r="AW1026" s="189"/>
      <c r="AX1026" s="189"/>
    </row>
    <row r="1027" ht="15.75" customHeight="1">
      <c r="A1027" s="189"/>
      <c r="B1027" s="189"/>
      <c r="C1027" s="190"/>
      <c r="D1027" s="190"/>
      <c r="E1027" s="190"/>
      <c r="F1027" s="190"/>
      <c r="G1027" s="189"/>
      <c r="H1027" s="189"/>
      <c r="I1027" s="189"/>
      <c r="J1027" s="189"/>
      <c r="K1027" s="189"/>
      <c r="L1027" s="189"/>
      <c r="M1027" s="189"/>
      <c r="N1027" s="189"/>
      <c r="O1027" s="189"/>
      <c r="P1027" s="291"/>
      <c r="Q1027" s="189"/>
      <c r="R1027" s="189"/>
      <c r="S1027" s="189"/>
      <c r="T1027" s="189"/>
      <c r="U1027" s="189"/>
      <c r="V1027" s="189"/>
      <c r="W1027" s="189"/>
      <c r="X1027" s="189"/>
      <c r="Y1027" s="189"/>
      <c r="Z1027" s="189"/>
      <c r="AA1027" s="189"/>
      <c r="AB1027" s="189"/>
      <c r="AC1027" s="189"/>
      <c r="AD1027" s="189"/>
      <c r="AE1027" s="189"/>
      <c r="AF1027" s="189"/>
      <c r="AG1027" s="189"/>
      <c r="AH1027" s="189"/>
      <c r="AI1027" s="189"/>
      <c r="AJ1027" s="189"/>
      <c r="AK1027" s="189"/>
      <c r="AL1027" s="189"/>
      <c r="AM1027" s="189"/>
      <c r="AN1027" s="189"/>
      <c r="AO1027" s="189"/>
      <c r="AP1027" s="189"/>
      <c r="AQ1027" s="189"/>
      <c r="AR1027" s="189"/>
      <c r="AS1027" s="189"/>
      <c r="AT1027" s="189"/>
      <c r="AU1027" s="189"/>
      <c r="AV1027" s="189"/>
      <c r="AW1027" s="189"/>
      <c r="AX1027" s="189"/>
    </row>
    <row r="1028" ht="15.75" customHeight="1">
      <c r="A1028" s="189"/>
      <c r="B1028" s="189"/>
      <c r="C1028" s="190"/>
      <c r="D1028" s="190"/>
      <c r="E1028" s="190"/>
      <c r="F1028" s="190"/>
      <c r="G1028" s="189"/>
      <c r="H1028" s="189"/>
      <c r="I1028" s="189"/>
      <c r="J1028" s="189"/>
      <c r="K1028" s="189"/>
      <c r="L1028" s="189"/>
      <c r="M1028" s="189"/>
      <c r="N1028" s="189"/>
      <c r="O1028" s="189"/>
      <c r="P1028" s="291"/>
      <c r="Q1028" s="189"/>
      <c r="R1028" s="189"/>
      <c r="S1028" s="189"/>
      <c r="T1028" s="189"/>
      <c r="U1028" s="189"/>
      <c r="V1028" s="189"/>
      <c r="W1028" s="189"/>
      <c r="X1028" s="189"/>
      <c r="Y1028" s="189"/>
      <c r="Z1028" s="189"/>
      <c r="AA1028" s="189"/>
      <c r="AB1028" s="189"/>
      <c r="AC1028" s="189"/>
      <c r="AD1028" s="189"/>
      <c r="AE1028" s="189"/>
      <c r="AF1028" s="189"/>
      <c r="AG1028" s="189"/>
      <c r="AH1028" s="189"/>
      <c r="AI1028" s="189"/>
      <c r="AJ1028" s="189"/>
      <c r="AK1028" s="189"/>
      <c r="AL1028" s="189"/>
      <c r="AM1028" s="189"/>
      <c r="AN1028" s="189"/>
      <c r="AO1028" s="189"/>
      <c r="AP1028" s="189"/>
      <c r="AQ1028" s="189"/>
      <c r="AR1028" s="189"/>
      <c r="AS1028" s="189"/>
      <c r="AT1028" s="189"/>
      <c r="AU1028" s="189"/>
      <c r="AV1028" s="189"/>
      <c r="AW1028" s="189"/>
      <c r="AX1028" s="189"/>
    </row>
    <row r="1029" ht="15.75" customHeight="1">
      <c r="A1029" s="189"/>
      <c r="B1029" s="189"/>
      <c r="C1029" s="190"/>
      <c r="D1029" s="190"/>
      <c r="E1029" s="190"/>
      <c r="F1029" s="190"/>
      <c r="G1029" s="189"/>
      <c r="H1029" s="189"/>
      <c r="I1029" s="189"/>
      <c r="J1029" s="189"/>
      <c r="K1029" s="189"/>
      <c r="L1029" s="189"/>
      <c r="M1029" s="189"/>
      <c r="N1029" s="189"/>
      <c r="O1029" s="189"/>
      <c r="P1029" s="291"/>
      <c r="Q1029" s="189"/>
      <c r="R1029" s="189"/>
      <c r="S1029" s="189"/>
      <c r="T1029" s="189"/>
      <c r="U1029" s="189"/>
      <c r="V1029" s="189"/>
      <c r="W1029" s="189"/>
      <c r="X1029" s="189"/>
      <c r="Y1029" s="189"/>
      <c r="Z1029" s="189"/>
      <c r="AA1029" s="189"/>
      <c r="AB1029" s="189"/>
      <c r="AC1029" s="189"/>
      <c r="AD1029" s="189"/>
      <c r="AE1029" s="189"/>
      <c r="AF1029" s="189"/>
      <c r="AG1029" s="189"/>
      <c r="AH1029" s="189"/>
      <c r="AI1029" s="189"/>
      <c r="AJ1029" s="189"/>
      <c r="AK1029" s="189"/>
      <c r="AL1029" s="189"/>
      <c r="AM1029" s="189"/>
      <c r="AN1029" s="189"/>
      <c r="AO1029" s="189"/>
      <c r="AP1029" s="189"/>
      <c r="AQ1029" s="189"/>
      <c r="AR1029" s="189"/>
      <c r="AS1029" s="189"/>
      <c r="AT1029" s="189"/>
      <c r="AU1029" s="189"/>
      <c r="AV1029" s="189"/>
      <c r="AW1029" s="189"/>
      <c r="AX1029" s="189"/>
    </row>
    <row r="1030" ht="15.75" customHeight="1">
      <c r="A1030" s="189"/>
      <c r="B1030" s="189"/>
      <c r="C1030" s="190"/>
      <c r="D1030" s="190"/>
      <c r="E1030" s="190"/>
      <c r="F1030" s="190"/>
      <c r="G1030" s="189"/>
      <c r="H1030" s="189"/>
      <c r="I1030" s="189"/>
      <c r="J1030" s="189"/>
      <c r="K1030" s="189"/>
      <c r="L1030" s="189"/>
      <c r="M1030" s="189"/>
      <c r="N1030" s="189"/>
      <c r="O1030" s="189"/>
      <c r="P1030" s="291"/>
      <c r="Q1030" s="189"/>
      <c r="R1030" s="189"/>
      <c r="S1030" s="189"/>
      <c r="T1030" s="189"/>
      <c r="U1030" s="189"/>
      <c r="V1030" s="189"/>
      <c r="W1030" s="189"/>
      <c r="X1030" s="189"/>
      <c r="Y1030" s="189"/>
      <c r="Z1030" s="189"/>
      <c r="AA1030" s="189"/>
      <c r="AB1030" s="189"/>
      <c r="AC1030" s="189"/>
      <c r="AD1030" s="189"/>
      <c r="AE1030" s="189"/>
      <c r="AF1030" s="189"/>
      <c r="AG1030" s="189"/>
      <c r="AH1030" s="189"/>
      <c r="AI1030" s="189"/>
      <c r="AJ1030" s="189"/>
      <c r="AK1030" s="189"/>
      <c r="AL1030" s="189"/>
      <c r="AM1030" s="189"/>
      <c r="AN1030" s="189"/>
      <c r="AO1030" s="189"/>
      <c r="AP1030" s="189"/>
      <c r="AQ1030" s="189"/>
      <c r="AR1030" s="189"/>
      <c r="AS1030" s="189"/>
      <c r="AT1030" s="189"/>
      <c r="AU1030" s="189"/>
      <c r="AV1030" s="189"/>
      <c r="AW1030" s="189"/>
      <c r="AX1030" s="189"/>
    </row>
    <row r="1031" ht="15.75" customHeight="1">
      <c r="A1031" s="189"/>
      <c r="B1031" s="189"/>
      <c r="C1031" s="190"/>
      <c r="D1031" s="190"/>
      <c r="E1031" s="190"/>
      <c r="F1031" s="190"/>
      <c r="G1031" s="189"/>
      <c r="H1031" s="189"/>
      <c r="I1031" s="189"/>
      <c r="J1031" s="189"/>
      <c r="K1031" s="189"/>
      <c r="L1031" s="189"/>
      <c r="M1031" s="189"/>
      <c r="N1031" s="189"/>
      <c r="O1031" s="189"/>
      <c r="P1031" s="291"/>
      <c r="Q1031" s="189"/>
      <c r="R1031" s="189"/>
      <c r="S1031" s="189"/>
      <c r="T1031" s="189"/>
      <c r="U1031" s="189"/>
      <c r="V1031" s="189"/>
      <c r="W1031" s="189"/>
      <c r="X1031" s="189"/>
      <c r="Y1031" s="189"/>
      <c r="Z1031" s="189"/>
      <c r="AA1031" s="189"/>
      <c r="AB1031" s="189"/>
      <c r="AC1031" s="189"/>
      <c r="AD1031" s="189"/>
      <c r="AE1031" s="189"/>
      <c r="AF1031" s="189"/>
      <c r="AG1031" s="189"/>
      <c r="AH1031" s="189"/>
      <c r="AI1031" s="189"/>
      <c r="AJ1031" s="189"/>
      <c r="AK1031" s="189"/>
      <c r="AL1031" s="189"/>
      <c r="AM1031" s="189"/>
      <c r="AN1031" s="189"/>
      <c r="AO1031" s="189"/>
      <c r="AP1031" s="189"/>
      <c r="AQ1031" s="189"/>
      <c r="AR1031" s="189"/>
      <c r="AS1031" s="189"/>
      <c r="AT1031" s="189"/>
      <c r="AU1031" s="189"/>
      <c r="AV1031" s="189"/>
      <c r="AW1031" s="189"/>
      <c r="AX1031" s="189"/>
    </row>
    <row r="1032" ht="15.75" customHeight="1">
      <c r="A1032" s="189"/>
      <c r="B1032" s="189"/>
      <c r="C1032" s="190"/>
      <c r="D1032" s="190"/>
      <c r="E1032" s="190"/>
      <c r="F1032" s="190"/>
      <c r="G1032" s="189"/>
      <c r="H1032" s="189"/>
      <c r="I1032" s="189"/>
      <c r="J1032" s="189"/>
      <c r="K1032" s="189"/>
      <c r="L1032" s="189"/>
      <c r="M1032" s="189"/>
      <c r="N1032" s="189"/>
      <c r="O1032" s="189"/>
      <c r="P1032" s="291"/>
      <c r="Q1032" s="189"/>
      <c r="R1032" s="189"/>
      <c r="S1032" s="189"/>
      <c r="T1032" s="189"/>
      <c r="U1032" s="189"/>
      <c r="V1032" s="189"/>
      <c r="W1032" s="189"/>
      <c r="X1032" s="189"/>
      <c r="Y1032" s="189"/>
      <c r="Z1032" s="189"/>
      <c r="AA1032" s="189"/>
      <c r="AB1032" s="189"/>
      <c r="AC1032" s="189"/>
      <c r="AD1032" s="189"/>
      <c r="AE1032" s="189"/>
      <c r="AF1032" s="189"/>
      <c r="AG1032" s="189"/>
      <c r="AH1032" s="189"/>
      <c r="AI1032" s="189"/>
      <c r="AJ1032" s="189"/>
      <c r="AK1032" s="189"/>
      <c r="AL1032" s="189"/>
      <c r="AM1032" s="189"/>
      <c r="AN1032" s="189"/>
      <c r="AO1032" s="189"/>
      <c r="AP1032" s="189"/>
      <c r="AQ1032" s="189"/>
      <c r="AR1032" s="189"/>
      <c r="AS1032" s="189"/>
      <c r="AT1032" s="189"/>
      <c r="AU1032" s="189"/>
      <c r="AV1032" s="189"/>
      <c r="AW1032" s="189"/>
      <c r="AX1032" s="189"/>
    </row>
    <row r="1033" ht="15.75" customHeight="1">
      <c r="A1033" s="189"/>
      <c r="B1033" s="189"/>
      <c r="C1033" s="190"/>
      <c r="D1033" s="190"/>
      <c r="E1033" s="190"/>
      <c r="F1033" s="190"/>
      <c r="G1033" s="189"/>
      <c r="H1033" s="189"/>
      <c r="I1033" s="189"/>
      <c r="J1033" s="189"/>
      <c r="K1033" s="189"/>
      <c r="L1033" s="189"/>
      <c r="M1033" s="189"/>
      <c r="N1033" s="189"/>
      <c r="O1033" s="189"/>
      <c r="P1033" s="291"/>
      <c r="Q1033" s="189"/>
      <c r="R1033" s="189"/>
      <c r="S1033" s="189"/>
      <c r="T1033" s="189"/>
      <c r="U1033" s="189"/>
      <c r="V1033" s="189"/>
      <c r="W1033" s="189"/>
      <c r="X1033" s="189"/>
      <c r="Y1033" s="189"/>
      <c r="Z1033" s="189"/>
      <c r="AA1033" s="189"/>
      <c r="AB1033" s="189"/>
      <c r="AC1033" s="189"/>
      <c r="AD1033" s="189"/>
      <c r="AE1033" s="189"/>
      <c r="AF1033" s="189"/>
      <c r="AG1033" s="189"/>
      <c r="AH1033" s="189"/>
      <c r="AI1033" s="189"/>
      <c r="AJ1033" s="189"/>
      <c r="AK1033" s="189"/>
      <c r="AL1033" s="189"/>
      <c r="AM1033" s="189"/>
      <c r="AN1033" s="189"/>
      <c r="AO1033" s="189"/>
      <c r="AP1033" s="189"/>
      <c r="AQ1033" s="189"/>
      <c r="AR1033" s="189"/>
      <c r="AS1033" s="189"/>
      <c r="AT1033" s="189"/>
      <c r="AU1033" s="189"/>
      <c r="AV1033" s="189"/>
      <c r="AW1033" s="189"/>
      <c r="AX1033" s="189"/>
    </row>
    <row r="1034" ht="15.75" customHeight="1">
      <c r="A1034" s="189"/>
      <c r="B1034" s="189"/>
      <c r="C1034" s="190"/>
      <c r="D1034" s="190"/>
      <c r="E1034" s="190"/>
      <c r="F1034" s="190"/>
      <c r="G1034" s="189"/>
      <c r="H1034" s="189"/>
      <c r="I1034" s="189"/>
      <c r="J1034" s="189"/>
      <c r="K1034" s="189"/>
      <c r="L1034" s="189"/>
      <c r="M1034" s="189"/>
      <c r="N1034" s="189"/>
      <c r="O1034" s="189"/>
      <c r="P1034" s="291"/>
      <c r="Q1034" s="189"/>
      <c r="R1034" s="189"/>
      <c r="S1034" s="189"/>
      <c r="T1034" s="189"/>
      <c r="U1034" s="189"/>
      <c r="V1034" s="189"/>
      <c r="W1034" s="189"/>
      <c r="X1034" s="189"/>
      <c r="Y1034" s="189"/>
      <c r="Z1034" s="189"/>
      <c r="AA1034" s="189"/>
      <c r="AB1034" s="189"/>
      <c r="AC1034" s="189"/>
      <c r="AD1034" s="189"/>
      <c r="AE1034" s="189"/>
      <c r="AF1034" s="189"/>
      <c r="AG1034" s="189"/>
      <c r="AH1034" s="189"/>
      <c r="AI1034" s="189"/>
      <c r="AJ1034" s="189"/>
      <c r="AK1034" s="189"/>
      <c r="AL1034" s="189"/>
      <c r="AM1034" s="189"/>
      <c r="AN1034" s="189"/>
      <c r="AO1034" s="189"/>
      <c r="AP1034" s="189"/>
      <c r="AQ1034" s="189"/>
      <c r="AR1034" s="189"/>
      <c r="AS1034" s="189"/>
      <c r="AT1034" s="189"/>
      <c r="AU1034" s="189"/>
      <c r="AV1034" s="189"/>
      <c r="AW1034" s="189"/>
      <c r="AX1034" s="189"/>
    </row>
    <row r="1035" ht="15.75" customHeight="1">
      <c r="A1035" s="189"/>
      <c r="B1035" s="189"/>
      <c r="C1035" s="190"/>
      <c r="D1035" s="190"/>
      <c r="E1035" s="190"/>
      <c r="F1035" s="190"/>
      <c r="G1035" s="189"/>
      <c r="H1035" s="189"/>
      <c r="I1035" s="189"/>
      <c r="J1035" s="189"/>
      <c r="K1035" s="189"/>
      <c r="L1035" s="189"/>
      <c r="M1035" s="189"/>
      <c r="N1035" s="189"/>
      <c r="O1035" s="189"/>
      <c r="P1035" s="291"/>
      <c r="Q1035" s="189"/>
      <c r="R1035" s="189"/>
      <c r="S1035" s="189"/>
      <c r="T1035" s="189"/>
      <c r="U1035" s="189"/>
      <c r="V1035" s="189"/>
      <c r="W1035" s="189"/>
      <c r="X1035" s="189"/>
      <c r="Y1035" s="189"/>
      <c r="Z1035" s="189"/>
      <c r="AA1035" s="189"/>
      <c r="AB1035" s="189"/>
      <c r="AC1035" s="189"/>
      <c r="AD1035" s="189"/>
      <c r="AE1035" s="189"/>
      <c r="AF1035" s="189"/>
      <c r="AG1035" s="189"/>
      <c r="AH1035" s="189"/>
      <c r="AI1035" s="189"/>
      <c r="AJ1035" s="189"/>
      <c r="AK1035" s="189"/>
      <c r="AL1035" s="189"/>
      <c r="AM1035" s="189"/>
      <c r="AN1035" s="189"/>
      <c r="AO1035" s="189"/>
      <c r="AP1035" s="189"/>
      <c r="AQ1035" s="189"/>
      <c r="AR1035" s="189"/>
      <c r="AS1035" s="189"/>
      <c r="AT1035" s="189"/>
      <c r="AU1035" s="189"/>
      <c r="AV1035" s="189"/>
      <c r="AW1035" s="189"/>
      <c r="AX1035" s="189"/>
    </row>
    <row r="1036" ht="15.75" customHeight="1">
      <c r="A1036" s="189"/>
      <c r="B1036" s="189"/>
      <c r="C1036" s="190"/>
      <c r="D1036" s="190"/>
      <c r="E1036" s="190"/>
      <c r="F1036" s="190"/>
      <c r="G1036" s="189"/>
      <c r="H1036" s="189"/>
      <c r="I1036" s="189"/>
      <c r="J1036" s="189"/>
      <c r="K1036" s="189"/>
      <c r="L1036" s="189"/>
      <c r="M1036" s="189"/>
      <c r="N1036" s="189"/>
      <c r="O1036" s="189"/>
      <c r="P1036" s="291"/>
      <c r="Q1036" s="189"/>
      <c r="R1036" s="189"/>
      <c r="S1036" s="189"/>
      <c r="T1036" s="189"/>
      <c r="U1036" s="189"/>
      <c r="V1036" s="189"/>
      <c r="W1036" s="189"/>
      <c r="X1036" s="189"/>
      <c r="Y1036" s="189"/>
      <c r="Z1036" s="189"/>
      <c r="AA1036" s="189"/>
      <c r="AB1036" s="189"/>
      <c r="AC1036" s="189"/>
      <c r="AD1036" s="189"/>
      <c r="AE1036" s="189"/>
      <c r="AF1036" s="189"/>
      <c r="AG1036" s="189"/>
      <c r="AH1036" s="189"/>
      <c r="AI1036" s="189"/>
      <c r="AJ1036" s="189"/>
      <c r="AK1036" s="189"/>
      <c r="AL1036" s="189"/>
      <c r="AM1036" s="189"/>
      <c r="AN1036" s="189"/>
      <c r="AO1036" s="189"/>
      <c r="AP1036" s="189"/>
      <c r="AQ1036" s="189"/>
      <c r="AR1036" s="189"/>
      <c r="AS1036" s="189"/>
      <c r="AT1036" s="189"/>
      <c r="AU1036" s="189"/>
      <c r="AV1036" s="189"/>
      <c r="AW1036" s="189"/>
      <c r="AX1036" s="189"/>
    </row>
    <row r="1037" ht="15.75" customHeight="1">
      <c r="A1037" s="189"/>
      <c r="B1037" s="189"/>
      <c r="C1037" s="190"/>
      <c r="D1037" s="190"/>
      <c r="E1037" s="190"/>
      <c r="F1037" s="190"/>
      <c r="G1037" s="189"/>
      <c r="H1037" s="189"/>
      <c r="I1037" s="189"/>
      <c r="J1037" s="189"/>
      <c r="K1037" s="189"/>
      <c r="L1037" s="189"/>
      <c r="M1037" s="189"/>
      <c r="N1037" s="189"/>
      <c r="O1037" s="189"/>
      <c r="P1037" s="291"/>
      <c r="Q1037" s="189"/>
      <c r="R1037" s="189"/>
      <c r="S1037" s="189"/>
      <c r="T1037" s="189"/>
      <c r="U1037" s="189"/>
      <c r="V1037" s="189"/>
      <c r="W1037" s="189"/>
      <c r="X1037" s="189"/>
      <c r="Y1037" s="189"/>
      <c r="Z1037" s="189"/>
      <c r="AA1037" s="189"/>
      <c r="AB1037" s="189"/>
      <c r="AC1037" s="189"/>
      <c r="AD1037" s="189"/>
      <c r="AE1037" s="189"/>
      <c r="AF1037" s="189"/>
      <c r="AG1037" s="189"/>
      <c r="AH1037" s="189"/>
      <c r="AI1037" s="189"/>
      <c r="AJ1037" s="189"/>
      <c r="AK1037" s="189"/>
      <c r="AL1037" s="189"/>
      <c r="AM1037" s="189"/>
      <c r="AN1037" s="189"/>
      <c r="AO1037" s="189"/>
      <c r="AP1037" s="189"/>
      <c r="AQ1037" s="189"/>
      <c r="AR1037" s="189"/>
      <c r="AS1037" s="189"/>
      <c r="AT1037" s="189"/>
      <c r="AU1037" s="189"/>
      <c r="AV1037" s="189"/>
      <c r="AW1037" s="189"/>
      <c r="AX1037" s="189"/>
    </row>
    <row r="1038" ht="15.75" customHeight="1">
      <c r="A1038" s="189"/>
      <c r="B1038" s="189"/>
      <c r="C1038" s="190"/>
      <c r="D1038" s="190"/>
      <c r="E1038" s="190"/>
      <c r="F1038" s="190"/>
      <c r="G1038" s="189"/>
      <c r="H1038" s="189"/>
      <c r="I1038" s="189"/>
      <c r="J1038" s="189"/>
      <c r="K1038" s="189"/>
      <c r="L1038" s="189"/>
      <c r="M1038" s="189"/>
      <c r="N1038" s="189"/>
      <c r="O1038" s="189"/>
      <c r="P1038" s="291"/>
      <c r="Q1038" s="189"/>
      <c r="R1038" s="189"/>
      <c r="S1038" s="189"/>
      <c r="T1038" s="189"/>
      <c r="U1038" s="189"/>
      <c r="V1038" s="189"/>
      <c r="W1038" s="189"/>
      <c r="X1038" s="189"/>
      <c r="Y1038" s="189"/>
      <c r="Z1038" s="189"/>
      <c r="AA1038" s="189"/>
      <c r="AB1038" s="189"/>
      <c r="AC1038" s="189"/>
      <c r="AD1038" s="189"/>
      <c r="AE1038" s="189"/>
      <c r="AF1038" s="189"/>
      <c r="AG1038" s="189"/>
      <c r="AH1038" s="189"/>
      <c r="AI1038" s="189"/>
      <c r="AJ1038" s="189"/>
      <c r="AK1038" s="189"/>
      <c r="AL1038" s="189"/>
      <c r="AM1038" s="189"/>
      <c r="AN1038" s="189"/>
      <c r="AO1038" s="189"/>
      <c r="AP1038" s="189"/>
      <c r="AQ1038" s="189"/>
      <c r="AR1038" s="189"/>
      <c r="AS1038" s="189"/>
      <c r="AT1038" s="189"/>
      <c r="AU1038" s="189"/>
      <c r="AV1038" s="189"/>
      <c r="AW1038" s="189"/>
      <c r="AX1038" s="189"/>
    </row>
    <row r="1039" ht="15.75" customHeight="1">
      <c r="A1039" s="189"/>
      <c r="B1039" s="189"/>
      <c r="C1039" s="190"/>
      <c r="D1039" s="190"/>
      <c r="E1039" s="190"/>
      <c r="F1039" s="190"/>
      <c r="G1039" s="189"/>
      <c r="H1039" s="189"/>
      <c r="I1039" s="189"/>
      <c r="J1039" s="189"/>
      <c r="K1039" s="189"/>
      <c r="L1039" s="189"/>
      <c r="M1039" s="189"/>
      <c r="N1039" s="189"/>
      <c r="O1039" s="189"/>
      <c r="P1039" s="291"/>
      <c r="Q1039" s="189"/>
      <c r="R1039" s="189"/>
      <c r="S1039" s="189"/>
      <c r="T1039" s="189"/>
      <c r="U1039" s="189"/>
      <c r="V1039" s="189"/>
      <c r="W1039" s="189"/>
      <c r="X1039" s="189"/>
      <c r="Y1039" s="189"/>
      <c r="Z1039" s="189"/>
      <c r="AA1039" s="189"/>
      <c r="AB1039" s="189"/>
      <c r="AC1039" s="189"/>
      <c r="AD1039" s="189"/>
      <c r="AE1039" s="189"/>
      <c r="AF1039" s="189"/>
      <c r="AG1039" s="189"/>
      <c r="AH1039" s="189"/>
      <c r="AI1039" s="189"/>
      <c r="AJ1039" s="189"/>
      <c r="AK1039" s="189"/>
      <c r="AL1039" s="189"/>
      <c r="AM1039" s="189"/>
      <c r="AN1039" s="189"/>
      <c r="AO1039" s="189"/>
      <c r="AP1039" s="189"/>
      <c r="AQ1039" s="189"/>
      <c r="AR1039" s="189"/>
      <c r="AS1039" s="189"/>
      <c r="AT1039" s="189"/>
      <c r="AU1039" s="189"/>
      <c r="AV1039" s="189"/>
      <c r="AW1039" s="189"/>
      <c r="AX1039" s="189"/>
    </row>
    <row r="1040" ht="15.75" customHeight="1">
      <c r="A1040" s="189"/>
      <c r="B1040" s="189"/>
      <c r="C1040" s="190"/>
      <c r="D1040" s="190"/>
      <c r="E1040" s="190"/>
      <c r="F1040" s="190"/>
      <c r="G1040" s="189"/>
      <c r="H1040" s="189"/>
      <c r="I1040" s="189"/>
      <c r="J1040" s="189"/>
      <c r="K1040" s="189"/>
      <c r="L1040" s="189"/>
      <c r="M1040" s="189"/>
      <c r="N1040" s="189"/>
      <c r="O1040" s="189"/>
      <c r="P1040" s="291"/>
      <c r="Q1040" s="189"/>
      <c r="R1040" s="189"/>
      <c r="S1040" s="189"/>
      <c r="T1040" s="189"/>
      <c r="U1040" s="189"/>
      <c r="V1040" s="189"/>
      <c r="W1040" s="189"/>
      <c r="X1040" s="189"/>
      <c r="Y1040" s="189"/>
      <c r="Z1040" s="189"/>
      <c r="AA1040" s="189"/>
      <c r="AB1040" s="189"/>
      <c r="AC1040" s="189"/>
      <c r="AD1040" s="189"/>
      <c r="AE1040" s="189"/>
      <c r="AF1040" s="189"/>
      <c r="AG1040" s="189"/>
      <c r="AH1040" s="189"/>
      <c r="AI1040" s="189"/>
      <c r="AJ1040" s="189"/>
      <c r="AK1040" s="189"/>
      <c r="AL1040" s="189"/>
      <c r="AM1040" s="189"/>
      <c r="AN1040" s="189"/>
      <c r="AO1040" s="189"/>
      <c r="AP1040" s="189"/>
      <c r="AQ1040" s="189"/>
      <c r="AR1040" s="189"/>
      <c r="AS1040" s="189"/>
      <c r="AT1040" s="189"/>
      <c r="AU1040" s="189"/>
      <c r="AV1040" s="189"/>
      <c r="AW1040" s="189"/>
      <c r="AX1040" s="189"/>
    </row>
    <row r="1041" ht="15.75" customHeight="1">
      <c r="A1041" s="189"/>
      <c r="B1041" s="189"/>
      <c r="C1041" s="190"/>
      <c r="D1041" s="190"/>
      <c r="E1041" s="190"/>
      <c r="F1041" s="190"/>
      <c r="G1041" s="189"/>
      <c r="H1041" s="189"/>
      <c r="I1041" s="189"/>
      <c r="J1041" s="189"/>
      <c r="K1041" s="189"/>
      <c r="L1041" s="189"/>
      <c r="M1041" s="189"/>
      <c r="N1041" s="189"/>
      <c r="O1041" s="189"/>
      <c r="P1041" s="291"/>
      <c r="Q1041" s="189"/>
      <c r="R1041" s="189"/>
      <c r="S1041" s="189"/>
      <c r="T1041" s="189"/>
      <c r="U1041" s="189"/>
      <c r="V1041" s="189"/>
      <c r="W1041" s="189"/>
      <c r="X1041" s="189"/>
      <c r="Y1041" s="189"/>
      <c r="Z1041" s="189"/>
      <c r="AA1041" s="189"/>
      <c r="AB1041" s="189"/>
      <c r="AC1041" s="189"/>
      <c r="AD1041" s="189"/>
      <c r="AE1041" s="189"/>
      <c r="AF1041" s="189"/>
      <c r="AG1041" s="189"/>
      <c r="AH1041" s="189"/>
      <c r="AI1041" s="189"/>
      <c r="AJ1041" s="189"/>
      <c r="AK1041" s="189"/>
      <c r="AL1041" s="189"/>
      <c r="AM1041" s="189"/>
      <c r="AN1041" s="189"/>
      <c r="AO1041" s="189"/>
      <c r="AP1041" s="189"/>
      <c r="AQ1041" s="189"/>
      <c r="AR1041" s="189"/>
      <c r="AS1041" s="189"/>
      <c r="AT1041" s="189"/>
      <c r="AU1041" s="189"/>
      <c r="AV1041" s="189"/>
      <c r="AW1041" s="189"/>
      <c r="AX1041" s="189"/>
    </row>
    <row r="1042" ht="15.75" customHeight="1">
      <c r="A1042" s="189"/>
      <c r="B1042" s="189"/>
      <c r="C1042" s="190"/>
      <c r="D1042" s="190"/>
      <c r="E1042" s="190"/>
      <c r="F1042" s="190"/>
      <c r="G1042" s="189"/>
      <c r="H1042" s="189"/>
      <c r="I1042" s="189"/>
      <c r="J1042" s="189"/>
      <c r="K1042" s="189"/>
      <c r="L1042" s="189"/>
      <c r="M1042" s="189"/>
      <c r="N1042" s="189"/>
      <c r="O1042" s="189"/>
      <c r="P1042" s="291"/>
      <c r="Q1042" s="189"/>
      <c r="R1042" s="189"/>
      <c r="S1042" s="189"/>
      <c r="T1042" s="189"/>
      <c r="U1042" s="189"/>
      <c r="V1042" s="189"/>
      <c r="W1042" s="189"/>
      <c r="X1042" s="189"/>
      <c r="Y1042" s="189"/>
      <c r="Z1042" s="189"/>
      <c r="AA1042" s="189"/>
      <c r="AB1042" s="189"/>
      <c r="AC1042" s="189"/>
      <c r="AD1042" s="189"/>
      <c r="AE1042" s="189"/>
      <c r="AF1042" s="189"/>
      <c r="AG1042" s="189"/>
      <c r="AH1042" s="189"/>
      <c r="AI1042" s="189"/>
      <c r="AJ1042" s="189"/>
      <c r="AK1042" s="189"/>
      <c r="AL1042" s="189"/>
      <c r="AM1042" s="189"/>
      <c r="AN1042" s="189"/>
      <c r="AO1042" s="189"/>
      <c r="AP1042" s="189"/>
      <c r="AQ1042" s="189"/>
      <c r="AR1042" s="189"/>
      <c r="AS1042" s="189"/>
      <c r="AT1042" s="189"/>
      <c r="AU1042" s="189"/>
      <c r="AV1042" s="189"/>
      <c r="AW1042" s="189"/>
      <c r="AX1042" s="189"/>
    </row>
    <row r="1043" ht="15.75" customHeight="1">
      <c r="A1043" s="189"/>
      <c r="B1043" s="189"/>
      <c r="C1043" s="190"/>
      <c r="D1043" s="190"/>
      <c r="E1043" s="190"/>
      <c r="F1043" s="190"/>
      <c r="G1043" s="189"/>
      <c r="H1043" s="189"/>
      <c r="I1043" s="189"/>
      <c r="J1043" s="189"/>
      <c r="K1043" s="189"/>
      <c r="L1043" s="189"/>
      <c r="M1043" s="189"/>
      <c r="N1043" s="189"/>
      <c r="O1043" s="189"/>
      <c r="P1043" s="291"/>
      <c r="Q1043" s="189"/>
      <c r="R1043" s="189"/>
      <c r="S1043" s="189"/>
      <c r="T1043" s="189"/>
      <c r="U1043" s="189"/>
      <c r="V1043" s="189"/>
      <c r="W1043" s="189"/>
      <c r="X1043" s="189"/>
      <c r="Y1043" s="189"/>
      <c r="Z1043" s="189"/>
      <c r="AA1043" s="189"/>
      <c r="AB1043" s="189"/>
      <c r="AC1043" s="189"/>
      <c r="AD1043" s="189"/>
      <c r="AE1043" s="189"/>
      <c r="AF1043" s="189"/>
      <c r="AG1043" s="189"/>
      <c r="AH1043" s="189"/>
      <c r="AI1043" s="189"/>
      <c r="AJ1043" s="189"/>
      <c r="AK1043" s="189"/>
      <c r="AL1043" s="189"/>
      <c r="AM1043" s="189"/>
      <c r="AN1043" s="189"/>
      <c r="AO1043" s="189"/>
      <c r="AP1043" s="189"/>
      <c r="AQ1043" s="189"/>
      <c r="AR1043" s="189"/>
      <c r="AS1043" s="189"/>
      <c r="AT1043" s="189"/>
      <c r="AU1043" s="189"/>
      <c r="AV1043" s="189"/>
      <c r="AW1043" s="189"/>
      <c r="AX1043" s="189"/>
    </row>
    <row r="1044" ht="15.75" customHeight="1">
      <c r="A1044" s="189"/>
      <c r="B1044" s="189"/>
      <c r="C1044" s="190"/>
      <c r="D1044" s="190"/>
      <c r="E1044" s="190"/>
      <c r="F1044" s="190"/>
      <c r="G1044" s="189"/>
      <c r="H1044" s="189"/>
      <c r="I1044" s="189"/>
      <c r="J1044" s="189"/>
      <c r="K1044" s="189"/>
      <c r="L1044" s="189"/>
      <c r="M1044" s="189"/>
      <c r="N1044" s="189"/>
      <c r="O1044" s="189"/>
      <c r="P1044" s="291"/>
      <c r="Q1044" s="189"/>
      <c r="R1044" s="189"/>
      <c r="S1044" s="189"/>
      <c r="T1044" s="189"/>
      <c r="U1044" s="189"/>
      <c r="V1044" s="189"/>
      <c r="W1044" s="189"/>
      <c r="X1044" s="189"/>
      <c r="Y1044" s="189"/>
      <c r="Z1044" s="189"/>
      <c r="AA1044" s="189"/>
      <c r="AB1044" s="189"/>
      <c r="AC1044" s="189"/>
      <c r="AD1044" s="189"/>
      <c r="AE1044" s="189"/>
      <c r="AF1044" s="189"/>
      <c r="AG1044" s="189"/>
      <c r="AH1044" s="189"/>
      <c r="AI1044" s="189"/>
      <c r="AJ1044" s="189"/>
      <c r="AK1044" s="189"/>
      <c r="AL1044" s="189"/>
      <c r="AM1044" s="189"/>
      <c r="AN1044" s="189"/>
      <c r="AO1044" s="189"/>
      <c r="AP1044" s="189"/>
      <c r="AQ1044" s="189"/>
      <c r="AR1044" s="189"/>
      <c r="AS1044" s="189"/>
      <c r="AT1044" s="189"/>
      <c r="AU1044" s="189"/>
      <c r="AV1044" s="189"/>
      <c r="AW1044" s="189"/>
      <c r="AX1044" s="189"/>
    </row>
    <row r="1045" ht="15.75" customHeight="1">
      <c r="A1045" s="189"/>
      <c r="B1045" s="189"/>
      <c r="C1045" s="190"/>
      <c r="D1045" s="190"/>
      <c r="E1045" s="190"/>
      <c r="F1045" s="190"/>
      <c r="G1045" s="189"/>
      <c r="H1045" s="189"/>
      <c r="I1045" s="189"/>
      <c r="J1045" s="189"/>
      <c r="K1045" s="189"/>
      <c r="L1045" s="189"/>
      <c r="M1045" s="189"/>
      <c r="N1045" s="189"/>
      <c r="O1045" s="189"/>
      <c r="P1045" s="291"/>
      <c r="Q1045" s="189"/>
      <c r="R1045" s="189"/>
      <c r="S1045" s="189"/>
      <c r="T1045" s="189"/>
      <c r="U1045" s="189"/>
      <c r="V1045" s="189"/>
      <c r="W1045" s="189"/>
      <c r="X1045" s="189"/>
      <c r="Y1045" s="189"/>
      <c r="Z1045" s="189"/>
      <c r="AA1045" s="189"/>
      <c r="AB1045" s="189"/>
      <c r="AC1045" s="189"/>
      <c r="AD1045" s="189"/>
      <c r="AE1045" s="189"/>
      <c r="AF1045" s="189"/>
      <c r="AG1045" s="189"/>
      <c r="AH1045" s="189"/>
      <c r="AI1045" s="189"/>
      <c r="AJ1045" s="189"/>
      <c r="AK1045" s="189"/>
      <c r="AL1045" s="189"/>
      <c r="AM1045" s="189"/>
      <c r="AN1045" s="189"/>
      <c r="AO1045" s="189"/>
      <c r="AP1045" s="189"/>
      <c r="AQ1045" s="189"/>
      <c r="AR1045" s="189"/>
      <c r="AS1045" s="189"/>
      <c r="AT1045" s="189"/>
      <c r="AU1045" s="189"/>
      <c r="AV1045" s="189"/>
      <c r="AW1045" s="189"/>
      <c r="AX1045" s="189"/>
    </row>
    <row r="1046" ht="15.75" customHeight="1">
      <c r="A1046" s="189"/>
      <c r="B1046" s="189"/>
      <c r="C1046" s="190"/>
      <c r="D1046" s="190"/>
      <c r="E1046" s="190"/>
      <c r="F1046" s="190"/>
      <c r="G1046" s="189"/>
      <c r="H1046" s="189"/>
      <c r="I1046" s="189"/>
      <c r="J1046" s="189"/>
      <c r="K1046" s="189"/>
      <c r="L1046" s="189"/>
      <c r="M1046" s="189"/>
      <c r="N1046" s="189"/>
      <c r="O1046" s="189"/>
      <c r="P1046" s="291"/>
      <c r="Q1046" s="189"/>
      <c r="R1046" s="189"/>
      <c r="S1046" s="189"/>
      <c r="T1046" s="189"/>
      <c r="U1046" s="189"/>
      <c r="V1046" s="189"/>
      <c r="W1046" s="189"/>
      <c r="X1046" s="189"/>
      <c r="Y1046" s="189"/>
      <c r="Z1046" s="189"/>
      <c r="AA1046" s="189"/>
      <c r="AB1046" s="189"/>
      <c r="AC1046" s="189"/>
      <c r="AD1046" s="189"/>
      <c r="AE1046" s="189"/>
      <c r="AF1046" s="189"/>
      <c r="AG1046" s="189"/>
      <c r="AH1046" s="189"/>
      <c r="AI1046" s="189"/>
      <c r="AJ1046" s="189"/>
      <c r="AK1046" s="189"/>
      <c r="AL1046" s="189"/>
      <c r="AM1046" s="189"/>
      <c r="AN1046" s="189"/>
      <c r="AO1046" s="189"/>
      <c r="AP1046" s="189"/>
      <c r="AQ1046" s="189"/>
      <c r="AR1046" s="189"/>
      <c r="AS1046" s="189"/>
      <c r="AT1046" s="189"/>
      <c r="AU1046" s="189"/>
      <c r="AV1046" s="189"/>
      <c r="AW1046" s="189"/>
      <c r="AX1046" s="189"/>
    </row>
    <row r="1047" ht="15.75" customHeight="1">
      <c r="A1047" s="189"/>
      <c r="B1047" s="189"/>
      <c r="C1047" s="190"/>
      <c r="D1047" s="190"/>
      <c r="E1047" s="190"/>
      <c r="F1047" s="190"/>
      <c r="G1047" s="189"/>
      <c r="H1047" s="189"/>
      <c r="I1047" s="189"/>
      <c r="J1047" s="189"/>
      <c r="K1047" s="189"/>
      <c r="L1047" s="189"/>
      <c r="M1047" s="189"/>
      <c r="N1047" s="189"/>
      <c r="O1047" s="189"/>
      <c r="P1047" s="291"/>
      <c r="Q1047" s="189"/>
      <c r="R1047" s="189"/>
      <c r="S1047" s="189"/>
      <c r="T1047" s="189"/>
      <c r="U1047" s="189"/>
      <c r="V1047" s="189"/>
      <c r="W1047" s="189"/>
      <c r="X1047" s="189"/>
      <c r="Y1047" s="189"/>
      <c r="Z1047" s="189"/>
      <c r="AA1047" s="189"/>
      <c r="AB1047" s="189"/>
      <c r="AC1047" s="189"/>
      <c r="AD1047" s="189"/>
      <c r="AE1047" s="189"/>
      <c r="AF1047" s="189"/>
      <c r="AG1047" s="189"/>
      <c r="AH1047" s="189"/>
      <c r="AI1047" s="189"/>
      <c r="AJ1047" s="189"/>
      <c r="AK1047" s="189"/>
      <c r="AL1047" s="189"/>
      <c r="AM1047" s="189"/>
      <c r="AN1047" s="189"/>
      <c r="AO1047" s="189"/>
      <c r="AP1047" s="189"/>
      <c r="AQ1047" s="189"/>
      <c r="AR1047" s="189"/>
      <c r="AS1047" s="189"/>
      <c r="AT1047" s="189"/>
      <c r="AU1047" s="189"/>
      <c r="AV1047" s="189"/>
      <c r="AW1047" s="189"/>
      <c r="AX1047" s="189"/>
    </row>
    <row r="1048" ht="15.75" customHeight="1">
      <c r="A1048" s="189"/>
      <c r="B1048" s="189"/>
      <c r="C1048" s="190"/>
      <c r="D1048" s="190"/>
      <c r="E1048" s="190"/>
      <c r="F1048" s="190"/>
      <c r="G1048" s="189"/>
      <c r="H1048" s="189"/>
      <c r="I1048" s="189"/>
      <c r="J1048" s="189"/>
      <c r="K1048" s="189"/>
      <c r="L1048" s="189"/>
      <c r="M1048" s="189"/>
      <c r="N1048" s="189"/>
      <c r="O1048" s="189"/>
      <c r="P1048" s="291"/>
      <c r="Q1048" s="189"/>
      <c r="R1048" s="189"/>
      <c r="S1048" s="189"/>
      <c r="T1048" s="189"/>
      <c r="U1048" s="189"/>
      <c r="V1048" s="189"/>
      <c r="W1048" s="189"/>
      <c r="X1048" s="189"/>
      <c r="Y1048" s="189"/>
      <c r="Z1048" s="189"/>
      <c r="AA1048" s="189"/>
      <c r="AB1048" s="189"/>
      <c r="AC1048" s="189"/>
      <c r="AD1048" s="189"/>
      <c r="AE1048" s="189"/>
      <c r="AF1048" s="189"/>
      <c r="AG1048" s="189"/>
      <c r="AH1048" s="189"/>
      <c r="AI1048" s="189"/>
      <c r="AJ1048" s="189"/>
      <c r="AK1048" s="189"/>
      <c r="AL1048" s="189"/>
      <c r="AM1048" s="189"/>
      <c r="AN1048" s="189"/>
      <c r="AO1048" s="189"/>
      <c r="AP1048" s="189"/>
      <c r="AQ1048" s="189"/>
      <c r="AR1048" s="189"/>
      <c r="AS1048" s="189"/>
      <c r="AT1048" s="189"/>
      <c r="AU1048" s="189"/>
      <c r="AV1048" s="189"/>
      <c r="AW1048" s="189"/>
      <c r="AX1048" s="189"/>
    </row>
    <row r="1049" ht="15.75" customHeight="1">
      <c r="A1049" s="189"/>
      <c r="B1049" s="189"/>
      <c r="C1049" s="190"/>
      <c r="D1049" s="190"/>
      <c r="E1049" s="190"/>
      <c r="F1049" s="190"/>
      <c r="G1049" s="189"/>
      <c r="H1049" s="189"/>
      <c r="I1049" s="189"/>
      <c r="J1049" s="189"/>
      <c r="K1049" s="189"/>
      <c r="L1049" s="189"/>
      <c r="M1049" s="189"/>
      <c r="N1049" s="189"/>
      <c r="O1049" s="189"/>
      <c r="P1049" s="291"/>
      <c r="Q1049" s="189"/>
      <c r="R1049" s="189"/>
      <c r="S1049" s="189"/>
      <c r="T1049" s="189"/>
      <c r="U1049" s="189"/>
      <c r="V1049" s="189"/>
      <c r="W1049" s="189"/>
      <c r="X1049" s="189"/>
      <c r="Y1049" s="189"/>
      <c r="Z1049" s="189"/>
      <c r="AA1049" s="189"/>
      <c r="AB1049" s="189"/>
      <c r="AC1049" s="189"/>
      <c r="AD1049" s="189"/>
      <c r="AE1049" s="189"/>
      <c r="AF1049" s="189"/>
      <c r="AG1049" s="189"/>
      <c r="AH1049" s="189"/>
      <c r="AI1049" s="189"/>
      <c r="AJ1049" s="189"/>
      <c r="AK1049" s="189"/>
      <c r="AL1049" s="189"/>
      <c r="AM1049" s="189"/>
      <c r="AN1049" s="189"/>
      <c r="AO1049" s="189"/>
      <c r="AP1049" s="189"/>
      <c r="AQ1049" s="189"/>
      <c r="AR1049" s="189"/>
      <c r="AS1049" s="189"/>
      <c r="AT1049" s="189"/>
      <c r="AU1049" s="189"/>
      <c r="AV1049" s="189"/>
      <c r="AW1049" s="189"/>
      <c r="AX1049" s="189"/>
    </row>
    <row r="1050" ht="15.75" customHeight="1">
      <c r="A1050" s="189"/>
      <c r="B1050" s="189"/>
      <c r="C1050" s="190"/>
      <c r="D1050" s="190"/>
      <c r="E1050" s="190"/>
      <c r="F1050" s="190"/>
      <c r="G1050" s="189"/>
      <c r="H1050" s="189"/>
      <c r="I1050" s="189"/>
      <c r="J1050" s="189"/>
      <c r="K1050" s="189"/>
      <c r="L1050" s="189"/>
      <c r="M1050" s="189"/>
      <c r="N1050" s="189"/>
      <c r="O1050" s="189"/>
      <c r="P1050" s="291"/>
      <c r="Q1050" s="189"/>
      <c r="R1050" s="189"/>
      <c r="S1050" s="189"/>
      <c r="T1050" s="189"/>
      <c r="U1050" s="189"/>
      <c r="V1050" s="189"/>
      <c r="W1050" s="189"/>
      <c r="X1050" s="189"/>
      <c r="Y1050" s="189"/>
      <c r="Z1050" s="189"/>
      <c r="AA1050" s="189"/>
      <c r="AB1050" s="189"/>
      <c r="AC1050" s="189"/>
      <c r="AD1050" s="189"/>
      <c r="AE1050" s="189"/>
      <c r="AF1050" s="189"/>
      <c r="AG1050" s="189"/>
      <c r="AH1050" s="189"/>
      <c r="AI1050" s="189"/>
      <c r="AJ1050" s="189"/>
      <c r="AK1050" s="189"/>
      <c r="AL1050" s="189"/>
      <c r="AM1050" s="189"/>
      <c r="AN1050" s="189"/>
      <c r="AO1050" s="189"/>
      <c r="AP1050" s="189"/>
      <c r="AQ1050" s="189"/>
      <c r="AR1050" s="189"/>
      <c r="AS1050" s="189"/>
      <c r="AT1050" s="189"/>
      <c r="AU1050" s="189"/>
      <c r="AV1050" s="189"/>
      <c r="AW1050" s="189"/>
      <c r="AX1050" s="189"/>
    </row>
    <row r="1051" ht="15.75" customHeight="1">
      <c r="A1051" s="189"/>
      <c r="B1051" s="189"/>
      <c r="C1051" s="190"/>
      <c r="D1051" s="190"/>
      <c r="E1051" s="190"/>
      <c r="F1051" s="190"/>
      <c r="G1051" s="189"/>
      <c r="H1051" s="189"/>
      <c r="I1051" s="189"/>
      <c r="J1051" s="189"/>
      <c r="K1051" s="189"/>
      <c r="L1051" s="189"/>
      <c r="M1051" s="189"/>
      <c r="N1051" s="189"/>
      <c r="O1051" s="189"/>
      <c r="P1051" s="291"/>
      <c r="Q1051" s="189"/>
      <c r="R1051" s="189"/>
      <c r="S1051" s="189"/>
      <c r="T1051" s="189"/>
      <c r="U1051" s="189"/>
      <c r="V1051" s="189"/>
      <c r="W1051" s="189"/>
      <c r="X1051" s="189"/>
      <c r="Y1051" s="189"/>
      <c r="Z1051" s="189"/>
      <c r="AA1051" s="189"/>
      <c r="AB1051" s="189"/>
      <c r="AC1051" s="189"/>
      <c r="AD1051" s="189"/>
      <c r="AE1051" s="189"/>
      <c r="AF1051" s="189"/>
      <c r="AG1051" s="189"/>
      <c r="AH1051" s="189"/>
      <c r="AI1051" s="189"/>
      <c r="AJ1051" s="189"/>
      <c r="AK1051" s="189"/>
      <c r="AL1051" s="189"/>
      <c r="AM1051" s="189"/>
      <c r="AN1051" s="189"/>
      <c r="AO1051" s="189"/>
      <c r="AP1051" s="189"/>
      <c r="AQ1051" s="189"/>
      <c r="AR1051" s="189"/>
      <c r="AS1051" s="189"/>
      <c r="AT1051" s="189"/>
      <c r="AU1051" s="189"/>
      <c r="AV1051" s="189"/>
      <c r="AW1051" s="189"/>
      <c r="AX1051" s="189"/>
    </row>
    <row r="1052" ht="15.75" customHeight="1">
      <c r="A1052" s="189"/>
      <c r="B1052" s="189"/>
      <c r="C1052" s="190"/>
      <c r="D1052" s="190"/>
      <c r="E1052" s="190"/>
      <c r="F1052" s="190"/>
      <c r="G1052" s="189"/>
      <c r="H1052" s="189"/>
      <c r="I1052" s="189"/>
      <c r="J1052" s="189"/>
      <c r="K1052" s="189"/>
      <c r="L1052" s="189"/>
      <c r="M1052" s="189"/>
      <c r="N1052" s="189"/>
      <c r="O1052" s="189"/>
      <c r="P1052" s="291"/>
      <c r="Q1052" s="189"/>
      <c r="R1052" s="189"/>
      <c r="S1052" s="189"/>
      <c r="T1052" s="189"/>
      <c r="U1052" s="189"/>
      <c r="V1052" s="189"/>
      <c r="W1052" s="189"/>
      <c r="X1052" s="189"/>
      <c r="Y1052" s="189"/>
      <c r="Z1052" s="189"/>
      <c r="AA1052" s="189"/>
      <c r="AB1052" s="189"/>
      <c r="AC1052" s="189"/>
      <c r="AD1052" s="189"/>
      <c r="AE1052" s="189"/>
      <c r="AF1052" s="189"/>
      <c r="AG1052" s="189"/>
      <c r="AH1052" s="189"/>
      <c r="AI1052" s="189"/>
      <c r="AJ1052" s="189"/>
      <c r="AK1052" s="189"/>
      <c r="AL1052" s="189"/>
      <c r="AM1052" s="189"/>
      <c r="AN1052" s="189"/>
      <c r="AO1052" s="189"/>
      <c r="AP1052" s="189"/>
      <c r="AQ1052" s="189"/>
      <c r="AR1052" s="189"/>
      <c r="AS1052" s="189"/>
      <c r="AT1052" s="189"/>
      <c r="AU1052" s="189"/>
      <c r="AV1052" s="189"/>
      <c r="AW1052" s="189"/>
      <c r="AX1052" s="189"/>
    </row>
    <row r="1053" ht="15.75" customHeight="1">
      <c r="A1053" s="189"/>
      <c r="B1053" s="189"/>
      <c r="C1053" s="190"/>
      <c r="D1053" s="190"/>
      <c r="E1053" s="190"/>
      <c r="F1053" s="190"/>
      <c r="G1053" s="189"/>
      <c r="H1053" s="189"/>
      <c r="I1053" s="189"/>
      <c r="J1053" s="189"/>
      <c r="K1053" s="189"/>
      <c r="L1053" s="189"/>
      <c r="M1053" s="189"/>
      <c r="N1053" s="189"/>
      <c r="O1053" s="189"/>
      <c r="P1053" s="291"/>
      <c r="Q1053" s="189"/>
      <c r="R1053" s="189"/>
      <c r="S1053" s="189"/>
      <c r="T1053" s="189"/>
      <c r="U1053" s="189"/>
      <c r="V1053" s="189"/>
      <c r="W1053" s="189"/>
      <c r="X1053" s="189"/>
      <c r="Y1053" s="189"/>
      <c r="Z1053" s="189"/>
      <c r="AA1053" s="189"/>
      <c r="AB1053" s="189"/>
      <c r="AC1053" s="189"/>
      <c r="AD1053" s="189"/>
      <c r="AE1053" s="189"/>
      <c r="AF1053" s="189"/>
      <c r="AG1053" s="189"/>
      <c r="AH1053" s="189"/>
      <c r="AI1053" s="189"/>
      <c r="AJ1053" s="189"/>
      <c r="AK1053" s="189"/>
      <c r="AL1053" s="189"/>
      <c r="AM1053" s="189"/>
      <c r="AN1053" s="189"/>
      <c r="AO1053" s="189"/>
      <c r="AP1053" s="189"/>
      <c r="AQ1053" s="189"/>
      <c r="AR1053" s="189"/>
      <c r="AS1053" s="189"/>
      <c r="AT1053" s="189"/>
      <c r="AU1053" s="189"/>
      <c r="AV1053" s="189"/>
      <c r="AW1053" s="189"/>
      <c r="AX1053" s="189"/>
    </row>
    <row r="1054" ht="15.75" customHeight="1">
      <c r="A1054" s="189"/>
      <c r="B1054" s="189"/>
      <c r="C1054" s="190"/>
      <c r="D1054" s="190"/>
      <c r="E1054" s="190"/>
      <c r="F1054" s="190"/>
      <c r="G1054" s="189"/>
      <c r="H1054" s="189"/>
      <c r="I1054" s="189"/>
      <c r="J1054" s="189"/>
      <c r="K1054" s="189"/>
      <c r="L1054" s="189"/>
      <c r="M1054" s="189"/>
      <c r="N1054" s="189"/>
      <c r="O1054" s="189"/>
      <c r="P1054" s="291"/>
      <c r="Q1054" s="189"/>
      <c r="R1054" s="189"/>
      <c r="S1054" s="189"/>
      <c r="T1054" s="189"/>
      <c r="U1054" s="189"/>
      <c r="V1054" s="189"/>
      <c r="W1054" s="189"/>
      <c r="X1054" s="189"/>
      <c r="Y1054" s="189"/>
      <c r="Z1054" s="189"/>
      <c r="AA1054" s="189"/>
      <c r="AB1054" s="189"/>
      <c r="AC1054" s="189"/>
      <c r="AD1054" s="189"/>
      <c r="AE1054" s="189"/>
      <c r="AF1054" s="189"/>
      <c r="AG1054" s="189"/>
      <c r="AH1054" s="189"/>
      <c r="AI1054" s="189"/>
      <c r="AJ1054" s="189"/>
      <c r="AK1054" s="189"/>
      <c r="AL1054" s="189"/>
      <c r="AM1054" s="189"/>
      <c r="AN1054" s="189"/>
      <c r="AO1054" s="189"/>
      <c r="AP1054" s="189"/>
      <c r="AQ1054" s="189"/>
      <c r="AR1054" s="189"/>
      <c r="AS1054" s="189"/>
      <c r="AT1054" s="189"/>
      <c r="AU1054" s="189"/>
      <c r="AV1054" s="189"/>
      <c r="AW1054" s="189"/>
      <c r="AX1054" s="189"/>
    </row>
    <row r="1055" ht="15.75" customHeight="1">
      <c r="A1055" s="189"/>
      <c r="B1055" s="189"/>
      <c r="C1055" s="190"/>
      <c r="D1055" s="190"/>
      <c r="E1055" s="190"/>
      <c r="F1055" s="190"/>
      <c r="G1055" s="189"/>
      <c r="H1055" s="189"/>
      <c r="I1055" s="189"/>
      <c r="J1055" s="189"/>
      <c r="K1055" s="189"/>
      <c r="L1055" s="189"/>
      <c r="M1055" s="189"/>
      <c r="N1055" s="189"/>
      <c r="O1055" s="189"/>
      <c r="P1055" s="291"/>
      <c r="Q1055" s="189"/>
      <c r="R1055" s="189"/>
      <c r="S1055" s="189"/>
      <c r="T1055" s="189"/>
      <c r="U1055" s="189"/>
      <c r="V1055" s="189"/>
      <c r="W1055" s="189"/>
      <c r="X1055" s="189"/>
      <c r="Y1055" s="189"/>
      <c r="Z1055" s="189"/>
      <c r="AA1055" s="189"/>
      <c r="AB1055" s="189"/>
      <c r="AC1055" s="189"/>
      <c r="AD1055" s="189"/>
      <c r="AE1055" s="189"/>
      <c r="AF1055" s="189"/>
      <c r="AG1055" s="189"/>
      <c r="AH1055" s="189"/>
      <c r="AI1055" s="189"/>
      <c r="AJ1055" s="189"/>
      <c r="AK1055" s="189"/>
      <c r="AL1055" s="189"/>
      <c r="AM1055" s="189"/>
      <c r="AN1055" s="189"/>
      <c r="AO1055" s="189"/>
      <c r="AP1055" s="189"/>
      <c r="AQ1055" s="189"/>
      <c r="AR1055" s="189"/>
      <c r="AS1055" s="189"/>
      <c r="AT1055" s="189"/>
      <c r="AU1055" s="189"/>
      <c r="AV1055" s="189"/>
      <c r="AW1055" s="189"/>
      <c r="AX1055" s="189"/>
    </row>
    <row r="1056" ht="15.75" customHeight="1">
      <c r="A1056" s="189"/>
      <c r="B1056" s="189"/>
      <c r="C1056" s="190"/>
      <c r="D1056" s="190"/>
      <c r="E1056" s="190"/>
      <c r="F1056" s="190"/>
      <c r="G1056" s="189"/>
      <c r="H1056" s="189"/>
      <c r="I1056" s="189"/>
      <c r="J1056" s="189"/>
      <c r="K1056" s="189"/>
      <c r="L1056" s="189"/>
      <c r="M1056" s="189"/>
      <c r="N1056" s="189"/>
      <c r="O1056" s="189"/>
      <c r="P1056" s="291"/>
      <c r="Q1056" s="189"/>
      <c r="R1056" s="189"/>
      <c r="S1056" s="189"/>
      <c r="T1056" s="189"/>
      <c r="U1056" s="189"/>
      <c r="V1056" s="189"/>
      <c r="W1056" s="189"/>
      <c r="X1056" s="189"/>
      <c r="Y1056" s="189"/>
      <c r="Z1056" s="189"/>
      <c r="AA1056" s="189"/>
      <c r="AB1056" s="189"/>
      <c r="AC1056" s="189"/>
      <c r="AD1056" s="189"/>
      <c r="AE1056" s="189"/>
      <c r="AF1056" s="189"/>
      <c r="AG1056" s="189"/>
      <c r="AH1056" s="189"/>
      <c r="AI1056" s="189"/>
      <c r="AJ1056" s="189"/>
      <c r="AK1056" s="189"/>
      <c r="AL1056" s="189"/>
      <c r="AM1056" s="189"/>
      <c r="AN1056" s="189"/>
      <c r="AO1056" s="189"/>
      <c r="AP1056" s="189"/>
      <c r="AQ1056" s="189"/>
      <c r="AR1056" s="189"/>
      <c r="AS1056" s="189"/>
      <c r="AT1056" s="189"/>
      <c r="AU1056" s="189"/>
      <c r="AV1056" s="189"/>
      <c r="AW1056" s="189"/>
      <c r="AX1056" s="189"/>
    </row>
    <row r="1057" ht="15.75" customHeight="1">
      <c r="A1057" s="189"/>
      <c r="B1057" s="189"/>
      <c r="C1057" s="190"/>
      <c r="D1057" s="190"/>
      <c r="E1057" s="190"/>
      <c r="F1057" s="190"/>
      <c r="G1057" s="189"/>
      <c r="H1057" s="189"/>
      <c r="I1057" s="189"/>
      <c r="J1057" s="189"/>
      <c r="K1057" s="189"/>
      <c r="L1057" s="189"/>
      <c r="M1057" s="189"/>
      <c r="N1057" s="189"/>
      <c r="O1057" s="189"/>
      <c r="P1057" s="291"/>
      <c r="Q1057" s="189"/>
      <c r="R1057" s="189"/>
      <c r="S1057" s="189"/>
      <c r="T1057" s="189"/>
      <c r="U1057" s="189"/>
      <c r="V1057" s="189"/>
      <c r="W1057" s="189"/>
      <c r="X1057" s="189"/>
      <c r="Y1057" s="189"/>
      <c r="Z1057" s="189"/>
      <c r="AA1057" s="189"/>
      <c r="AB1057" s="189"/>
      <c r="AC1057" s="189"/>
      <c r="AD1057" s="189"/>
      <c r="AE1057" s="189"/>
      <c r="AF1057" s="189"/>
      <c r="AG1057" s="189"/>
      <c r="AH1057" s="189"/>
      <c r="AI1057" s="189"/>
      <c r="AJ1057" s="189"/>
      <c r="AK1057" s="189"/>
      <c r="AL1057" s="189"/>
      <c r="AM1057" s="189"/>
      <c r="AN1057" s="189"/>
      <c r="AO1057" s="189"/>
      <c r="AP1057" s="189"/>
      <c r="AQ1057" s="189"/>
      <c r="AR1057" s="189"/>
      <c r="AS1057" s="189"/>
      <c r="AT1057" s="189"/>
      <c r="AU1057" s="189"/>
      <c r="AV1057" s="189"/>
      <c r="AW1057" s="189"/>
      <c r="AX1057" s="189"/>
    </row>
    <row r="1058" ht="15.75" customHeight="1">
      <c r="A1058" s="189"/>
      <c r="B1058" s="189"/>
      <c r="C1058" s="190"/>
      <c r="D1058" s="190"/>
      <c r="E1058" s="190"/>
      <c r="F1058" s="190"/>
      <c r="G1058" s="189"/>
      <c r="H1058" s="189"/>
      <c r="I1058" s="189"/>
      <c r="J1058" s="189"/>
      <c r="K1058" s="189"/>
      <c r="L1058" s="189"/>
      <c r="M1058" s="189"/>
      <c r="N1058" s="189"/>
      <c r="O1058" s="189"/>
      <c r="P1058" s="291"/>
      <c r="Q1058" s="189"/>
      <c r="R1058" s="189"/>
      <c r="S1058" s="189"/>
      <c r="T1058" s="189"/>
      <c r="U1058" s="189"/>
      <c r="V1058" s="189"/>
      <c r="W1058" s="189"/>
      <c r="X1058" s="189"/>
      <c r="Y1058" s="189"/>
      <c r="Z1058" s="189"/>
      <c r="AA1058" s="189"/>
      <c r="AB1058" s="189"/>
      <c r="AC1058" s="189"/>
      <c r="AD1058" s="189"/>
      <c r="AE1058" s="189"/>
      <c r="AF1058" s="189"/>
      <c r="AG1058" s="189"/>
      <c r="AH1058" s="189"/>
      <c r="AI1058" s="189"/>
      <c r="AJ1058" s="189"/>
      <c r="AK1058" s="189"/>
      <c r="AL1058" s="189"/>
      <c r="AM1058" s="189"/>
      <c r="AN1058" s="189"/>
      <c r="AO1058" s="189"/>
      <c r="AP1058" s="189"/>
      <c r="AQ1058" s="189"/>
      <c r="AR1058" s="189"/>
      <c r="AS1058" s="189"/>
      <c r="AT1058" s="189"/>
      <c r="AU1058" s="189"/>
      <c r="AV1058" s="189"/>
      <c r="AW1058" s="189"/>
      <c r="AX1058" s="189"/>
    </row>
    <row r="1059" ht="15.75" customHeight="1">
      <c r="A1059" s="189"/>
      <c r="B1059" s="189"/>
      <c r="C1059" s="190"/>
      <c r="D1059" s="190"/>
      <c r="E1059" s="190"/>
      <c r="F1059" s="190"/>
      <c r="G1059" s="189"/>
      <c r="H1059" s="189"/>
      <c r="I1059" s="189"/>
      <c r="J1059" s="189"/>
      <c r="K1059" s="189"/>
      <c r="L1059" s="189"/>
      <c r="M1059" s="189"/>
      <c r="N1059" s="189"/>
      <c r="O1059" s="189"/>
      <c r="P1059" s="291"/>
      <c r="Q1059" s="189"/>
      <c r="R1059" s="189"/>
      <c r="S1059" s="189"/>
      <c r="T1059" s="189"/>
      <c r="U1059" s="189"/>
      <c r="V1059" s="189"/>
      <c r="W1059" s="189"/>
      <c r="X1059" s="189"/>
      <c r="Y1059" s="189"/>
      <c r="Z1059" s="189"/>
      <c r="AA1059" s="189"/>
      <c r="AB1059" s="189"/>
      <c r="AC1059" s="189"/>
      <c r="AD1059" s="189"/>
      <c r="AE1059" s="189"/>
      <c r="AF1059" s="189"/>
      <c r="AG1059" s="189"/>
      <c r="AH1059" s="189"/>
      <c r="AI1059" s="189"/>
      <c r="AJ1059" s="189"/>
      <c r="AK1059" s="189"/>
      <c r="AL1059" s="189"/>
      <c r="AM1059" s="189"/>
      <c r="AN1059" s="189"/>
      <c r="AO1059" s="189"/>
      <c r="AP1059" s="189"/>
      <c r="AQ1059" s="189"/>
      <c r="AR1059" s="189"/>
      <c r="AS1059" s="189"/>
      <c r="AT1059" s="189"/>
      <c r="AU1059" s="189"/>
      <c r="AV1059" s="189"/>
      <c r="AW1059" s="189"/>
      <c r="AX1059" s="189"/>
    </row>
    <row r="1060" ht="15.75" customHeight="1">
      <c r="A1060" s="189"/>
      <c r="B1060" s="189"/>
      <c r="C1060" s="190"/>
      <c r="D1060" s="190"/>
      <c r="E1060" s="190"/>
      <c r="F1060" s="190"/>
      <c r="G1060" s="189"/>
      <c r="H1060" s="189"/>
      <c r="I1060" s="189"/>
      <c r="J1060" s="189"/>
      <c r="K1060" s="189"/>
      <c r="L1060" s="189"/>
      <c r="M1060" s="189"/>
      <c r="N1060" s="189"/>
      <c r="O1060" s="189"/>
      <c r="P1060" s="291"/>
      <c r="Q1060" s="189"/>
      <c r="R1060" s="189"/>
      <c r="S1060" s="189"/>
      <c r="T1060" s="189"/>
      <c r="U1060" s="189"/>
      <c r="V1060" s="189"/>
      <c r="W1060" s="189"/>
      <c r="X1060" s="189"/>
      <c r="Y1060" s="189"/>
      <c r="Z1060" s="189"/>
      <c r="AA1060" s="189"/>
      <c r="AB1060" s="189"/>
      <c r="AC1060" s="189"/>
      <c r="AD1060" s="189"/>
      <c r="AE1060" s="189"/>
      <c r="AF1060" s="189"/>
      <c r="AG1060" s="189"/>
      <c r="AH1060" s="189"/>
      <c r="AI1060" s="189"/>
      <c r="AJ1060" s="189"/>
      <c r="AK1060" s="189"/>
      <c r="AL1060" s="189"/>
      <c r="AM1060" s="189"/>
      <c r="AN1060" s="189"/>
      <c r="AO1060" s="189"/>
      <c r="AP1060" s="189"/>
      <c r="AQ1060" s="189"/>
      <c r="AR1060" s="189"/>
      <c r="AS1060" s="189"/>
      <c r="AT1060" s="189"/>
      <c r="AU1060" s="189"/>
      <c r="AV1060" s="189"/>
      <c r="AW1060" s="189"/>
      <c r="AX1060" s="189"/>
    </row>
    <row r="1061" ht="15.75" customHeight="1">
      <c r="A1061" s="189"/>
      <c r="B1061" s="189"/>
      <c r="C1061" s="190"/>
      <c r="D1061" s="190"/>
      <c r="E1061" s="190"/>
      <c r="F1061" s="190"/>
      <c r="G1061" s="189"/>
      <c r="H1061" s="189"/>
      <c r="I1061" s="189"/>
      <c r="J1061" s="189"/>
      <c r="K1061" s="189"/>
      <c r="L1061" s="189"/>
      <c r="M1061" s="189"/>
      <c r="N1061" s="189"/>
      <c r="O1061" s="189"/>
      <c r="P1061" s="291"/>
      <c r="Q1061" s="189"/>
      <c r="R1061" s="189"/>
      <c r="S1061" s="189"/>
      <c r="T1061" s="189"/>
      <c r="U1061" s="189"/>
      <c r="V1061" s="189"/>
      <c r="W1061" s="189"/>
      <c r="X1061" s="189"/>
      <c r="Y1061" s="189"/>
      <c r="Z1061" s="189"/>
      <c r="AA1061" s="189"/>
      <c r="AB1061" s="189"/>
      <c r="AC1061" s="189"/>
      <c r="AD1061" s="189"/>
      <c r="AE1061" s="189"/>
      <c r="AF1061" s="189"/>
      <c r="AG1061" s="189"/>
      <c r="AH1061" s="189"/>
      <c r="AI1061" s="189"/>
      <c r="AJ1061" s="189"/>
      <c r="AK1061" s="189"/>
      <c r="AL1061" s="189"/>
      <c r="AM1061" s="189"/>
      <c r="AN1061" s="189"/>
      <c r="AO1061" s="189"/>
      <c r="AP1061" s="189"/>
      <c r="AQ1061" s="189"/>
      <c r="AR1061" s="189"/>
      <c r="AS1061" s="189"/>
      <c r="AT1061" s="189"/>
      <c r="AU1061" s="189"/>
      <c r="AV1061" s="189"/>
      <c r="AW1061" s="189"/>
      <c r="AX1061" s="189"/>
    </row>
    <row r="1062" ht="15.75" customHeight="1">
      <c r="A1062" s="189"/>
      <c r="B1062" s="189"/>
      <c r="C1062" s="190"/>
      <c r="D1062" s="190"/>
      <c r="E1062" s="190"/>
      <c r="F1062" s="190"/>
      <c r="G1062" s="189"/>
      <c r="H1062" s="189"/>
      <c r="I1062" s="189"/>
      <c r="J1062" s="189"/>
      <c r="K1062" s="189"/>
      <c r="L1062" s="189"/>
      <c r="M1062" s="189"/>
      <c r="N1062" s="189"/>
      <c r="O1062" s="189"/>
      <c r="P1062" s="291"/>
      <c r="Q1062" s="189"/>
      <c r="R1062" s="189"/>
      <c r="S1062" s="189"/>
      <c r="T1062" s="189"/>
      <c r="U1062" s="189"/>
      <c r="V1062" s="189"/>
      <c r="W1062" s="189"/>
      <c r="X1062" s="189"/>
      <c r="Y1062" s="189"/>
      <c r="Z1062" s="189"/>
      <c r="AA1062" s="189"/>
      <c r="AB1062" s="189"/>
      <c r="AC1062" s="189"/>
      <c r="AD1062" s="189"/>
      <c r="AE1062" s="189"/>
      <c r="AF1062" s="189"/>
      <c r="AG1062" s="189"/>
      <c r="AH1062" s="189"/>
      <c r="AI1062" s="189"/>
      <c r="AJ1062" s="189"/>
      <c r="AK1062" s="189"/>
      <c r="AL1062" s="189"/>
      <c r="AM1062" s="189"/>
      <c r="AN1062" s="189"/>
      <c r="AO1062" s="189"/>
      <c r="AP1062" s="189"/>
      <c r="AQ1062" s="189"/>
      <c r="AR1062" s="189"/>
      <c r="AS1062" s="189"/>
      <c r="AT1062" s="189"/>
      <c r="AU1062" s="189"/>
      <c r="AV1062" s="189"/>
      <c r="AW1062" s="189"/>
      <c r="AX1062" s="189"/>
    </row>
    <row r="1063" ht="15.75" customHeight="1">
      <c r="A1063" s="189"/>
      <c r="B1063" s="189"/>
      <c r="C1063" s="190"/>
      <c r="D1063" s="190"/>
      <c r="E1063" s="190"/>
      <c r="F1063" s="190"/>
      <c r="G1063" s="189"/>
      <c r="H1063" s="189"/>
      <c r="I1063" s="189"/>
      <c r="J1063" s="189"/>
      <c r="K1063" s="189"/>
      <c r="L1063" s="189"/>
      <c r="M1063" s="189"/>
      <c r="N1063" s="189"/>
      <c r="O1063" s="189"/>
      <c r="P1063" s="291"/>
      <c r="Q1063" s="189"/>
      <c r="R1063" s="189"/>
      <c r="S1063" s="189"/>
      <c r="T1063" s="189"/>
      <c r="U1063" s="189"/>
      <c r="V1063" s="189"/>
      <c r="W1063" s="189"/>
      <c r="X1063" s="189"/>
      <c r="Y1063" s="189"/>
      <c r="Z1063" s="189"/>
      <c r="AA1063" s="189"/>
      <c r="AB1063" s="189"/>
      <c r="AC1063" s="189"/>
      <c r="AD1063" s="189"/>
      <c r="AE1063" s="189"/>
      <c r="AF1063" s="189"/>
      <c r="AG1063" s="189"/>
      <c r="AH1063" s="189"/>
      <c r="AI1063" s="189"/>
      <c r="AJ1063" s="189"/>
      <c r="AK1063" s="189"/>
      <c r="AL1063" s="189"/>
      <c r="AM1063" s="189"/>
      <c r="AN1063" s="189"/>
      <c r="AO1063" s="189"/>
      <c r="AP1063" s="189"/>
      <c r="AQ1063" s="189"/>
      <c r="AR1063" s="189"/>
      <c r="AS1063" s="189"/>
      <c r="AT1063" s="189"/>
      <c r="AU1063" s="189"/>
      <c r="AV1063" s="189"/>
      <c r="AW1063" s="189"/>
      <c r="AX1063" s="189"/>
    </row>
    <row r="1064" ht="15.75" customHeight="1">
      <c r="A1064" s="189"/>
      <c r="B1064" s="189"/>
      <c r="C1064" s="190"/>
      <c r="D1064" s="190"/>
      <c r="E1064" s="190"/>
      <c r="F1064" s="190"/>
      <c r="G1064" s="189"/>
      <c r="H1064" s="189"/>
      <c r="I1064" s="189"/>
      <c r="J1064" s="189"/>
      <c r="K1064" s="189"/>
      <c r="L1064" s="189"/>
      <c r="M1064" s="189"/>
      <c r="N1064" s="189"/>
      <c r="O1064" s="189"/>
      <c r="P1064" s="291"/>
      <c r="Q1064" s="189"/>
      <c r="R1064" s="189"/>
      <c r="S1064" s="189"/>
      <c r="T1064" s="189"/>
      <c r="U1064" s="189"/>
      <c r="V1064" s="189"/>
      <c r="W1064" s="189"/>
      <c r="X1064" s="189"/>
      <c r="Y1064" s="189"/>
      <c r="Z1064" s="189"/>
      <c r="AA1064" s="189"/>
      <c r="AB1064" s="189"/>
      <c r="AC1064" s="189"/>
      <c r="AD1064" s="189"/>
      <c r="AE1064" s="189"/>
      <c r="AF1064" s="189"/>
      <c r="AG1064" s="189"/>
      <c r="AH1064" s="189"/>
      <c r="AI1064" s="189"/>
      <c r="AJ1064" s="189"/>
      <c r="AK1064" s="189"/>
      <c r="AL1064" s="189"/>
      <c r="AM1064" s="189"/>
      <c r="AN1064" s="189"/>
      <c r="AO1064" s="189"/>
      <c r="AP1064" s="189"/>
      <c r="AQ1064" s="189"/>
      <c r="AR1064" s="189"/>
      <c r="AS1064" s="189"/>
      <c r="AT1064" s="189"/>
      <c r="AU1064" s="189"/>
      <c r="AV1064" s="189"/>
      <c r="AW1064" s="189"/>
      <c r="AX1064" s="189"/>
    </row>
    <row r="1065" ht="15.75" customHeight="1">
      <c r="A1065" s="189"/>
      <c r="B1065" s="189"/>
      <c r="C1065" s="190"/>
      <c r="D1065" s="190"/>
      <c r="E1065" s="190"/>
      <c r="F1065" s="190"/>
      <c r="G1065" s="189"/>
      <c r="H1065" s="189"/>
      <c r="I1065" s="189"/>
      <c r="J1065" s="189"/>
      <c r="K1065" s="189"/>
      <c r="L1065" s="189"/>
      <c r="M1065" s="189"/>
      <c r="N1065" s="189"/>
      <c r="O1065" s="189"/>
      <c r="P1065" s="291"/>
      <c r="Q1065" s="189"/>
      <c r="R1065" s="189"/>
      <c r="S1065" s="189"/>
      <c r="T1065" s="189"/>
      <c r="U1065" s="189"/>
      <c r="V1065" s="189"/>
      <c r="W1065" s="189"/>
      <c r="X1065" s="189"/>
      <c r="Y1065" s="189"/>
      <c r="Z1065" s="189"/>
      <c r="AA1065" s="189"/>
      <c r="AB1065" s="189"/>
      <c r="AC1065" s="189"/>
      <c r="AD1065" s="189"/>
      <c r="AE1065" s="189"/>
      <c r="AF1065" s="189"/>
      <c r="AG1065" s="189"/>
      <c r="AH1065" s="189"/>
      <c r="AI1065" s="189"/>
      <c r="AJ1065" s="189"/>
      <c r="AK1065" s="189"/>
      <c r="AL1065" s="189"/>
      <c r="AM1065" s="189"/>
      <c r="AN1065" s="189"/>
      <c r="AO1065" s="189"/>
      <c r="AP1065" s="189"/>
      <c r="AQ1065" s="189"/>
      <c r="AR1065" s="189"/>
      <c r="AS1065" s="189"/>
      <c r="AT1065" s="189"/>
      <c r="AU1065" s="189"/>
      <c r="AV1065" s="189"/>
      <c r="AW1065" s="189"/>
      <c r="AX1065" s="189"/>
    </row>
    <row r="1066" ht="15.75" customHeight="1">
      <c r="A1066" s="189"/>
      <c r="B1066" s="189"/>
      <c r="C1066" s="190"/>
      <c r="D1066" s="190"/>
      <c r="E1066" s="190"/>
      <c r="F1066" s="190"/>
      <c r="G1066" s="189"/>
      <c r="H1066" s="189"/>
      <c r="I1066" s="189"/>
      <c r="J1066" s="189"/>
      <c r="K1066" s="189"/>
      <c r="L1066" s="189"/>
      <c r="M1066" s="189"/>
      <c r="N1066" s="189"/>
      <c r="O1066" s="189"/>
      <c r="P1066" s="291"/>
      <c r="Q1066" s="189"/>
      <c r="R1066" s="189"/>
      <c r="S1066" s="189"/>
      <c r="T1066" s="189"/>
      <c r="U1066" s="189"/>
      <c r="V1066" s="189"/>
      <c r="W1066" s="189"/>
      <c r="X1066" s="189"/>
      <c r="Y1066" s="189"/>
      <c r="Z1066" s="189"/>
      <c r="AA1066" s="189"/>
      <c r="AB1066" s="189"/>
      <c r="AC1066" s="189"/>
      <c r="AD1066" s="189"/>
      <c r="AE1066" s="189"/>
      <c r="AF1066" s="189"/>
      <c r="AG1066" s="189"/>
      <c r="AH1066" s="189"/>
      <c r="AI1066" s="189"/>
      <c r="AJ1066" s="189"/>
      <c r="AK1066" s="189"/>
      <c r="AL1066" s="189"/>
      <c r="AM1066" s="189"/>
      <c r="AN1066" s="189"/>
      <c r="AO1066" s="189"/>
      <c r="AP1066" s="189"/>
      <c r="AQ1066" s="189"/>
      <c r="AR1066" s="189"/>
      <c r="AS1066" s="189"/>
      <c r="AT1066" s="189"/>
      <c r="AU1066" s="189"/>
      <c r="AV1066" s="189"/>
      <c r="AW1066" s="189"/>
      <c r="AX1066" s="189"/>
    </row>
    <row r="1067" ht="15.75" customHeight="1">
      <c r="A1067" s="189"/>
      <c r="B1067" s="189"/>
      <c r="C1067" s="190"/>
      <c r="D1067" s="190"/>
      <c r="E1067" s="190"/>
      <c r="F1067" s="190"/>
      <c r="G1067" s="189"/>
      <c r="H1067" s="189"/>
      <c r="I1067" s="189"/>
      <c r="J1067" s="189"/>
      <c r="K1067" s="189"/>
      <c r="L1067" s="189"/>
      <c r="M1067" s="189"/>
      <c r="N1067" s="189"/>
      <c r="O1067" s="189"/>
      <c r="P1067" s="291"/>
      <c r="Q1067" s="189"/>
      <c r="R1067" s="189"/>
      <c r="S1067" s="189"/>
      <c r="T1067" s="189"/>
      <c r="U1067" s="189"/>
      <c r="V1067" s="189"/>
      <c r="W1067" s="189"/>
      <c r="X1067" s="189"/>
      <c r="Y1067" s="189"/>
      <c r="Z1067" s="189"/>
      <c r="AA1067" s="189"/>
      <c r="AB1067" s="189"/>
      <c r="AC1067" s="189"/>
      <c r="AD1067" s="189"/>
      <c r="AE1067" s="189"/>
      <c r="AF1067" s="189"/>
      <c r="AG1067" s="189"/>
      <c r="AH1067" s="189"/>
      <c r="AI1067" s="189"/>
      <c r="AJ1067" s="189"/>
      <c r="AK1067" s="189"/>
      <c r="AL1067" s="189"/>
      <c r="AM1067" s="189"/>
      <c r="AN1067" s="189"/>
      <c r="AO1067" s="189"/>
      <c r="AP1067" s="189"/>
      <c r="AQ1067" s="189"/>
      <c r="AR1067" s="189"/>
      <c r="AS1067" s="189"/>
      <c r="AT1067" s="189"/>
      <c r="AU1067" s="189"/>
      <c r="AV1067" s="189"/>
      <c r="AW1067" s="189"/>
      <c r="AX1067" s="189"/>
    </row>
    <row r="1068" ht="15.75" customHeight="1">
      <c r="A1068" s="189"/>
      <c r="B1068" s="189"/>
      <c r="C1068" s="190"/>
      <c r="D1068" s="190"/>
      <c r="E1068" s="190"/>
      <c r="F1068" s="190"/>
      <c r="G1068" s="189"/>
      <c r="H1068" s="189"/>
      <c r="I1068" s="189"/>
      <c r="J1068" s="189"/>
      <c r="K1068" s="189"/>
      <c r="L1068" s="189"/>
      <c r="M1068" s="189"/>
      <c r="N1068" s="189"/>
      <c r="O1068" s="189"/>
      <c r="P1068" s="291"/>
      <c r="Q1068" s="189"/>
      <c r="R1068" s="189"/>
      <c r="S1068" s="189"/>
      <c r="T1068" s="189"/>
      <c r="U1068" s="189"/>
      <c r="V1068" s="189"/>
      <c r="W1068" s="189"/>
      <c r="X1068" s="189"/>
      <c r="Y1068" s="189"/>
      <c r="Z1068" s="189"/>
      <c r="AA1068" s="189"/>
      <c r="AB1068" s="189"/>
      <c r="AC1068" s="189"/>
      <c r="AD1068" s="189"/>
      <c r="AE1068" s="189"/>
      <c r="AF1068" s="189"/>
      <c r="AG1068" s="189"/>
      <c r="AH1068" s="189"/>
      <c r="AI1068" s="189"/>
      <c r="AJ1068" s="189"/>
      <c r="AK1068" s="189"/>
      <c r="AL1068" s="189"/>
      <c r="AM1068" s="189"/>
      <c r="AN1068" s="189"/>
      <c r="AO1068" s="189"/>
      <c r="AP1068" s="189"/>
      <c r="AQ1068" s="189"/>
      <c r="AR1068" s="189"/>
      <c r="AS1068" s="189"/>
      <c r="AT1068" s="189"/>
      <c r="AU1068" s="189"/>
      <c r="AV1068" s="189"/>
      <c r="AW1068" s="189"/>
      <c r="AX1068" s="189"/>
    </row>
    <row r="1069" ht="15.75" customHeight="1">
      <c r="A1069" s="189"/>
      <c r="B1069" s="189"/>
      <c r="C1069" s="190"/>
      <c r="D1069" s="190"/>
      <c r="E1069" s="190"/>
      <c r="F1069" s="190"/>
      <c r="G1069" s="189"/>
      <c r="H1069" s="189"/>
      <c r="I1069" s="189"/>
      <c r="J1069" s="189"/>
      <c r="K1069" s="189"/>
      <c r="L1069" s="189"/>
      <c r="M1069" s="189"/>
      <c r="N1069" s="189"/>
      <c r="O1069" s="189"/>
      <c r="P1069" s="291"/>
      <c r="Q1069" s="189"/>
      <c r="R1069" s="189"/>
      <c r="S1069" s="189"/>
      <c r="T1069" s="189"/>
      <c r="U1069" s="189"/>
      <c r="V1069" s="189"/>
      <c r="W1069" s="189"/>
      <c r="X1069" s="189"/>
      <c r="Y1069" s="189"/>
      <c r="Z1069" s="189"/>
      <c r="AA1069" s="189"/>
      <c r="AB1069" s="189"/>
      <c r="AC1069" s="189"/>
      <c r="AD1069" s="189"/>
      <c r="AE1069" s="189"/>
      <c r="AF1069" s="189"/>
      <c r="AG1069" s="189"/>
      <c r="AH1069" s="189"/>
      <c r="AI1069" s="189"/>
      <c r="AJ1069" s="189"/>
      <c r="AK1069" s="189"/>
      <c r="AL1069" s="189"/>
      <c r="AM1069" s="189"/>
      <c r="AN1069" s="189"/>
      <c r="AO1069" s="189"/>
      <c r="AP1069" s="189"/>
      <c r="AQ1069" s="189"/>
      <c r="AR1069" s="189"/>
      <c r="AS1069" s="189"/>
      <c r="AT1069" s="189"/>
      <c r="AU1069" s="189"/>
      <c r="AV1069" s="189"/>
      <c r="AW1069" s="189"/>
      <c r="AX1069" s="189"/>
    </row>
    <row r="1070" ht="15.75" customHeight="1">
      <c r="A1070" s="189"/>
      <c r="B1070" s="189"/>
      <c r="C1070" s="190"/>
      <c r="D1070" s="190"/>
      <c r="E1070" s="190"/>
      <c r="F1070" s="190"/>
      <c r="G1070" s="189"/>
      <c r="H1070" s="189"/>
      <c r="I1070" s="189"/>
      <c r="J1070" s="189"/>
      <c r="K1070" s="189"/>
      <c r="L1070" s="189"/>
      <c r="M1070" s="189"/>
      <c r="N1070" s="189"/>
      <c r="O1070" s="189"/>
      <c r="P1070" s="291"/>
      <c r="Q1070" s="189"/>
      <c r="R1070" s="189"/>
      <c r="S1070" s="189"/>
      <c r="T1070" s="189"/>
      <c r="U1070" s="189"/>
      <c r="V1070" s="189"/>
      <c r="W1070" s="189"/>
      <c r="X1070" s="189"/>
      <c r="Y1070" s="189"/>
      <c r="Z1070" s="189"/>
      <c r="AA1070" s="189"/>
      <c r="AB1070" s="189"/>
      <c r="AC1070" s="189"/>
      <c r="AD1070" s="189"/>
      <c r="AE1070" s="189"/>
      <c r="AF1070" s="189"/>
      <c r="AG1070" s="189"/>
      <c r="AH1070" s="189"/>
      <c r="AI1070" s="189"/>
      <c r="AJ1070" s="189"/>
      <c r="AK1070" s="189"/>
      <c r="AL1070" s="189"/>
      <c r="AM1070" s="189"/>
      <c r="AN1070" s="189"/>
      <c r="AO1070" s="189"/>
      <c r="AP1070" s="189"/>
      <c r="AQ1070" s="189"/>
      <c r="AR1070" s="189"/>
      <c r="AS1070" s="189"/>
      <c r="AT1070" s="189"/>
      <c r="AU1070" s="189"/>
      <c r="AV1070" s="189"/>
      <c r="AW1070" s="189"/>
      <c r="AX1070" s="189"/>
    </row>
    <row r="1071" ht="15.75" customHeight="1">
      <c r="A1071" s="189"/>
      <c r="B1071" s="189"/>
      <c r="C1071" s="190"/>
      <c r="D1071" s="190"/>
      <c r="E1071" s="190"/>
      <c r="F1071" s="190"/>
      <c r="G1071" s="189"/>
      <c r="H1071" s="189"/>
      <c r="I1071" s="189"/>
      <c r="J1071" s="189"/>
      <c r="K1071" s="189"/>
      <c r="L1071" s="189"/>
      <c r="M1071" s="189"/>
      <c r="N1071" s="189"/>
      <c r="O1071" s="189"/>
      <c r="P1071" s="291"/>
      <c r="Q1071" s="189"/>
      <c r="R1071" s="189"/>
      <c r="S1071" s="189"/>
      <c r="T1071" s="189"/>
      <c r="U1071" s="189"/>
      <c r="V1071" s="189"/>
      <c r="W1071" s="189"/>
      <c r="X1071" s="189"/>
      <c r="Y1071" s="189"/>
      <c r="Z1071" s="189"/>
      <c r="AA1071" s="189"/>
      <c r="AB1071" s="189"/>
      <c r="AC1071" s="189"/>
      <c r="AD1071" s="189"/>
      <c r="AE1071" s="189"/>
      <c r="AF1071" s="189"/>
      <c r="AG1071" s="189"/>
      <c r="AH1071" s="189"/>
      <c r="AI1071" s="189"/>
      <c r="AJ1071" s="189"/>
      <c r="AK1071" s="189"/>
      <c r="AL1071" s="189"/>
      <c r="AM1071" s="189"/>
      <c r="AN1071" s="189"/>
      <c r="AO1071" s="189"/>
      <c r="AP1071" s="189"/>
      <c r="AQ1071" s="189"/>
      <c r="AR1071" s="189"/>
      <c r="AS1071" s="189"/>
      <c r="AT1071" s="189"/>
      <c r="AU1071" s="189"/>
      <c r="AV1071" s="189"/>
      <c r="AW1071" s="189"/>
      <c r="AX1071" s="189"/>
    </row>
    <row r="1072" ht="15.75" customHeight="1">
      <c r="A1072" s="189"/>
      <c r="B1072" s="189"/>
      <c r="C1072" s="190"/>
      <c r="D1072" s="190"/>
      <c r="E1072" s="190"/>
      <c r="F1072" s="190"/>
      <c r="G1072" s="189"/>
      <c r="H1072" s="189"/>
      <c r="I1072" s="189"/>
      <c r="J1072" s="189"/>
      <c r="K1072" s="189"/>
      <c r="L1072" s="189"/>
      <c r="M1072" s="189"/>
      <c r="N1072" s="189"/>
      <c r="O1072" s="189"/>
      <c r="P1072" s="291"/>
      <c r="Q1072" s="189"/>
      <c r="R1072" s="189"/>
      <c r="S1072" s="189"/>
      <c r="T1072" s="189"/>
      <c r="U1072" s="189"/>
      <c r="V1072" s="189"/>
      <c r="W1072" s="189"/>
      <c r="X1072" s="189"/>
      <c r="Y1072" s="189"/>
      <c r="Z1072" s="189"/>
      <c r="AA1072" s="189"/>
      <c r="AB1072" s="189"/>
      <c r="AC1072" s="189"/>
      <c r="AD1072" s="189"/>
      <c r="AE1072" s="189"/>
      <c r="AF1072" s="189"/>
      <c r="AG1072" s="189"/>
      <c r="AH1072" s="189"/>
      <c r="AI1072" s="189"/>
      <c r="AJ1072" s="189"/>
      <c r="AK1072" s="189"/>
      <c r="AL1072" s="189"/>
      <c r="AM1072" s="189"/>
      <c r="AN1072" s="189"/>
      <c r="AO1072" s="189"/>
      <c r="AP1072" s="189"/>
      <c r="AQ1072" s="189"/>
      <c r="AR1072" s="189"/>
      <c r="AS1072" s="189"/>
      <c r="AT1072" s="189"/>
      <c r="AU1072" s="189"/>
      <c r="AV1072" s="189"/>
      <c r="AW1072" s="189"/>
      <c r="AX1072" s="189"/>
    </row>
    <row r="1073" ht="15.75" customHeight="1">
      <c r="A1073" s="189"/>
      <c r="B1073" s="189"/>
      <c r="C1073" s="190"/>
      <c r="D1073" s="190"/>
      <c r="E1073" s="190"/>
      <c r="F1073" s="190"/>
      <c r="G1073" s="189"/>
      <c r="H1073" s="189"/>
      <c r="I1073" s="189"/>
      <c r="J1073" s="189"/>
      <c r="K1073" s="189"/>
      <c r="L1073" s="189"/>
      <c r="M1073" s="189"/>
      <c r="N1073" s="189"/>
      <c r="O1073" s="189"/>
      <c r="P1073" s="291"/>
      <c r="Q1073" s="189"/>
      <c r="R1073" s="189"/>
      <c r="S1073" s="189"/>
      <c r="T1073" s="189"/>
      <c r="U1073" s="189"/>
      <c r="V1073" s="189"/>
      <c r="W1073" s="189"/>
      <c r="X1073" s="189"/>
      <c r="Y1073" s="189"/>
      <c r="Z1073" s="189"/>
      <c r="AA1073" s="189"/>
      <c r="AB1073" s="189"/>
      <c r="AC1073" s="189"/>
      <c r="AD1073" s="189"/>
      <c r="AE1073" s="189"/>
      <c r="AF1073" s="189"/>
      <c r="AG1073" s="189"/>
      <c r="AH1073" s="189"/>
      <c r="AI1073" s="189"/>
      <c r="AJ1073" s="189"/>
      <c r="AK1073" s="189"/>
      <c r="AL1073" s="189"/>
      <c r="AM1073" s="189"/>
      <c r="AN1073" s="189"/>
      <c r="AO1073" s="189"/>
      <c r="AP1073" s="189"/>
      <c r="AQ1073" s="189"/>
      <c r="AR1073" s="189"/>
      <c r="AS1073" s="189"/>
      <c r="AT1073" s="189"/>
      <c r="AU1073" s="189"/>
      <c r="AV1073" s="189"/>
      <c r="AW1073" s="189"/>
      <c r="AX1073" s="189"/>
    </row>
    <row r="1074" ht="15.75" customHeight="1">
      <c r="A1074" s="189"/>
      <c r="B1074" s="189"/>
      <c r="C1074" s="190"/>
      <c r="D1074" s="190"/>
      <c r="E1074" s="190"/>
      <c r="F1074" s="190"/>
      <c r="G1074" s="189"/>
      <c r="H1074" s="189"/>
      <c r="I1074" s="189"/>
      <c r="J1074" s="189"/>
      <c r="K1074" s="189"/>
      <c r="L1074" s="189"/>
      <c r="M1074" s="189"/>
      <c r="N1074" s="189"/>
      <c r="O1074" s="189"/>
      <c r="P1074" s="291"/>
      <c r="Q1074" s="189"/>
      <c r="R1074" s="189"/>
      <c r="S1074" s="189"/>
      <c r="T1074" s="189"/>
      <c r="U1074" s="189"/>
      <c r="V1074" s="189"/>
      <c r="W1074" s="189"/>
      <c r="X1074" s="189"/>
      <c r="Y1074" s="189"/>
      <c r="Z1074" s="189"/>
      <c r="AA1074" s="189"/>
      <c r="AB1074" s="189"/>
      <c r="AC1074" s="189"/>
      <c r="AD1074" s="189"/>
      <c r="AE1074" s="189"/>
      <c r="AF1074" s="189"/>
      <c r="AG1074" s="189"/>
      <c r="AH1074" s="189"/>
      <c r="AI1074" s="189"/>
      <c r="AJ1074" s="189"/>
      <c r="AK1074" s="189"/>
      <c r="AL1074" s="189"/>
      <c r="AM1074" s="189"/>
      <c r="AN1074" s="189"/>
      <c r="AO1074" s="189"/>
      <c r="AP1074" s="189"/>
      <c r="AQ1074" s="189"/>
      <c r="AR1074" s="189"/>
      <c r="AS1074" s="189"/>
      <c r="AT1074" s="189"/>
      <c r="AU1074" s="189"/>
      <c r="AV1074" s="189"/>
      <c r="AW1074" s="189"/>
      <c r="AX1074" s="189"/>
    </row>
    <row r="1075" ht="15.75" customHeight="1">
      <c r="A1075" s="189"/>
      <c r="B1075" s="189"/>
      <c r="C1075" s="190"/>
      <c r="D1075" s="190"/>
      <c r="E1075" s="190"/>
      <c r="F1075" s="190"/>
      <c r="G1075" s="189"/>
      <c r="H1075" s="189"/>
      <c r="I1075" s="189"/>
      <c r="J1075" s="189"/>
      <c r="K1075" s="189"/>
      <c r="L1075" s="189"/>
      <c r="M1075" s="189"/>
      <c r="N1075" s="189"/>
      <c r="O1075" s="189"/>
      <c r="P1075" s="291"/>
      <c r="Q1075" s="189"/>
      <c r="R1075" s="189"/>
      <c r="S1075" s="189"/>
      <c r="T1075" s="189"/>
      <c r="U1075" s="189"/>
      <c r="V1075" s="189"/>
      <c r="W1075" s="189"/>
      <c r="X1075" s="189"/>
      <c r="Y1075" s="189"/>
      <c r="Z1075" s="189"/>
      <c r="AA1075" s="189"/>
      <c r="AB1075" s="189"/>
      <c r="AC1075" s="189"/>
      <c r="AD1075" s="189"/>
      <c r="AE1075" s="189"/>
      <c r="AF1075" s="189"/>
      <c r="AG1075" s="189"/>
      <c r="AH1075" s="189"/>
      <c r="AI1075" s="189"/>
      <c r="AJ1075" s="189"/>
      <c r="AK1075" s="189"/>
      <c r="AL1075" s="189"/>
      <c r="AM1075" s="189"/>
      <c r="AN1075" s="189"/>
      <c r="AO1075" s="189"/>
      <c r="AP1075" s="189"/>
      <c r="AQ1075" s="189"/>
      <c r="AR1075" s="189"/>
      <c r="AS1075" s="189"/>
      <c r="AT1075" s="189"/>
      <c r="AU1075" s="189"/>
      <c r="AV1075" s="189"/>
      <c r="AW1075" s="189"/>
      <c r="AX1075" s="189"/>
    </row>
    <row r="1076" ht="15.75" customHeight="1">
      <c r="A1076" s="189"/>
      <c r="B1076" s="189"/>
      <c r="C1076" s="190"/>
      <c r="D1076" s="190"/>
      <c r="E1076" s="190"/>
      <c r="F1076" s="190"/>
      <c r="G1076" s="189"/>
      <c r="H1076" s="189"/>
      <c r="I1076" s="189"/>
      <c r="J1076" s="189"/>
      <c r="K1076" s="189"/>
      <c r="L1076" s="189"/>
      <c r="M1076" s="189"/>
      <c r="N1076" s="189"/>
      <c r="O1076" s="189"/>
      <c r="P1076" s="291"/>
      <c r="Q1076" s="189"/>
      <c r="R1076" s="189"/>
      <c r="S1076" s="189"/>
      <c r="T1076" s="189"/>
      <c r="U1076" s="189"/>
      <c r="V1076" s="189"/>
      <c r="W1076" s="189"/>
      <c r="X1076" s="189"/>
      <c r="Y1076" s="189"/>
      <c r="Z1076" s="189"/>
      <c r="AA1076" s="189"/>
      <c r="AB1076" s="189"/>
      <c r="AC1076" s="189"/>
      <c r="AD1076" s="189"/>
      <c r="AE1076" s="189"/>
      <c r="AF1076" s="189"/>
      <c r="AG1076" s="189"/>
      <c r="AH1076" s="189"/>
      <c r="AI1076" s="189"/>
      <c r="AJ1076" s="189"/>
      <c r="AK1076" s="189"/>
      <c r="AL1076" s="189"/>
      <c r="AM1076" s="189"/>
      <c r="AN1076" s="189"/>
      <c r="AO1076" s="189"/>
      <c r="AP1076" s="189"/>
      <c r="AQ1076" s="189"/>
      <c r="AR1076" s="189"/>
      <c r="AS1076" s="189"/>
      <c r="AT1076" s="189"/>
      <c r="AU1076" s="189"/>
      <c r="AV1076" s="189"/>
      <c r="AW1076" s="189"/>
      <c r="AX1076" s="189"/>
    </row>
    <row r="1077" ht="15.75" customHeight="1">
      <c r="A1077" s="189"/>
      <c r="B1077" s="189"/>
      <c r="C1077" s="190"/>
      <c r="D1077" s="190"/>
      <c r="E1077" s="190"/>
      <c r="F1077" s="190"/>
      <c r="G1077" s="189"/>
      <c r="H1077" s="189"/>
      <c r="I1077" s="189"/>
      <c r="J1077" s="189"/>
      <c r="K1077" s="189"/>
      <c r="L1077" s="189"/>
      <c r="M1077" s="189"/>
      <c r="N1077" s="189"/>
      <c r="O1077" s="189"/>
      <c r="P1077" s="291"/>
      <c r="Q1077" s="189"/>
      <c r="R1077" s="189"/>
      <c r="S1077" s="189"/>
      <c r="T1077" s="189"/>
      <c r="U1077" s="189"/>
      <c r="V1077" s="189"/>
      <c r="W1077" s="189"/>
      <c r="X1077" s="189"/>
      <c r="Y1077" s="189"/>
      <c r="Z1077" s="189"/>
      <c r="AA1077" s="189"/>
      <c r="AB1077" s="189"/>
      <c r="AC1077" s="189"/>
      <c r="AD1077" s="189"/>
      <c r="AE1077" s="189"/>
      <c r="AF1077" s="189"/>
      <c r="AG1077" s="189"/>
      <c r="AH1077" s="189"/>
      <c r="AI1077" s="189"/>
      <c r="AJ1077" s="189"/>
      <c r="AK1077" s="189"/>
      <c r="AL1077" s="189"/>
      <c r="AM1077" s="189"/>
      <c r="AN1077" s="189"/>
      <c r="AO1077" s="189"/>
      <c r="AP1077" s="189"/>
      <c r="AQ1077" s="189"/>
      <c r="AR1077" s="189"/>
      <c r="AS1077" s="189"/>
      <c r="AT1077" s="189"/>
      <c r="AU1077" s="189"/>
      <c r="AV1077" s="189"/>
      <c r="AW1077" s="189"/>
      <c r="AX1077" s="189"/>
    </row>
    <row r="1078" ht="15.75" customHeight="1">
      <c r="A1078" s="189"/>
      <c r="B1078" s="189"/>
      <c r="C1078" s="190"/>
      <c r="D1078" s="190"/>
      <c r="E1078" s="190"/>
      <c r="F1078" s="190"/>
      <c r="G1078" s="189"/>
      <c r="H1078" s="189"/>
      <c r="I1078" s="189"/>
      <c r="J1078" s="189"/>
      <c r="K1078" s="189"/>
      <c r="L1078" s="189"/>
      <c r="M1078" s="189"/>
      <c r="N1078" s="189"/>
      <c r="O1078" s="189"/>
      <c r="P1078" s="291"/>
      <c r="Q1078" s="189"/>
      <c r="R1078" s="189"/>
      <c r="S1078" s="189"/>
      <c r="T1078" s="189"/>
      <c r="U1078" s="189"/>
      <c r="V1078" s="189"/>
      <c r="W1078" s="189"/>
      <c r="X1078" s="189"/>
      <c r="Y1078" s="189"/>
      <c r="Z1078" s="189"/>
      <c r="AA1078" s="189"/>
      <c r="AB1078" s="189"/>
      <c r="AC1078" s="189"/>
      <c r="AD1078" s="189"/>
      <c r="AE1078" s="189"/>
      <c r="AF1078" s="189"/>
      <c r="AG1078" s="189"/>
      <c r="AH1078" s="189"/>
      <c r="AI1078" s="189"/>
      <c r="AJ1078" s="189"/>
      <c r="AK1078" s="189"/>
      <c r="AL1078" s="189"/>
      <c r="AM1078" s="189"/>
      <c r="AN1078" s="189"/>
      <c r="AO1078" s="189"/>
      <c r="AP1078" s="189"/>
      <c r="AQ1078" s="189"/>
      <c r="AR1078" s="189"/>
      <c r="AS1078" s="189"/>
      <c r="AT1078" s="189"/>
      <c r="AU1078" s="189"/>
      <c r="AV1078" s="189"/>
      <c r="AW1078" s="189"/>
      <c r="AX1078" s="189"/>
    </row>
    <row r="1079" ht="15.75" customHeight="1">
      <c r="A1079" s="189"/>
      <c r="B1079" s="189"/>
      <c r="C1079" s="190"/>
      <c r="D1079" s="190"/>
      <c r="E1079" s="190"/>
      <c r="F1079" s="190"/>
      <c r="G1079" s="189"/>
      <c r="H1079" s="189"/>
      <c r="I1079" s="189"/>
      <c r="J1079" s="189"/>
      <c r="K1079" s="189"/>
      <c r="L1079" s="189"/>
      <c r="M1079" s="189"/>
      <c r="N1079" s="189"/>
      <c r="O1079" s="189"/>
      <c r="P1079" s="291"/>
      <c r="Q1079" s="189"/>
      <c r="R1079" s="189"/>
      <c r="S1079" s="189"/>
      <c r="T1079" s="189"/>
      <c r="U1079" s="189"/>
      <c r="V1079" s="189"/>
      <c r="W1079" s="189"/>
      <c r="X1079" s="189"/>
      <c r="Y1079" s="189"/>
      <c r="Z1079" s="189"/>
      <c r="AA1079" s="189"/>
      <c r="AB1079" s="189"/>
      <c r="AC1079" s="189"/>
      <c r="AD1079" s="189"/>
      <c r="AE1079" s="189"/>
      <c r="AF1079" s="189"/>
      <c r="AG1079" s="189"/>
      <c r="AH1079" s="189"/>
      <c r="AI1079" s="189"/>
      <c r="AJ1079" s="189"/>
      <c r="AK1079" s="189"/>
      <c r="AL1079" s="189"/>
      <c r="AM1079" s="189"/>
      <c r="AN1079" s="189"/>
      <c r="AO1079" s="189"/>
      <c r="AP1079" s="189"/>
      <c r="AQ1079" s="189"/>
      <c r="AR1079" s="189"/>
      <c r="AS1079" s="189"/>
      <c r="AT1079" s="189"/>
      <c r="AU1079" s="189"/>
      <c r="AV1079" s="189"/>
      <c r="AW1079" s="189"/>
      <c r="AX1079" s="189"/>
    </row>
    <row r="1080" ht="15.75" customHeight="1">
      <c r="A1080" s="189"/>
      <c r="B1080" s="189"/>
      <c r="C1080" s="190"/>
      <c r="D1080" s="190"/>
      <c r="E1080" s="190"/>
      <c r="F1080" s="190"/>
      <c r="G1080" s="189"/>
      <c r="H1080" s="189"/>
      <c r="I1080" s="189"/>
      <c r="J1080" s="189"/>
      <c r="K1080" s="189"/>
      <c r="L1080" s="189"/>
      <c r="M1080" s="189"/>
      <c r="N1080" s="189"/>
      <c r="O1080" s="189"/>
      <c r="P1080" s="291"/>
      <c r="Q1080" s="189"/>
      <c r="R1080" s="189"/>
      <c r="S1080" s="189"/>
      <c r="T1080" s="189"/>
      <c r="U1080" s="189"/>
      <c r="V1080" s="189"/>
      <c r="W1080" s="189"/>
      <c r="X1080" s="189"/>
      <c r="Y1080" s="189"/>
      <c r="Z1080" s="189"/>
      <c r="AA1080" s="189"/>
      <c r="AB1080" s="189"/>
      <c r="AC1080" s="189"/>
      <c r="AD1080" s="189"/>
      <c r="AE1080" s="189"/>
      <c r="AF1080" s="189"/>
      <c r="AG1080" s="189"/>
      <c r="AH1080" s="189"/>
      <c r="AI1080" s="189"/>
      <c r="AJ1080" s="189"/>
      <c r="AK1080" s="189"/>
      <c r="AL1080" s="189"/>
      <c r="AM1080" s="189"/>
      <c r="AN1080" s="189"/>
      <c r="AO1080" s="189"/>
      <c r="AP1080" s="189"/>
      <c r="AQ1080" s="189"/>
      <c r="AR1080" s="189"/>
      <c r="AS1080" s="189"/>
      <c r="AT1080" s="189"/>
      <c r="AU1080" s="189"/>
      <c r="AV1080" s="189"/>
      <c r="AW1080" s="189"/>
      <c r="AX1080" s="189"/>
    </row>
    <row r="1081" ht="15.75" customHeight="1">
      <c r="A1081" s="189"/>
      <c r="B1081" s="189"/>
      <c r="C1081" s="190"/>
      <c r="D1081" s="190"/>
      <c r="E1081" s="190"/>
      <c r="F1081" s="190"/>
      <c r="G1081" s="189"/>
      <c r="H1081" s="189"/>
      <c r="I1081" s="189"/>
      <c r="J1081" s="189"/>
      <c r="K1081" s="189"/>
      <c r="L1081" s="189"/>
      <c r="M1081" s="189"/>
      <c r="N1081" s="189"/>
      <c r="O1081" s="189"/>
      <c r="P1081" s="291"/>
      <c r="Q1081" s="189"/>
      <c r="R1081" s="189"/>
      <c r="S1081" s="189"/>
      <c r="T1081" s="189"/>
      <c r="U1081" s="189"/>
      <c r="V1081" s="189"/>
      <c r="W1081" s="189"/>
      <c r="X1081" s="189"/>
      <c r="Y1081" s="189"/>
      <c r="Z1081" s="189"/>
      <c r="AA1081" s="189"/>
      <c r="AB1081" s="189"/>
      <c r="AC1081" s="189"/>
      <c r="AD1081" s="189"/>
      <c r="AE1081" s="189"/>
      <c r="AF1081" s="189"/>
      <c r="AG1081" s="189"/>
      <c r="AH1081" s="189"/>
      <c r="AI1081" s="189"/>
      <c r="AJ1081" s="189"/>
      <c r="AK1081" s="189"/>
      <c r="AL1081" s="189"/>
      <c r="AM1081" s="189"/>
      <c r="AN1081" s="189"/>
      <c r="AO1081" s="189"/>
      <c r="AP1081" s="189"/>
      <c r="AQ1081" s="189"/>
      <c r="AR1081" s="189"/>
      <c r="AS1081" s="189"/>
      <c r="AT1081" s="189"/>
      <c r="AU1081" s="189"/>
      <c r="AV1081" s="189"/>
      <c r="AW1081" s="189"/>
      <c r="AX1081" s="189"/>
    </row>
    <row r="1082" ht="15.75" customHeight="1">
      <c r="A1082" s="189"/>
      <c r="B1082" s="189"/>
      <c r="C1082" s="190"/>
      <c r="D1082" s="190"/>
      <c r="E1082" s="190"/>
      <c r="F1082" s="190"/>
      <c r="G1082" s="189"/>
      <c r="H1082" s="189"/>
      <c r="I1082" s="189"/>
      <c r="J1082" s="189"/>
      <c r="K1082" s="189"/>
      <c r="L1082" s="189"/>
      <c r="M1082" s="189"/>
      <c r="N1082" s="189"/>
      <c r="O1082" s="189"/>
      <c r="P1082" s="291"/>
      <c r="Q1082" s="189"/>
      <c r="R1082" s="189"/>
      <c r="S1082" s="189"/>
      <c r="T1082" s="189"/>
      <c r="U1082" s="189"/>
      <c r="V1082" s="189"/>
      <c r="W1082" s="189"/>
      <c r="X1082" s="189"/>
      <c r="Y1082" s="189"/>
      <c r="Z1082" s="189"/>
      <c r="AA1082" s="189"/>
      <c r="AB1082" s="189"/>
      <c r="AC1082" s="189"/>
      <c r="AD1082" s="189"/>
      <c r="AE1082" s="189"/>
      <c r="AF1082" s="189"/>
      <c r="AG1082" s="189"/>
      <c r="AH1082" s="189"/>
      <c r="AI1082" s="189"/>
      <c r="AJ1082" s="189"/>
      <c r="AK1082" s="189"/>
      <c r="AL1082" s="189"/>
      <c r="AM1082" s="189"/>
      <c r="AN1082" s="189"/>
      <c r="AO1082" s="189"/>
      <c r="AP1082" s="189"/>
      <c r="AQ1082" s="189"/>
      <c r="AR1082" s="189"/>
      <c r="AS1082" s="189"/>
      <c r="AT1082" s="189"/>
      <c r="AU1082" s="189"/>
      <c r="AV1082" s="189"/>
      <c r="AW1082" s="189"/>
      <c r="AX1082" s="189"/>
    </row>
    <row r="1083" ht="15.75" customHeight="1">
      <c r="A1083" s="189"/>
      <c r="B1083" s="189"/>
      <c r="C1083" s="190"/>
      <c r="D1083" s="190"/>
      <c r="E1083" s="190"/>
      <c r="F1083" s="190"/>
      <c r="G1083" s="189"/>
      <c r="H1083" s="189"/>
      <c r="I1083" s="189"/>
      <c r="J1083" s="189"/>
      <c r="K1083" s="189"/>
      <c r="L1083" s="189"/>
      <c r="M1083" s="189"/>
      <c r="N1083" s="189"/>
      <c r="O1083" s="189"/>
      <c r="P1083" s="291"/>
      <c r="Q1083" s="189"/>
      <c r="R1083" s="189"/>
      <c r="S1083" s="189"/>
      <c r="T1083" s="189"/>
      <c r="U1083" s="189"/>
      <c r="V1083" s="189"/>
      <c r="W1083" s="189"/>
      <c r="X1083" s="189"/>
      <c r="Y1083" s="189"/>
      <c r="Z1083" s="189"/>
      <c r="AA1083" s="189"/>
      <c r="AB1083" s="189"/>
      <c r="AC1083" s="189"/>
      <c r="AD1083" s="189"/>
      <c r="AE1083" s="189"/>
      <c r="AF1083" s="189"/>
      <c r="AG1083" s="189"/>
      <c r="AH1083" s="189"/>
      <c r="AI1083" s="189"/>
      <c r="AJ1083" s="189"/>
      <c r="AK1083" s="189"/>
      <c r="AL1083" s="189"/>
      <c r="AM1083" s="189"/>
      <c r="AN1083" s="189"/>
      <c r="AO1083" s="189"/>
      <c r="AP1083" s="189"/>
      <c r="AQ1083" s="189"/>
      <c r="AR1083" s="189"/>
      <c r="AS1083" s="189"/>
      <c r="AT1083" s="189"/>
      <c r="AU1083" s="189"/>
      <c r="AV1083" s="189"/>
      <c r="AW1083" s="189"/>
      <c r="AX1083" s="189"/>
    </row>
    <row r="1084" ht="15.75" customHeight="1">
      <c r="A1084" s="189"/>
      <c r="B1084" s="189"/>
      <c r="C1084" s="190"/>
      <c r="D1084" s="190"/>
      <c r="E1084" s="190"/>
      <c r="F1084" s="190"/>
      <c r="G1084" s="189"/>
      <c r="H1084" s="189"/>
      <c r="I1084" s="189"/>
      <c r="J1084" s="189"/>
      <c r="K1084" s="189"/>
      <c r="L1084" s="189"/>
      <c r="M1084" s="189"/>
      <c r="N1084" s="189"/>
      <c r="O1084" s="189"/>
      <c r="P1084" s="291"/>
      <c r="Q1084" s="189"/>
      <c r="R1084" s="189"/>
      <c r="S1084" s="189"/>
      <c r="T1084" s="189"/>
      <c r="U1084" s="189"/>
      <c r="V1084" s="189"/>
      <c r="W1084" s="189"/>
      <c r="X1084" s="189"/>
      <c r="Y1084" s="189"/>
      <c r="Z1084" s="189"/>
      <c r="AA1084" s="189"/>
      <c r="AB1084" s="189"/>
      <c r="AC1084" s="189"/>
      <c r="AD1084" s="189"/>
      <c r="AE1084" s="189"/>
      <c r="AF1084" s="189"/>
      <c r="AG1084" s="189"/>
      <c r="AH1084" s="189"/>
      <c r="AI1084" s="189"/>
      <c r="AJ1084" s="189"/>
      <c r="AK1084" s="189"/>
      <c r="AL1084" s="189"/>
      <c r="AM1084" s="189"/>
      <c r="AN1084" s="189"/>
      <c r="AO1084" s="189"/>
      <c r="AP1084" s="189"/>
      <c r="AQ1084" s="189"/>
      <c r="AR1084" s="189"/>
      <c r="AS1084" s="189"/>
      <c r="AT1084" s="189"/>
      <c r="AU1084" s="189"/>
      <c r="AV1084" s="189"/>
      <c r="AW1084" s="189"/>
      <c r="AX1084" s="189"/>
    </row>
    <row r="1085" ht="15.75" customHeight="1">
      <c r="A1085" s="189"/>
      <c r="B1085" s="189"/>
      <c r="C1085" s="190"/>
      <c r="D1085" s="190"/>
      <c r="E1085" s="190"/>
      <c r="F1085" s="190"/>
      <c r="G1085" s="189"/>
      <c r="H1085" s="189"/>
      <c r="I1085" s="189"/>
      <c r="J1085" s="189"/>
      <c r="K1085" s="189"/>
      <c r="L1085" s="189"/>
      <c r="M1085" s="189"/>
      <c r="N1085" s="189"/>
      <c r="O1085" s="189"/>
      <c r="P1085" s="291"/>
      <c r="Q1085" s="189"/>
      <c r="R1085" s="189"/>
      <c r="S1085" s="189"/>
      <c r="T1085" s="189"/>
      <c r="U1085" s="189"/>
      <c r="V1085" s="189"/>
      <c r="W1085" s="189"/>
      <c r="X1085" s="189"/>
      <c r="Y1085" s="189"/>
      <c r="Z1085" s="189"/>
      <c r="AA1085" s="189"/>
      <c r="AB1085" s="189"/>
      <c r="AC1085" s="189"/>
      <c r="AD1085" s="189"/>
      <c r="AE1085" s="189"/>
      <c r="AF1085" s="189"/>
      <c r="AG1085" s="189"/>
      <c r="AH1085" s="189"/>
      <c r="AI1085" s="189"/>
      <c r="AJ1085" s="189"/>
      <c r="AK1085" s="189"/>
      <c r="AL1085" s="189"/>
      <c r="AM1085" s="189"/>
      <c r="AN1085" s="189"/>
      <c r="AO1085" s="189"/>
      <c r="AP1085" s="189"/>
      <c r="AQ1085" s="189"/>
      <c r="AR1085" s="189"/>
      <c r="AS1085" s="189"/>
      <c r="AT1085" s="189"/>
      <c r="AU1085" s="189"/>
      <c r="AV1085" s="189"/>
      <c r="AW1085" s="189"/>
      <c r="AX1085" s="189"/>
    </row>
    <row r="1086" ht="15.75" customHeight="1">
      <c r="A1086" s="189"/>
      <c r="B1086" s="189"/>
      <c r="C1086" s="190"/>
      <c r="D1086" s="190"/>
      <c r="E1086" s="190"/>
      <c r="F1086" s="190"/>
      <c r="G1086" s="189"/>
      <c r="H1086" s="189"/>
      <c r="I1086" s="189"/>
      <c r="J1086" s="189"/>
      <c r="K1086" s="189"/>
      <c r="L1086" s="189"/>
      <c r="M1086" s="189"/>
      <c r="N1086" s="189"/>
      <c r="O1086" s="189"/>
      <c r="P1086" s="291"/>
      <c r="Q1086" s="189"/>
      <c r="R1086" s="189"/>
      <c r="S1086" s="189"/>
      <c r="T1086" s="189"/>
      <c r="U1086" s="189"/>
      <c r="V1086" s="189"/>
      <c r="W1086" s="189"/>
      <c r="X1086" s="189"/>
      <c r="Y1086" s="189"/>
      <c r="Z1086" s="189"/>
      <c r="AA1086" s="189"/>
      <c r="AB1086" s="189"/>
      <c r="AC1086" s="189"/>
      <c r="AD1086" s="189"/>
      <c r="AE1086" s="189"/>
      <c r="AF1086" s="189"/>
      <c r="AG1086" s="189"/>
      <c r="AH1086" s="189"/>
      <c r="AI1086" s="189"/>
      <c r="AJ1086" s="189"/>
      <c r="AK1086" s="189"/>
      <c r="AL1086" s="189"/>
      <c r="AM1086" s="189"/>
      <c r="AN1086" s="189"/>
      <c r="AO1086" s="189"/>
      <c r="AP1086" s="189"/>
      <c r="AQ1086" s="189"/>
      <c r="AR1086" s="189"/>
      <c r="AS1086" s="189"/>
      <c r="AT1086" s="189"/>
      <c r="AU1086" s="189"/>
      <c r="AV1086" s="189"/>
      <c r="AW1086" s="189"/>
      <c r="AX1086" s="189"/>
    </row>
    <row r="1087" ht="15.75" customHeight="1">
      <c r="A1087" s="189"/>
      <c r="B1087" s="189"/>
      <c r="C1087" s="190"/>
      <c r="D1087" s="190"/>
      <c r="E1087" s="190"/>
      <c r="F1087" s="190"/>
      <c r="G1087" s="189"/>
      <c r="H1087" s="189"/>
      <c r="I1087" s="189"/>
      <c r="J1087" s="189"/>
      <c r="K1087" s="189"/>
      <c r="L1087" s="189"/>
      <c r="M1087" s="189"/>
      <c r="N1087" s="189"/>
      <c r="O1087" s="189"/>
      <c r="P1087" s="291"/>
      <c r="Q1087" s="189"/>
      <c r="R1087" s="189"/>
      <c r="S1087" s="189"/>
      <c r="T1087" s="189"/>
      <c r="U1087" s="189"/>
      <c r="V1087" s="189"/>
      <c r="W1087" s="189"/>
      <c r="X1087" s="189"/>
      <c r="Y1087" s="189"/>
      <c r="Z1087" s="189"/>
      <c r="AA1087" s="189"/>
      <c r="AB1087" s="189"/>
      <c r="AC1087" s="189"/>
      <c r="AD1087" s="189"/>
      <c r="AE1087" s="189"/>
      <c r="AF1087" s="189"/>
      <c r="AG1087" s="189"/>
      <c r="AH1087" s="189"/>
      <c r="AI1087" s="189"/>
      <c r="AJ1087" s="189"/>
      <c r="AK1087" s="189"/>
      <c r="AL1087" s="189"/>
      <c r="AM1087" s="189"/>
      <c r="AN1087" s="189"/>
      <c r="AO1087" s="189"/>
      <c r="AP1087" s="189"/>
      <c r="AQ1087" s="189"/>
      <c r="AR1087" s="189"/>
      <c r="AS1087" s="189"/>
      <c r="AT1087" s="189"/>
      <c r="AU1087" s="189"/>
      <c r="AV1087" s="189"/>
      <c r="AW1087" s="189"/>
      <c r="AX1087" s="189"/>
    </row>
    <row r="1088" ht="15.75" customHeight="1">
      <c r="A1088" s="189"/>
      <c r="B1088" s="189"/>
      <c r="C1088" s="190"/>
      <c r="D1088" s="190"/>
      <c r="E1088" s="190"/>
      <c r="F1088" s="190"/>
      <c r="G1088" s="189"/>
      <c r="H1088" s="189"/>
      <c r="I1088" s="189"/>
      <c r="J1088" s="189"/>
      <c r="K1088" s="189"/>
      <c r="L1088" s="189"/>
      <c r="M1088" s="189"/>
      <c r="N1088" s="189"/>
      <c r="O1088" s="189"/>
      <c r="P1088" s="291"/>
      <c r="Q1088" s="189"/>
      <c r="R1088" s="189"/>
      <c r="S1088" s="189"/>
      <c r="T1088" s="189"/>
      <c r="U1088" s="189"/>
      <c r="V1088" s="189"/>
      <c r="W1088" s="189"/>
      <c r="X1088" s="189"/>
      <c r="Y1088" s="189"/>
      <c r="Z1088" s="189"/>
      <c r="AA1088" s="189"/>
      <c r="AB1088" s="189"/>
      <c r="AC1088" s="189"/>
      <c r="AD1088" s="189"/>
      <c r="AE1088" s="189"/>
      <c r="AF1088" s="189"/>
      <c r="AG1088" s="189"/>
      <c r="AH1088" s="189"/>
      <c r="AI1088" s="189"/>
      <c r="AJ1088" s="189"/>
      <c r="AK1088" s="189"/>
      <c r="AL1088" s="189"/>
      <c r="AM1088" s="189"/>
      <c r="AN1088" s="189"/>
      <c r="AO1088" s="189"/>
      <c r="AP1088" s="189"/>
      <c r="AQ1088" s="189"/>
      <c r="AR1088" s="189"/>
      <c r="AS1088" s="189"/>
      <c r="AT1088" s="189"/>
      <c r="AU1088" s="189"/>
      <c r="AV1088" s="189"/>
      <c r="AW1088" s="189"/>
      <c r="AX1088" s="189"/>
    </row>
    <row r="1089" ht="15.75" customHeight="1">
      <c r="A1089" s="189"/>
      <c r="B1089" s="189"/>
      <c r="C1089" s="190"/>
      <c r="D1089" s="190"/>
      <c r="E1089" s="190"/>
      <c r="F1089" s="190"/>
      <c r="G1089" s="189"/>
      <c r="H1089" s="189"/>
      <c r="I1089" s="189"/>
      <c r="J1089" s="189"/>
      <c r="K1089" s="189"/>
      <c r="L1089" s="189"/>
      <c r="M1089" s="189"/>
      <c r="N1089" s="189"/>
      <c r="O1089" s="189"/>
      <c r="P1089" s="291"/>
      <c r="Q1089" s="189"/>
      <c r="R1089" s="189"/>
      <c r="S1089" s="189"/>
      <c r="T1089" s="189"/>
      <c r="U1089" s="189"/>
      <c r="V1089" s="189"/>
      <c r="W1089" s="189"/>
      <c r="X1089" s="189"/>
      <c r="Y1089" s="189"/>
      <c r="Z1089" s="189"/>
      <c r="AA1089" s="189"/>
      <c r="AB1089" s="189"/>
      <c r="AC1089" s="189"/>
      <c r="AD1089" s="189"/>
      <c r="AE1089" s="189"/>
      <c r="AF1089" s="189"/>
      <c r="AG1089" s="189"/>
      <c r="AH1089" s="189"/>
      <c r="AI1089" s="189"/>
      <c r="AJ1089" s="189"/>
      <c r="AK1089" s="189"/>
      <c r="AL1089" s="189"/>
      <c r="AM1089" s="189"/>
      <c r="AN1089" s="189"/>
      <c r="AO1089" s="189"/>
      <c r="AP1089" s="189"/>
      <c r="AQ1089" s="189"/>
      <c r="AR1089" s="189"/>
      <c r="AS1089" s="189"/>
      <c r="AT1089" s="189"/>
      <c r="AU1089" s="189"/>
      <c r="AV1089" s="189"/>
      <c r="AW1089" s="189"/>
      <c r="AX1089" s="189"/>
    </row>
    <row r="1090" ht="15.75" customHeight="1">
      <c r="A1090" s="189"/>
      <c r="B1090" s="189"/>
      <c r="C1090" s="190"/>
      <c r="D1090" s="190"/>
      <c r="E1090" s="190"/>
      <c r="F1090" s="190"/>
      <c r="G1090" s="189"/>
      <c r="H1090" s="189"/>
      <c r="I1090" s="189"/>
      <c r="J1090" s="189"/>
      <c r="K1090" s="189"/>
      <c r="L1090" s="189"/>
      <c r="M1090" s="189"/>
      <c r="N1090" s="189"/>
      <c r="O1090" s="189"/>
      <c r="P1090" s="291"/>
      <c r="Q1090" s="189"/>
      <c r="R1090" s="189"/>
      <c r="S1090" s="189"/>
      <c r="T1090" s="189"/>
      <c r="U1090" s="189"/>
      <c r="V1090" s="189"/>
      <c r="W1090" s="189"/>
      <c r="X1090" s="189"/>
      <c r="Y1090" s="189"/>
      <c r="Z1090" s="189"/>
      <c r="AA1090" s="189"/>
      <c r="AB1090" s="189"/>
      <c r="AC1090" s="189"/>
      <c r="AD1090" s="189"/>
      <c r="AE1090" s="189"/>
      <c r="AF1090" s="189"/>
      <c r="AG1090" s="189"/>
      <c r="AH1090" s="189"/>
      <c r="AI1090" s="189"/>
      <c r="AJ1090" s="189"/>
      <c r="AK1090" s="189"/>
      <c r="AL1090" s="189"/>
      <c r="AM1090" s="189"/>
      <c r="AN1090" s="189"/>
      <c r="AO1090" s="189"/>
      <c r="AP1090" s="189"/>
      <c r="AQ1090" s="189"/>
      <c r="AR1090" s="189"/>
      <c r="AS1090" s="189"/>
      <c r="AT1090" s="189"/>
      <c r="AU1090" s="189"/>
      <c r="AV1090" s="189"/>
      <c r="AW1090" s="189"/>
      <c r="AX1090" s="189"/>
    </row>
    <row r="1091" ht="15.75" customHeight="1">
      <c r="A1091" s="189"/>
      <c r="B1091" s="189"/>
      <c r="C1091" s="190"/>
      <c r="D1091" s="190"/>
      <c r="E1091" s="190"/>
      <c r="F1091" s="190"/>
      <c r="G1091" s="189"/>
      <c r="H1091" s="189"/>
      <c r="I1091" s="189"/>
      <c r="J1091" s="189"/>
      <c r="K1091" s="189"/>
      <c r="L1091" s="189"/>
      <c r="M1091" s="189"/>
      <c r="N1091" s="189"/>
      <c r="O1091" s="189"/>
      <c r="P1091" s="291"/>
      <c r="Q1091" s="189"/>
      <c r="R1091" s="189"/>
      <c r="S1091" s="189"/>
      <c r="T1091" s="189"/>
      <c r="U1091" s="189"/>
      <c r="V1091" s="189"/>
      <c r="W1091" s="189"/>
      <c r="X1091" s="189"/>
      <c r="Y1091" s="189"/>
      <c r="Z1091" s="189"/>
      <c r="AA1091" s="189"/>
      <c r="AB1091" s="189"/>
      <c r="AC1091" s="189"/>
      <c r="AD1091" s="189"/>
      <c r="AE1091" s="189"/>
      <c r="AF1091" s="189"/>
      <c r="AG1091" s="189"/>
      <c r="AH1091" s="189"/>
      <c r="AI1091" s="189"/>
      <c r="AJ1091" s="189"/>
      <c r="AK1091" s="189"/>
      <c r="AL1091" s="189"/>
      <c r="AM1091" s="189"/>
      <c r="AN1091" s="189"/>
      <c r="AO1091" s="189"/>
      <c r="AP1091" s="189"/>
      <c r="AQ1091" s="189"/>
      <c r="AR1091" s="189"/>
      <c r="AS1091" s="189"/>
      <c r="AT1091" s="189"/>
      <c r="AU1091" s="189"/>
      <c r="AV1091" s="189"/>
      <c r="AW1091" s="189"/>
      <c r="AX1091" s="189"/>
    </row>
    <row r="1092" ht="15.75" customHeight="1">
      <c r="A1092" s="189"/>
      <c r="B1092" s="189"/>
      <c r="C1092" s="190"/>
      <c r="D1092" s="190"/>
      <c r="E1092" s="190"/>
      <c r="F1092" s="190"/>
      <c r="G1092" s="189"/>
      <c r="H1092" s="189"/>
      <c r="I1092" s="189"/>
      <c r="J1092" s="189"/>
      <c r="K1092" s="189"/>
      <c r="L1092" s="189"/>
      <c r="M1092" s="189"/>
      <c r="N1092" s="189"/>
      <c r="O1092" s="189"/>
      <c r="P1092" s="291"/>
      <c r="Q1092" s="189"/>
      <c r="R1092" s="189"/>
      <c r="S1092" s="189"/>
      <c r="T1092" s="189"/>
      <c r="U1092" s="189"/>
      <c r="V1092" s="189"/>
      <c r="W1092" s="189"/>
      <c r="X1092" s="189"/>
      <c r="Y1092" s="189"/>
      <c r="Z1092" s="189"/>
      <c r="AA1092" s="189"/>
      <c r="AB1092" s="189"/>
      <c r="AC1092" s="189"/>
      <c r="AD1092" s="189"/>
      <c r="AE1092" s="189"/>
      <c r="AF1092" s="189"/>
      <c r="AG1092" s="189"/>
      <c r="AH1092" s="189"/>
      <c r="AI1092" s="189"/>
      <c r="AJ1092" s="189"/>
      <c r="AK1092" s="189"/>
      <c r="AL1092" s="189"/>
      <c r="AM1092" s="189"/>
      <c r="AN1092" s="189"/>
      <c r="AO1092" s="189"/>
      <c r="AP1092" s="189"/>
      <c r="AQ1092" s="189"/>
      <c r="AR1092" s="189"/>
      <c r="AS1092" s="189"/>
      <c r="AT1092" s="189"/>
      <c r="AU1092" s="189"/>
      <c r="AV1092" s="189"/>
      <c r="AW1092" s="189"/>
      <c r="AX1092" s="189"/>
    </row>
    <row r="1093" ht="15.75" customHeight="1">
      <c r="A1093" s="189"/>
      <c r="B1093" s="189"/>
      <c r="C1093" s="190"/>
      <c r="D1093" s="190"/>
      <c r="E1093" s="190"/>
      <c r="F1093" s="190"/>
      <c r="G1093" s="189"/>
      <c r="H1093" s="189"/>
      <c r="I1093" s="189"/>
      <c r="J1093" s="189"/>
      <c r="K1093" s="189"/>
      <c r="L1093" s="189"/>
      <c r="M1093" s="189"/>
      <c r="N1093" s="189"/>
      <c r="O1093" s="189"/>
      <c r="P1093" s="291"/>
      <c r="Q1093" s="189"/>
      <c r="R1093" s="189"/>
      <c r="S1093" s="189"/>
      <c r="T1093" s="189"/>
      <c r="U1093" s="189"/>
      <c r="V1093" s="189"/>
      <c r="W1093" s="189"/>
      <c r="X1093" s="189"/>
      <c r="Y1093" s="189"/>
      <c r="Z1093" s="189"/>
      <c r="AA1093" s="189"/>
      <c r="AB1093" s="189"/>
      <c r="AC1093" s="189"/>
      <c r="AD1093" s="189"/>
      <c r="AE1093" s="189"/>
      <c r="AF1093" s="189"/>
      <c r="AG1093" s="189"/>
      <c r="AH1093" s="189"/>
      <c r="AI1093" s="189"/>
      <c r="AJ1093" s="189"/>
      <c r="AK1093" s="189"/>
      <c r="AL1093" s="189"/>
      <c r="AM1093" s="189"/>
      <c r="AN1093" s="189"/>
      <c r="AO1093" s="189"/>
      <c r="AP1093" s="189"/>
      <c r="AQ1093" s="189"/>
      <c r="AR1093" s="189"/>
      <c r="AS1093" s="189"/>
      <c r="AT1093" s="189"/>
      <c r="AU1093" s="189"/>
      <c r="AV1093" s="189"/>
      <c r="AW1093" s="189"/>
      <c r="AX1093" s="189"/>
    </row>
    <row r="1094" ht="15.75" customHeight="1">
      <c r="A1094" s="189"/>
      <c r="B1094" s="189"/>
      <c r="C1094" s="190"/>
      <c r="D1094" s="190"/>
      <c r="E1094" s="190"/>
      <c r="F1094" s="190"/>
      <c r="G1094" s="189"/>
      <c r="H1094" s="189"/>
      <c r="I1094" s="189"/>
      <c r="J1094" s="189"/>
      <c r="K1094" s="189"/>
      <c r="L1094" s="189"/>
      <c r="M1094" s="189"/>
      <c r="N1094" s="189"/>
      <c r="O1094" s="189"/>
      <c r="P1094" s="291"/>
      <c r="Q1094" s="189"/>
      <c r="R1094" s="189"/>
      <c r="S1094" s="189"/>
      <c r="T1094" s="189"/>
      <c r="U1094" s="189"/>
      <c r="V1094" s="189"/>
      <c r="W1094" s="189"/>
      <c r="X1094" s="189"/>
      <c r="Y1094" s="189"/>
      <c r="Z1094" s="189"/>
      <c r="AA1094" s="189"/>
      <c r="AB1094" s="189"/>
      <c r="AC1094" s="189"/>
      <c r="AD1094" s="189"/>
      <c r="AE1094" s="189"/>
      <c r="AF1094" s="189"/>
      <c r="AG1094" s="189"/>
      <c r="AH1094" s="189"/>
      <c r="AI1094" s="189"/>
      <c r="AJ1094" s="189"/>
      <c r="AK1094" s="189"/>
      <c r="AL1094" s="189"/>
      <c r="AM1094" s="189"/>
      <c r="AN1094" s="189"/>
      <c r="AO1094" s="189"/>
      <c r="AP1094" s="189"/>
      <c r="AQ1094" s="189"/>
      <c r="AR1094" s="189"/>
      <c r="AS1094" s="189"/>
      <c r="AT1094" s="189"/>
      <c r="AU1094" s="189"/>
      <c r="AV1094" s="189"/>
      <c r="AW1094" s="189"/>
      <c r="AX1094" s="189"/>
    </row>
    <row r="1095" ht="15.75" customHeight="1">
      <c r="A1095" s="189"/>
      <c r="B1095" s="189"/>
      <c r="C1095" s="190"/>
      <c r="D1095" s="190"/>
      <c r="E1095" s="190"/>
      <c r="F1095" s="190"/>
      <c r="G1095" s="189"/>
      <c r="H1095" s="189"/>
      <c r="I1095" s="189"/>
      <c r="J1095" s="189"/>
      <c r="K1095" s="189"/>
      <c r="L1095" s="189"/>
      <c r="M1095" s="189"/>
      <c r="N1095" s="189"/>
      <c r="O1095" s="189"/>
      <c r="P1095" s="291"/>
      <c r="Q1095" s="189"/>
      <c r="R1095" s="189"/>
      <c r="S1095" s="189"/>
      <c r="T1095" s="189"/>
      <c r="U1095" s="189"/>
      <c r="V1095" s="189"/>
      <c r="W1095" s="189"/>
      <c r="X1095" s="189"/>
      <c r="Y1095" s="189"/>
      <c r="Z1095" s="189"/>
      <c r="AA1095" s="189"/>
      <c r="AB1095" s="189"/>
      <c r="AC1095" s="189"/>
      <c r="AD1095" s="189"/>
      <c r="AE1095" s="189"/>
      <c r="AF1095" s="189"/>
      <c r="AG1095" s="189"/>
      <c r="AH1095" s="189"/>
      <c r="AI1095" s="189"/>
      <c r="AJ1095" s="189"/>
      <c r="AK1095" s="189"/>
      <c r="AL1095" s="189"/>
      <c r="AM1095" s="189"/>
      <c r="AN1095" s="189"/>
      <c r="AO1095" s="189"/>
      <c r="AP1095" s="189"/>
      <c r="AQ1095" s="189"/>
      <c r="AR1095" s="189"/>
      <c r="AS1095" s="189"/>
      <c r="AT1095" s="189"/>
      <c r="AU1095" s="189"/>
      <c r="AV1095" s="189"/>
      <c r="AW1095" s="189"/>
      <c r="AX1095" s="189"/>
    </row>
    <row r="1096" ht="15.75" customHeight="1">
      <c r="A1096" s="189"/>
      <c r="B1096" s="189"/>
      <c r="C1096" s="190"/>
      <c r="D1096" s="190"/>
      <c r="E1096" s="190"/>
      <c r="F1096" s="190"/>
      <c r="G1096" s="189"/>
      <c r="H1096" s="189"/>
      <c r="I1096" s="189"/>
      <c r="J1096" s="189"/>
      <c r="K1096" s="189"/>
      <c r="L1096" s="189"/>
      <c r="M1096" s="189"/>
      <c r="N1096" s="189"/>
      <c r="O1096" s="189"/>
      <c r="P1096" s="291"/>
      <c r="Q1096" s="189"/>
      <c r="R1096" s="189"/>
      <c r="S1096" s="189"/>
      <c r="T1096" s="189"/>
      <c r="U1096" s="189"/>
      <c r="V1096" s="189"/>
      <c r="W1096" s="189"/>
      <c r="X1096" s="189"/>
      <c r="Y1096" s="189"/>
      <c r="Z1096" s="189"/>
      <c r="AA1096" s="189"/>
      <c r="AB1096" s="189"/>
      <c r="AC1096" s="189"/>
      <c r="AD1096" s="189"/>
      <c r="AE1096" s="189"/>
      <c r="AF1096" s="189"/>
      <c r="AG1096" s="189"/>
      <c r="AH1096" s="189"/>
      <c r="AI1096" s="189"/>
      <c r="AJ1096" s="189"/>
      <c r="AK1096" s="189"/>
      <c r="AL1096" s="189"/>
      <c r="AM1096" s="189"/>
      <c r="AN1096" s="189"/>
      <c r="AO1096" s="189"/>
      <c r="AP1096" s="189"/>
      <c r="AQ1096" s="189"/>
      <c r="AR1096" s="189"/>
      <c r="AS1096" s="189"/>
      <c r="AT1096" s="189"/>
      <c r="AU1096" s="189"/>
      <c r="AV1096" s="189"/>
      <c r="AW1096" s="189"/>
      <c r="AX1096" s="189"/>
    </row>
    <row r="1097" ht="15.75" customHeight="1">
      <c r="A1097" s="189"/>
      <c r="B1097" s="189"/>
      <c r="C1097" s="190"/>
      <c r="D1097" s="190"/>
      <c r="E1097" s="190"/>
      <c r="F1097" s="190"/>
      <c r="G1097" s="189"/>
      <c r="H1097" s="189"/>
      <c r="I1097" s="189"/>
      <c r="J1097" s="189"/>
      <c r="K1097" s="189"/>
      <c r="L1097" s="189"/>
      <c r="M1097" s="189"/>
      <c r="N1097" s="189"/>
      <c r="O1097" s="189"/>
      <c r="P1097" s="291"/>
      <c r="Q1097" s="189"/>
      <c r="R1097" s="189"/>
      <c r="S1097" s="189"/>
      <c r="T1097" s="189"/>
      <c r="U1097" s="189"/>
      <c r="V1097" s="189"/>
      <c r="W1097" s="189"/>
      <c r="X1097" s="189"/>
      <c r="Y1097" s="189"/>
      <c r="Z1097" s="189"/>
      <c r="AA1097" s="189"/>
      <c r="AB1097" s="189"/>
      <c r="AC1097" s="189"/>
      <c r="AD1097" s="189"/>
      <c r="AE1097" s="189"/>
      <c r="AF1097" s="189"/>
      <c r="AG1097" s="189"/>
      <c r="AH1097" s="189"/>
      <c r="AI1097" s="189"/>
      <c r="AJ1097" s="189"/>
      <c r="AK1097" s="189"/>
      <c r="AL1097" s="189"/>
      <c r="AM1097" s="189"/>
      <c r="AN1097" s="189"/>
      <c r="AO1097" s="189"/>
      <c r="AP1097" s="189"/>
      <c r="AQ1097" s="189"/>
      <c r="AR1097" s="189"/>
      <c r="AS1097" s="189"/>
      <c r="AT1097" s="189"/>
      <c r="AU1097" s="189"/>
      <c r="AV1097" s="189"/>
      <c r="AW1097" s="189"/>
      <c r="AX1097" s="189"/>
    </row>
    <row r="1098" ht="15.75" customHeight="1">
      <c r="A1098" s="189"/>
      <c r="B1098" s="189"/>
      <c r="C1098" s="190"/>
      <c r="D1098" s="190"/>
      <c r="E1098" s="190"/>
      <c r="F1098" s="190"/>
      <c r="G1098" s="189"/>
      <c r="H1098" s="189"/>
      <c r="I1098" s="189"/>
      <c r="J1098" s="189"/>
      <c r="K1098" s="189"/>
      <c r="L1098" s="189"/>
      <c r="M1098" s="189"/>
      <c r="N1098" s="189"/>
      <c r="O1098" s="189"/>
      <c r="P1098" s="291"/>
      <c r="Q1098" s="189"/>
      <c r="R1098" s="189"/>
      <c r="S1098" s="189"/>
      <c r="T1098" s="189"/>
      <c r="U1098" s="189"/>
      <c r="V1098" s="189"/>
      <c r="W1098" s="189"/>
      <c r="X1098" s="189"/>
      <c r="Y1098" s="189"/>
      <c r="Z1098" s="189"/>
      <c r="AA1098" s="189"/>
      <c r="AB1098" s="189"/>
      <c r="AC1098" s="189"/>
      <c r="AD1098" s="189"/>
      <c r="AE1098" s="189"/>
      <c r="AF1098" s="189"/>
      <c r="AG1098" s="189"/>
      <c r="AH1098" s="189"/>
      <c r="AI1098" s="189"/>
      <c r="AJ1098" s="189"/>
      <c r="AK1098" s="189"/>
      <c r="AL1098" s="189"/>
      <c r="AM1098" s="189"/>
      <c r="AN1098" s="189"/>
      <c r="AO1098" s="189"/>
      <c r="AP1098" s="189"/>
      <c r="AQ1098" s="189"/>
      <c r="AR1098" s="189"/>
      <c r="AS1098" s="189"/>
      <c r="AT1098" s="189"/>
      <c r="AU1098" s="189"/>
      <c r="AV1098" s="189"/>
      <c r="AW1098" s="189"/>
      <c r="AX1098" s="189"/>
    </row>
    <row r="1099" ht="15.75" customHeight="1">
      <c r="A1099" s="189"/>
      <c r="B1099" s="189"/>
      <c r="C1099" s="190"/>
      <c r="D1099" s="190"/>
      <c r="E1099" s="190"/>
      <c r="F1099" s="190"/>
      <c r="G1099" s="189"/>
      <c r="H1099" s="189"/>
      <c r="I1099" s="189"/>
      <c r="J1099" s="189"/>
      <c r="K1099" s="189"/>
      <c r="L1099" s="189"/>
      <c r="M1099" s="189"/>
      <c r="N1099" s="189"/>
      <c r="O1099" s="189"/>
      <c r="P1099" s="291"/>
      <c r="Q1099" s="189"/>
      <c r="R1099" s="189"/>
      <c r="S1099" s="189"/>
      <c r="T1099" s="189"/>
      <c r="U1099" s="189"/>
      <c r="V1099" s="189"/>
      <c r="W1099" s="189"/>
      <c r="X1099" s="189"/>
      <c r="Y1099" s="189"/>
      <c r="Z1099" s="189"/>
      <c r="AA1099" s="189"/>
      <c r="AB1099" s="189"/>
      <c r="AC1099" s="189"/>
      <c r="AD1099" s="189"/>
      <c r="AE1099" s="189"/>
      <c r="AF1099" s="189"/>
      <c r="AG1099" s="189"/>
      <c r="AH1099" s="189"/>
      <c r="AI1099" s="189"/>
      <c r="AJ1099" s="189"/>
      <c r="AK1099" s="189"/>
      <c r="AL1099" s="189"/>
      <c r="AM1099" s="189"/>
      <c r="AN1099" s="189"/>
      <c r="AO1099" s="189"/>
      <c r="AP1099" s="189"/>
      <c r="AQ1099" s="189"/>
      <c r="AR1099" s="189"/>
      <c r="AS1099" s="189"/>
      <c r="AT1099" s="189"/>
      <c r="AU1099" s="189"/>
      <c r="AV1099" s="189"/>
      <c r="AW1099" s="189"/>
      <c r="AX1099" s="189"/>
    </row>
    <row r="1100" ht="15.75" customHeight="1">
      <c r="A1100" s="189"/>
      <c r="B1100" s="189"/>
      <c r="C1100" s="190"/>
      <c r="D1100" s="190"/>
      <c r="E1100" s="190"/>
      <c r="F1100" s="190"/>
      <c r="G1100" s="189"/>
      <c r="H1100" s="189"/>
      <c r="I1100" s="189"/>
      <c r="J1100" s="189"/>
      <c r="K1100" s="189"/>
      <c r="L1100" s="189"/>
      <c r="M1100" s="189"/>
      <c r="N1100" s="189"/>
      <c r="O1100" s="189"/>
      <c r="P1100" s="291"/>
      <c r="Q1100" s="189"/>
      <c r="R1100" s="189"/>
      <c r="S1100" s="189"/>
      <c r="T1100" s="189"/>
      <c r="U1100" s="189"/>
      <c r="V1100" s="189"/>
      <c r="W1100" s="189"/>
      <c r="X1100" s="189"/>
      <c r="Y1100" s="189"/>
      <c r="Z1100" s="189"/>
      <c r="AA1100" s="189"/>
      <c r="AB1100" s="189"/>
      <c r="AC1100" s="189"/>
      <c r="AD1100" s="189"/>
      <c r="AE1100" s="189"/>
      <c r="AF1100" s="189"/>
      <c r="AG1100" s="189"/>
      <c r="AH1100" s="189"/>
      <c r="AI1100" s="189"/>
      <c r="AJ1100" s="189"/>
      <c r="AK1100" s="189"/>
      <c r="AL1100" s="189"/>
      <c r="AM1100" s="189"/>
      <c r="AN1100" s="189"/>
      <c r="AO1100" s="189"/>
      <c r="AP1100" s="189"/>
      <c r="AQ1100" s="189"/>
      <c r="AR1100" s="189"/>
      <c r="AS1100" s="189"/>
      <c r="AT1100" s="189"/>
      <c r="AU1100" s="189"/>
      <c r="AV1100" s="189"/>
      <c r="AW1100" s="189"/>
      <c r="AX1100" s="189"/>
    </row>
    <row r="1101" ht="15.75" customHeight="1">
      <c r="A1101" s="189"/>
      <c r="B1101" s="189"/>
      <c r="C1101" s="190"/>
      <c r="D1101" s="190"/>
      <c r="E1101" s="190"/>
      <c r="F1101" s="190"/>
      <c r="G1101" s="189"/>
      <c r="H1101" s="189"/>
      <c r="I1101" s="189"/>
      <c r="J1101" s="189"/>
      <c r="K1101" s="189"/>
      <c r="L1101" s="189"/>
      <c r="M1101" s="189"/>
      <c r="N1101" s="189"/>
      <c r="O1101" s="189"/>
      <c r="P1101" s="291"/>
      <c r="Q1101" s="189"/>
      <c r="R1101" s="189"/>
      <c r="S1101" s="189"/>
      <c r="T1101" s="189"/>
      <c r="U1101" s="189"/>
      <c r="V1101" s="189"/>
      <c r="W1101" s="189"/>
      <c r="X1101" s="189"/>
      <c r="Y1101" s="189"/>
      <c r="Z1101" s="189"/>
      <c r="AA1101" s="189"/>
      <c r="AB1101" s="189"/>
      <c r="AC1101" s="189"/>
      <c r="AD1101" s="189"/>
      <c r="AE1101" s="189"/>
      <c r="AF1101" s="189"/>
      <c r="AG1101" s="189"/>
      <c r="AH1101" s="189"/>
      <c r="AI1101" s="189"/>
      <c r="AJ1101" s="189"/>
      <c r="AK1101" s="189"/>
      <c r="AL1101" s="189"/>
      <c r="AM1101" s="189"/>
      <c r="AN1101" s="189"/>
      <c r="AO1101" s="189"/>
      <c r="AP1101" s="189"/>
      <c r="AQ1101" s="189"/>
      <c r="AR1101" s="189"/>
      <c r="AS1101" s="189"/>
      <c r="AT1101" s="189"/>
      <c r="AU1101" s="189"/>
      <c r="AV1101" s="189"/>
      <c r="AW1101" s="189"/>
      <c r="AX1101" s="189"/>
    </row>
    <row r="1102" ht="15.75" customHeight="1">
      <c r="A1102" s="189"/>
      <c r="B1102" s="189"/>
      <c r="C1102" s="190"/>
      <c r="D1102" s="190"/>
      <c r="E1102" s="190"/>
      <c r="F1102" s="190"/>
      <c r="G1102" s="189"/>
      <c r="H1102" s="189"/>
      <c r="I1102" s="189"/>
      <c r="J1102" s="189"/>
      <c r="K1102" s="189"/>
      <c r="L1102" s="189"/>
      <c r="M1102" s="189"/>
      <c r="N1102" s="189"/>
      <c r="O1102" s="189"/>
      <c r="P1102" s="291"/>
      <c r="Q1102" s="189"/>
      <c r="R1102" s="189"/>
      <c r="S1102" s="189"/>
      <c r="T1102" s="189"/>
      <c r="U1102" s="189"/>
      <c r="V1102" s="189"/>
      <c r="W1102" s="189"/>
      <c r="X1102" s="189"/>
      <c r="Y1102" s="189"/>
      <c r="Z1102" s="189"/>
      <c r="AA1102" s="189"/>
      <c r="AB1102" s="189"/>
      <c r="AC1102" s="189"/>
      <c r="AD1102" s="189"/>
      <c r="AE1102" s="189"/>
      <c r="AF1102" s="189"/>
      <c r="AG1102" s="189"/>
      <c r="AH1102" s="189"/>
      <c r="AI1102" s="189"/>
      <c r="AJ1102" s="189"/>
      <c r="AK1102" s="189"/>
      <c r="AL1102" s="189"/>
      <c r="AM1102" s="189"/>
      <c r="AN1102" s="189"/>
      <c r="AO1102" s="189"/>
      <c r="AP1102" s="189"/>
      <c r="AQ1102" s="189"/>
      <c r="AR1102" s="189"/>
      <c r="AS1102" s="189"/>
      <c r="AT1102" s="189"/>
      <c r="AU1102" s="189"/>
      <c r="AV1102" s="189"/>
      <c r="AW1102" s="189"/>
      <c r="AX1102" s="189"/>
    </row>
    <row r="1103" ht="15.75" customHeight="1">
      <c r="A1103" s="189"/>
      <c r="B1103" s="189"/>
      <c r="C1103" s="190"/>
      <c r="D1103" s="190"/>
      <c r="E1103" s="190"/>
      <c r="F1103" s="190"/>
      <c r="G1103" s="189"/>
      <c r="H1103" s="189"/>
      <c r="I1103" s="189"/>
      <c r="J1103" s="189"/>
      <c r="K1103" s="189"/>
      <c r="L1103" s="189"/>
      <c r="M1103" s="189"/>
      <c r="N1103" s="189"/>
      <c r="O1103" s="189"/>
      <c r="P1103" s="291"/>
      <c r="Q1103" s="189"/>
      <c r="R1103" s="189"/>
      <c r="S1103" s="189"/>
      <c r="T1103" s="189"/>
      <c r="U1103" s="189"/>
      <c r="V1103" s="189"/>
      <c r="W1103" s="189"/>
      <c r="X1103" s="189"/>
      <c r="Y1103" s="189"/>
      <c r="Z1103" s="189"/>
      <c r="AA1103" s="189"/>
      <c r="AB1103" s="189"/>
      <c r="AC1103" s="189"/>
      <c r="AD1103" s="189"/>
      <c r="AE1103" s="189"/>
      <c r="AF1103" s="189"/>
      <c r="AG1103" s="189"/>
      <c r="AH1103" s="189"/>
      <c r="AI1103" s="189"/>
      <c r="AJ1103" s="189"/>
      <c r="AK1103" s="189"/>
      <c r="AL1103" s="189"/>
      <c r="AM1103" s="189"/>
      <c r="AN1103" s="189"/>
      <c r="AO1103" s="189"/>
      <c r="AP1103" s="189"/>
      <c r="AQ1103" s="189"/>
      <c r="AR1103" s="189"/>
      <c r="AS1103" s="189"/>
      <c r="AT1103" s="189"/>
      <c r="AU1103" s="189"/>
      <c r="AV1103" s="189"/>
      <c r="AW1103" s="189"/>
      <c r="AX1103" s="189"/>
    </row>
    <row r="1104" ht="15.75" customHeight="1">
      <c r="A1104" s="189"/>
      <c r="B1104" s="189"/>
      <c r="C1104" s="190"/>
      <c r="D1104" s="190"/>
      <c r="E1104" s="190"/>
      <c r="F1104" s="190"/>
      <c r="G1104" s="189"/>
      <c r="H1104" s="189"/>
      <c r="I1104" s="189"/>
      <c r="J1104" s="189"/>
      <c r="K1104" s="189"/>
      <c r="L1104" s="189"/>
      <c r="M1104" s="189"/>
      <c r="N1104" s="189"/>
      <c r="O1104" s="189"/>
      <c r="P1104" s="291"/>
      <c r="Q1104" s="189"/>
      <c r="R1104" s="189"/>
      <c r="S1104" s="189"/>
      <c r="T1104" s="189"/>
      <c r="U1104" s="189"/>
      <c r="V1104" s="189"/>
      <c r="W1104" s="189"/>
      <c r="X1104" s="189"/>
      <c r="Y1104" s="189"/>
      <c r="Z1104" s="189"/>
      <c r="AA1104" s="189"/>
      <c r="AB1104" s="189"/>
      <c r="AC1104" s="189"/>
      <c r="AD1104" s="189"/>
      <c r="AE1104" s="189"/>
      <c r="AF1104" s="189"/>
      <c r="AG1104" s="189"/>
      <c r="AH1104" s="189"/>
      <c r="AI1104" s="189"/>
      <c r="AJ1104" s="189"/>
      <c r="AK1104" s="189"/>
      <c r="AL1104" s="189"/>
      <c r="AM1104" s="189"/>
      <c r="AN1104" s="189"/>
      <c r="AO1104" s="189"/>
      <c r="AP1104" s="189"/>
      <c r="AQ1104" s="189"/>
      <c r="AR1104" s="189"/>
      <c r="AS1104" s="189"/>
      <c r="AT1104" s="189"/>
      <c r="AU1104" s="189"/>
      <c r="AV1104" s="189"/>
      <c r="AW1104" s="189"/>
      <c r="AX1104" s="189"/>
    </row>
    <row r="1105" ht="15.75" customHeight="1">
      <c r="A1105" s="189"/>
      <c r="B1105" s="189"/>
      <c r="C1105" s="190"/>
      <c r="D1105" s="190"/>
      <c r="E1105" s="190"/>
      <c r="F1105" s="190"/>
      <c r="G1105" s="189"/>
      <c r="H1105" s="189"/>
      <c r="I1105" s="189"/>
      <c r="J1105" s="189"/>
      <c r="K1105" s="189"/>
      <c r="L1105" s="189"/>
      <c r="M1105" s="189"/>
      <c r="N1105" s="189"/>
      <c r="O1105" s="189"/>
      <c r="P1105" s="291"/>
      <c r="Q1105" s="189"/>
      <c r="R1105" s="189"/>
      <c r="S1105" s="189"/>
      <c r="T1105" s="189"/>
      <c r="U1105" s="189"/>
      <c r="V1105" s="189"/>
      <c r="W1105" s="189"/>
      <c r="X1105" s="189"/>
      <c r="Y1105" s="189"/>
      <c r="Z1105" s="189"/>
      <c r="AA1105" s="189"/>
      <c r="AB1105" s="189"/>
      <c r="AC1105" s="189"/>
      <c r="AD1105" s="189"/>
      <c r="AE1105" s="189"/>
      <c r="AF1105" s="189"/>
      <c r="AG1105" s="189"/>
      <c r="AH1105" s="189"/>
      <c r="AI1105" s="189"/>
      <c r="AJ1105" s="189"/>
      <c r="AK1105" s="189"/>
      <c r="AL1105" s="189"/>
      <c r="AM1105" s="189"/>
      <c r="AN1105" s="189"/>
      <c r="AO1105" s="189"/>
      <c r="AP1105" s="189"/>
      <c r="AQ1105" s="189"/>
      <c r="AR1105" s="189"/>
      <c r="AS1105" s="189"/>
      <c r="AT1105" s="189"/>
      <c r="AU1105" s="189"/>
      <c r="AV1105" s="189"/>
      <c r="AW1105" s="189"/>
      <c r="AX1105" s="189"/>
    </row>
    <row r="1106" ht="15.75" customHeight="1">
      <c r="A1106" s="189"/>
      <c r="B1106" s="189"/>
      <c r="C1106" s="190"/>
      <c r="D1106" s="190"/>
      <c r="E1106" s="190"/>
      <c r="F1106" s="190"/>
      <c r="G1106" s="189"/>
      <c r="H1106" s="189"/>
      <c r="I1106" s="189"/>
      <c r="J1106" s="189"/>
      <c r="K1106" s="189"/>
      <c r="L1106" s="189"/>
      <c r="M1106" s="189"/>
      <c r="N1106" s="189"/>
      <c r="O1106" s="189"/>
      <c r="P1106" s="291"/>
      <c r="Q1106" s="189"/>
      <c r="R1106" s="189"/>
      <c r="S1106" s="189"/>
      <c r="T1106" s="189"/>
      <c r="U1106" s="189"/>
      <c r="V1106" s="189"/>
      <c r="W1106" s="189"/>
      <c r="X1106" s="189"/>
      <c r="Y1106" s="189"/>
      <c r="Z1106" s="189"/>
      <c r="AA1106" s="189"/>
      <c r="AB1106" s="189"/>
      <c r="AC1106" s="189"/>
      <c r="AD1106" s="189"/>
      <c r="AE1106" s="189"/>
      <c r="AF1106" s="189"/>
      <c r="AG1106" s="189"/>
      <c r="AH1106" s="189"/>
      <c r="AI1106" s="189"/>
      <c r="AJ1106" s="189"/>
      <c r="AK1106" s="189"/>
      <c r="AL1106" s="189"/>
      <c r="AM1106" s="189"/>
      <c r="AN1106" s="189"/>
      <c r="AO1106" s="189"/>
      <c r="AP1106" s="189"/>
      <c r="AQ1106" s="189"/>
      <c r="AR1106" s="189"/>
      <c r="AS1106" s="189"/>
      <c r="AT1106" s="189"/>
      <c r="AU1106" s="189"/>
      <c r="AV1106" s="189"/>
      <c r="AW1106" s="189"/>
      <c r="AX1106" s="189"/>
    </row>
    <row r="1107" ht="15.75" customHeight="1">
      <c r="A1107" s="189"/>
      <c r="B1107" s="189"/>
      <c r="C1107" s="190"/>
      <c r="D1107" s="190"/>
      <c r="E1107" s="190"/>
      <c r="F1107" s="190"/>
      <c r="G1107" s="189"/>
      <c r="H1107" s="189"/>
      <c r="I1107" s="189"/>
      <c r="J1107" s="189"/>
      <c r="K1107" s="189"/>
      <c r="L1107" s="189"/>
      <c r="M1107" s="189"/>
      <c r="N1107" s="189"/>
      <c r="O1107" s="189"/>
      <c r="P1107" s="291"/>
      <c r="Q1107" s="189"/>
      <c r="R1107" s="189"/>
      <c r="S1107" s="189"/>
      <c r="T1107" s="189"/>
      <c r="U1107" s="189"/>
      <c r="V1107" s="189"/>
      <c r="W1107" s="189"/>
      <c r="X1107" s="189"/>
      <c r="Y1107" s="189"/>
      <c r="Z1107" s="189"/>
      <c r="AA1107" s="189"/>
      <c r="AB1107" s="189"/>
      <c r="AC1107" s="189"/>
      <c r="AD1107" s="189"/>
      <c r="AE1107" s="189"/>
      <c r="AF1107" s="189"/>
      <c r="AG1107" s="189"/>
      <c r="AH1107" s="189"/>
      <c r="AI1107" s="189"/>
      <c r="AJ1107" s="189"/>
      <c r="AK1107" s="189"/>
      <c r="AL1107" s="189"/>
      <c r="AM1107" s="189"/>
      <c r="AN1107" s="189"/>
      <c r="AO1107" s="189"/>
      <c r="AP1107" s="189"/>
      <c r="AQ1107" s="189"/>
      <c r="AR1107" s="189"/>
      <c r="AS1107" s="189"/>
      <c r="AT1107" s="189"/>
      <c r="AU1107" s="189"/>
      <c r="AV1107" s="189"/>
      <c r="AW1107" s="189"/>
      <c r="AX1107" s="189"/>
    </row>
    <row r="1108" ht="15.75" customHeight="1">
      <c r="A1108" s="189"/>
      <c r="B1108" s="189"/>
      <c r="C1108" s="190"/>
      <c r="D1108" s="190"/>
      <c r="E1108" s="190"/>
      <c r="F1108" s="190"/>
      <c r="G1108" s="189"/>
      <c r="H1108" s="189"/>
      <c r="I1108" s="189"/>
      <c r="J1108" s="189"/>
      <c r="K1108" s="189"/>
      <c r="L1108" s="189"/>
      <c r="M1108" s="189"/>
      <c r="N1108" s="189"/>
      <c r="O1108" s="189"/>
      <c r="P1108" s="291"/>
      <c r="Q1108" s="189"/>
      <c r="R1108" s="189"/>
      <c r="S1108" s="189"/>
      <c r="T1108" s="189"/>
      <c r="U1108" s="189"/>
      <c r="V1108" s="189"/>
      <c r="W1108" s="189"/>
      <c r="X1108" s="189"/>
      <c r="Y1108" s="189"/>
      <c r="Z1108" s="189"/>
      <c r="AA1108" s="189"/>
      <c r="AB1108" s="189"/>
      <c r="AC1108" s="189"/>
      <c r="AD1108" s="189"/>
      <c r="AE1108" s="189"/>
      <c r="AF1108" s="189"/>
      <c r="AG1108" s="189"/>
      <c r="AH1108" s="189"/>
      <c r="AI1108" s="189"/>
      <c r="AJ1108" s="189"/>
      <c r="AK1108" s="189"/>
      <c r="AL1108" s="189"/>
      <c r="AM1108" s="189"/>
      <c r="AN1108" s="189"/>
      <c r="AO1108" s="189"/>
      <c r="AP1108" s="189"/>
      <c r="AQ1108" s="189"/>
      <c r="AR1108" s="189"/>
      <c r="AS1108" s="189"/>
      <c r="AT1108" s="189"/>
      <c r="AU1108" s="189"/>
      <c r="AV1108" s="189"/>
      <c r="AW1108" s="189"/>
      <c r="AX1108" s="189"/>
    </row>
    <row r="1109" ht="15.75" customHeight="1">
      <c r="A1109" s="189"/>
      <c r="B1109" s="189"/>
      <c r="C1109" s="190"/>
      <c r="D1109" s="190"/>
      <c r="E1109" s="190"/>
      <c r="F1109" s="190"/>
      <c r="G1109" s="189"/>
      <c r="H1109" s="189"/>
      <c r="I1109" s="189"/>
      <c r="J1109" s="189"/>
      <c r="K1109" s="189"/>
      <c r="L1109" s="189"/>
      <c r="M1109" s="189"/>
      <c r="N1109" s="189"/>
      <c r="O1109" s="189"/>
      <c r="P1109" s="291"/>
      <c r="Q1109" s="189"/>
      <c r="R1109" s="189"/>
      <c r="S1109" s="189"/>
      <c r="T1109" s="189"/>
      <c r="U1109" s="189"/>
      <c r="V1109" s="189"/>
      <c r="W1109" s="189"/>
      <c r="X1109" s="189"/>
      <c r="Y1109" s="189"/>
      <c r="Z1109" s="189"/>
      <c r="AA1109" s="189"/>
      <c r="AB1109" s="189"/>
      <c r="AC1109" s="189"/>
      <c r="AD1109" s="189"/>
      <c r="AE1109" s="189"/>
      <c r="AF1109" s="189"/>
      <c r="AG1109" s="189"/>
      <c r="AH1109" s="189"/>
      <c r="AI1109" s="189"/>
      <c r="AJ1109" s="189"/>
      <c r="AK1109" s="189"/>
      <c r="AL1109" s="189"/>
      <c r="AM1109" s="189"/>
      <c r="AN1109" s="189"/>
      <c r="AO1109" s="189"/>
      <c r="AP1109" s="189"/>
      <c r="AQ1109" s="189"/>
      <c r="AR1109" s="189"/>
      <c r="AS1109" s="189"/>
      <c r="AT1109" s="189"/>
      <c r="AU1109" s="189"/>
      <c r="AV1109" s="189"/>
      <c r="AW1109" s="189"/>
      <c r="AX1109" s="189"/>
    </row>
    <row r="1110" ht="15.75" customHeight="1">
      <c r="A1110" s="189"/>
      <c r="B1110" s="189"/>
      <c r="C1110" s="190"/>
      <c r="D1110" s="190"/>
      <c r="E1110" s="190"/>
      <c r="F1110" s="190"/>
      <c r="G1110" s="189"/>
      <c r="H1110" s="189"/>
      <c r="I1110" s="189"/>
      <c r="J1110" s="189"/>
      <c r="K1110" s="189"/>
      <c r="L1110" s="189"/>
      <c r="M1110" s="189"/>
      <c r="N1110" s="189"/>
      <c r="O1110" s="189"/>
      <c r="P1110" s="291"/>
      <c r="Q1110" s="189"/>
      <c r="R1110" s="189"/>
      <c r="S1110" s="189"/>
      <c r="T1110" s="189"/>
      <c r="U1110" s="189"/>
      <c r="V1110" s="189"/>
      <c r="W1110" s="189"/>
      <c r="X1110" s="189"/>
      <c r="Y1110" s="189"/>
      <c r="Z1110" s="189"/>
      <c r="AA1110" s="189"/>
      <c r="AB1110" s="189"/>
      <c r="AC1110" s="189"/>
      <c r="AD1110" s="189"/>
      <c r="AE1110" s="189"/>
      <c r="AF1110" s="189"/>
      <c r="AG1110" s="189"/>
      <c r="AH1110" s="189"/>
      <c r="AI1110" s="189"/>
      <c r="AJ1110" s="189"/>
      <c r="AK1110" s="189"/>
      <c r="AL1110" s="189"/>
      <c r="AM1110" s="189"/>
      <c r="AN1110" s="189"/>
      <c r="AO1110" s="189"/>
      <c r="AP1110" s="189"/>
      <c r="AQ1110" s="189"/>
      <c r="AR1110" s="189"/>
      <c r="AS1110" s="189"/>
      <c r="AT1110" s="189"/>
      <c r="AU1110" s="189"/>
      <c r="AV1110" s="189"/>
      <c r="AW1110" s="189"/>
      <c r="AX1110" s="189"/>
    </row>
    <row r="1111" ht="15.75" customHeight="1">
      <c r="A1111" s="189"/>
      <c r="B1111" s="189"/>
      <c r="C1111" s="190"/>
      <c r="D1111" s="190"/>
      <c r="E1111" s="190"/>
      <c r="F1111" s="190"/>
      <c r="G1111" s="189"/>
      <c r="H1111" s="189"/>
      <c r="I1111" s="189"/>
      <c r="J1111" s="189"/>
      <c r="K1111" s="189"/>
      <c r="L1111" s="189"/>
      <c r="M1111" s="189"/>
      <c r="N1111" s="189"/>
      <c r="O1111" s="189"/>
      <c r="P1111" s="291"/>
      <c r="Q1111" s="189"/>
      <c r="R1111" s="189"/>
      <c r="S1111" s="189"/>
      <c r="T1111" s="189"/>
      <c r="U1111" s="189"/>
      <c r="V1111" s="189"/>
      <c r="W1111" s="189"/>
      <c r="X1111" s="189"/>
      <c r="Y1111" s="189"/>
      <c r="Z1111" s="189"/>
      <c r="AA1111" s="189"/>
      <c r="AB1111" s="189"/>
      <c r="AC1111" s="189"/>
      <c r="AD1111" s="189"/>
      <c r="AE1111" s="189"/>
      <c r="AF1111" s="189"/>
      <c r="AG1111" s="189"/>
      <c r="AH1111" s="189"/>
      <c r="AI1111" s="189"/>
      <c r="AJ1111" s="189"/>
      <c r="AK1111" s="189"/>
      <c r="AL1111" s="189"/>
      <c r="AM1111" s="189"/>
      <c r="AN1111" s="189"/>
      <c r="AO1111" s="189"/>
      <c r="AP1111" s="189"/>
      <c r="AQ1111" s="189"/>
      <c r="AR1111" s="189"/>
      <c r="AS1111" s="189"/>
      <c r="AT1111" s="189"/>
      <c r="AU1111" s="189"/>
      <c r="AV1111" s="189"/>
      <c r="AW1111" s="189"/>
      <c r="AX1111" s="189"/>
    </row>
    <row r="1112" ht="15.75" customHeight="1">
      <c r="A1112" s="189"/>
      <c r="B1112" s="189"/>
      <c r="C1112" s="190"/>
      <c r="D1112" s="190"/>
      <c r="E1112" s="190"/>
      <c r="F1112" s="190"/>
      <c r="G1112" s="189"/>
      <c r="H1112" s="189"/>
      <c r="I1112" s="189"/>
      <c r="J1112" s="189"/>
      <c r="K1112" s="189"/>
      <c r="L1112" s="189"/>
      <c r="M1112" s="189"/>
      <c r="N1112" s="189"/>
      <c r="O1112" s="189"/>
      <c r="P1112" s="291"/>
      <c r="Q1112" s="189"/>
      <c r="R1112" s="189"/>
      <c r="S1112" s="189"/>
      <c r="T1112" s="189"/>
      <c r="U1112" s="189"/>
      <c r="V1112" s="189"/>
      <c r="W1112" s="189"/>
      <c r="X1112" s="189"/>
      <c r="Y1112" s="189"/>
      <c r="Z1112" s="189"/>
      <c r="AA1112" s="189"/>
      <c r="AB1112" s="189"/>
      <c r="AC1112" s="189"/>
      <c r="AD1112" s="189"/>
      <c r="AE1112" s="189"/>
      <c r="AF1112" s="189"/>
      <c r="AG1112" s="189"/>
      <c r="AH1112" s="189"/>
      <c r="AI1112" s="189"/>
      <c r="AJ1112" s="189"/>
      <c r="AK1112" s="189"/>
      <c r="AL1112" s="189"/>
      <c r="AM1112" s="189"/>
      <c r="AN1112" s="189"/>
      <c r="AO1112" s="189"/>
      <c r="AP1112" s="189"/>
      <c r="AQ1112" s="189"/>
      <c r="AR1112" s="189"/>
      <c r="AS1112" s="189"/>
      <c r="AT1112" s="189"/>
      <c r="AU1112" s="189"/>
      <c r="AV1112" s="189"/>
      <c r="AW1112" s="189"/>
      <c r="AX1112" s="189"/>
    </row>
    <row r="1113" ht="15.75" customHeight="1">
      <c r="A1113" s="189"/>
      <c r="B1113" s="189"/>
      <c r="C1113" s="190"/>
      <c r="D1113" s="190"/>
      <c r="E1113" s="190"/>
      <c r="F1113" s="190"/>
      <c r="G1113" s="189"/>
      <c r="H1113" s="189"/>
      <c r="I1113" s="189"/>
      <c r="J1113" s="189"/>
      <c r="K1113" s="189"/>
      <c r="L1113" s="189"/>
      <c r="M1113" s="189"/>
      <c r="N1113" s="189"/>
      <c r="O1113" s="189"/>
      <c r="P1113" s="291"/>
      <c r="Q1113" s="189"/>
      <c r="R1113" s="189"/>
      <c r="S1113" s="189"/>
      <c r="T1113" s="189"/>
      <c r="U1113" s="189"/>
      <c r="V1113" s="189"/>
      <c r="W1113" s="189"/>
      <c r="X1113" s="189"/>
      <c r="Y1113" s="189"/>
      <c r="Z1113" s="189"/>
      <c r="AA1113" s="189"/>
      <c r="AB1113" s="189"/>
      <c r="AC1113" s="189"/>
      <c r="AD1113" s="189"/>
      <c r="AE1113" s="189"/>
      <c r="AF1113" s="189"/>
      <c r="AG1113" s="189"/>
      <c r="AH1113" s="189"/>
      <c r="AI1113" s="189"/>
      <c r="AJ1113" s="189"/>
      <c r="AK1113" s="189"/>
      <c r="AL1113" s="189"/>
      <c r="AM1113" s="189"/>
      <c r="AN1113" s="189"/>
      <c r="AO1113" s="189"/>
      <c r="AP1113" s="189"/>
      <c r="AQ1113" s="189"/>
      <c r="AR1113" s="189"/>
      <c r="AS1113" s="189"/>
      <c r="AT1113" s="189"/>
      <c r="AU1113" s="189"/>
      <c r="AV1113" s="189"/>
      <c r="AW1113" s="189"/>
      <c r="AX1113" s="189"/>
    </row>
    <row r="1114" ht="15.75" customHeight="1">
      <c r="A1114" s="189"/>
      <c r="B1114" s="189"/>
      <c r="C1114" s="190"/>
      <c r="D1114" s="190"/>
      <c r="E1114" s="190"/>
      <c r="F1114" s="190"/>
      <c r="G1114" s="189"/>
      <c r="H1114" s="189"/>
      <c r="I1114" s="189"/>
      <c r="J1114" s="189"/>
      <c r="K1114" s="189"/>
      <c r="L1114" s="189"/>
      <c r="M1114" s="189"/>
      <c r="N1114" s="189"/>
      <c r="O1114" s="189"/>
      <c r="P1114" s="291"/>
      <c r="Q1114" s="189"/>
      <c r="R1114" s="189"/>
      <c r="S1114" s="189"/>
      <c r="T1114" s="189"/>
      <c r="U1114" s="189"/>
      <c r="V1114" s="189"/>
      <c r="W1114" s="189"/>
      <c r="X1114" s="189"/>
      <c r="Y1114" s="189"/>
      <c r="Z1114" s="189"/>
      <c r="AA1114" s="189"/>
      <c r="AB1114" s="189"/>
      <c r="AC1114" s="189"/>
      <c r="AD1114" s="189"/>
      <c r="AE1114" s="189"/>
      <c r="AF1114" s="189"/>
      <c r="AG1114" s="189"/>
      <c r="AH1114" s="189"/>
      <c r="AI1114" s="189"/>
      <c r="AJ1114" s="189"/>
      <c r="AK1114" s="189"/>
      <c r="AL1114" s="189"/>
      <c r="AM1114" s="189"/>
      <c r="AN1114" s="189"/>
      <c r="AO1114" s="189"/>
      <c r="AP1114" s="189"/>
      <c r="AQ1114" s="189"/>
      <c r="AR1114" s="189"/>
      <c r="AS1114" s="189"/>
      <c r="AT1114" s="189"/>
      <c r="AU1114" s="189"/>
      <c r="AV1114" s="189"/>
      <c r="AW1114" s="189"/>
      <c r="AX1114" s="189"/>
    </row>
    <row r="1115" ht="15.75" customHeight="1">
      <c r="A1115" s="189"/>
      <c r="B1115" s="189"/>
      <c r="C1115" s="190"/>
      <c r="D1115" s="190"/>
      <c r="E1115" s="190"/>
      <c r="F1115" s="190"/>
      <c r="G1115" s="189"/>
      <c r="H1115" s="189"/>
      <c r="I1115" s="189"/>
      <c r="J1115" s="189"/>
      <c r="K1115" s="189"/>
      <c r="L1115" s="189"/>
      <c r="M1115" s="189"/>
      <c r="N1115" s="189"/>
      <c r="O1115" s="189"/>
      <c r="P1115" s="291"/>
      <c r="Q1115" s="189"/>
      <c r="R1115" s="189"/>
      <c r="S1115" s="189"/>
      <c r="T1115" s="189"/>
      <c r="U1115" s="189"/>
      <c r="V1115" s="189"/>
      <c r="W1115" s="189"/>
      <c r="X1115" s="189"/>
      <c r="Y1115" s="189"/>
      <c r="Z1115" s="189"/>
      <c r="AA1115" s="189"/>
      <c r="AB1115" s="189"/>
      <c r="AC1115" s="189"/>
      <c r="AD1115" s="189"/>
      <c r="AE1115" s="189"/>
      <c r="AF1115" s="189"/>
      <c r="AG1115" s="189"/>
      <c r="AH1115" s="189"/>
      <c r="AI1115" s="189"/>
      <c r="AJ1115" s="189"/>
      <c r="AK1115" s="189"/>
      <c r="AL1115" s="189"/>
      <c r="AM1115" s="189"/>
      <c r="AN1115" s="189"/>
      <c r="AO1115" s="189"/>
      <c r="AP1115" s="189"/>
      <c r="AQ1115" s="189"/>
      <c r="AR1115" s="189"/>
      <c r="AS1115" s="189"/>
      <c r="AT1115" s="189"/>
      <c r="AU1115" s="189"/>
      <c r="AV1115" s="189"/>
      <c r="AW1115" s="189"/>
      <c r="AX1115" s="189"/>
    </row>
    <row r="1116" ht="15.75" customHeight="1">
      <c r="A1116" s="189"/>
      <c r="B1116" s="189"/>
      <c r="C1116" s="190"/>
      <c r="D1116" s="190"/>
      <c r="E1116" s="190"/>
      <c r="F1116" s="190"/>
      <c r="G1116" s="189"/>
      <c r="H1116" s="189"/>
      <c r="I1116" s="189"/>
      <c r="J1116" s="189"/>
      <c r="K1116" s="189"/>
      <c r="L1116" s="189"/>
      <c r="M1116" s="189"/>
      <c r="N1116" s="189"/>
      <c r="O1116" s="189"/>
      <c r="P1116" s="291"/>
      <c r="Q1116" s="189"/>
      <c r="R1116" s="189"/>
      <c r="S1116" s="189"/>
      <c r="T1116" s="189"/>
      <c r="U1116" s="189"/>
      <c r="V1116" s="189"/>
      <c r="W1116" s="189"/>
      <c r="X1116" s="189"/>
      <c r="Y1116" s="189"/>
      <c r="Z1116" s="189"/>
      <c r="AA1116" s="189"/>
      <c r="AB1116" s="189"/>
      <c r="AC1116" s="189"/>
      <c r="AD1116" s="189"/>
      <c r="AE1116" s="189"/>
      <c r="AF1116" s="189"/>
      <c r="AG1116" s="189"/>
      <c r="AH1116" s="189"/>
      <c r="AI1116" s="189"/>
      <c r="AJ1116" s="189"/>
      <c r="AK1116" s="189"/>
      <c r="AL1116" s="189"/>
      <c r="AM1116" s="189"/>
      <c r="AN1116" s="189"/>
      <c r="AO1116" s="189"/>
      <c r="AP1116" s="189"/>
      <c r="AQ1116" s="189"/>
      <c r="AR1116" s="189"/>
      <c r="AS1116" s="189"/>
      <c r="AT1116" s="189"/>
      <c r="AU1116" s="189"/>
      <c r="AV1116" s="189"/>
      <c r="AW1116" s="189"/>
      <c r="AX1116" s="189"/>
    </row>
    <row r="1117" ht="15.75" customHeight="1">
      <c r="A1117" s="189"/>
      <c r="B1117" s="189"/>
      <c r="C1117" s="190"/>
      <c r="D1117" s="190"/>
      <c r="E1117" s="190"/>
      <c r="F1117" s="190"/>
      <c r="G1117" s="189"/>
      <c r="H1117" s="189"/>
      <c r="I1117" s="189"/>
      <c r="J1117" s="189"/>
      <c r="K1117" s="189"/>
      <c r="L1117" s="189"/>
      <c r="M1117" s="189"/>
      <c r="N1117" s="189"/>
      <c r="O1117" s="189"/>
      <c r="P1117" s="291"/>
      <c r="Q1117" s="189"/>
      <c r="R1117" s="189"/>
      <c r="S1117" s="189"/>
      <c r="T1117" s="189"/>
      <c r="U1117" s="189"/>
      <c r="V1117" s="189"/>
      <c r="W1117" s="189"/>
      <c r="X1117" s="189"/>
      <c r="Y1117" s="189"/>
      <c r="Z1117" s="189"/>
      <c r="AA1117" s="189"/>
      <c r="AB1117" s="189"/>
      <c r="AC1117" s="189"/>
      <c r="AD1117" s="189"/>
      <c r="AE1117" s="189"/>
      <c r="AF1117" s="189"/>
      <c r="AG1117" s="189"/>
      <c r="AH1117" s="189"/>
      <c r="AI1117" s="189"/>
      <c r="AJ1117" s="189"/>
      <c r="AK1117" s="189"/>
      <c r="AL1117" s="189"/>
      <c r="AM1117" s="189"/>
      <c r="AN1117" s="189"/>
      <c r="AO1117" s="189"/>
      <c r="AP1117" s="189"/>
      <c r="AQ1117" s="189"/>
      <c r="AR1117" s="189"/>
      <c r="AS1117" s="189"/>
      <c r="AT1117" s="189"/>
      <c r="AU1117" s="189"/>
      <c r="AV1117" s="189"/>
      <c r="AW1117" s="189"/>
      <c r="AX1117" s="189"/>
    </row>
    <row r="1118" ht="15.75" customHeight="1">
      <c r="A1118" s="189"/>
      <c r="B1118" s="189"/>
      <c r="C1118" s="190"/>
      <c r="D1118" s="190"/>
      <c r="E1118" s="190"/>
      <c r="F1118" s="190"/>
      <c r="G1118" s="189"/>
      <c r="H1118" s="189"/>
      <c r="I1118" s="189"/>
      <c r="J1118" s="189"/>
      <c r="K1118" s="189"/>
      <c r="L1118" s="189"/>
      <c r="M1118" s="189"/>
      <c r="N1118" s="189"/>
      <c r="O1118" s="189"/>
      <c r="P1118" s="291"/>
      <c r="Q1118" s="189"/>
      <c r="R1118" s="189"/>
      <c r="S1118" s="189"/>
      <c r="T1118" s="189"/>
      <c r="U1118" s="189"/>
      <c r="V1118" s="189"/>
      <c r="W1118" s="189"/>
      <c r="X1118" s="189"/>
      <c r="Y1118" s="189"/>
      <c r="Z1118" s="189"/>
      <c r="AA1118" s="189"/>
      <c r="AB1118" s="189"/>
      <c r="AC1118" s="189"/>
      <c r="AD1118" s="189"/>
      <c r="AE1118" s="189"/>
      <c r="AF1118" s="189"/>
      <c r="AG1118" s="189"/>
      <c r="AH1118" s="189"/>
      <c r="AI1118" s="189"/>
      <c r="AJ1118" s="189"/>
      <c r="AK1118" s="189"/>
      <c r="AL1118" s="189"/>
      <c r="AM1118" s="189"/>
      <c r="AN1118" s="189"/>
      <c r="AO1118" s="189"/>
      <c r="AP1118" s="189"/>
      <c r="AQ1118" s="189"/>
      <c r="AR1118" s="189"/>
      <c r="AS1118" s="189"/>
      <c r="AT1118" s="189"/>
      <c r="AU1118" s="189"/>
      <c r="AV1118" s="189"/>
      <c r="AW1118" s="189"/>
      <c r="AX1118" s="189"/>
    </row>
    <row r="1119" ht="15.75" customHeight="1">
      <c r="A1119" s="189"/>
      <c r="B1119" s="189"/>
      <c r="C1119" s="190"/>
      <c r="D1119" s="190"/>
      <c r="E1119" s="190"/>
      <c r="F1119" s="190"/>
      <c r="G1119" s="189"/>
      <c r="H1119" s="189"/>
      <c r="I1119" s="189"/>
      <c r="J1119" s="189"/>
      <c r="K1119" s="189"/>
      <c r="L1119" s="189"/>
      <c r="M1119" s="189"/>
      <c r="N1119" s="189"/>
      <c r="O1119" s="189"/>
      <c r="P1119" s="291"/>
      <c r="Q1119" s="189"/>
      <c r="R1119" s="189"/>
      <c r="S1119" s="189"/>
      <c r="T1119" s="189"/>
      <c r="U1119" s="189"/>
      <c r="V1119" s="189"/>
      <c r="W1119" s="189"/>
      <c r="X1119" s="189"/>
      <c r="Y1119" s="189"/>
      <c r="Z1119" s="189"/>
      <c r="AA1119" s="189"/>
      <c r="AB1119" s="189"/>
      <c r="AC1119" s="189"/>
      <c r="AD1119" s="189"/>
      <c r="AE1119" s="189"/>
      <c r="AF1119" s="189"/>
      <c r="AG1119" s="189"/>
      <c r="AH1119" s="189"/>
      <c r="AI1119" s="189"/>
      <c r="AJ1119" s="189"/>
      <c r="AK1119" s="189"/>
      <c r="AL1119" s="189"/>
      <c r="AM1119" s="189"/>
      <c r="AN1119" s="189"/>
      <c r="AO1119" s="189"/>
      <c r="AP1119" s="189"/>
      <c r="AQ1119" s="189"/>
      <c r="AR1119" s="189"/>
      <c r="AS1119" s="189"/>
      <c r="AT1119" s="189"/>
      <c r="AU1119" s="189"/>
      <c r="AV1119" s="189"/>
      <c r="AW1119" s="189"/>
      <c r="AX1119" s="189"/>
    </row>
    <row r="1120" ht="15.75" customHeight="1">
      <c r="A1120" s="189"/>
      <c r="B1120" s="189"/>
      <c r="C1120" s="190"/>
      <c r="D1120" s="190"/>
      <c r="E1120" s="190"/>
      <c r="F1120" s="190"/>
      <c r="G1120" s="189"/>
      <c r="H1120" s="189"/>
      <c r="I1120" s="189"/>
      <c r="J1120" s="189"/>
      <c r="K1120" s="189"/>
      <c r="L1120" s="189"/>
      <c r="M1120" s="189"/>
      <c r="N1120" s="189"/>
      <c r="O1120" s="189"/>
      <c r="P1120" s="291"/>
      <c r="Q1120" s="189"/>
      <c r="R1120" s="189"/>
      <c r="S1120" s="189"/>
      <c r="T1120" s="189"/>
      <c r="U1120" s="189"/>
      <c r="V1120" s="189"/>
      <c r="W1120" s="189"/>
      <c r="X1120" s="189"/>
      <c r="Y1120" s="189"/>
      <c r="Z1120" s="189"/>
      <c r="AA1120" s="189"/>
      <c r="AB1120" s="189"/>
      <c r="AC1120" s="189"/>
      <c r="AD1120" s="189"/>
      <c r="AE1120" s="189"/>
      <c r="AF1120" s="189"/>
      <c r="AG1120" s="189"/>
      <c r="AH1120" s="189"/>
      <c r="AI1120" s="189"/>
      <c r="AJ1120" s="189"/>
      <c r="AK1120" s="189"/>
      <c r="AL1120" s="189"/>
      <c r="AM1120" s="189"/>
      <c r="AN1120" s="189"/>
      <c r="AO1120" s="189"/>
      <c r="AP1120" s="189"/>
      <c r="AQ1120" s="189"/>
      <c r="AR1120" s="189"/>
      <c r="AS1120" s="189"/>
      <c r="AT1120" s="189"/>
      <c r="AU1120" s="189"/>
      <c r="AV1120" s="189"/>
      <c r="AW1120" s="189"/>
      <c r="AX1120" s="189"/>
    </row>
    <row r="1121" ht="15.75" customHeight="1">
      <c r="A1121" s="189"/>
      <c r="B1121" s="189"/>
      <c r="C1121" s="190"/>
      <c r="D1121" s="190"/>
      <c r="E1121" s="190"/>
      <c r="F1121" s="190"/>
      <c r="G1121" s="189"/>
      <c r="H1121" s="189"/>
      <c r="I1121" s="189"/>
      <c r="J1121" s="189"/>
      <c r="K1121" s="189"/>
      <c r="L1121" s="189"/>
      <c r="M1121" s="189"/>
      <c r="N1121" s="189"/>
      <c r="O1121" s="189"/>
      <c r="P1121" s="291"/>
      <c r="Q1121" s="189"/>
      <c r="R1121" s="189"/>
      <c r="S1121" s="189"/>
      <c r="T1121" s="189"/>
      <c r="U1121" s="189"/>
      <c r="V1121" s="189"/>
      <c r="W1121" s="189"/>
      <c r="X1121" s="189"/>
      <c r="Y1121" s="189"/>
      <c r="Z1121" s="189"/>
      <c r="AA1121" s="189"/>
      <c r="AB1121" s="189"/>
      <c r="AC1121" s="189"/>
      <c r="AD1121" s="189"/>
      <c r="AE1121" s="189"/>
      <c r="AF1121" s="189"/>
      <c r="AG1121" s="189"/>
      <c r="AH1121" s="189"/>
      <c r="AI1121" s="189"/>
      <c r="AJ1121" s="189"/>
      <c r="AK1121" s="189"/>
      <c r="AL1121" s="189"/>
      <c r="AM1121" s="189"/>
      <c r="AN1121" s="189"/>
      <c r="AO1121" s="189"/>
      <c r="AP1121" s="189"/>
      <c r="AQ1121" s="189"/>
      <c r="AR1121" s="189"/>
      <c r="AS1121" s="189"/>
      <c r="AT1121" s="189"/>
      <c r="AU1121" s="189"/>
      <c r="AV1121" s="189"/>
      <c r="AW1121" s="189"/>
      <c r="AX1121" s="189"/>
    </row>
    <row r="1122" ht="15.75" customHeight="1">
      <c r="A1122" s="189"/>
      <c r="B1122" s="189"/>
      <c r="C1122" s="190"/>
      <c r="D1122" s="190"/>
      <c r="E1122" s="190"/>
      <c r="F1122" s="190"/>
      <c r="G1122" s="189"/>
      <c r="H1122" s="189"/>
      <c r="I1122" s="189"/>
      <c r="J1122" s="189"/>
      <c r="K1122" s="189"/>
      <c r="L1122" s="189"/>
      <c r="M1122" s="189"/>
      <c r="N1122" s="189"/>
      <c r="O1122" s="189"/>
      <c r="P1122" s="291"/>
      <c r="Q1122" s="189"/>
      <c r="R1122" s="189"/>
      <c r="S1122" s="189"/>
      <c r="T1122" s="189"/>
      <c r="U1122" s="189"/>
      <c r="V1122" s="189"/>
      <c r="W1122" s="189"/>
      <c r="X1122" s="189"/>
      <c r="Y1122" s="189"/>
      <c r="Z1122" s="189"/>
      <c r="AA1122" s="189"/>
      <c r="AB1122" s="189"/>
      <c r="AC1122" s="189"/>
      <c r="AD1122" s="189"/>
      <c r="AE1122" s="189"/>
      <c r="AF1122" s="189"/>
      <c r="AG1122" s="189"/>
      <c r="AH1122" s="189"/>
      <c r="AI1122" s="189"/>
      <c r="AJ1122" s="189"/>
      <c r="AK1122" s="189"/>
      <c r="AL1122" s="189"/>
      <c r="AM1122" s="189"/>
      <c r="AN1122" s="189"/>
      <c r="AO1122" s="189"/>
      <c r="AP1122" s="189"/>
      <c r="AQ1122" s="189"/>
      <c r="AR1122" s="189"/>
      <c r="AS1122" s="189"/>
      <c r="AT1122" s="189"/>
      <c r="AU1122" s="189"/>
      <c r="AV1122" s="189"/>
      <c r="AW1122" s="189"/>
      <c r="AX1122" s="189"/>
    </row>
    <row r="1123" ht="15.75" customHeight="1">
      <c r="A1123" s="189"/>
      <c r="B1123" s="189"/>
      <c r="C1123" s="190"/>
      <c r="D1123" s="190"/>
      <c r="E1123" s="190"/>
      <c r="F1123" s="190"/>
      <c r="G1123" s="189"/>
      <c r="H1123" s="189"/>
      <c r="I1123" s="189"/>
      <c r="J1123" s="189"/>
      <c r="K1123" s="189"/>
      <c r="L1123" s="189"/>
      <c r="M1123" s="189"/>
      <c r="N1123" s="189"/>
      <c r="O1123" s="189"/>
      <c r="P1123" s="291"/>
      <c r="Q1123" s="189"/>
      <c r="R1123" s="189"/>
      <c r="S1123" s="189"/>
      <c r="T1123" s="189"/>
      <c r="U1123" s="189"/>
      <c r="V1123" s="189"/>
      <c r="W1123" s="189"/>
      <c r="X1123" s="189"/>
      <c r="Y1123" s="189"/>
      <c r="Z1123" s="189"/>
      <c r="AA1123" s="189"/>
      <c r="AB1123" s="189"/>
      <c r="AC1123" s="189"/>
      <c r="AD1123" s="189"/>
      <c r="AE1123" s="189"/>
      <c r="AF1123" s="189"/>
      <c r="AG1123" s="189"/>
      <c r="AH1123" s="189"/>
      <c r="AI1123" s="189"/>
      <c r="AJ1123" s="189"/>
      <c r="AK1123" s="189"/>
      <c r="AL1123" s="189"/>
      <c r="AM1123" s="189"/>
      <c r="AN1123" s="189"/>
      <c r="AO1123" s="189"/>
      <c r="AP1123" s="189"/>
      <c r="AQ1123" s="189"/>
      <c r="AR1123" s="189"/>
      <c r="AS1123" s="189"/>
      <c r="AT1123" s="189"/>
      <c r="AU1123" s="189"/>
      <c r="AV1123" s="189"/>
      <c r="AW1123" s="189"/>
      <c r="AX1123" s="189"/>
    </row>
    <row r="1124" ht="15.75" customHeight="1">
      <c r="A1124" s="189"/>
      <c r="B1124" s="189"/>
      <c r="C1124" s="190"/>
      <c r="D1124" s="190"/>
      <c r="E1124" s="190"/>
      <c r="F1124" s="190"/>
      <c r="G1124" s="189"/>
      <c r="H1124" s="189"/>
      <c r="I1124" s="189"/>
      <c r="J1124" s="189"/>
      <c r="K1124" s="189"/>
      <c r="L1124" s="189"/>
      <c r="M1124" s="189"/>
      <c r="N1124" s="189"/>
      <c r="O1124" s="189"/>
      <c r="P1124" s="291"/>
      <c r="Q1124" s="189"/>
      <c r="R1124" s="189"/>
      <c r="S1124" s="189"/>
      <c r="T1124" s="189"/>
      <c r="U1124" s="189"/>
      <c r="V1124" s="189"/>
      <c r="W1124" s="189"/>
      <c r="X1124" s="189"/>
      <c r="Y1124" s="189"/>
      <c r="Z1124" s="189"/>
      <c r="AA1124" s="189"/>
      <c r="AB1124" s="189"/>
      <c r="AC1124" s="189"/>
      <c r="AD1124" s="189"/>
      <c r="AE1124" s="189"/>
      <c r="AF1124" s="189"/>
      <c r="AG1124" s="189"/>
      <c r="AH1124" s="189"/>
      <c r="AI1124" s="189"/>
      <c r="AJ1124" s="189"/>
      <c r="AK1124" s="189"/>
      <c r="AL1124" s="189"/>
      <c r="AM1124" s="189"/>
      <c r="AN1124" s="189"/>
      <c r="AO1124" s="189"/>
      <c r="AP1124" s="189"/>
      <c r="AQ1124" s="189"/>
      <c r="AR1124" s="189"/>
      <c r="AS1124" s="189"/>
      <c r="AT1124" s="189"/>
      <c r="AU1124" s="189"/>
      <c r="AV1124" s="189"/>
      <c r="AW1124" s="189"/>
      <c r="AX1124" s="189"/>
    </row>
    <row r="1125" ht="15.75" customHeight="1">
      <c r="A1125" s="189"/>
      <c r="B1125" s="189"/>
      <c r="C1125" s="190"/>
      <c r="D1125" s="190"/>
      <c r="E1125" s="190"/>
      <c r="F1125" s="190"/>
      <c r="G1125" s="189"/>
      <c r="H1125" s="189"/>
      <c r="I1125" s="189"/>
      <c r="J1125" s="189"/>
      <c r="K1125" s="189"/>
      <c r="L1125" s="189"/>
      <c r="M1125" s="189"/>
      <c r="N1125" s="189"/>
      <c r="O1125" s="189"/>
      <c r="P1125" s="291"/>
      <c r="Q1125" s="189"/>
      <c r="R1125" s="189"/>
      <c r="S1125" s="189"/>
      <c r="T1125" s="189"/>
      <c r="U1125" s="189"/>
      <c r="V1125" s="189"/>
      <c r="W1125" s="189"/>
      <c r="X1125" s="189"/>
      <c r="Y1125" s="189"/>
      <c r="Z1125" s="189"/>
      <c r="AA1125" s="189"/>
      <c r="AB1125" s="189"/>
      <c r="AC1125" s="189"/>
      <c r="AD1125" s="189"/>
      <c r="AE1125" s="189"/>
      <c r="AF1125" s="189"/>
      <c r="AG1125" s="189"/>
      <c r="AH1125" s="189"/>
      <c r="AI1125" s="189"/>
      <c r="AJ1125" s="189"/>
      <c r="AK1125" s="189"/>
      <c r="AL1125" s="189"/>
      <c r="AM1125" s="189"/>
      <c r="AN1125" s="189"/>
      <c r="AO1125" s="189"/>
      <c r="AP1125" s="189"/>
      <c r="AQ1125" s="189"/>
      <c r="AR1125" s="189"/>
      <c r="AS1125" s="189"/>
      <c r="AT1125" s="189"/>
      <c r="AU1125" s="189"/>
      <c r="AV1125" s="189"/>
      <c r="AW1125" s="189"/>
      <c r="AX1125" s="189"/>
    </row>
    <row r="1126" ht="15.75" customHeight="1">
      <c r="A1126" s="189"/>
      <c r="B1126" s="189"/>
      <c r="C1126" s="190"/>
      <c r="D1126" s="190"/>
      <c r="E1126" s="190"/>
      <c r="F1126" s="190"/>
      <c r="G1126" s="189"/>
      <c r="H1126" s="189"/>
      <c r="I1126" s="189"/>
      <c r="J1126" s="189"/>
      <c r="K1126" s="189"/>
      <c r="L1126" s="189"/>
      <c r="M1126" s="189"/>
      <c r="N1126" s="189"/>
      <c r="O1126" s="189"/>
      <c r="P1126" s="291"/>
      <c r="Q1126" s="189"/>
      <c r="R1126" s="189"/>
      <c r="S1126" s="189"/>
      <c r="T1126" s="189"/>
      <c r="U1126" s="189"/>
      <c r="V1126" s="189"/>
      <c r="W1126" s="189"/>
      <c r="X1126" s="189"/>
      <c r="Y1126" s="189"/>
      <c r="Z1126" s="189"/>
      <c r="AA1126" s="189"/>
      <c r="AB1126" s="189"/>
      <c r="AC1126" s="189"/>
      <c r="AD1126" s="189"/>
      <c r="AE1126" s="189"/>
      <c r="AF1126" s="189"/>
      <c r="AG1126" s="189"/>
      <c r="AH1126" s="189"/>
      <c r="AI1126" s="189"/>
      <c r="AJ1126" s="189"/>
      <c r="AK1126" s="189"/>
      <c r="AL1126" s="189"/>
      <c r="AM1126" s="189"/>
      <c r="AN1126" s="189"/>
      <c r="AO1126" s="189"/>
      <c r="AP1126" s="189"/>
      <c r="AQ1126" s="189"/>
      <c r="AR1126" s="189"/>
      <c r="AS1126" s="189"/>
      <c r="AT1126" s="189"/>
      <c r="AU1126" s="189"/>
      <c r="AV1126" s="189"/>
      <c r="AW1126" s="189"/>
      <c r="AX1126" s="189"/>
    </row>
    <row r="1127" ht="15.75" customHeight="1">
      <c r="A1127" s="189"/>
      <c r="B1127" s="189"/>
      <c r="C1127" s="190"/>
      <c r="D1127" s="190"/>
      <c r="E1127" s="190"/>
      <c r="F1127" s="190"/>
      <c r="G1127" s="189"/>
      <c r="H1127" s="189"/>
      <c r="I1127" s="189"/>
      <c r="J1127" s="189"/>
      <c r="K1127" s="189"/>
      <c r="L1127" s="189"/>
      <c r="M1127" s="189"/>
      <c r="N1127" s="189"/>
      <c r="O1127" s="189"/>
      <c r="P1127" s="291"/>
      <c r="Q1127" s="189"/>
      <c r="R1127" s="189"/>
      <c r="S1127" s="189"/>
      <c r="T1127" s="189"/>
      <c r="U1127" s="189"/>
      <c r="V1127" s="189"/>
      <c r="W1127" s="189"/>
      <c r="X1127" s="189"/>
      <c r="Y1127" s="189"/>
      <c r="Z1127" s="189"/>
      <c r="AA1127" s="189"/>
      <c r="AB1127" s="189"/>
      <c r="AC1127" s="189"/>
      <c r="AD1127" s="189"/>
      <c r="AE1127" s="189"/>
      <c r="AF1127" s="189"/>
      <c r="AG1127" s="189"/>
      <c r="AH1127" s="189"/>
      <c r="AI1127" s="189"/>
      <c r="AJ1127" s="189"/>
      <c r="AK1127" s="189"/>
      <c r="AL1127" s="189"/>
      <c r="AM1127" s="189"/>
      <c r="AN1127" s="189"/>
      <c r="AO1127" s="189"/>
      <c r="AP1127" s="189"/>
      <c r="AQ1127" s="189"/>
      <c r="AR1127" s="189"/>
      <c r="AS1127" s="189"/>
      <c r="AT1127" s="189"/>
      <c r="AU1127" s="189"/>
      <c r="AV1127" s="189"/>
      <c r="AW1127" s="189"/>
      <c r="AX1127" s="189"/>
    </row>
    <row r="1128" ht="15.75" customHeight="1">
      <c r="A1128" s="189"/>
      <c r="B1128" s="189"/>
      <c r="C1128" s="190"/>
      <c r="D1128" s="190"/>
      <c r="E1128" s="190"/>
      <c r="F1128" s="190"/>
      <c r="G1128" s="189"/>
      <c r="H1128" s="189"/>
      <c r="I1128" s="189"/>
      <c r="J1128" s="189"/>
      <c r="K1128" s="189"/>
      <c r="L1128" s="189"/>
      <c r="M1128" s="189"/>
      <c r="N1128" s="189"/>
      <c r="O1128" s="189"/>
      <c r="P1128" s="291"/>
      <c r="Q1128" s="189"/>
      <c r="R1128" s="189"/>
      <c r="S1128" s="189"/>
      <c r="T1128" s="189"/>
      <c r="U1128" s="189"/>
      <c r="V1128" s="189"/>
      <c r="W1128" s="189"/>
      <c r="X1128" s="189"/>
      <c r="Y1128" s="189"/>
      <c r="Z1128" s="189"/>
      <c r="AA1128" s="189"/>
      <c r="AB1128" s="189"/>
      <c r="AC1128" s="189"/>
      <c r="AD1128" s="189"/>
      <c r="AE1128" s="189"/>
      <c r="AF1128" s="189"/>
      <c r="AG1128" s="189"/>
      <c r="AH1128" s="189"/>
      <c r="AI1128" s="189"/>
      <c r="AJ1128" s="189"/>
      <c r="AK1128" s="189"/>
      <c r="AL1128" s="189"/>
      <c r="AM1128" s="189"/>
      <c r="AN1128" s="189"/>
      <c r="AO1128" s="189"/>
      <c r="AP1128" s="189"/>
      <c r="AQ1128" s="189"/>
      <c r="AR1128" s="189"/>
      <c r="AS1128" s="189"/>
      <c r="AT1128" s="189"/>
      <c r="AU1128" s="189"/>
      <c r="AV1128" s="189"/>
      <c r="AW1128" s="189"/>
      <c r="AX1128" s="189"/>
    </row>
    <row r="1129" ht="15.75" customHeight="1">
      <c r="A1129" s="189"/>
      <c r="B1129" s="189"/>
      <c r="C1129" s="190"/>
      <c r="D1129" s="190"/>
      <c r="E1129" s="190"/>
      <c r="F1129" s="190"/>
      <c r="G1129" s="189"/>
      <c r="H1129" s="189"/>
      <c r="I1129" s="189"/>
      <c r="J1129" s="189"/>
      <c r="K1129" s="189"/>
      <c r="L1129" s="189"/>
      <c r="M1129" s="189"/>
      <c r="N1129" s="189"/>
      <c r="O1129" s="189"/>
      <c r="P1129" s="291"/>
      <c r="Q1129" s="189"/>
      <c r="R1129" s="189"/>
      <c r="S1129" s="189"/>
      <c r="T1129" s="189"/>
      <c r="U1129" s="189"/>
      <c r="V1129" s="189"/>
      <c r="W1129" s="189"/>
      <c r="X1129" s="189"/>
      <c r="Y1129" s="189"/>
      <c r="Z1129" s="189"/>
      <c r="AA1129" s="189"/>
      <c r="AB1129" s="189"/>
      <c r="AC1129" s="189"/>
      <c r="AD1129" s="189"/>
      <c r="AE1129" s="189"/>
      <c r="AF1129" s="189"/>
      <c r="AG1129" s="189"/>
      <c r="AH1129" s="189"/>
      <c r="AI1129" s="189"/>
      <c r="AJ1129" s="189"/>
      <c r="AK1129" s="189"/>
      <c r="AL1129" s="189"/>
      <c r="AM1129" s="189"/>
      <c r="AN1129" s="189"/>
      <c r="AO1129" s="189"/>
      <c r="AP1129" s="189"/>
      <c r="AQ1129" s="189"/>
      <c r="AR1129" s="189"/>
      <c r="AS1129" s="189"/>
      <c r="AT1129" s="189"/>
      <c r="AU1129" s="189"/>
      <c r="AV1129" s="189"/>
      <c r="AW1129" s="189"/>
      <c r="AX1129" s="189"/>
    </row>
    <row r="1130" ht="15.75" customHeight="1">
      <c r="A1130" s="189"/>
      <c r="B1130" s="189"/>
      <c r="C1130" s="190"/>
      <c r="D1130" s="190"/>
      <c r="E1130" s="190"/>
      <c r="F1130" s="190"/>
      <c r="G1130" s="189"/>
      <c r="H1130" s="189"/>
      <c r="I1130" s="189"/>
      <c r="J1130" s="189"/>
      <c r="K1130" s="189"/>
      <c r="L1130" s="189"/>
      <c r="M1130" s="189"/>
      <c r="N1130" s="189"/>
      <c r="O1130" s="189"/>
      <c r="P1130" s="291"/>
      <c r="Q1130" s="189"/>
      <c r="R1130" s="189"/>
      <c r="S1130" s="189"/>
      <c r="T1130" s="189"/>
      <c r="U1130" s="189"/>
      <c r="V1130" s="189"/>
      <c r="W1130" s="189"/>
      <c r="X1130" s="189"/>
      <c r="Y1130" s="189"/>
      <c r="Z1130" s="189"/>
      <c r="AA1130" s="189"/>
      <c r="AB1130" s="189"/>
      <c r="AC1130" s="189"/>
      <c r="AD1130" s="189"/>
      <c r="AE1130" s="189"/>
      <c r="AF1130" s="189"/>
      <c r="AG1130" s="189"/>
      <c r="AH1130" s="189"/>
      <c r="AI1130" s="189"/>
      <c r="AJ1130" s="189"/>
      <c r="AK1130" s="189"/>
      <c r="AL1130" s="189"/>
      <c r="AM1130" s="189"/>
      <c r="AN1130" s="189"/>
      <c r="AO1130" s="189"/>
      <c r="AP1130" s="189"/>
      <c r="AQ1130" s="189"/>
      <c r="AR1130" s="189"/>
      <c r="AS1130" s="189"/>
      <c r="AT1130" s="189"/>
      <c r="AU1130" s="189"/>
      <c r="AV1130" s="189"/>
      <c r="AW1130" s="189"/>
      <c r="AX1130" s="189"/>
    </row>
    <row r="1131" ht="15.75" customHeight="1">
      <c r="A1131" s="189"/>
      <c r="B1131" s="189"/>
      <c r="C1131" s="190"/>
      <c r="D1131" s="190"/>
      <c r="E1131" s="190"/>
      <c r="F1131" s="190"/>
      <c r="G1131" s="189"/>
      <c r="H1131" s="189"/>
      <c r="I1131" s="189"/>
      <c r="J1131" s="189"/>
      <c r="K1131" s="189"/>
      <c r="L1131" s="189"/>
      <c r="M1131" s="189"/>
      <c r="N1131" s="189"/>
      <c r="O1131" s="189"/>
      <c r="P1131" s="291"/>
      <c r="Q1131" s="189"/>
      <c r="R1131" s="189"/>
      <c r="S1131" s="189"/>
      <c r="T1131" s="189"/>
      <c r="U1131" s="189"/>
      <c r="V1131" s="189"/>
      <c r="W1131" s="189"/>
      <c r="X1131" s="189"/>
      <c r="Y1131" s="189"/>
      <c r="Z1131" s="189"/>
      <c r="AA1131" s="189"/>
      <c r="AB1131" s="189"/>
      <c r="AC1131" s="189"/>
      <c r="AD1131" s="189"/>
      <c r="AE1131" s="189"/>
      <c r="AF1131" s="189"/>
      <c r="AG1131" s="189"/>
      <c r="AH1131" s="189"/>
      <c r="AI1131" s="189"/>
      <c r="AJ1131" s="189"/>
      <c r="AK1131" s="189"/>
      <c r="AL1131" s="189"/>
      <c r="AM1131" s="189"/>
      <c r="AN1131" s="189"/>
      <c r="AO1131" s="189"/>
      <c r="AP1131" s="189"/>
      <c r="AQ1131" s="189"/>
      <c r="AR1131" s="189"/>
      <c r="AS1131" s="189"/>
      <c r="AT1131" s="189"/>
      <c r="AU1131" s="189"/>
      <c r="AV1131" s="189"/>
      <c r="AW1131" s="189"/>
      <c r="AX1131" s="189"/>
    </row>
    <row r="1132" ht="15.75" customHeight="1">
      <c r="A1132" s="189"/>
      <c r="B1132" s="189"/>
      <c r="C1132" s="190"/>
      <c r="D1132" s="190"/>
      <c r="E1132" s="190"/>
      <c r="F1132" s="190"/>
      <c r="G1132" s="189"/>
      <c r="H1132" s="189"/>
      <c r="I1132" s="189"/>
      <c r="J1132" s="189"/>
      <c r="K1132" s="189"/>
      <c r="L1132" s="189"/>
      <c r="M1132" s="189"/>
      <c r="N1132" s="189"/>
      <c r="O1132" s="189"/>
      <c r="P1132" s="291"/>
      <c r="Q1132" s="189"/>
      <c r="R1132" s="189"/>
      <c r="S1132" s="189"/>
      <c r="T1132" s="189"/>
      <c r="U1132" s="189"/>
      <c r="V1132" s="189"/>
      <c r="W1132" s="189"/>
      <c r="X1132" s="189"/>
      <c r="Y1132" s="189"/>
      <c r="Z1132" s="189"/>
      <c r="AA1132" s="189"/>
      <c r="AB1132" s="189"/>
      <c r="AC1132" s="189"/>
      <c r="AD1132" s="189"/>
      <c r="AE1132" s="189"/>
      <c r="AF1132" s="189"/>
      <c r="AG1132" s="189"/>
      <c r="AH1132" s="189"/>
      <c r="AI1132" s="189"/>
      <c r="AJ1132" s="189"/>
      <c r="AK1132" s="189"/>
      <c r="AL1132" s="189"/>
      <c r="AM1132" s="189"/>
      <c r="AN1132" s="189"/>
      <c r="AO1132" s="189"/>
      <c r="AP1132" s="189"/>
      <c r="AQ1132" s="189"/>
      <c r="AR1132" s="189"/>
      <c r="AS1132" s="189"/>
      <c r="AT1132" s="189"/>
      <c r="AU1132" s="189"/>
      <c r="AV1132" s="189"/>
      <c r="AW1132" s="189"/>
      <c r="AX1132" s="189"/>
    </row>
    <row r="1133" ht="15.75" customHeight="1">
      <c r="A1133" s="189"/>
      <c r="B1133" s="189"/>
      <c r="C1133" s="190"/>
      <c r="D1133" s="190"/>
      <c r="E1133" s="190"/>
      <c r="F1133" s="190"/>
      <c r="G1133" s="189"/>
      <c r="H1133" s="189"/>
      <c r="I1133" s="189"/>
      <c r="J1133" s="189"/>
      <c r="K1133" s="189"/>
      <c r="L1133" s="189"/>
      <c r="M1133" s="189"/>
      <c r="N1133" s="189"/>
      <c r="O1133" s="189"/>
      <c r="P1133" s="291"/>
      <c r="Q1133" s="189"/>
      <c r="R1133" s="189"/>
      <c r="S1133" s="189"/>
      <c r="T1133" s="189"/>
      <c r="U1133" s="189"/>
      <c r="V1133" s="189"/>
      <c r="W1133" s="189"/>
      <c r="X1133" s="189"/>
      <c r="Y1133" s="189"/>
      <c r="Z1133" s="189"/>
      <c r="AA1133" s="189"/>
      <c r="AB1133" s="189"/>
      <c r="AC1133" s="189"/>
      <c r="AD1133" s="189"/>
      <c r="AE1133" s="189"/>
      <c r="AF1133" s="189"/>
      <c r="AG1133" s="189"/>
      <c r="AH1133" s="189"/>
      <c r="AI1133" s="189"/>
      <c r="AJ1133" s="189"/>
      <c r="AK1133" s="189"/>
      <c r="AL1133" s="189"/>
      <c r="AM1133" s="189"/>
      <c r="AN1133" s="189"/>
      <c r="AO1133" s="189"/>
      <c r="AP1133" s="189"/>
      <c r="AQ1133" s="189"/>
      <c r="AR1133" s="189"/>
      <c r="AS1133" s="189"/>
      <c r="AT1133" s="189"/>
      <c r="AU1133" s="189"/>
      <c r="AV1133" s="189"/>
      <c r="AW1133" s="189"/>
      <c r="AX1133" s="189"/>
    </row>
    <row r="1134" ht="15.75" customHeight="1">
      <c r="A1134" s="189"/>
      <c r="B1134" s="189"/>
      <c r="C1134" s="190"/>
      <c r="D1134" s="190"/>
      <c r="E1134" s="190"/>
      <c r="F1134" s="190"/>
      <c r="G1134" s="189"/>
      <c r="H1134" s="189"/>
      <c r="I1134" s="189"/>
      <c r="J1134" s="189"/>
      <c r="K1134" s="189"/>
      <c r="L1134" s="189"/>
      <c r="M1134" s="189"/>
      <c r="N1134" s="189"/>
      <c r="O1134" s="189"/>
      <c r="P1134" s="291"/>
      <c r="Q1134" s="189"/>
      <c r="R1134" s="189"/>
      <c r="S1134" s="189"/>
      <c r="T1134" s="189"/>
      <c r="U1134" s="189"/>
      <c r="V1134" s="189"/>
      <c r="W1134" s="189"/>
      <c r="X1134" s="189"/>
      <c r="Y1134" s="189"/>
      <c r="Z1134" s="189"/>
      <c r="AA1134" s="189"/>
      <c r="AB1134" s="189"/>
      <c r="AC1134" s="189"/>
      <c r="AD1134" s="189"/>
      <c r="AE1134" s="189"/>
      <c r="AF1134" s="189"/>
      <c r="AG1134" s="189"/>
      <c r="AH1134" s="189"/>
      <c r="AI1134" s="189"/>
      <c r="AJ1134" s="189"/>
      <c r="AK1134" s="189"/>
      <c r="AL1134" s="189"/>
      <c r="AM1134" s="189"/>
      <c r="AN1134" s="189"/>
      <c r="AO1134" s="189"/>
      <c r="AP1134" s="189"/>
      <c r="AQ1134" s="189"/>
      <c r="AR1134" s="189"/>
      <c r="AS1134" s="189"/>
      <c r="AT1134" s="189"/>
      <c r="AU1134" s="189"/>
      <c r="AV1134" s="189"/>
      <c r="AW1134" s="189"/>
      <c r="AX1134" s="189"/>
    </row>
    <row r="1135" ht="15.75" customHeight="1">
      <c r="A1135" s="189"/>
      <c r="B1135" s="189"/>
      <c r="C1135" s="190"/>
      <c r="D1135" s="190"/>
      <c r="E1135" s="190"/>
      <c r="F1135" s="190"/>
      <c r="G1135" s="189"/>
      <c r="H1135" s="189"/>
      <c r="I1135" s="189"/>
      <c r="J1135" s="189"/>
      <c r="K1135" s="189"/>
      <c r="L1135" s="189"/>
      <c r="M1135" s="189"/>
      <c r="N1135" s="189"/>
      <c r="O1135" s="189"/>
      <c r="P1135" s="291"/>
      <c r="Q1135" s="189"/>
      <c r="R1135" s="189"/>
      <c r="S1135" s="189"/>
      <c r="T1135" s="189"/>
      <c r="U1135" s="189"/>
      <c r="V1135" s="189"/>
      <c r="W1135" s="189"/>
      <c r="X1135" s="189"/>
      <c r="Y1135" s="189"/>
      <c r="Z1135" s="189"/>
      <c r="AA1135" s="189"/>
      <c r="AB1135" s="189"/>
      <c r="AC1135" s="189"/>
      <c r="AD1135" s="189"/>
      <c r="AE1135" s="189"/>
      <c r="AF1135" s="189"/>
      <c r="AG1135" s="189"/>
      <c r="AH1135" s="189"/>
      <c r="AI1135" s="189"/>
      <c r="AJ1135" s="189"/>
      <c r="AK1135" s="189"/>
      <c r="AL1135" s="189"/>
      <c r="AM1135" s="189"/>
      <c r="AN1135" s="189"/>
      <c r="AO1135" s="189"/>
      <c r="AP1135" s="189"/>
      <c r="AQ1135" s="189"/>
      <c r="AR1135" s="189"/>
      <c r="AS1135" s="189"/>
      <c r="AT1135" s="189"/>
      <c r="AU1135" s="189"/>
      <c r="AV1135" s="189"/>
      <c r="AW1135" s="189"/>
      <c r="AX1135" s="189"/>
    </row>
    <row r="1136" ht="15.75" customHeight="1">
      <c r="A1136" s="189"/>
      <c r="B1136" s="189"/>
      <c r="C1136" s="190"/>
      <c r="D1136" s="190"/>
      <c r="E1136" s="190"/>
      <c r="F1136" s="190"/>
      <c r="G1136" s="189"/>
      <c r="H1136" s="189"/>
      <c r="I1136" s="189"/>
      <c r="J1136" s="189"/>
      <c r="K1136" s="189"/>
      <c r="L1136" s="189"/>
      <c r="M1136" s="189"/>
      <c r="N1136" s="189"/>
      <c r="O1136" s="189"/>
      <c r="P1136" s="291"/>
      <c r="Q1136" s="189"/>
      <c r="R1136" s="189"/>
      <c r="S1136" s="189"/>
      <c r="T1136" s="189"/>
      <c r="U1136" s="189"/>
      <c r="V1136" s="189"/>
      <c r="W1136" s="189"/>
      <c r="X1136" s="189"/>
      <c r="Y1136" s="189"/>
      <c r="Z1136" s="189"/>
      <c r="AA1136" s="189"/>
      <c r="AB1136" s="189"/>
      <c r="AC1136" s="189"/>
      <c r="AD1136" s="189"/>
      <c r="AE1136" s="189"/>
      <c r="AF1136" s="189"/>
      <c r="AG1136" s="189"/>
      <c r="AH1136" s="189"/>
      <c r="AI1136" s="189"/>
      <c r="AJ1136" s="189"/>
      <c r="AK1136" s="189"/>
      <c r="AL1136" s="189"/>
      <c r="AM1136" s="189"/>
      <c r="AN1136" s="189"/>
      <c r="AO1136" s="189"/>
      <c r="AP1136" s="189"/>
      <c r="AQ1136" s="189"/>
      <c r="AR1136" s="189"/>
      <c r="AS1136" s="189"/>
      <c r="AT1136" s="189"/>
      <c r="AU1136" s="189"/>
      <c r="AV1136" s="189"/>
      <c r="AW1136" s="189"/>
      <c r="AX1136" s="189"/>
    </row>
    <row r="1137" ht="15.75" customHeight="1">
      <c r="A1137" s="189"/>
      <c r="B1137" s="189"/>
      <c r="C1137" s="190"/>
      <c r="D1137" s="190"/>
      <c r="E1137" s="190"/>
      <c r="F1137" s="190"/>
      <c r="G1137" s="189"/>
      <c r="H1137" s="189"/>
      <c r="I1137" s="189"/>
      <c r="J1137" s="189"/>
      <c r="K1137" s="189"/>
      <c r="L1137" s="189"/>
      <c r="M1137" s="189"/>
      <c r="N1137" s="189"/>
      <c r="O1137" s="189"/>
      <c r="P1137" s="291"/>
      <c r="Q1137" s="189"/>
      <c r="R1137" s="189"/>
      <c r="S1137" s="189"/>
      <c r="T1137" s="189"/>
      <c r="U1137" s="189"/>
      <c r="V1137" s="189"/>
      <c r="W1137" s="189"/>
      <c r="X1137" s="189"/>
      <c r="Y1137" s="189"/>
      <c r="Z1137" s="189"/>
      <c r="AA1137" s="189"/>
      <c r="AB1137" s="189"/>
      <c r="AC1137" s="189"/>
      <c r="AD1137" s="189"/>
      <c r="AE1137" s="189"/>
      <c r="AF1137" s="189"/>
      <c r="AG1137" s="189"/>
      <c r="AH1137" s="189"/>
      <c r="AI1137" s="189"/>
      <c r="AJ1137" s="189"/>
      <c r="AK1137" s="189"/>
      <c r="AL1137" s="189"/>
      <c r="AM1137" s="189"/>
      <c r="AN1137" s="189"/>
      <c r="AO1137" s="189"/>
      <c r="AP1137" s="189"/>
      <c r="AQ1137" s="189"/>
      <c r="AR1137" s="189"/>
      <c r="AS1137" s="189"/>
      <c r="AT1137" s="189"/>
      <c r="AU1137" s="189"/>
      <c r="AV1137" s="189"/>
      <c r="AW1137" s="189"/>
      <c r="AX1137" s="189"/>
    </row>
    <row r="1138" ht="15.75" customHeight="1">
      <c r="A1138" s="189"/>
      <c r="B1138" s="189"/>
      <c r="C1138" s="190"/>
      <c r="D1138" s="190"/>
      <c r="E1138" s="190"/>
      <c r="F1138" s="190"/>
      <c r="G1138" s="189"/>
      <c r="H1138" s="189"/>
      <c r="I1138" s="189"/>
      <c r="J1138" s="189"/>
      <c r="K1138" s="189"/>
      <c r="L1138" s="189"/>
      <c r="M1138" s="189"/>
      <c r="N1138" s="189"/>
      <c r="O1138" s="189"/>
      <c r="P1138" s="291"/>
      <c r="Q1138" s="189"/>
      <c r="R1138" s="189"/>
      <c r="S1138" s="189"/>
      <c r="T1138" s="189"/>
      <c r="U1138" s="189"/>
      <c r="V1138" s="189"/>
      <c r="W1138" s="189"/>
      <c r="X1138" s="189"/>
      <c r="Y1138" s="189"/>
      <c r="Z1138" s="189"/>
      <c r="AA1138" s="189"/>
      <c r="AB1138" s="189"/>
      <c r="AC1138" s="189"/>
      <c r="AD1138" s="189"/>
      <c r="AE1138" s="189"/>
      <c r="AF1138" s="189"/>
      <c r="AG1138" s="189"/>
      <c r="AH1138" s="189"/>
      <c r="AI1138" s="189"/>
      <c r="AJ1138" s="189"/>
      <c r="AK1138" s="189"/>
      <c r="AL1138" s="189"/>
      <c r="AM1138" s="189"/>
      <c r="AN1138" s="189"/>
      <c r="AO1138" s="189"/>
      <c r="AP1138" s="189"/>
      <c r="AQ1138" s="189"/>
      <c r="AR1138" s="189"/>
      <c r="AS1138" s="189"/>
      <c r="AT1138" s="189"/>
      <c r="AU1138" s="189"/>
      <c r="AV1138" s="189"/>
      <c r="AW1138" s="189"/>
      <c r="AX1138" s="189"/>
    </row>
    <row r="1139" ht="15.75" customHeight="1">
      <c r="A1139" s="189"/>
      <c r="B1139" s="189"/>
      <c r="C1139" s="190"/>
      <c r="D1139" s="190"/>
      <c r="E1139" s="190"/>
      <c r="F1139" s="190"/>
      <c r="G1139" s="189"/>
      <c r="H1139" s="189"/>
      <c r="I1139" s="189"/>
      <c r="J1139" s="189"/>
      <c r="K1139" s="189"/>
      <c r="L1139" s="189"/>
      <c r="M1139" s="189"/>
      <c r="N1139" s="189"/>
      <c r="O1139" s="189"/>
      <c r="P1139" s="291"/>
      <c r="Q1139" s="189"/>
      <c r="R1139" s="189"/>
      <c r="S1139" s="189"/>
      <c r="T1139" s="189"/>
      <c r="U1139" s="189"/>
      <c r="V1139" s="189"/>
      <c r="W1139" s="189"/>
      <c r="X1139" s="189"/>
      <c r="Y1139" s="189"/>
      <c r="Z1139" s="189"/>
      <c r="AA1139" s="189"/>
      <c r="AB1139" s="189"/>
      <c r="AC1139" s="189"/>
      <c r="AD1139" s="189"/>
      <c r="AE1139" s="189"/>
      <c r="AF1139" s="189"/>
      <c r="AG1139" s="189"/>
      <c r="AH1139" s="189"/>
      <c r="AI1139" s="189"/>
      <c r="AJ1139" s="189"/>
      <c r="AK1139" s="189"/>
      <c r="AL1139" s="189"/>
      <c r="AM1139" s="189"/>
      <c r="AN1139" s="189"/>
      <c r="AO1139" s="189"/>
      <c r="AP1139" s="189"/>
      <c r="AQ1139" s="189"/>
      <c r="AR1139" s="189"/>
      <c r="AS1139" s="189"/>
      <c r="AT1139" s="189"/>
      <c r="AU1139" s="189"/>
      <c r="AV1139" s="189"/>
      <c r="AW1139" s="189"/>
      <c r="AX1139" s="189"/>
    </row>
    <row r="1140" ht="15.75" customHeight="1">
      <c r="A1140" s="189"/>
      <c r="B1140" s="189"/>
      <c r="C1140" s="190"/>
      <c r="D1140" s="190"/>
      <c r="E1140" s="190"/>
      <c r="F1140" s="190"/>
      <c r="G1140" s="189"/>
      <c r="H1140" s="189"/>
      <c r="I1140" s="189"/>
      <c r="J1140" s="189"/>
      <c r="K1140" s="189"/>
      <c r="L1140" s="189"/>
      <c r="M1140" s="189"/>
      <c r="N1140" s="189"/>
      <c r="O1140" s="189"/>
      <c r="P1140" s="291"/>
      <c r="Q1140" s="189"/>
      <c r="R1140" s="189"/>
      <c r="S1140" s="189"/>
      <c r="T1140" s="189"/>
      <c r="U1140" s="189"/>
      <c r="V1140" s="189"/>
      <c r="W1140" s="189"/>
      <c r="X1140" s="189"/>
      <c r="Y1140" s="189"/>
      <c r="Z1140" s="189"/>
      <c r="AA1140" s="189"/>
      <c r="AB1140" s="189"/>
      <c r="AC1140" s="189"/>
      <c r="AD1140" s="189"/>
      <c r="AE1140" s="189"/>
      <c r="AF1140" s="189"/>
      <c r="AG1140" s="189"/>
      <c r="AH1140" s="189"/>
      <c r="AI1140" s="189"/>
      <c r="AJ1140" s="189"/>
      <c r="AK1140" s="189"/>
      <c r="AL1140" s="189"/>
      <c r="AM1140" s="189"/>
      <c r="AN1140" s="189"/>
      <c r="AO1140" s="189"/>
      <c r="AP1140" s="189"/>
      <c r="AQ1140" s="189"/>
      <c r="AR1140" s="189"/>
      <c r="AS1140" s="189"/>
      <c r="AT1140" s="189"/>
      <c r="AU1140" s="189"/>
      <c r="AV1140" s="189"/>
      <c r="AW1140" s="189"/>
      <c r="AX1140" s="189"/>
    </row>
    <row r="1141" ht="15.75" customHeight="1">
      <c r="A1141" s="189"/>
      <c r="B1141" s="189"/>
      <c r="C1141" s="190"/>
      <c r="D1141" s="190"/>
      <c r="E1141" s="190"/>
      <c r="F1141" s="190"/>
      <c r="G1141" s="189"/>
      <c r="H1141" s="189"/>
      <c r="I1141" s="189"/>
      <c r="J1141" s="189"/>
      <c r="K1141" s="189"/>
      <c r="L1141" s="189"/>
      <c r="M1141" s="189"/>
      <c r="N1141" s="189"/>
      <c r="O1141" s="189"/>
      <c r="P1141" s="291"/>
      <c r="Q1141" s="189"/>
      <c r="R1141" s="189"/>
      <c r="S1141" s="189"/>
      <c r="T1141" s="189"/>
      <c r="U1141" s="189"/>
      <c r="V1141" s="189"/>
      <c r="W1141" s="189"/>
      <c r="X1141" s="189"/>
      <c r="Y1141" s="189"/>
      <c r="Z1141" s="189"/>
      <c r="AA1141" s="189"/>
      <c r="AB1141" s="189"/>
      <c r="AC1141" s="189"/>
      <c r="AD1141" s="189"/>
      <c r="AE1141" s="189"/>
      <c r="AF1141" s="189"/>
      <c r="AG1141" s="189"/>
      <c r="AH1141" s="189"/>
      <c r="AI1141" s="189"/>
      <c r="AJ1141" s="189"/>
      <c r="AK1141" s="189"/>
      <c r="AL1141" s="189"/>
      <c r="AM1141" s="189"/>
      <c r="AN1141" s="189"/>
      <c r="AO1141" s="189"/>
      <c r="AP1141" s="189"/>
      <c r="AQ1141" s="189"/>
      <c r="AR1141" s="189"/>
      <c r="AS1141" s="189"/>
      <c r="AT1141" s="189"/>
      <c r="AU1141" s="189"/>
      <c r="AV1141" s="189"/>
      <c r="AW1141" s="189"/>
      <c r="AX1141" s="189"/>
    </row>
    <row r="1142" ht="15.75" customHeight="1">
      <c r="A1142" s="189"/>
      <c r="B1142" s="189"/>
      <c r="C1142" s="190"/>
      <c r="D1142" s="190"/>
      <c r="E1142" s="190"/>
      <c r="F1142" s="190"/>
      <c r="G1142" s="189"/>
      <c r="H1142" s="189"/>
      <c r="I1142" s="189"/>
      <c r="J1142" s="189"/>
      <c r="K1142" s="189"/>
      <c r="L1142" s="189"/>
      <c r="M1142" s="189"/>
      <c r="N1142" s="189"/>
      <c r="O1142" s="189"/>
      <c r="P1142" s="291"/>
      <c r="Q1142" s="189"/>
      <c r="R1142" s="189"/>
      <c r="S1142" s="189"/>
      <c r="T1142" s="189"/>
      <c r="U1142" s="189"/>
      <c r="V1142" s="189"/>
      <c r="W1142" s="189"/>
      <c r="X1142" s="189"/>
      <c r="Y1142" s="189"/>
      <c r="Z1142" s="189"/>
      <c r="AA1142" s="189"/>
      <c r="AB1142" s="189"/>
      <c r="AC1142" s="189"/>
      <c r="AD1142" s="189"/>
      <c r="AE1142" s="189"/>
      <c r="AF1142" s="189"/>
      <c r="AG1142" s="189"/>
      <c r="AH1142" s="189"/>
      <c r="AI1142" s="189"/>
      <c r="AJ1142" s="189"/>
      <c r="AK1142" s="189"/>
      <c r="AL1142" s="189"/>
      <c r="AM1142" s="189"/>
      <c r="AN1142" s="189"/>
      <c r="AO1142" s="189"/>
      <c r="AP1142" s="189"/>
      <c r="AQ1142" s="189"/>
      <c r="AR1142" s="189"/>
      <c r="AS1142" s="189"/>
      <c r="AT1142" s="189"/>
      <c r="AU1142" s="189"/>
      <c r="AV1142" s="189"/>
      <c r="AW1142" s="189"/>
      <c r="AX1142" s="189"/>
    </row>
    <row r="1143" ht="15.75" customHeight="1">
      <c r="A1143" s="189"/>
      <c r="B1143" s="189"/>
      <c r="C1143" s="190"/>
      <c r="D1143" s="190"/>
      <c r="E1143" s="190"/>
      <c r="F1143" s="190"/>
      <c r="G1143" s="189"/>
      <c r="H1143" s="189"/>
      <c r="I1143" s="189"/>
      <c r="J1143" s="189"/>
      <c r="K1143" s="189"/>
      <c r="L1143" s="189"/>
      <c r="M1143" s="189"/>
      <c r="N1143" s="189"/>
      <c r="O1143" s="189"/>
      <c r="P1143" s="291"/>
      <c r="Q1143" s="189"/>
      <c r="R1143" s="189"/>
      <c r="S1143" s="189"/>
      <c r="T1143" s="189"/>
      <c r="U1143" s="189"/>
      <c r="V1143" s="189"/>
      <c r="W1143" s="189"/>
      <c r="X1143" s="189"/>
      <c r="Y1143" s="189"/>
      <c r="Z1143" s="189"/>
      <c r="AA1143" s="189"/>
      <c r="AB1143" s="189"/>
      <c r="AC1143" s="189"/>
      <c r="AD1143" s="189"/>
      <c r="AE1143" s="189"/>
      <c r="AF1143" s="189"/>
      <c r="AG1143" s="189"/>
      <c r="AH1143" s="189"/>
      <c r="AI1143" s="189"/>
      <c r="AJ1143" s="189"/>
      <c r="AK1143" s="189"/>
      <c r="AL1143" s="189"/>
      <c r="AM1143" s="189"/>
      <c r="AN1143" s="189"/>
      <c r="AO1143" s="189"/>
      <c r="AP1143" s="189"/>
      <c r="AQ1143" s="189"/>
      <c r="AR1143" s="189"/>
      <c r="AS1143" s="189"/>
      <c r="AT1143" s="189"/>
      <c r="AU1143" s="189"/>
      <c r="AV1143" s="189"/>
      <c r="AW1143" s="189"/>
      <c r="AX1143" s="189"/>
    </row>
    <row r="1144" ht="15.75" customHeight="1">
      <c r="A1144" s="189"/>
      <c r="B1144" s="189"/>
      <c r="C1144" s="190"/>
      <c r="D1144" s="190"/>
      <c r="E1144" s="190"/>
      <c r="F1144" s="190"/>
      <c r="G1144" s="189"/>
      <c r="H1144" s="189"/>
      <c r="I1144" s="189"/>
      <c r="J1144" s="189"/>
      <c r="K1144" s="189"/>
      <c r="L1144" s="189"/>
      <c r="M1144" s="189"/>
      <c r="N1144" s="189"/>
      <c r="O1144" s="189"/>
      <c r="P1144" s="291"/>
      <c r="Q1144" s="189"/>
      <c r="R1144" s="189"/>
      <c r="S1144" s="189"/>
      <c r="T1144" s="189"/>
      <c r="U1144" s="189"/>
      <c r="V1144" s="189"/>
      <c r="W1144" s="189"/>
      <c r="X1144" s="189"/>
      <c r="Y1144" s="189"/>
      <c r="Z1144" s="189"/>
      <c r="AA1144" s="189"/>
      <c r="AB1144" s="189"/>
      <c r="AC1144" s="189"/>
      <c r="AD1144" s="189"/>
      <c r="AE1144" s="189"/>
      <c r="AF1144" s="189"/>
      <c r="AG1144" s="189"/>
      <c r="AH1144" s="189"/>
      <c r="AI1144" s="189"/>
      <c r="AJ1144" s="189"/>
      <c r="AK1144" s="189"/>
      <c r="AL1144" s="189"/>
      <c r="AM1144" s="189"/>
      <c r="AN1144" s="189"/>
      <c r="AO1144" s="189"/>
      <c r="AP1144" s="189"/>
      <c r="AQ1144" s="189"/>
      <c r="AR1144" s="189"/>
      <c r="AS1144" s="189"/>
      <c r="AT1144" s="189"/>
      <c r="AU1144" s="189"/>
      <c r="AV1144" s="189"/>
      <c r="AW1144" s="189"/>
      <c r="AX1144" s="189"/>
    </row>
    <row r="1145" ht="15.75" customHeight="1">
      <c r="A1145" s="189"/>
      <c r="B1145" s="189"/>
      <c r="C1145" s="190"/>
      <c r="D1145" s="190"/>
      <c r="E1145" s="190"/>
      <c r="F1145" s="190"/>
      <c r="G1145" s="189"/>
      <c r="H1145" s="189"/>
      <c r="I1145" s="189"/>
      <c r="J1145" s="189"/>
      <c r="K1145" s="189"/>
      <c r="L1145" s="189"/>
      <c r="M1145" s="189"/>
      <c r="N1145" s="189"/>
      <c r="O1145" s="189"/>
      <c r="P1145" s="291"/>
      <c r="Q1145" s="189"/>
      <c r="R1145" s="189"/>
      <c r="S1145" s="189"/>
      <c r="T1145" s="189"/>
      <c r="U1145" s="189"/>
      <c r="V1145" s="189"/>
      <c r="W1145" s="189"/>
      <c r="X1145" s="189"/>
      <c r="Y1145" s="189"/>
      <c r="Z1145" s="189"/>
      <c r="AA1145" s="189"/>
      <c r="AB1145" s="189"/>
      <c r="AC1145" s="189"/>
      <c r="AD1145" s="189"/>
      <c r="AE1145" s="189"/>
      <c r="AF1145" s="189"/>
      <c r="AG1145" s="189"/>
      <c r="AH1145" s="189"/>
      <c r="AI1145" s="189"/>
      <c r="AJ1145" s="189"/>
      <c r="AK1145" s="189"/>
      <c r="AL1145" s="189"/>
      <c r="AM1145" s="189"/>
      <c r="AN1145" s="189"/>
      <c r="AO1145" s="189"/>
      <c r="AP1145" s="189"/>
      <c r="AQ1145" s="189"/>
      <c r="AR1145" s="189"/>
      <c r="AS1145" s="189"/>
      <c r="AT1145" s="189"/>
      <c r="AU1145" s="189"/>
      <c r="AV1145" s="189"/>
      <c r="AW1145" s="189"/>
      <c r="AX1145" s="189"/>
    </row>
    <row r="1146" ht="15.75" customHeight="1">
      <c r="A1146" s="189"/>
      <c r="B1146" s="189"/>
      <c r="C1146" s="190"/>
      <c r="D1146" s="190"/>
      <c r="E1146" s="190"/>
      <c r="F1146" s="190"/>
      <c r="G1146" s="189"/>
      <c r="H1146" s="189"/>
      <c r="I1146" s="189"/>
      <c r="J1146" s="189"/>
      <c r="K1146" s="189"/>
      <c r="L1146" s="189"/>
      <c r="M1146" s="189"/>
      <c r="N1146" s="189"/>
      <c r="O1146" s="189"/>
      <c r="P1146" s="291"/>
      <c r="Q1146" s="189"/>
      <c r="R1146" s="189"/>
      <c r="S1146" s="189"/>
      <c r="T1146" s="189"/>
      <c r="U1146" s="189"/>
      <c r="V1146" s="189"/>
      <c r="W1146" s="189"/>
      <c r="X1146" s="189"/>
      <c r="Y1146" s="189"/>
      <c r="Z1146" s="189"/>
      <c r="AA1146" s="189"/>
      <c r="AB1146" s="189"/>
      <c r="AC1146" s="189"/>
      <c r="AD1146" s="189"/>
      <c r="AE1146" s="189"/>
      <c r="AF1146" s="189"/>
      <c r="AG1146" s="189"/>
      <c r="AH1146" s="189"/>
      <c r="AI1146" s="189"/>
      <c r="AJ1146" s="189"/>
      <c r="AK1146" s="189"/>
      <c r="AL1146" s="189"/>
      <c r="AM1146" s="189"/>
      <c r="AN1146" s="189"/>
      <c r="AO1146" s="189"/>
      <c r="AP1146" s="189"/>
      <c r="AQ1146" s="189"/>
      <c r="AR1146" s="189"/>
      <c r="AS1146" s="189"/>
      <c r="AT1146" s="189"/>
      <c r="AU1146" s="189"/>
      <c r="AV1146" s="189"/>
      <c r="AW1146" s="189"/>
      <c r="AX1146" s="189"/>
    </row>
    <row r="1147" ht="15.75" customHeight="1">
      <c r="A1147" s="189"/>
      <c r="B1147" s="189"/>
      <c r="C1147" s="190"/>
      <c r="D1147" s="190"/>
      <c r="E1147" s="190"/>
      <c r="F1147" s="190"/>
      <c r="G1147" s="189"/>
      <c r="H1147" s="189"/>
      <c r="I1147" s="189"/>
      <c r="J1147" s="189"/>
      <c r="K1147" s="189"/>
      <c r="L1147" s="189"/>
      <c r="M1147" s="189"/>
      <c r="N1147" s="189"/>
      <c r="O1147" s="189"/>
      <c r="P1147" s="291"/>
      <c r="Q1147" s="189"/>
      <c r="R1147" s="189"/>
      <c r="S1147" s="189"/>
      <c r="T1147" s="189"/>
      <c r="U1147" s="189"/>
      <c r="V1147" s="189"/>
      <c r="W1147" s="189"/>
      <c r="X1147" s="189"/>
      <c r="Y1147" s="189"/>
      <c r="Z1147" s="189"/>
      <c r="AA1147" s="189"/>
      <c r="AB1147" s="189"/>
      <c r="AC1147" s="189"/>
      <c r="AD1147" s="189"/>
      <c r="AE1147" s="189"/>
      <c r="AF1147" s="189"/>
      <c r="AG1147" s="189"/>
      <c r="AH1147" s="189"/>
      <c r="AI1147" s="189"/>
      <c r="AJ1147" s="189"/>
      <c r="AK1147" s="189"/>
      <c r="AL1147" s="189"/>
      <c r="AM1147" s="189"/>
      <c r="AN1147" s="189"/>
      <c r="AO1147" s="189"/>
      <c r="AP1147" s="189"/>
      <c r="AQ1147" s="189"/>
      <c r="AR1147" s="189"/>
      <c r="AS1147" s="189"/>
      <c r="AT1147" s="189"/>
      <c r="AU1147" s="189"/>
      <c r="AV1147" s="189"/>
      <c r="AW1147" s="189"/>
      <c r="AX1147" s="189"/>
    </row>
    <row r="1148" ht="15.75" customHeight="1">
      <c r="A1148" s="189"/>
      <c r="B1148" s="189"/>
      <c r="C1148" s="190"/>
      <c r="D1148" s="190"/>
      <c r="E1148" s="190"/>
      <c r="F1148" s="190"/>
      <c r="G1148" s="189"/>
      <c r="H1148" s="189"/>
      <c r="I1148" s="189"/>
      <c r="J1148" s="189"/>
      <c r="K1148" s="189"/>
      <c r="L1148" s="189"/>
      <c r="M1148" s="189"/>
      <c r="N1148" s="189"/>
      <c r="O1148" s="189"/>
      <c r="P1148" s="291"/>
      <c r="Q1148" s="189"/>
      <c r="R1148" s="189"/>
      <c r="S1148" s="189"/>
      <c r="T1148" s="189"/>
      <c r="U1148" s="189"/>
      <c r="V1148" s="189"/>
      <c r="W1148" s="189"/>
      <c r="X1148" s="189"/>
      <c r="Y1148" s="189"/>
      <c r="Z1148" s="189"/>
      <c r="AA1148" s="189"/>
      <c r="AB1148" s="189"/>
      <c r="AC1148" s="189"/>
      <c r="AD1148" s="189"/>
      <c r="AE1148" s="189"/>
      <c r="AF1148" s="189"/>
      <c r="AG1148" s="189"/>
      <c r="AH1148" s="189"/>
      <c r="AI1148" s="189"/>
      <c r="AJ1148" s="189"/>
      <c r="AK1148" s="189"/>
      <c r="AL1148" s="189"/>
      <c r="AM1148" s="189"/>
      <c r="AN1148" s="189"/>
      <c r="AO1148" s="189"/>
      <c r="AP1148" s="189"/>
      <c r="AQ1148" s="189"/>
      <c r="AR1148" s="189"/>
      <c r="AS1148" s="189"/>
      <c r="AT1148" s="189"/>
      <c r="AU1148" s="189"/>
      <c r="AV1148" s="189"/>
      <c r="AW1148" s="189"/>
      <c r="AX1148" s="189"/>
    </row>
    <row r="1149" ht="15.75" customHeight="1">
      <c r="A1149" s="189"/>
      <c r="B1149" s="189"/>
      <c r="C1149" s="190"/>
      <c r="D1149" s="190"/>
      <c r="E1149" s="190"/>
      <c r="F1149" s="190"/>
      <c r="G1149" s="189"/>
      <c r="H1149" s="189"/>
      <c r="I1149" s="189"/>
      <c r="J1149" s="189"/>
      <c r="K1149" s="189"/>
      <c r="L1149" s="189"/>
      <c r="M1149" s="189"/>
      <c r="N1149" s="189"/>
      <c r="O1149" s="189"/>
      <c r="P1149" s="291"/>
      <c r="Q1149" s="189"/>
      <c r="R1149" s="189"/>
      <c r="S1149" s="189"/>
      <c r="T1149" s="189"/>
      <c r="U1149" s="189"/>
      <c r="V1149" s="189"/>
      <c r="W1149" s="189"/>
      <c r="X1149" s="189"/>
      <c r="Y1149" s="189"/>
      <c r="Z1149" s="189"/>
      <c r="AA1149" s="189"/>
      <c r="AB1149" s="189"/>
      <c r="AC1149" s="189"/>
      <c r="AD1149" s="189"/>
      <c r="AE1149" s="189"/>
      <c r="AF1149" s="189"/>
      <c r="AG1149" s="189"/>
      <c r="AH1149" s="189"/>
      <c r="AI1149" s="189"/>
      <c r="AJ1149" s="189"/>
      <c r="AK1149" s="189"/>
      <c r="AL1149" s="189"/>
      <c r="AM1149" s="189"/>
      <c r="AN1149" s="189"/>
      <c r="AO1149" s="189"/>
      <c r="AP1149" s="189"/>
      <c r="AQ1149" s="189"/>
      <c r="AR1149" s="189"/>
      <c r="AS1149" s="189"/>
      <c r="AT1149" s="189"/>
      <c r="AU1149" s="189"/>
      <c r="AV1149" s="189"/>
      <c r="AW1149" s="189"/>
      <c r="AX1149" s="189"/>
    </row>
    <row r="1150" ht="15.75" customHeight="1">
      <c r="A1150" s="189"/>
      <c r="B1150" s="189"/>
      <c r="C1150" s="190"/>
      <c r="D1150" s="190"/>
      <c r="E1150" s="190"/>
      <c r="F1150" s="190"/>
      <c r="G1150" s="189"/>
      <c r="H1150" s="189"/>
      <c r="I1150" s="189"/>
      <c r="J1150" s="189"/>
      <c r="K1150" s="189"/>
      <c r="L1150" s="189"/>
      <c r="M1150" s="189"/>
      <c r="N1150" s="189"/>
      <c r="O1150" s="189"/>
      <c r="P1150" s="291"/>
      <c r="Q1150" s="189"/>
      <c r="R1150" s="189"/>
      <c r="S1150" s="189"/>
      <c r="T1150" s="189"/>
      <c r="U1150" s="189"/>
      <c r="V1150" s="189"/>
      <c r="W1150" s="189"/>
      <c r="X1150" s="189"/>
      <c r="Y1150" s="189"/>
      <c r="Z1150" s="189"/>
      <c r="AA1150" s="189"/>
      <c r="AB1150" s="189"/>
      <c r="AC1150" s="189"/>
      <c r="AD1150" s="189"/>
      <c r="AE1150" s="189"/>
      <c r="AF1150" s="189"/>
      <c r="AG1150" s="189"/>
      <c r="AH1150" s="189"/>
      <c r="AI1150" s="189"/>
      <c r="AJ1150" s="189"/>
      <c r="AK1150" s="189"/>
      <c r="AL1150" s="189"/>
      <c r="AM1150" s="189"/>
      <c r="AN1150" s="189"/>
      <c r="AO1150" s="189"/>
      <c r="AP1150" s="189"/>
      <c r="AQ1150" s="189"/>
      <c r="AR1150" s="189"/>
      <c r="AS1150" s="189"/>
      <c r="AT1150" s="189"/>
      <c r="AU1150" s="189"/>
      <c r="AV1150" s="189"/>
      <c r="AW1150" s="189"/>
      <c r="AX1150" s="189"/>
    </row>
    <row r="1151" ht="15.75" customHeight="1">
      <c r="A1151" s="189"/>
      <c r="B1151" s="189"/>
      <c r="C1151" s="190"/>
      <c r="D1151" s="190"/>
      <c r="E1151" s="190"/>
      <c r="F1151" s="190"/>
      <c r="G1151" s="189"/>
      <c r="H1151" s="189"/>
      <c r="I1151" s="189"/>
      <c r="J1151" s="189"/>
      <c r="K1151" s="189"/>
      <c r="L1151" s="189"/>
      <c r="M1151" s="189"/>
      <c r="N1151" s="189"/>
      <c r="O1151" s="189"/>
      <c r="P1151" s="291"/>
      <c r="Q1151" s="189"/>
      <c r="R1151" s="189"/>
      <c r="S1151" s="189"/>
      <c r="T1151" s="189"/>
      <c r="U1151" s="189"/>
      <c r="V1151" s="189"/>
      <c r="W1151" s="189"/>
      <c r="X1151" s="189"/>
      <c r="Y1151" s="189"/>
      <c r="Z1151" s="189"/>
      <c r="AA1151" s="189"/>
      <c r="AB1151" s="189"/>
      <c r="AC1151" s="189"/>
      <c r="AD1151" s="189"/>
      <c r="AE1151" s="189"/>
      <c r="AF1151" s="189"/>
      <c r="AG1151" s="189"/>
      <c r="AH1151" s="189"/>
      <c r="AI1151" s="189"/>
      <c r="AJ1151" s="189"/>
      <c r="AK1151" s="189"/>
      <c r="AL1151" s="189"/>
      <c r="AM1151" s="189"/>
      <c r="AN1151" s="189"/>
      <c r="AO1151" s="189"/>
      <c r="AP1151" s="189"/>
      <c r="AQ1151" s="189"/>
      <c r="AR1151" s="189"/>
      <c r="AS1151" s="189"/>
      <c r="AT1151" s="189"/>
      <c r="AU1151" s="189"/>
      <c r="AV1151" s="189"/>
      <c r="AW1151" s="189"/>
      <c r="AX1151" s="189"/>
    </row>
    <row r="1152" ht="15.75" customHeight="1">
      <c r="A1152" s="189"/>
      <c r="B1152" s="189"/>
      <c r="C1152" s="190"/>
      <c r="D1152" s="190"/>
      <c r="E1152" s="190"/>
      <c r="F1152" s="190"/>
      <c r="G1152" s="189"/>
      <c r="H1152" s="189"/>
      <c r="I1152" s="189"/>
      <c r="J1152" s="189"/>
      <c r="K1152" s="189"/>
      <c r="L1152" s="189"/>
      <c r="M1152" s="189"/>
      <c r="N1152" s="189"/>
      <c r="O1152" s="189"/>
      <c r="P1152" s="291"/>
      <c r="Q1152" s="189"/>
      <c r="R1152" s="189"/>
      <c r="S1152" s="189"/>
      <c r="T1152" s="189"/>
      <c r="U1152" s="189"/>
      <c r="V1152" s="189"/>
      <c r="W1152" s="189"/>
      <c r="X1152" s="189"/>
      <c r="Y1152" s="189"/>
      <c r="Z1152" s="189"/>
      <c r="AA1152" s="189"/>
      <c r="AB1152" s="189"/>
      <c r="AC1152" s="189"/>
      <c r="AD1152" s="189"/>
      <c r="AE1152" s="189"/>
      <c r="AF1152" s="189"/>
      <c r="AG1152" s="189"/>
      <c r="AH1152" s="189"/>
      <c r="AI1152" s="189"/>
      <c r="AJ1152" s="189"/>
      <c r="AK1152" s="189"/>
      <c r="AL1152" s="189"/>
      <c r="AM1152" s="189"/>
      <c r="AN1152" s="189"/>
      <c r="AO1152" s="189"/>
      <c r="AP1152" s="189"/>
      <c r="AQ1152" s="189"/>
      <c r="AR1152" s="189"/>
      <c r="AS1152" s="189"/>
      <c r="AT1152" s="189"/>
      <c r="AU1152" s="189"/>
      <c r="AV1152" s="189"/>
      <c r="AW1152" s="189"/>
      <c r="AX1152" s="189"/>
    </row>
    <row r="1153" ht="15.75" customHeight="1">
      <c r="A1153" s="189"/>
      <c r="B1153" s="189"/>
      <c r="C1153" s="190"/>
      <c r="D1153" s="190"/>
      <c r="E1153" s="190"/>
      <c r="F1153" s="190"/>
      <c r="G1153" s="189"/>
      <c r="H1153" s="189"/>
      <c r="I1153" s="189"/>
      <c r="J1153" s="189"/>
      <c r="K1153" s="189"/>
      <c r="L1153" s="189"/>
      <c r="M1153" s="189"/>
      <c r="N1153" s="189"/>
      <c r="O1153" s="189"/>
      <c r="P1153" s="291"/>
      <c r="Q1153" s="189"/>
      <c r="R1153" s="189"/>
      <c r="S1153" s="189"/>
      <c r="T1153" s="189"/>
      <c r="U1153" s="189"/>
      <c r="V1153" s="189"/>
      <c r="W1153" s="189"/>
      <c r="X1153" s="189"/>
      <c r="Y1153" s="189"/>
      <c r="Z1153" s="189"/>
      <c r="AA1153" s="189"/>
      <c r="AB1153" s="189"/>
      <c r="AC1153" s="189"/>
      <c r="AD1153" s="189"/>
      <c r="AE1153" s="189"/>
      <c r="AF1153" s="189"/>
      <c r="AG1153" s="189"/>
      <c r="AH1153" s="189"/>
      <c r="AI1153" s="189"/>
      <c r="AJ1153" s="189"/>
      <c r="AK1153" s="189"/>
      <c r="AL1153" s="189"/>
      <c r="AM1153" s="189"/>
      <c r="AN1153" s="189"/>
      <c r="AO1153" s="189"/>
      <c r="AP1153" s="189"/>
      <c r="AQ1153" s="189"/>
      <c r="AR1153" s="189"/>
      <c r="AS1153" s="189"/>
      <c r="AT1153" s="189"/>
      <c r="AU1153" s="189"/>
      <c r="AV1153" s="189"/>
      <c r="AW1153" s="189"/>
      <c r="AX1153" s="189"/>
    </row>
    <row r="1154" ht="15.75" customHeight="1">
      <c r="A1154" s="189"/>
      <c r="B1154" s="189"/>
      <c r="C1154" s="190"/>
      <c r="D1154" s="190"/>
      <c r="E1154" s="190"/>
      <c r="F1154" s="190"/>
      <c r="G1154" s="189"/>
      <c r="H1154" s="189"/>
      <c r="I1154" s="189"/>
      <c r="J1154" s="189"/>
      <c r="K1154" s="189"/>
      <c r="L1154" s="189"/>
      <c r="M1154" s="189"/>
      <c r="N1154" s="189"/>
      <c r="O1154" s="189"/>
      <c r="P1154" s="291"/>
      <c r="Q1154" s="189"/>
      <c r="R1154" s="189"/>
      <c r="S1154" s="189"/>
      <c r="T1154" s="189"/>
      <c r="U1154" s="189"/>
      <c r="V1154" s="189"/>
      <c r="W1154" s="189"/>
      <c r="X1154" s="189"/>
      <c r="Y1154" s="189"/>
      <c r="Z1154" s="189"/>
      <c r="AA1154" s="189"/>
      <c r="AB1154" s="189"/>
      <c r="AC1154" s="189"/>
      <c r="AD1154" s="189"/>
      <c r="AE1154" s="189"/>
      <c r="AF1154" s="189"/>
      <c r="AG1154" s="189"/>
      <c r="AH1154" s="189"/>
      <c r="AI1154" s="189"/>
      <c r="AJ1154" s="189"/>
      <c r="AK1154" s="189"/>
      <c r="AL1154" s="189"/>
      <c r="AM1154" s="189"/>
      <c r="AN1154" s="189"/>
      <c r="AO1154" s="189"/>
      <c r="AP1154" s="189"/>
      <c r="AQ1154" s="189"/>
      <c r="AR1154" s="189"/>
      <c r="AS1154" s="189"/>
      <c r="AT1154" s="189"/>
      <c r="AU1154" s="189"/>
      <c r="AV1154" s="189"/>
      <c r="AW1154" s="189"/>
      <c r="AX1154" s="189"/>
    </row>
    <row r="1155" ht="15.75" customHeight="1">
      <c r="A1155" s="189"/>
      <c r="B1155" s="189"/>
      <c r="C1155" s="190"/>
      <c r="D1155" s="190"/>
      <c r="E1155" s="190"/>
      <c r="F1155" s="190"/>
      <c r="G1155" s="189"/>
      <c r="H1155" s="189"/>
      <c r="I1155" s="189"/>
      <c r="J1155" s="189"/>
      <c r="K1155" s="189"/>
      <c r="L1155" s="189"/>
      <c r="M1155" s="189"/>
      <c r="N1155" s="189"/>
      <c r="O1155" s="189"/>
      <c r="P1155" s="291"/>
      <c r="Q1155" s="189"/>
      <c r="R1155" s="189"/>
      <c r="S1155" s="189"/>
      <c r="T1155" s="189"/>
      <c r="U1155" s="189"/>
      <c r="V1155" s="189"/>
      <c r="W1155" s="189"/>
      <c r="X1155" s="189"/>
      <c r="Y1155" s="189"/>
      <c r="Z1155" s="189"/>
      <c r="AA1155" s="189"/>
      <c r="AB1155" s="189"/>
      <c r="AC1155" s="189"/>
      <c r="AD1155" s="189"/>
      <c r="AE1155" s="189"/>
      <c r="AF1155" s="189"/>
      <c r="AG1155" s="189"/>
      <c r="AH1155" s="189"/>
      <c r="AI1155" s="189"/>
      <c r="AJ1155" s="189"/>
      <c r="AK1155" s="189"/>
      <c r="AL1155" s="189"/>
      <c r="AM1155" s="189"/>
      <c r="AN1155" s="189"/>
      <c r="AO1155" s="189"/>
      <c r="AP1155" s="189"/>
      <c r="AQ1155" s="189"/>
      <c r="AR1155" s="189"/>
      <c r="AS1155" s="189"/>
      <c r="AT1155" s="189"/>
      <c r="AU1155" s="189"/>
      <c r="AV1155" s="189"/>
      <c r="AW1155" s="189"/>
      <c r="AX1155" s="189"/>
    </row>
    <row r="1156" ht="15.75" customHeight="1">
      <c r="A1156" s="189"/>
      <c r="B1156" s="189"/>
      <c r="C1156" s="190"/>
      <c r="D1156" s="190"/>
      <c r="E1156" s="190"/>
      <c r="F1156" s="190"/>
      <c r="G1156" s="189"/>
      <c r="H1156" s="189"/>
      <c r="I1156" s="189"/>
      <c r="J1156" s="189"/>
      <c r="K1156" s="189"/>
      <c r="L1156" s="189"/>
      <c r="M1156" s="189"/>
      <c r="N1156" s="189"/>
      <c r="O1156" s="189"/>
      <c r="P1156" s="291"/>
      <c r="Q1156" s="189"/>
      <c r="R1156" s="189"/>
      <c r="S1156" s="189"/>
      <c r="T1156" s="189"/>
      <c r="U1156" s="189"/>
      <c r="V1156" s="189"/>
      <c r="W1156" s="189"/>
      <c r="X1156" s="189"/>
      <c r="Y1156" s="189"/>
      <c r="Z1156" s="189"/>
      <c r="AA1156" s="189"/>
      <c r="AB1156" s="189"/>
      <c r="AC1156" s="189"/>
      <c r="AD1156" s="189"/>
      <c r="AE1156" s="189"/>
      <c r="AF1156" s="189"/>
      <c r="AG1156" s="189"/>
      <c r="AH1156" s="189"/>
      <c r="AI1156" s="189"/>
      <c r="AJ1156" s="189"/>
      <c r="AK1156" s="189"/>
      <c r="AL1156" s="189"/>
      <c r="AM1156" s="189"/>
      <c r="AN1156" s="189"/>
      <c r="AO1156" s="189"/>
      <c r="AP1156" s="189"/>
      <c r="AQ1156" s="189"/>
      <c r="AR1156" s="189"/>
      <c r="AS1156" s="189"/>
      <c r="AT1156" s="189"/>
      <c r="AU1156" s="189"/>
      <c r="AV1156" s="189"/>
      <c r="AW1156" s="189"/>
      <c r="AX1156" s="189"/>
    </row>
    <row r="1157" ht="15.75" customHeight="1">
      <c r="A1157" s="189"/>
      <c r="B1157" s="189"/>
      <c r="C1157" s="190"/>
      <c r="D1157" s="190"/>
      <c r="E1157" s="190"/>
      <c r="F1157" s="190"/>
      <c r="G1157" s="189"/>
      <c r="H1157" s="189"/>
      <c r="I1157" s="189"/>
      <c r="J1157" s="189"/>
      <c r="K1157" s="189"/>
      <c r="L1157" s="189"/>
      <c r="M1157" s="189"/>
      <c r="N1157" s="189"/>
      <c r="O1157" s="189"/>
      <c r="P1157" s="291"/>
      <c r="Q1157" s="189"/>
      <c r="R1157" s="189"/>
      <c r="S1157" s="189"/>
      <c r="T1157" s="189"/>
      <c r="U1157" s="189"/>
      <c r="V1157" s="189"/>
      <c r="W1157" s="189"/>
      <c r="X1157" s="189"/>
      <c r="Y1157" s="189"/>
      <c r="Z1157" s="189"/>
      <c r="AA1157" s="189"/>
      <c r="AB1157" s="189"/>
      <c r="AC1157" s="189"/>
      <c r="AD1157" s="189"/>
      <c r="AE1157" s="189"/>
      <c r="AF1157" s="189"/>
      <c r="AG1157" s="189"/>
      <c r="AH1157" s="189"/>
      <c r="AI1157" s="189"/>
      <c r="AJ1157" s="189"/>
      <c r="AK1157" s="189"/>
      <c r="AL1157" s="189"/>
      <c r="AM1157" s="189"/>
      <c r="AN1157" s="189"/>
      <c r="AO1157" s="189"/>
      <c r="AP1157" s="189"/>
      <c r="AQ1157" s="189"/>
      <c r="AR1157" s="189"/>
      <c r="AS1157" s="189"/>
      <c r="AT1157" s="189"/>
      <c r="AU1157" s="189"/>
      <c r="AV1157" s="189"/>
      <c r="AW1157" s="189"/>
      <c r="AX1157" s="189"/>
    </row>
    <row r="1158" ht="15.75" customHeight="1">
      <c r="A1158" s="189"/>
      <c r="B1158" s="189"/>
      <c r="C1158" s="190"/>
      <c r="D1158" s="190"/>
      <c r="E1158" s="190"/>
      <c r="F1158" s="190"/>
      <c r="G1158" s="189"/>
      <c r="H1158" s="189"/>
      <c r="I1158" s="189"/>
      <c r="J1158" s="189"/>
      <c r="K1158" s="189"/>
      <c r="L1158" s="189"/>
      <c r="M1158" s="189"/>
      <c r="N1158" s="189"/>
      <c r="O1158" s="189"/>
      <c r="P1158" s="291"/>
      <c r="Q1158" s="189"/>
      <c r="R1158" s="189"/>
      <c r="S1158" s="189"/>
      <c r="T1158" s="189"/>
      <c r="U1158" s="189"/>
      <c r="V1158" s="189"/>
      <c r="W1158" s="189"/>
      <c r="X1158" s="189"/>
      <c r="Y1158" s="189"/>
      <c r="Z1158" s="189"/>
      <c r="AA1158" s="189"/>
      <c r="AB1158" s="189"/>
      <c r="AC1158" s="189"/>
      <c r="AD1158" s="189"/>
      <c r="AE1158" s="189"/>
      <c r="AF1158" s="189"/>
      <c r="AG1158" s="189"/>
      <c r="AH1158" s="189"/>
      <c r="AI1158" s="189"/>
      <c r="AJ1158" s="189"/>
      <c r="AK1158" s="189"/>
      <c r="AL1158" s="189"/>
      <c r="AM1158" s="189"/>
      <c r="AN1158" s="189"/>
      <c r="AO1158" s="189"/>
      <c r="AP1158" s="189"/>
      <c r="AQ1158" s="189"/>
      <c r="AR1158" s="189"/>
      <c r="AS1158" s="189"/>
      <c r="AT1158" s="189"/>
      <c r="AU1158" s="189"/>
      <c r="AV1158" s="189"/>
      <c r="AW1158" s="189"/>
      <c r="AX1158" s="189"/>
    </row>
    <row r="1159" ht="15.75" customHeight="1">
      <c r="A1159" s="189"/>
      <c r="B1159" s="189"/>
      <c r="C1159" s="190"/>
      <c r="D1159" s="190"/>
      <c r="E1159" s="190"/>
      <c r="F1159" s="190"/>
      <c r="G1159" s="189"/>
      <c r="H1159" s="189"/>
      <c r="I1159" s="189"/>
      <c r="J1159" s="189"/>
      <c r="K1159" s="189"/>
      <c r="L1159" s="189"/>
      <c r="M1159" s="189"/>
      <c r="N1159" s="189"/>
      <c r="O1159" s="189"/>
      <c r="P1159" s="291"/>
      <c r="Q1159" s="189"/>
      <c r="R1159" s="189"/>
      <c r="S1159" s="189"/>
      <c r="T1159" s="189"/>
      <c r="U1159" s="189"/>
      <c r="V1159" s="189"/>
      <c r="W1159" s="189"/>
      <c r="X1159" s="189"/>
      <c r="Y1159" s="189"/>
      <c r="Z1159" s="189"/>
      <c r="AA1159" s="189"/>
      <c r="AB1159" s="189"/>
      <c r="AC1159" s="189"/>
      <c r="AD1159" s="189"/>
      <c r="AE1159" s="189"/>
      <c r="AF1159" s="189"/>
      <c r="AG1159" s="189"/>
      <c r="AH1159" s="189"/>
      <c r="AI1159" s="189"/>
      <c r="AJ1159" s="189"/>
      <c r="AK1159" s="189"/>
      <c r="AL1159" s="189"/>
      <c r="AM1159" s="189"/>
      <c r="AN1159" s="189"/>
      <c r="AO1159" s="189"/>
      <c r="AP1159" s="189"/>
      <c r="AQ1159" s="189"/>
      <c r="AR1159" s="189"/>
      <c r="AS1159" s="189"/>
      <c r="AT1159" s="189"/>
      <c r="AU1159" s="189"/>
      <c r="AV1159" s="189"/>
      <c r="AW1159" s="189"/>
      <c r="AX1159" s="189"/>
    </row>
    <row r="1160" ht="15.75" customHeight="1">
      <c r="A1160" s="189"/>
      <c r="B1160" s="189"/>
      <c r="C1160" s="190"/>
      <c r="D1160" s="190"/>
      <c r="E1160" s="190"/>
      <c r="F1160" s="190"/>
      <c r="G1160" s="189"/>
      <c r="H1160" s="189"/>
      <c r="I1160" s="189"/>
      <c r="J1160" s="189"/>
      <c r="K1160" s="189"/>
      <c r="L1160" s="189"/>
      <c r="M1160" s="189"/>
      <c r="N1160" s="189"/>
      <c r="O1160" s="189"/>
      <c r="P1160" s="291"/>
      <c r="Q1160" s="189"/>
      <c r="R1160" s="189"/>
      <c r="S1160" s="189"/>
      <c r="T1160" s="189"/>
      <c r="U1160" s="189"/>
      <c r="V1160" s="189"/>
      <c r="W1160" s="189"/>
      <c r="X1160" s="189"/>
      <c r="Y1160" s="189"/>
      <c r="Z1160" s="189"/>
      <c r="AA1160" s="189"/>
      <c r="AB1160" s="189"/>
      <c r="AC1160" s="189"/>
      <c r="AD1160" s="189"/>
      <c r="AE1160" s="189"/>
      <c r="AF1160" s="189"/>
      <c r="AG1160" s="189"/>
      <c r="AH1160" s="189"/>
      <c r="AI1160" s="189"/>
      <c r="AJ1160" s="189"/>
      <c r="AK1160" s="189"/>
      <c r="AL1160" s="189"/>
      <c r="AM1160" s="189"/>
      <c r="AN1160" s="189"/>
      <c r="AO1160" s="189"/>
      <c r="AP1160" s="189"/>
      <c r="AQ1160" s="189"/>
      <c r="AR1160" s="189"/>
      <c r="AS1160" s="189"/>
      <c r="AT1160" s="189"/>
      <c r="AU1160" s="189"/>
      <c r="AV1160" s="189"/>
      <c r="AW1160" s="189"/>
      <c r="AX1160" s="189"/>
    </row>
    <row r="1161" ht="15.75" customHeight="1">
      <c r="A1161" s="189"/>
      <c r="B1161" s="189"/>
      <c r="C1161" s="190"/>
      <c r="D1161" s="190"/>
      <c r="E1161" s="190"/>
      <c r="F1161" s="190"/>
      <c r="G1161" s="189"/>
      <c r="H1161" s="189"/>
      <c r="I1161" s="189"/>
      <c r="J1161" s="189"/>
      <c r="K1161" s="189"/>
      <c r="L1161" s="189"/>
      <c r="M1161" s="189"/>
      <c r="N1161" s="189"/>
      <c r="O1161" s="189"/>
      <c r="P1161" s="291"/>
      <c r="Q1161" s="189"/>
      <c r="R1161" s="189"/>
      <c r="S1161" s="189"/>
      <c r="T1161" s="189"/>
      <c r="U1161" s="189"/>
      <c r="V1161" s="189"/>
      <c r="W1161" s="189"/>
      <c r="X1161" s="189"/>
      <c r="Y1161" s="189"/>
      <c r="Z1161" s="189"/>
      <c r="AA1161" s="189"/>
      <c r="AB1161" s="189"/>
      <c r="AC1161" s="189"/>
      <c r="AD1161" s="189"/>
      <c r="AE1161" s="189"/>
      <c r="AF1161" s="189"/>
      <c r="AG1161" s="189"/>
      <c r="AH1161" s="189"/>
      <c r="AI1161" s="189"/>
      <c r="AJ1161" s="189"/>
      <c r="AK1161" s="189"/>
      <c r="AL1161" s="189"/>
      <c r="AM1161" s="189"/>
      <c r="AN1161" s="189"/>
      <c r="AO1161" s="189"/>
      <c r="AP1161" s="189"/>
      <c r="AQ1161" s="189"/>
      <c r="AR1161" s="189"/>
      <c r="AS1161" s="189"/>
      <c r="AT1161" s="189"/>
      <c r="AU1161" s="189"/>
      <c r="AV1161" s="189"/>
      <c r="AW1161" s="189"/>
      <c r="AX1161" s="189"/>
    </row>
    <row r="1162" ht="15.75" customHeight="1">
      <c r="A1162" s="189"/>
      <c r="B1162" s="189"/>
      <c r="C1162" s="190"/>
      <c r="D1162" s="190"/>
      <c r="E1162" s="190"/>
      <c r="F1162" s="190"/>
      <c r="G1162" s="189"/>
      <c r="H1162" s="189"/>
      <c r="I1162" s="189"/>
      <c r="J1162" s="189"/>
      <c r="K1162" s="189"/>
      <c r="L1162" s="189"/>
      <c r="M1162" s="189"/>
      <c r="N1162" s="189"/>
      <c r="O1162" s="189"/>
      <c r="P1162" s="291"/>
      <c r="Q1162" s="189"/>
      <c r="R1162" s="189"/>
      <c r="S1162" s="189"/>
      <c r="T1162" s="189"/>
      <c r="U1162" s="189"/>
      <c r="V1162" s="189"/>
      <c r="W1162" s="189"/>
      <c r="X1162" s="189"/>
      <c r="Y1162" s="189"/>
      <c r="Z1162" s="189"/>
      <c r="AA1162" s="189"/>
      <c r="AB1162" s="189"/>
      <c r="AC1162" s="189"/>
      <c r="AD1162" s="189"/>
      <c r="AE1162" s="189"/>
      <c r="AF1162" s="189"/>
      <c r="AG1162" s="189"/>
      <c r="AH1162" s="189"/>
      <c r="AI1162" s="189"/>
      <c r="AJ1162" s="189"/>
      <c r="AK1162" s="189"/>
      <c r="AL1162" s="189"/>
      <c r="AM1162" s="189"/>
      <c r="AN1162" s="189"/>
      <c r="AO1162" s="189"/>
      <c r="AP1162" s="189"/>
      <c r="AQ1162" s="189"/>
      <c r="AR1162" s="189"/>
      <c r="AS1162" s="189"/>
      <c r="AT1162" s="189"/>
      <c r="AU1162" s="189"/>
      <c r="AV1162" s="189"/>
      <c r="AW1162" s="189"/>
      <c r="AX1162" s="189"/>
    </row>
    <row r="1163" ht="15.75" customHeight="1">
      <c r="A1163" s="189"/>
      <c r="B1163" s="189"/>
      <c r="C1163" s="190"/>
      <c r="D1163" s="190"/>
      <c r="E1163" s="190"/>
      <c r="F1163" s="190"/>
      <c r="G1163" s="189"/>
      <c r="H1163" s="189"/>
      <c r="I1163" s="189"/>
      <c r="J1163" s="189"/>
      <c r="K1163" s="189"/>
      <c r="L1163" s="189"/>
      <c r="M1163" s="189"/>
      <c r="N1163" s="189"/>
      <c r="O1163" s="189"/>
      <c r="P1163" s="291"/>
      <c r="Q1163" s="189"/>
      <c r="R1163" s="189"/>
      <c r="S1163" s="189"/>
      <c r="T1163" s="189"/>
      <c r="U1163" s="189"/>
      <c r="V1163" s="189"/>
      <c r="W1163" s="189"/>
      <c r="X1163" s="189"/>
      <c r="Y1163" s="189"/>
      <c r="Z1163" s="189"/>
      <c r="AA1163" s="189"/>
      <c r="AB1163" s="189"/>
      <c r="AC1163" s="189"/>
      <c r="AD1163" s="189"/>
      <c r="AE1163" s="189"/>
      <c r="AF1163" s="189"/>
      <c r="AG1163" s="189"/>
      <c r="AH1163" s="189"/>
      <c r="AI1163" s="189"/>
      <c r="AJ1163" s="189"/>
      <c r="AK1163" s="189"/>
      <c r="AL1163" s="189"/>
      <c r="AM1163" s="189"/>
      <c r="AN1163" s="189"/>
      <c r="AO1163" s="189"/>
      <c r="AP1163" s="189"/>
      <c r="AQ1163" s="189"/>
      <c r="AR1163" s="189"/>
      <c r="AS1163" s="189"/>
      <c r="AT1163" s="189"/>
      <c r="AU1163" s="189"/>
      <c r="AV1163" s="189"/>
      <c r="AW1163" s="189"/>
      <c r="AX1163" s="189"/>
    </row>
    <row r="1164" ht="15.75" customHeight="1">
      <c r="A1164" s="189"/>
      <c r="B1164" s="189"/>
      <c r="C1164" s="190"/>
      <c r="D1164" s="190"/>
      <c r="E1164" s="190"/>
      <c r="F1164" s="190"/>
      <c r="G1164" s="189"/>
      <c r="H1164" s="189"/>
      <c r="I1164" s="189"/>
      <c r="J1164" s="189"/>
      <c r="K1164" s="189"/>
      <c r="L1164" s="189"/>
      <c r="M1164" s="189"/>
      <c r="N1164" s="189"/>
      <c r="O1164" s="189"/>
      <c r="P1164" s="291"/>
      <c r="Q1164" s="189"/>
      <c r="R1164" s="189"/>
      <c r="S1164" s="189"/>
      <c r="T1164" s="189"/>
      <c r="U1164" s="189"/>
      <c r="V1164" s="189"/>
      <c r="W1164" s="189"/>
      <c r="X1164" s="189"/>
      <c r="Y1164" s="189"/>
      <c r="Z1164" s="189"/>
      <c r="AA1164" s="189"/>
      <c r="AB1164" s="189"/>
      <c r="AC1164" s="189"/>
      <c r="AD1164" s="189"/>
      <c r="AE1164" s="189"/>
      <c r="AF1164" s="189"/>
      <c r="AG1164" s="189"/>
      <c r="AH1164" s="189"/>
      <c r="AI1164" s="189"/>
      <c r="AJ1164" s="189"/>
      <c r="AK1164" s="189"/>
      <c r="AL1164" s="189"/>
      <c r="AM1164" s="189"/>
      <c r="AN1164" s="189"/>
      <c r="AO1164" s="189"/>
      <c r="AP1164" s="189"/>
      <c r="AQ1164" s="189"/>
      <c r="AR1164" s="189"/>
      <c r="AS1164" s="189"/>
      <c r="AT1164" s="189"/>
      <c r="AU1164" s="189"/>
      <c r="AV1164" s="189"/>
      <c r="AW1164" s="189"/>
      <c r="AX1164" s="189"/>
    </row>
    <row r="1165" ht="15.75" customHeight="1">
      <c r="A1165" s="189"/>
      <c r="B1165" s="189"/>
      <c r="C1165" s="190"/>
      <c r="D1165" s="190"/>
      <c r="E1165" s="190"/>
      <c r="F1165" s="190"/>
      <c r="G1165" s="189"/>
      <c r="H1165" s="189"/>
      <c r="I1165" s="189"/>
      <c r="J1165" s="189"/>
      <c r="K1165" s="189"/>
      <c r="L1165" s="189"/>
      <c r="M1165" s="189"/>
      <c r="N1165" s="189"/>
      <c r="O1165" s="189"/>
      <c r="P1165" s="291"/>
      <c r="Q1165" s="189"/>
      <c r="R1165" s="189"/>
      <c r="S1165" s="189"/>
      <c r="T1165" s="189"/>
      <c r="U1165" s="189"/>
      <c r="V1165" s="189"/>
      <c r="W1165" s="189"/>
      <c r="X1165" s="189"/>
      <c r="Y1165" s="189"/>
      <c r="Z1165" s="189"/>
      <c r="AA1165" s="189"/>
      <c r="AB1165" s="189"/>
      <c r="AC1165" s="189"/>
      <c r="AD1165" s="189"/>
      <c r="AE1165" s="189"/>
      <c r="AF1165" s="189"/>
      <c r="AG1165" s="189"/>
      <c r="AH1165" s="189"/>
      <c r="AI1165" s="189"/>
      <c r="AJ1165" s="189"/>
      <c r="AK1165" s="189"/>
      <c r="AL1165" s="189"/>
      <c r="AM1165" s="189"/>
      <c r="AN1165" s="189"/>
      <c r="AO1165" s="189"/>
      <c r="AP1165" s="189"/>
      <c r="AQ1165" s="189"/>
      <c r="AR1165" s="189"/>
      <c r="AS1165" s="189"/>
      <c r="AT1165" s="189"/>
      <c r="AU1165" s="189"/>
      <c r="AV1165" s="189"/>
      <c r="AW1165" s="189"/>
      <c r="AX1165" s="189"/>
    </row>
    <row r="1166" ht="15.75" customHeight="1">
      <c r="A1166" s="189"/>
      <c r="B1166" s="189"/>
      <c r="C1166" s="190"/>
      <c r="D1166" s="190"/>
      <c r="E1166" s="190"/>
      <c r="F1166" s="190"/>
      <c r="G1166" s="189"/>
      <c r="H1166" s="189"/>
      <c r="I1166" s="189"/>
      <c r="J1166" s="189"/>
      <c r="K1166" s="189"/>
      <c r="L1166" s="189"/>
      <c r="M1166" s="189"/>
      <c r="N1166" s="189"/>
      <c r="O1166" s="189"/>
      <c r="P1166" s="291"/>
      <c r="Q1166" s="189"/>
      <c r="R1166" s="189"/>
      <c r="S1166" s="189"/>
      <c r="T1166" s="189"/>
      <c r="U1166" s="189"/>
      <c r="V1166" s="189"/>
      <c r="W1166" s="189"/>
      <c r="X1166" s="189"/>
      <c r="Y1166" s="189"/>
      <c r="Z1166" s="189"/>
      <c r="AA1166" s="189"/>
      <c r="AB1166" s="189"/>
      <c r="AC1166" s="189"/>
      <c r="AD1166" s="189"/>
      <c r="AE1166" s="189"/>
      <c r="AF1166" s="189"/>
      <c r="AG1166" s="189"/>
      <c r="AH1166" s="189"/>
      <c r="AI1166" s="189"/>
      <c r="AJ1166" s="189"/>
      <c r="AK1166" s="189"/>
      <c r="AL1166" s="189"/>
      <c r="AM1166" s="189"/>
      <c r="AN1166" s="189"/>
      <c r="AO1166" s="189"/>
      <c r="AP1166" s="189"/>
      <c r="AQ1166" s="189"/>
      <c r="AR1166" s="189"/>
      <c r="AS1166" s="189"/>
      <c r="AT1166" s="189"/>
      <c r="AU1166" s="189"/>
      <c r="AV1166" s="189"/>
      <c r="AW1166" s="189"/>
      <c r="AX1166" s="189"/>
    </row>
    <row r="1167" ht="15.75" customHeight="1">
      <c r="A1167" s="189"/>
      <c r="B1167" s="189"/>
      <c r="C1167" s="190"/>
      <c r="D1167" s="190"/>
      <c r="E1167" s="190"/>
      <c r="F1167" s="190"/>
      <c r="G1167" s="189"/>
      <c r="H1167" s="189"/>
      <c r="I1167" s="189"/>
      <c r="J1167" s="189"/>
      <c r="K1167" s="189"/>
      <c r="L1167" s="189"/>
      <c r="M1167" s="189"/>
      <c r="N1167" s="189"/>
      <c r="O1167" s="189"/>
      <c r="P1167" s="291"/>
      <c r="Q1167" s="189"/>
      <c r="R1167" s="189"/>
      <c r="S1167" s="189"/>
      <c r="T1167" s="189"/>
      <c r="U1167" s="189"/>
      <c r="V1167" s="189"/>
      <c r="W1167" s="189"/>
      <c r="X1167" s="189"/>
      <c r="Y1167" s="189"/>
      <c r="Z1167" s="189"/>
      <c r="AA1167" s="189"/>
      <c r="AB1167" s="189"/>
      <c r="AC1167" s="189"/>
      <c r="AD1167" s="189"/>
      <c r="AE1167" s="189"/>
      <c r="AF1167" s="189"/>
      <c r="AG1167" s="189"/>
      <c r="AH1167" s="189"/>
      <c r="AI1167" s="189"/>
      <c r="AJ1167" s="189"/>
      <c r="AK1167" s="189"/>
      <c r="AL1167" s="189"/>
      <c r="AM1167" s="189"/>
      <c r="AN1167" s="189"/>
      <c r="AO1167" s="189"/>
      <c r="AP1167" s="189"/>
      <c r="AQ1167" s="189"/>
      <c r="AR1167" s="189"/>
      <c r="AS1167" s="189"/>
      <c r="AT1167" s="189"/>
      <c r="AU1167" s="189"/>
      <c r="AV1167" s="189"/>
      <c r="AW1167" s="189"/>
      <c r="AX1167" s="189"/>
    </row>
    <row r="1168" ht="15.75" customHeight="1">
      <c r="A1168" s="189"/>
      <c r="B1168" s="189"/>
      <c r="C1168" s="190"/>
      <c r="D1168" s="190"/>
      <c r="E1168" s="190"/>
      <c r="F1168" s="190"/>
      <c r="G1168" s="189"/>
      <c r="H1168" s="189"/>
      <c r="I1168" s="189"/>
      <c r="J1168" s="189"/>
      <c r="K1168" s="189"/>
      <c r="L1168" s="189"/>
      <c r="M1168" s="189"/>
      <c r="N1168" s="189"/>
      <c r="O1168" s="189"/>
      <c r="P1168" s="291"/>
      <c r="Q1168" s="189"/>
      <c r="R1168" s="189"/>
      <c r="S1168" s="189"/>
      <c r="T1168" s="189"/>
      <c r="U1168" s="189"/>
      <c r="V1168" s="189"/>
      <c r="W1168" s="189"/>
      <c r="X1168" s="189"/>
      <c r="Y1168" s="189"/>
      <c r="Z1168" s="189"/>
      <c r="AA1168" s="189"/>
      <c r="AB1168" s="189"/>
      <c r="AC1168" s="189"/>
      <c r="AD1168" s="189"/>
      <c r="AE1168" s="189"/>
      <c r="AF1168" s="189"/>
      <c r="AG1168" s="189"/>
      <c r="AH1168" s="189"/>
      <c r="AI1168" s="189"/>
      <c r="AJ1168" s="189"/>
      <c r="AK1168" s="189"/>
      <c r="AL1168" s="189"/>
      <c r="AM1168" s="189"/>
      <c r="AN1168" s="189"/>
      <c r="AO1168" s="189"/>
      <c r="AP1168" s="189"/>
      <c r="AQ1168" s="189"/>
      <c r="AR1168" s="189"/>
      <c r="AS1168" s="189"/>
      <c r="AT1168" s="189"/>
      <c r="AU1168" s="189"/>
      <c r="AV1168" s="189"/>
      <c r="AW1168" s="189"/>
      <c r="AX1168" s="189"/>
    </row>
    <row r="1169" ht="15.75" customHeight="1">
      <c r="A1169" s="189"/>
      <c r="B1169" s="189"/>
      <c r="C1169" s="190"/>
      <c r="D1169" s="190"/>
      <c r="E1169" s="190"/>
      <c r="F1169" s="190"/>
      <c r="G1169" s="189"/>
      <c r="H1169" s="189"/>
      <c r="I1169" s="189"/>
      <c r="J1169" s="189"/>
      <c r="K1169" s="189"/>
      <c r="L1169" s="189"/>
      <c r="M1169" s="189"/>
      <c r="N1169" s="189"/>
      <c r="O1169" s="189"/>
      <c r="P1169" s="291"/>
      <c r="Q1169" s="189"/>
      <c r="R1169" s="189"/>
      <c r="S1169" s="189"/>
      <c r="T1169" s="189"/>
      <c r="U1169" s="189"/>
      <c r="V1169" s="189"/>
      <c r="W1169" s="189"/>
      <c r="X1169" s="189"/>
      <c r="Y1169" s="189"/>
      <c r="Z1169" s="189"/>
      <c r="AA1169" s="189"/>
      <c r="AB1169" s="189"/>
      <c r="AC1169" s="189"/>
      <c r="AD1169" s="189"/>
      <c r="AE1169" s="189"/>
      <c r="AF1169" s="189"/>
      <c r="AG1169" s="189"/>
      <c r="AH1169" s="189"/>
      <c r="AI1169" s="189"/>
      <c r="AJ1169" s="189"/>
      <c r="AK1169" s="189"/>
      <c r="AL1169" s="189"/>
      <c r="AM1169" s="189"/>
      <c r="AN1169" s="189"/>
      <c r="AO1169" s="189"/>
      <c r="AP1169" s="189"/>
      <c r="AQ1169" s="189"/>
      <c r="AR1169" s="189"/>
      <c r="AS1169" s="189"/>
      <c r="AT1169" s="189"/>
      <c r="AU1169" s="189"/>
      <c r="AV1169" s="189"/>
      <c r="AW1169" s="189"/>
      <c r="AX1169" s="189"/>
    </row>
    <row r="1170" ht="15.75" customHeight="1">
      <c r="A1170" s="189"/>
      <c r="B1170" s="189"/>
      <c r="C1170" s="190"/>
      <c r="D1170" s="190"/>
      <c r="E1170" s="190"/>
      <c r="F1170" s="190"/>
      <c r="G1170" s="189"/>
      <c r="H1170" s="189"/>
      <c r="I1170" s="189"/>
      <c r="J1170" s="189"/>
      <c r="K1170" s="189"/>
      <c r="L1170" s="189"/>
      <c r="M1170" s="189"/>
      <c r="N1170" s="189"/>
      <c r="O1170" s="189"/>
      <c r="P1170" s="291"/>
      <c r="Q1170" s="189"/>
      <c r="R1170" s="189"/>
      <c r="S1170" s="189"/>
      <c r="T1170" s="189"/>
      <c r="U1170" s="189"/>
      <c r="V1170" s="189"/>
      <c r="W1170" s="189"/>
      <c r="X1170" s="189"/>
      <c r="Y1170" s="189"/>
      <c r="Z1170" s="189"/>
      <c r="AA1170" s="189"/>
      <c r="AB1170" s="189"/>
      <c r="AC1170" s="189"/>
      <c r="AD1170" s="189"/>
      <c r="AE1170" s="189"/>
      <c r="AF1170" s="189"/>
      <c r="AG1170" s="189"/>
      <c r="AH1170" s="189"/>
      <c r="AI1170" s="189"/>
      <c r="AJ1170" s="189"/>
      <c r="AK1170" s="189"/>
      <c r="AL1170" s="189"/>
      <c r="AM1170" s="189"/>
      <c r="AN1170" s="189"/>
      <c r="AO1170" s="189"/>
      <c r="AP1170" s="189"/>
      <c r="AQ1170" s="189"/>
      <c r="AR1170" s="189"/>
      <c r="AS1170" s="189"/>
      <c r="AT1170" s="189"/>
      <c r="AU1170" s="189"/>
      <c r="AV1170" s="189"/>
      <c r="AW1170" s="189"/>
      <c r="AX1170" s="189"/>
    </row>
    <row r="1171" ht="15.75" customHeight="1">
      <c r="A1171" s="189"/>
      <c r="B1171" s="189"/>
      <c r="C1171" s="190"/>
      <c r="D1171" s="190"/>
      <c r="E1171" s="190"/>
      <c r="F1171" s="190"/>
      <c r="G1171" s="189"/>
      <c r="H1171" s="189"/>
      <c r="I1171" s="189"/>
      <c r="J1171" s="189"/>
      <c r="K1171" s="189"/>
      <c r="L1171" s="189"/>
      <c r="M1171" s="189"/>
      <c r="N1171" s="189"/>
      <c r="O1171" s="189"/>
      <c r="P1171" s="291"/>
      <c r="Q1171" s="189"/>
      <c r="R1171" s="189"/>
      <c r="S1171" s="189"/>
      <c r="T1171" s="189"/>
      <c r="U1171" s="189"/>
      <c r="V1171" s="189"/>
      <c r="W1171" s="189"/>
      <c r="X1171" s="189"/>
      <c r="Y1171" s="189"/>
      <c r="Z1171" s="189"/>
      <c r="AA1171" s="189"/>
      <c r="AB1171" s="189"/>
      <c r="AC1171" s="189"/>
      <c r="AD1171" s="189"/>
      <c r="AE1171" s="189"/>
      <c r="AF1171" s="189"/>
      <c r="AG1171" s="189"/>
      <c r="AH1171" s="189"/>
      <c r="AI1171" s="189"/>
      <c r="AJ1171" s="189"/>
      <c r="AK1171" s="189"/>
      <c r="AL1171" s="189"/>
      <c r="AM1171" s="189"/>
      <c r="AN1171" s="189"/>
      <c r="AO1171" s="189"/>
      <c r="AP1171" s="189"/>
      <c r="AQ1171" s="189"/>
      <c r="AR1171" s="189"/>
      <c r="AS1171" s="189"/>
      <c r="AT1171" s="189"/>
      <c r="AU1171" s="189"/>
      <c r="AV1171" s="189"/>
      <c r="AW1171" s="189"/>
      <c r="AX1171" s="189"/>
    </row>
    <row r="1172" ht="15.75" customHeight="1">
      <c r="A1172" s="189"/>
      <c r="B1172" s="189"/>
      <c r="C1172" s="190"/>
      <c r="D1172" s="190"/>
      <c r="E1172" s="190"/>
      <c r="F1172" s="190"/>
      <c r="G1172" s="189"/>
      <c r="H1172" s="189"/>
      <c r="I1172" s="189"/>
      <c r="J1172" s="189"/>
      <c r="K1172" s="189"/>
      <c r="L1172" s="189"/>
      <c r="M1172" s="189"/>
      <c r="N1172" s="189"/>
      <c r="O1172" s="189"/>
      <c r="P1172" s="291"/>
      <c r="Q1172" s="189"/>
      <c r="R1172" s="189"/>
      <c r="S1172" s="189"/>
      <c r="T1172" s="189"/>
      <c r="U1172" s="189"/>
      <c r="V1172" s="189"/>
      <c r="W1172" s="189"/>
      <c r="X1172" s="189"/>
      <c r="Y1172" s="189"/>
      <c r="Z1172" s="189"/>
      <c r="AA1172" s="189"/>
      <c r="AB1172" s="189"/>
      <c r="AC1172" s="189"/>
      <c r="AD1172" s="189"/>
      <c r="AE1172" s="189"/>
      <c r="AF1172" s="189"/>
      <c r="AG1172" s="189"/>
      <c r="AH1172" s="189"/>
      <c r="AI1172" s="189"/>
      <c r="AJ1172" s="189"/>
      <c r="AK1172" s="189"/>
      <c r="AL1172" s="189"/>
      <c r="AM1172" s="189"/>
      <c r="AN1172" s="189"/>
      <c r="AO1172" s="189"/>
      <c r="AP1172" s="189"/>
      <c r="AQ1172" s="189"/>
      <c r="AR1172" s="189"/>
      <c r="AS1172" s="189"/>
      <c r="AT1172" s="189"/>
      <c r="AU1172" s="189"/>
      <c r="AV1172" s="189"/>
      <c r="AW1172" s="189"/>
      <c r="AX1172" s="189"/>
    </row>
    <row r="1173" ht="15.75" customHeight="1">
      <c r="A1173" s="189"/>
      <c r="B1173" s="189"/>
      <c r="C1173" s="190"/>
      <c r="D1173" s="190"/>
      <c r="E1173" s="190"/>
      <c r="F1173" s="190"/>
      <c r="G1173" s="189"/>
      <c r="H1173" s="189"/>
      <c r="I1173" s="189"/>
      <c r="J1173" s="189"/>
      <c r="K1173" s="189"/>
      <c r="L1173" s="189"/>
      <c r="M1173" s="189"/>
      <c r="N1173" s="189"/>
      <c r="O1173" s="189"/>
      <c r="P1173" s="291"/>
      <c r="Q1173" s="189"/>
      <c r="R1173" s="189"/>
      <c r="S1173" s="189"/>
      <c r="T1173" s="189"/>
      <c r="U1173" s="189"/>
      <c r="V1173" s="189"/>
      <c r="W1173" s="189"/>
      <c r="X1173" s="189"/>
      <c r="Y1173" s="189"/>
      <c r="Z1173" s="189"/>
      <c r="AA1173" s="189"/>
      <c r="AB1173" s="189"/>
      <c r="AC1173" s="189"/>
      <c r="AD1173" s="189"/>
      <c r="AE1173" s="189"/>
      <c r="AF1173" s="189"/>
      <c r="AG1173" s="189"/>
      <c r="AH1173" s="189"/>
      <c r="AI1173" s="189"/>
      <c r="AJ1173" s="189"/>
      <c r="AK1173" s="189"/>
      <c r="AL1173" s="189"/>
      <c r="AM1173" s="189"/>
      <c r="AN1173" s="189"/>
      <c r="AO1173" s="189"/>
      <c r="AP1173" s="189"/>
      <c r="AQ1173" s="189"/>
      <c r="AR1173" s="189"/>
      <c r="AS1173" s="189"/>
      <c r="AT1173" s="189"/>
      <c r="AU1173" s="189"/>
      <c r="AV1173" s="189"/>
      <c r="AW1173" s="189"/>
      <c r="AX1173" s="189"/>
    </row>
    <row r="1174" ht="15.75" customHeight="1">
      <c r="A1174" s="189"/>
      <c r="B1174" s="189"/>
      <c r="C1174" s="190"/>
      <c r="D1174" s="190"/>
      <c r="E1174" s="190"/>
      <c r="F1174" s="190"/>
      <c r="G1174" s="189"/>
      <c r="H1174" s="189"/>
      <c r="I1174" s="189"/>
      <c r="J1174" s="189"/>
      <c r="K1174" s="189"/>
      <c r="L1174" s="189"/>
      <c r="M1174" s="189"/>
      <c r="N1174" s="189"/>
      <c r="O1174" s="189"/>
      <c r="P1174" s="291"/>
      <c r="Q1174" s="189"/>
      <c r="R1174" s="189"/>
      <c r="S1174" s="189"/>
      <c r="T1174" s="189"/>
      <c r="U1174" s="189"/>
      <c r="V1174" s="189"/>
      <c r="W1174" s="189"/>
      <c r="X1174" s="189"/>
      <c r="Y1174" s="189"/>
      <c r="Z1174" s="189"/>
      <c r="AA1174" s="189"/>
      <c r="AB1174" s="189"/>
      <c r="AC1174" s="189"/>
      <c r="AD1174" s="189"/>
      <c r="AE1174" s="189"/>
      <c r="AF1174" s="189"/>
      <c r="AG1174" s="189"/>
      <c r="AH1174" s="189"/>
      <c r="AI1174" s="189"/>
      <c r="AJ1174" s="189"/>
      <c r="AK1174" s="189"/>
      <c r="AL1174" s="189"/>
      <c r="AM1174" s="189"/>
      <c r="AN1174" s="189"/>
      <c r="AO1174" s="189"/>
      <c r="AP1174" s="189"/>
      <c r="AQ1174" s="189"/>
      <c r="AR1174" s="189"/>
      <c r="AS1174" s="189"/>
      <c r="AT1174" s="189"/>
      <c r="AU1174" s="189"/>
      <c r="AV1174" s="189"/>
      <c r="AW1174" s="189"/>
      <c r="AX1174" s="189"/>
    </row>
    <row r="1175" ht="15.75" customHeight="1">
      <c r="A1175" s="189"/>
      <c r="B1175" s="189"/>
      <c r="C1175" s="190"/>
      <c r="D1175" s="190"/>
      <c r="E1175" s="190"/>
      <c r="F1175" s="190"/>
      <c r="G1175" s="189"/>
      <c r="H1175" s="189"/>
      <c r="I1175" s="189"/>
      <c r="J1175" s="189"/>
      <c r="K1175" s="189"/>
      <c r="L1175" s="189"/>
      <c r="M1175" s="189"/>
      <c r="N1175" s="189"/>
      <c r="O1175" s="189"/>
      <c r="P1175" s="291"/>
      <c r="Q1175" s="189"/>
      <c r="R1175" s="189"/>
      <c r="S1175" s="189"/>
      <c r="T1175" s="189"/>
      <c r="U1175" s="189"/>
      <c r="V1175" s="189"/>
      <c r="W1175" s="189"/>
      <c r="X1175" s="189"/>
      <c r="Y1175" s="189"/>
      <c r="Z1175" s="189"/>
      <c r="AA1175" s="189"/>
      <c r="AB1175" s="189"/>
      <c r="AC1175" s="189"/>
      <c r="AD1175" s="189"/>
      <c r="AE1175" s="189"/>
      <c r="AF1175" s="189"/>
      <c r="AG1175" s="189"/>
      <c r="AH1175" s="189"/>
      <c r="AI1175" s="189"/>
      <c r="AJ1175" s="189"/>
      <c r="AK1175" s="189"/>
      <c r="AL1175" s="189"/>
      <c r="AM1175" s="189"/>
      <c r="AN1175" s="189"/>
      <c r="AO1175" s="189"/>
      <c r="AP1175" s="189"/>
      <c r="AQ1175" s="189"/>
      <c r="AR1175" s="189"/>
      <c r="AS1175" s="189"/>
      <c r="AT1175" s="189"/>
      <c r="AU1175" s="189"/>
      <c r="AV1175" s="189"/>
      <c r="AW1175" s="189"/>
      <c r="AX1175" s="189"/>
    </row>
    <row r="1176" ht="15.75" customHeight="1">
      <c r="A1176" s="189"/>
      <c r="B1176" s="189"/>
      <c r="C1176" s="190"/>
      <c r="D1176" s="190"/>
      <c r="E1176" s="190"/>
      <c r="F1176" s="190"/>
      <c r="G1176" s="189"/>
      <c r="H1176" s="189"/>
      <c r="I1176" s="189"/>
      <c r="J1176" s="189"/>
      <c r="K1176" s="189"/>
      <c r="L1176" s="189"/>
      <c r="M1176" s="189"/>
      <c r="N1176" s="189"/>
      <c r="O1176" s="189"/>
      <c r="P1176" s="291"/>
      <c r="Q1176" s="189"/>
      <c r="R1176" s="189"/>
      <c r="S1176" s="189"/>
      <c r="T1176" s="189"/>
      <c r="U1176" s="189"/>
      <c r="V1176" s="189"/>
      <c r="W1176" s="189"/>
      <c r="X1176" s="189"/>
      <c r="Y1176" s="189"/>
      <c r="Z1176" s="189"/>
      <c r="AA1176" s="189"/>
      <c r="AB1176" s="189"/>
      <c r="AC1176" s="189"/>
      <c r="AD1176" s="189"/>
      <c r="AE1176" s="189"/>
      <c r="AF1176" s="189"/>
      <c r="AG1176" s="189"/>
      <c r="AH1176" s="189"/>
      <c r="AI1176" s="189"/>
      <c r="AJ1176" s="189"/>
      <c r="AK1176" s="189"/>
      <c r="AL1176" s="189"/>
      <c r="AM1176" s="189"/>
      <c r="AN1176" s="189"/>
      <c r="AO1176" s="189"/>
      <c r="AP1176" s="189"/>
      <c r="AQ1176" s="189"/>
      <c r="AR1176" s="189"/>
      <c r="AS1176" s="189"/>
      <c r="AT1176" s="189"/>
      <c r="AU1176" s="189"/>
      <c r="AV1176" s="189"/>
      <c r="AW1176" s="189"/>
      <c r="AX1176" s="189"/>
    </row>
    <row r="1177" ht="15.75" customHeight="1">
      <c r="A1177" s="189"/>
      <c r="B1177" s="189"/>
      <c r="C1177" s="190"/>
      <c r="D1177" s="190"/>
      <c r="E1177" s="190"/>
      <c r="F1177" s="190"/>
      <c r="G1177" s="189"/>
      <c r="H1177" s="189"/>
      <c r="I1177" s="189"/>
      <c r="J1177" s="189"/>
      <c r="K1177" s="189"/>
      <c r="L1177" s="189"/>
      <c r="M1177" s="189"/>
      <c r="N1177" s="189"/>
      <c r="O1177" s="189"/>
      <c r="P1177" s="291"/>
      <c r="Q1177" s="189"/>
      <c r="R1177" s="189"/>
      <c r="S1177" s="189"/>
      <c r="T1177" s="189"/>
      <c r="U1177" s="189"/>
      <c r="V1177" s="189"/>
      <c r="W1177" s="189"/>
      <c r="X1177" s="189"/>
      <c r="Y1177" s="189"/>
      <c r="Z1177" s="189"/>
      <c r="AA1177" s="189"/>
      <c r="AB1177" s="189"/>
      <c r="AC1177" s="189"/>
      <c r="AD1177" s="189"/>
      <c r="AE1177" s="189"/>
      <c r="AF1177" s="189"/>
      <c r="AG1177" s="189"/>
      <c r="AH1177" s="189"/>
      <c r="AI1177" s="189"/>
      <c r="AJ1177" s="189"/>
      <c r="AK1177" s="189"/>
      <c r="AL1177" s="189"/>
      <c r="AM1177" s="189"/>
      <c r="AN1177" s="189"/>
      <c r="AO1177" s="189"/>
      <c r="AP1177" s="189"/>
      <c r="AQ1177" s="189"/>
      <c r="AR1177" s="189"/>
      <c r="AS1177" s="189"/>
      <c r="AT1177" s="189"/>
      <c r="AU1177" s="189"/>
      <c r="AV1177" s="189"/>
      <c r="AW1177" s="189"/>
      <c r="AX1177" s="189"/>
    </row>
    <row r="1178" ht="15.75" customHeight="1">
      <c r="A1178" s="189"/>
      <c r="B1178" s="189"/>
      <c r="C1178" s="190"/>
      <c r="D1178" s="190"/>
      <c r="E1178" s="190"/>
      <c r="F1178" s="190"/>
      <c r="G1178" s="189"/>
      <c r="H1178" s="189"/>
      <c r="I1178" s="189"/>
      <c r="J1178" s="189"/>
      <c r="K1178" s="189"/>
      <c r="L1178" s="189"/>
      <c r="M1178" s="189"/>
      <c r="N1178" s="189"/>
      <c r="O1178" s="189"/>
      <c r="P1178" s="291"/>
      <c r="Q1178" s="189"/>
      <c r="R1178" s="189"/>
      <c r="S1178" s="189"/>
      <c r="T1178" s="189"/>
      <c r="U1178" s="189"/>
      <c r="V1178" s="189"/>
      <c r="W1178" s="189"/>
      <c r="X1178" s="189"/>
      <c r="Y1178" s="189"/>
      <c r="Z1178" s="189"/>
      <c r="AA1178" s="189"/>
      <c r="AB1178" s="189"/>
      <c r="AC1178" s="189"/>
      <c r="AD1178" s="189"/>
      <c r="AE1178" s="189"/>
      <c r="AF1178" s="189"/>
      <c r="AG1178" s="189"/>
      <c r="AH1178" s="189"/>
      <c r="AI1178" s="189"/>
      <c r="AJ1178" s="189"/>
      <c r="AK1178" s="189"/>
      <c r="AL1178" s="189"/>
      <c r="AM1178" s="189"/>
      <c r="AN1178" s="189"/>
      <c r="AO1178" s="189"/>
      <c r="AP1178" s="189"/>
      <c r="AQ1178" s="189"/>
      <c r="AR1178" s="189"/>
      <c r="AS1178" s="189"/>
      <c r="AT1178" s="189"/>
      <c r="AU1178" s="189"/>
      <c r="AV1178" s="189"/>
      <c r="AW1178" s="189"/>
      <c r="AX1178" s="189"/>
    </row>
    <row r="1179" ht="15.75" customHeight="1">
      <c r="A1179" s="189"/>
      <c r="B1179" s="189"/>
      <c r="C1179" s="190"/>
      <c r="D1179" s="190"/>
      <c r="E1179" s="190"/>
      <c r="F1179" s="190"/>
      <c r="G1179" s="189"/>
      <c r="H1179" s="189"/>
      <c r="I1179" s="189"/>
      <c r="J1179" s="189"/>
      <c r="K1179" s="189"/>
      <c r="L1179" s="189"/>
      <c r="M1179" s="189"/>
      <c r="N1179" s="189"/>
      <c r="O1179" s="189"/>
      <c r="P1179" s="291"/>
      <c r="Q1179" s="189"/>
      <c r="R1179" s="189"/>
      <c r="S1179" s="189"/>
      <c r="T1179" s="189"/>
      <c r="U1179" s="189"/>
      <c r="V1179" s="189"/>
      <c r="W1179" s="189"/>
      <c r="X1179" s="189"/>
      <c r="Y1179" s="189"/>
      <c r="Z1179" s="189"/>
      <c r="AA1179" s="189"/>
      <c r="AB1179" s="189"/>
      <c r="AC1179" s="189"/>
      <c r="AD1179" s="189"/>
      <c r="AE1179" s="189"/>
      <c r="AF1179" s="189"/>
      <c r="AG1179" s="189"/>
      <c r="AH1179" s="189"/>
      <c r="AI1179" s="189"/>
      <c r="AJ1179" s="189"/>
      <c r="AK1179" s="189"/>
      <c r="AL1179" s="189"/>
      <c r="AM1179" s="189"/>
      <c r="AN1179" s="189"/>
      <c r="AO1179" s="189"/>
      <c r="AP1179" s="189"/>
      <c r="AQ1179" s="189"/>
      <c r="AR1179" s="189"/>
      <c r="AS1179" s="189"/>
      <c r="AT1179" s="189"/>
      <c r="AU1179" s="189"/>
      <c r="AV1179" s="189"/>
      <c r="AW1179" s="189"/>
      <c r="AX1179" s="189"/>
    </row>
    <row r="1180" ht="15.75" customHeight="1">
      <c r="A1180" s="189"/>
      <c r="B1180" s="189"/>
      <c r="C1180" s="190"/>
      <c r="D1180" s="190"/>
      <c r="E1180" s="190"/>
      <c r="F1180" s="190"/>
      <c r="G1180" s="189"/>
      <c r="H1180" s="189"/>
      <c r="I1180" s="189"/>
      <c r="J1180" s="189"/>
      <c r="K1180" s="189"/>
      <c r="L1180" s="189"/>
      <c r="M1180" s="189"/>
      <c r="N1180" s="189"/>
      <c r="O1180" s="189"/>
      <c r="P1180" s="291"/>
      <c r="Q1180" s="189"/>
      <c r="R1180" s="189"/>
      <c r="S1180" s="189"/>
      <c r="T1180" s="189"/>
      <c r="U1180" s="189"/>
      <c r="V1180" s="189"/>
      <c r="W1180" s="189"/>
      <c r="X1180" s="189"/>
      <c r="Y1180" s="189"/>
      <c r="Z1180" s="189"/>
      <c r="AA1180" s="189"/>
      <c r="AB1180" s="189"/>
      <c r="AC1180" s="189"/>
      <c r="AD1180" s="189"/>
      <c r="AE1180" s="189"/>
      <c r="AF1180" s="189"/>
      <c r="AG1180" s="189"/>
      <c r="AH1180" s="189"/>
      <c r="AI1180" s="189"/>
      <c r="AJ1180" s="189"/>
      <c r="AK1180" s="189"/>
      <c r="AL1180" s="189"/>
      <c r="AM1180" s="189"/>
      <c r="AN1180" s="189"/>
      <c r="AO1180" s="189"/>
      <c r="AP1180" s="189"/>
      <c r="AQ1180" s="189"/>
      <c r="AR1180" s="189"/>
      <c r="AS1180" s="189"/>
      <c r="AT1180" s="189"/>
      <c r="AU1180" s="189"/>
      <c r="AV1180" s="189"/>
      <c r="AW1180" s="189"/>
      <c r="AX1180" s="189"/>
    </row>
    <row r="1181" ht="15.75" customHeight="1">
      <c r="A1181" s="189"/>
      <c r="B1181" s="189"/>
      <c r="C1181" s="190"/>
      <c r="D1181" s="190"/>
      <c r="E1181" s="190"/>
      <c r="F1181" s="190"/>
      <c r="G1181" s="189"/>
      <c r="H1181" s="189"/>
      <c r="I1181" s="189"/>
      <c r="J1181" s="189"/>
      <c r="K1181" s="189"/>
      <c r="L1181" s="189"/>
      <c r="M1181" s="189"/>
      <c r="N1181" s="189"/>
      <c r="O1181" s="189"/>
      <c r="P1181" s="291"/>
      <c r="Q1181" s="189"/>
      <c r="R1181" s="189"/>
      <c r="S1181" s="189"/>
      <c r="T1181" s="189"/>
      <c r="U1181" s="189"/>
      <c r="V1181" s="189"/>
      <c r="W1181" s="189"/>
      <c r="X1181" s="189"/>
      <c r="Y1181" s="189"/>
      <c r="Z1181" s="189"/>
      <c r="AA1181" s="189"/>
      <c r="AB1181" s="189"/>
      <c r="AC1181" s="189"/>
      <c r="AD1181" s="189"/>
      <c r="AE1181" s="189"/>
      <c r="AF1181" s="189"/>
      <c r="AG1181" s="189"/>
      <c r="AH1181" s="189"/>
      <c r="AI1181" s="189"/>
      <c r="AJ1181" s="189"/>
      <c r="AK1181" s="189"/>
      <c r="AL1181" s="189"/>
      <c r="AM1181" s="189"/>
      <c r="AN1181" s="189"/>
      <c r="AO1181" s="189"/>
      <c r="AP1181" s="189"/>
      <c r="AQ1181" s="189"/>
      <c r="AR1181" s="189"/>
      <c r="AS1181" s="189"/>
      <c r="AT1181" s="189"/>
      <c r="AU1181" s="189"/>
      <c r="AV1181" s="189"/>
      <c r="AW1181" s="189"/>
      <c r="AX1181" s="189"/>
    </row>
    <row r="1182" ht="15.75" customHeight="1">
      <c r="A1182" s="189"/>
      <c r="B1182" s="189"/>
      <c r="C1182" s="190"/>
      <c r="D1182" s="190"/>
      <c r="E1182" s="190"/>
      <c r="F1182" s="190"/>
      <c r="G1182" s="189"/>
      <c r="H1182" s="189"/>
      <c r="I1182" s="189"/>
      <c r="J1182" s="189"/>
      <c r="K1182" s="189"/>
      <c r="L1182" s="189"/>
      <c r="M1182" s="189"/>
      <c r="N1182" s="189"/>
      <c r="O1182" s="189"/>
      <c r="P1182" s="291"/>
      <c r="Q1182" s="189"/>
      <c r="R1182" s="189"/>
      <c r="S1182" s="189"/>
      <c r="T1182" s="189"/>
      <c r="U1182" s="189"/>
      <c r="V1182" s="189"/>
      <c r="W1182" s="189"/>
      <c r="X1182" s="189"/>
      <c r="Y1182" s="189"/>
      <c r="Z1182" s="189"/>
      <c r="AA1182" s="189"/>
      <c r="AB1182" s="189"/>
      <c r="AC1182" s="189"/>
      <c r="AD1182" s="189"/>
      <c r="AE1182" s="189"/>
      <c r="AF1182" s="189"/>
      <c r="AG1182" s="189"/>
      <c r="AH1182" s="189"/>
      <c r="AI1182" s="189"/>
      <c r="AJ1182" s="189"/>
      <c r="AK1182" s="189"/>
      <c r="AL1182" s="189"/>
      <c r="AM1182" s="189"/>
      <c r="AN1182" s="189"/>
      <c r="AO1182" s="189"/>
      <c r="AP1182" s="189"/>
      <c r="AQ1182" s="189"/>
      <c r="AR1182" s="189"/>
      <c r="AS1182" s="189"/>
      <c r="AT1182" s="189"/>
      <c r="AU1182" s="189"/>
      <c r="AV1182" s="189"/>
      <c r="AW1182" s="189"/>
      <c r="AX1182" s="189"/>
    </row>
    <row r="1183" ht="15.75" customHeight="1">
      <c r="A1183" s="189"/>
      <c r="B1183" s="189"/>
      <c r="C1183" s="190"/>
      <c r="D1183" s="190"/>
      <c r="E1183" s="190"/>
      <c r="F1183" s="190"/>
      <c r="G1183" s="189"/>
      <c r="H1183" s="189"/>
      <c r="I1183" s="189"/>
      <c r="J1183" s="189"/>
      <c r="K1183" s="189"/>
      <c r="L1183" s="189"/>
      <c r="M1183" s="189"/>
      <c r="N1183" s="189"/>
      <c r="O1183" s="189"/>
      <c r="P1183" s="291"/>
      <c r="Q1183" s="189"/>
      <c r="R1183" s="189"/>
      <c r="S1183" s="189"/>
      <c r="T1183" s="189"/>
      <c r="U1183" s="189"/>
      <c r="V1183" s="189"/>
      <c r="W1183" s="189"/>
      <c r="X1183" s="189"/>
      <c r="Y1183" s="189"/>
      <c r="Z1183" s="189"/>
      <c r="AA1183" s="189"/>
      <c r="AB1183" s="189"/>
      <c r="AC1183" s="189"/>
      <c r="AD1183" s="189"/>
      <c r="AE1183" s="189"/>
      <c r="AF1183" s="189"/>
      <c r="AG1183" s="189"/>
      <c r="AH1183" s="189"/>
      <c r="AI1183" s="189"/>
      <c r="AJ1183" s="189"/>
      <c r="AK1183" s="189"/>
      <c r="AL1183" s="189"/>
      <c r="AM1183" s="189"/>
      <c r="AN1183" s="189"/>
      <c r="AO1183" s="189"/>
      <c r="AP1183" s="189"/>
      <c r="AQ1183" s="189"/>
      <c r="AR1183" s="189"/>
      <c r="AS1183" s="189"/>
      <c r="AT1183" s="189"/>
      <c r="AU1183" s="189"/>
      <c r="AV1183" s="189"/>
      <c r="AW1183" s="189"/>
      <c r="AX1183" s="189"/>
    </row>
    <row r="1184" ht="15.75" customHeight="1">
      <c r="A1184" s="189"/>
      <c r="B1184" s="189"/>
      <c r="C1184" s="190"/>
      <c r="D1184" s="190"/>
      <c r="E1184" s="190"/>
      <c r="F1184" s="190"/>
      <c r="G1184" s="189"/>
      <c r="H1184" s="189"/>
      <c r="I1184" s="189"/>
      <c r="J1184" s="189"/>
      <c r="K1184" s="189"/>
      <c r="L1184" s="189"/>
      <c r="M1184" s="189"/>
      <c r="N1184" s="189"/>
      <c r="O1184" s="189"/>
      <c r="P1184" s="291"/>
      <c r="Q1184" s="189"/>
      <c r="R1184" s="189"/>
      <c r="S1184" s="189"/>
      <c r="T1184" s="189"/>
      <c r="U1184" s="189"/>
      <c r="V1184" s="189"/>
      <c r="W1184" s="189"/>
      <c r="X1184" s="189"/>
      <c r="Y1184" s="189"/>
      <c r="Z1184" s="189"/>
      <c r="AA1184" s="189"/>
      <c r="AB1184" s="189"/>
      <c r="AC1184" s="189"/>
      <c r="AD1184" s="189"/>
      <c r="AE1184" s="189"/>
      <c r="AF1184" s="189"/>
      <c r="AG1184" s="189"/>
      <c r="AH1184" s="189"/>
      <c r="AI1184" s="189"/>
      <c r="AJ1184" s="189"/>
      <c r="AK1184" s="189"/>
      <c r="AL1184" s="189"/>
      <c r="AM1184" s="189"/>
      <c r="AN1184" s="189"/>
      <c r="AO1184" s="189"/>
      <c r="AP1184" s="189"/>
      <c r="AQ1184" s="189"/>
      <c r="AR1184" s="189"/>
      <c r="AS1184" s="189"/>
      <c r="AT1184" s="189"/>
      <c r="AU1184" s="189"/>
      <c r="AV1184" s="189"/>
      <c r="AW1184" s="189"/>
      <c r="AX1184" s="189"/>
    </row>
    <row r="1185" ht="15.75" customHeight="1">
      <c r="A1185" s="189"/>
      <c r="B1185" s="189"/>
      <c r="C1185" s="190"/>
      <c r="D1185" s="190"/>
      <c r="E1185" s="190"/>
      <c r="F1185" s="190"/>
      <c r="G1185" s="189"/>
      <c r="H1185" s="189"/>
      <c r="I1185" s="189"/>
      <c r="J1185" s="189"/>
      <c r="K1185" s="189"/>
      <c r="L1185" s="189"/>
      <c r="M1185" s="189"/>
      <c r="N1185" s="189"/>
      <c r="O1185" s="189"/>
      <c r="P1185" s="291"/>
      <c r="Q1185" s="189"/>
      <c r="R1185" s="189"/>
      <c r="S1185" s="189"/>
      <c r="T1185" s="189"/>
      <c r="U1185" s="189"/>
      <c r="V1185" s="189"/>
      <c r="W1185" s="189"/>
      <c r="X1185" s="189"/>
      <c r="Y1185" s="189"/>
      <c r="Z1185" s="189"/>
      <c r="AA1185" s="189"/>
      <c r="AB1185" s="189"/>
      <c r="AC1185" s="189"/>
      <c r="AD1185" s="189"/>
      <c r="AE1185" s="189"/>
      <c r="AF1185" s="189"/>
      <c r="AG1185" s="189"/>
      <c r="AH1185" s="189"/>
      <c r="AI1185" s="189"/>
      <c r="AJ1185" s="189"/>
      <c r="AK1185" s="189"/>
      <c r="AL1185" s="189"/>
      <c r="AM1185" s="189"/>
      <c r="AN1185" s="189"/>
      <c r="AO1185" s="189"/>
      <c r="AP1185" s="189"/>
      <c r="AQ1185" s="189"/>
      <c r="AR1185" s="189"/>
      <c r="AS1185" s="189"/>
      <c r="AT1185" s="189"/>
      <c r="AU1185" s="189"/>
      <c r="AV1185" s="189"/>
      <c r="AW1185" s="189"/>
      <c r="AX1185" s="189"/>
    </row>
    <row r="1186" ht="15.75" customHeight="1">
      <c r="A1186" s="189"/>
      <c r="B1186" s="189"/>
      <c r="C1186" s="190"/>
      <c r="D1186" s="190"/>
      <c r="E1186" s="190"/>
      <c r="F1186" s="190"/>
      <c r="G1186" s="189"/>
      <c r="H1186" s="189"/>
      <c r="I1186" s="189"/>
      <c r="J1186" s="189"/>
      <c r="K1186" s="189"/>
      <c r="L1186" s="189"/>
      <c r="M1186" s="189"/>
      <c r="N1186" s="189"/>
      <c r="O1186" s="189"/>
      <c r="P1186" s="291"/>
      <c r="Q1186" s="189"/>
      <c r="R1186" s="189"/>
      <c r="S1186" s="189"/>
      <c r="T1186" s="189"/>
      <c r="U1186" s="189"/>
      <c r="V1186" s="189"/>
      <c r="W1186" s="189"/>
      <c r="X1186" s="189"/>
      <c r="Y1186" s="189"/>
      <c r="Z1186" s="189"/>
      <c r="AA1186" s="189"/>
      <c r="AB1186" s="189"/>
      <c r="AC1186" s="189"/>
      <c r="AD1186" s="189"/>
      <c r="AE1186" s="189"/>
      <c r="AF1186" s="189"/>
      <c r="AG1186" s="189"/>
      <c r="AH1186" s="189"/>
      <c r="AI1186" s="189"/>
      <c r="AJ1186" s="189"/>
      <c r="AK1186" s="189"/>
      <c r="AL1186" s="189"/>
      <c r="AM1186" s="189"/>
      <c r="AN1186" s="189"/>
      <c r="AO1186" s="189"/>
      <c r="AP1186" s="189"/>
      <c r="AQ1186" s="189"/>
      <c r="AR1186" s="189"/>
      <c r="AS1186" s="189"/>
      <c r="AT1186" s="189"/>
      <c r="AU1186" s="189"/>
      <c r="AV1186" s="189"/>
      <c r="AW1186" s="189"/>
      <c r="AX1186" s="189"/>
    </row>
    <row r="1187" ht="15.75" customHeight="1">
      <c r="A1187" s="189"/>
      <c r="B1187" s="189"/>
      <c r="C1187" s="190"/>
      <c r="D1187" s="190"/>
      <c r="E1187" s="190"/>
      <c r="F1187" s="190"/>
      <c r="G1187" s="189"/>
      <c r="H1187" s="189"/>
      <c r="I1187" s="189"/>
      <c r="J1187" s="189"/>
      <c r="K1187" s="189"/>
      <c r="L1187" s="189"/>
      <c r="M1187" s="189"/>
      <c r="N1187" s="189"/>
      <c r="O1187" s="189"/>
      <c r="P1187" s="291"/>
      <c r="Q1187" s="189"/>
      <c r="R1187" s="189"/>
      <c r="S1187" s="189"/>
      <c r="T1187" s="189"/>
      <c r="U1187" s="189"/>
      <c r="V1187" s="189"/>
      <c r="W1187" s="189"/>
      <c r="X1187" s="189"/>
      <c r="Y1187" s="189"/>
      <c r="Z1187" s="189"/>
      <c r="AA1187" s="189"/>
      <c r="AB1187" s="189"/>
      <c r="AC1187" s="189"/>
      <c r="AD1187" s="189"/>
      <c r="AE1187" s="189"/>
      <c r="AF1187" s="189"/>
      <c r="AG1187" s="189"/>
      <c r="AH1187" s="189"/>
      <c r="AI1187" s="189"/>
      <c r="AJ1187" s="189"/>
      <c r="AK1187" s="189"/>
      <c r="AL1187" s="189"/>
      <c r="AM1187" s="189"/>
      <c r="AN1187" s="189"/>
      <c r="AO1187" s="189"/>
      <c r="AP1187" s="189"/>
      <c r="AQ1187" s="189"/>
      <c r="AR1187" s="189"/>
      <c r="AS1187" s="189"/>
      <c r="AT1187" s="189"/>
      <c r="AU1187" s="189"/>
      <c r="AV1187" s="189"/>
      <c r="AW1187" s="189"/>
      <c r="AX1187" s="189"/>
    </row>
    <row r="1188" ht="15.75" customHeight="1">
      <c r="A1188" s="189"/>
      <c r="B1188" s="189"/>
      <c r="C1188" s="190"/>
      <c r="D1188" s="190"/>
      <c r="E1188" s="190"/>
      <c r="F1188" s="190"/>
      <c r="G1188" s="189"/>
      <c r="H1188" s="189"/>
      <c r="I1188" s="189"/>
      <c r="J1188" s="189"/>
      <c r="K1188" s="189"/>
      <c r="L1188" s="189"/>
      <c r="M1188" s="189"/>
      <c r="N1188" s="189"/>
      <c r="O1188" s="189"/>
      <c r="P1188" s="291"/>
      <c r="Q1188" s="189"/>
      <c r="R1188" s="189"/>
      <c r="S1188" s="189"/>
      <c r="T1188" s="189"/>
      <c r="U1188" s="189"/>
      <c r="V1188" s="189"/>
      <c r="W1188" s="189"/>
      <c r="X1188" s="189"/>
      <c r="Y1188" s="189"/>
      <c r="Z1188" s="189"/>
      <c r="AA1188" s="189"/>
      <c r="AB1188" s="189"/>
      <c r="AC1188" s="189"/>
      <c r="AD1188" s="189"/>
      <c r="AE1188" s="189"/>
      <c r="AF1188" s="189"/>
      <c r="AG1188" s="189"/>
      <c r="AH1188" s="189"/>
      <c r="AI1188" s="189"/>
      <c r="AJ1188" s="189"/>
      <c r="AK1188" s="189"/>
      <c r="AL1188" s="189"/>
      <c r="AM1188" s="189"/>
      <c r="AN1188" s="189"/>
      <c r="AO1188" s="189"/>
      <c r="AP1188" s="189"/>
      <c r="AQ1188" s="189"/>
      <c r="AR1188" s="189"/>
      <c r="AS1188" s="189"/>
      <c r="AT1188" s="189"/>
      <c r="AU1188" s="189"/>
      <c r="AV1188" s="189"/>
      <c r="AW1188" s="189"/>
      <c r="AX1188" s="189"/>
    </row>
    <row r="1189" ht="15.75" customHeight="1">
      <c r="A1189" s="189"/>
      <c r="B1189" s="189"/>
      <c r="C1189" s="190"/>
      <c r="D1189" s="190"/>
      <c r="E1189" s="190"/>
      <c r="F1189" s="190"/>
      <c r="G1189" s="189"/>
      <c r="H1189" s="189"/>
      <c r="I1189" s="189"/>
      <c r="J1189" s="189"/>
      <c r="K1189" s="189"/>
      <c r="L1189" s="189"/>
      <c r="M1189" s="189"/>
      <c r="N1189" s="189"/>
      <c r="O1189" s="189"/>
      <c r="P1189" s="291"/>
      <c r="Q1189" s="189"/>
      <c r="R1189" s="189"/>
      <c r="S1189" s="189"/>
      <c r="T1189" s="189"/>
      <c r="U1189" s="189"/>
      <c r="V1189" s="189"/>
      <c r="W1189" s="189"/>
      <c r="X1189" s="189"/>
      <c r="Y1189" s="189"/>
      <c r="Z1189" s="189"/>
      <c r="AA1189" s="189"/>
      <c r="AB1189" s="189"/>
      <c r="AC1189" s="189"/>
      <c r="AD1189" s="189"/>
      <c r="AE1189" s="189"/>
      <c r="AF1189" s="189"/>
      <c r="AG1189" s="189"/>
      <c r="AH1189" s="189"/>
      <c r="AI1189" s="189"/>
      <c r="AJ1189" s="189"/>
      <c r="AK1189" s="189"/>
      <c r="AL1189" s="189"/>
      <c r="AM1189" s="189"/>
      <c r="AN1189" s="189"/>
      <c r="AO1189" s="189"/>
      <c r="AP1189" s="189"/>
      <c r="AQ1189" s="189"/>
      <c r="AR1189" s="189"/>
      <c r="AS1189" s="189"/>
      <c r="AT1189" s="189"/>
      <c r="AU1189" s="189"/>
      <c r="AV1189" s="189"/>
      <c r="AW1189" s="189"/>
      <c r="AX1189" s="189"/>
    </row>
    <row r="1190" ht="15.75" customHeight="1">
      <c r="A1190" s="189"/>
      <c r="B1190" s="189"/>
      <c r="C1190" s="190"/>
      <c r="D1190" s="190"/>
      <c r="E1190" s="190"/>
      <c r="F1190" s="190"/>
      <c r="G1190" s="189"/>
      <c r="H1190" s="189"/>
      <c r="I1190" s="189"/>
      <c r="J1190" s="189"/>
      <c r="K1190" s="189"/>
      <c r="L1190" s="189"/>
      <c r="M1190" s="189"/>
      <c r="N1190" s="189"/>
      <c r="O1190" s="189"/>
      <c r="P1190" s="291"/>
      <c r="Q1190" s="189"/>
      <c r="R1190" s="189"/>
      <c r="S1190" s="189"/>
      <c r="T1190" s="189"/>
      <c r="U1190" s="189"/>
      <c r="V1190" s="189"/>
      <c r="W1190" s="189"/>
      <c r="X1190" s="189"/>
      <c r="Y1190" s="189"/>
      <c r="Z1190" s="189"/>
      <c r="AA1190" s="189"/>
      <c r="AB1190" s="189"/>
      <c r="AC1190" s="189"/>
      <c r="AD1190" s="189"/>
      <c r="AE1190" s="189"/>
      <c r="AF1190" s="189"/>
      <c r="AG1190" s="189"/>
      <c r="AH1190" s="189"/>
      <c r="AI1190" s="189"/>
      <c r="AJ1190" s="189"/>
      <c r="AK1190" s="189"/>
      <c r="AL1190" s="189"/>
      <c r="AM1190" s="189"/>
      <c r="AN1190" s="189"/>
      <c r="AO1190" s="189"/>
      <c r="AP1190" s="189"/>
      <c r="AQ1190" s="189"/>
      <c r="AR1190" s="189"/>
      <c r="AS1190" s="189"/>
      <c r="AT1190" s="189"/>
      <c r="AU1190" s="189"/>
      <c r="AV1190" s="189"/>
      <c r="AW1190" s="189"/>
      <c r="AX1190" s="189"/>
    </row>
    <row r="1191" ht="15.75" customHeight="1">
      <c r="A1191" s="189"/>
      <c r="B1191" s="189"/>
      <c r="C1191" s="190"/>
      <c r="D1191" s="190"/>
      <c r="E1191" s="190"/>
      <c r="F1191" s="190"/>
      <c r="G1191" s="189"/>
      <c r="H1191" s="189"/>
      <c r="I1191" s="189"/>
      <c r="J1191" s="189"/>
      <c r="K1191" s="189"/>
      <c r="L1191" s="189"/>
      <c r="M1191" s="189"/>
      <c r="N1191" s="189"/>
      <c r="O1191" s="189"/>
      <c r="P1191" s="291"/>
      <c r="Q1191" s="189"/>
      <c r="R1191" s="189"/>
      <c r="S1191" s="189"/>
      <c r="T1191" s="189"/>
      <c r="U1191" s="189"/>
      <c r="V1191" s="189"/>
      <c r="W1191" s="189"/>
      <c r="X1191" s="189"/>
      <c r="Y1191" s="189"/>
      <c r="Z1191" s="189"/>
      <c r="AA1191" s="189"/>
      <c r="AB1191" s="189"/>
      <c r="AC1191" s="189"/>
      <c r="AD1191" s="189"/>
      <c r="AE1191" s="189"/>
      <c r="AF1191" s="189"/>
      <c r="AG1191" s="189"/>
      <c r="AH1191" s="189"/>
      <c r="AI1191" s="189"/>
      <c r="AJ1191" s="189"/>
      <c r="AK1191" s="189"/>
      <c r="AL1191" s="189"/>
      <c r="AM1191" s="189"/>
      <c r="AN1191" s="189"/>
      <c r="AO1191" s="189"/>
      <c r="AP1191" s="189"/>
      <c r="AQ1191" s="189"/>
      <c r="AR1191" s="189"/>
      <c r="AS1191" s="189"/>
      <c r="AT1191" s="189"/>
      <c r="AU1191" s="189"/>
      <c r="AV1191" s="189"/>
      <c r="AW1191" s="189"/>
      <c r="AX1191" s="189"/>
    </row>
    <row r="1192" ht="15.75" customHeight="1">
      <c r="A1192" s="189"/>
      <c r="B1192" s="189"/>
      <c r="C1192" s="190"/>
      <c r="D1192" s="190"/>
      <c r="E1192" s="190"/>
      <c r="F1192" s="190"/>
      <c r="G1192" s="189"/>
      <c r="H1192" s="189"/>
      <c r="I1192" s="189"/>
      <c r="J1192" s="189"/>
      <c r="K1192" s="189"/>
      <c r="L1192" s="189"/>
      <c r="M1192" s="189"/>
      <c r="N1192" s="189"/>
      <c r="O1192" s="189"/>
      <c r="P1192" s="291"/>
      <c r="Q1192" s="189"/>
      <c r="R1192" s="189"/>
      <c r="S1192" s="189"/>
      <c r="T1192" s="189"/>
      <c r="U1192" s="189"/>
      <c r="V1192" s="189"/>
      <c r="W1192" s="189"/>
      <c r="X1192" s="189"/>
      <c r="Y1192" s="189"/>
      <c r="Z1192" s="189"/>
      <c r="AA1192" s="189"/>
      <c r="AB1192" s="189"/>
      <c r="AC1192" s="189"/>
      <c r="AD1192" s="189"/>
      <c r="AE1192" s="189"/>
      <c r="AF1192" s="189"/>
      <c r="AG1192" s="189"/>
      <c r="AH1192" s="189"/>
      <c r="AI1192" s="189"/>
      <c r="AJ1192" s="189"/>
      <c r="AK1192" s="189"/>
      <c r="AL1192" s="189"/>
      <c r="AM1192" s="189"/>
      <c r="AN1192" s="189"/>
      <c r="AO1192" s="189"/>
      <c r="AP1192" s="189"/>
      <c r="AQ1192" s="189"/>
      <c r="AR1192" s="189"/>
      <c r="AS1192" s="189"/>
      <c r="AT1192" s="189"/>
      <c r="AU1192" s="189"/>
      <c r="AV1192" s="189"/>
      <c r="AW1192" s="189"/>
      <c r="AX1192" s="189"/>
    </row>
    <row r="1193" ht="15.75" customHeight="1">
      <c r="A1193" s="189"/>
      <c r="B1193" s="189"/>
      <c r="C1193" s="190"/>
      <c r="D1193" s="190"/>
      <c r="E1193" s="190"/>
      <c r="F1193" s="190"/>
      <c r="G1193" s="189"/>
      <c r="H1193" s="189"/>
      <c r="I1193" s="189"/>
      <c r="J1193" s="189"/>
      <c r="K1193" s="189"/>
      <c r="L1193" s="189"/>
      <c r="M1193" s="189"/>
      <c r="N1193" s="189"/>
      <c r="O1193" s="189"/>
      <c r="P1193" s="291"/>
      <c r="Q1193" s="189"/>
      <c r="R1193" s="189"/>
      <c r="S1193" s="189"/>
      <c r="T1193" s="189"/>
      <c r="U1193" s="189"/>
      <c r="V1193" s="189"/>
      <c r="W1193" s="189"/>
      <c r="X1193" s="189"/>
      <c r="Y1193" s="189"/>
      <c r="Z1193" s="189"/>
      <c r="AA1193" s="189"/>
      <c r="AB1193" s="189"/>
      <c r="AC1193" s="189"/>
      <c r="AD1193" s="189"/>
      <c r="AE1193" s="189"/>
      <c r="AF1193" s="189"/>
      <c r="AG1193" s="189"/>
      <c r="AH1193" s="189"/>
      <c r="AI1193" s="189"/>
      <c r="AJ1193" s="189"/>
      <c r="AK1193" s="189"/>
      <c r="AL1193" s="189"/>
      <c r="AM1193" s="189"/>
      <c r="AN1193" s="189"/>
      <c r="AO1193" s="189"/>
      <c r="AP1193" s="189"/>
      <c r="AQ1193" s="189"/>
      <c r="AR1193" s="189"/>
      <c r="AS1193" s="189"/>
      <c r="AT1193" s="189"/>
      <c r="AU1193" s="189"/>
      <c r="AV1193" s="189"/>
      <c r="AW1193" s="189"/>
      <c r="AX1193" s="189"/>
    </row>
    <row r="1194" ht="15.75" customHeight="1">
      <c r="A1194" s="189"/>
      <c r="B1194" s="189"/>
      <c r="C1194" s="190"/>
      <c r="D1194" s="190"/>
      <c r="E1194" s="190"/>
      <c r="F1194" s="190"/>
      <c r="G1194" s="189"/>
      <c r="H1194" s="189"/>
      <c r="I1194" s="189"/>
      <c r="J1194" s="189"/>
      <c r="K1194" s="189"/>
      <c r="L1194" s="189"/>
      <c r="M1194" s="189"/>
      <c r="N1194" s="189"/>
      <c r="O1194" s="189"/>
      <c r="P1194" s="291"/>
      <c r="Q1194" s="189"/>
      <c r="R1194" s="189"/>
      <c r="S1194" s="189"/>
      <c r="T1194" s="189"/>
      <c r="U1194" s="189"/>
      <c r="V1194" s="189"/>
      <c r="W1194" s="189"/>
      <c r="X1194" s="189"/>
      <c r="Y1194" s="189"/>
      <c r="Z1194" s="189"/>
      <c r="AA1194" s="189"/>
      <c r="AB1194" s="189"/>
      <c r="AC1194" s="189"/>
      <c r="AD1194" s="189"/>
      <c r="AE1194" s="189"/>
      <c r="AF1194" s="189"/>
      <c r="AG1194" s="189"/>
      <c r="AH1194" s="189"/>
      <c r="AI1194" s="189"/>
      <c r="AJ1194" s="189"/>
      <c r="AK1194" s="189"/>
      <c r="AL1194" s="189"/>
      <c r="AM1194" s="189"/>
      <c r="AN1194" s="189"/>
      <c r="AO1194" s="189"/>
      <c r="AP1194" s="189"/>
      <c r="AQ1194" s="189"/>
      <c r="AR1194" s="189"/>
      <c r="AS1194" s="189"/>
      <c r="AT1194" s="189"/>
      <c r="AU1194" s="189"/>
      <c r="AV1194" s="189"/>
      <c r="AW1194" s="189"/>
      <c r="AX1194" s="189"/>
    </row>
    <row r="1195" ht="15.75" customHeight="1">
      <c r="A1195" s="189"/>
      <c r="B1195" s="189"/>
      <c r="C1195" s="190"/>
      <c r="D1195" s="190"/>
      <c r="E1195" s="190"/>
      <c r="F1195" s="190"/>
      <c r="G1195" s="189"/>
      <c r="H1195" s="189"/>
      <c r="I1195" s="189"/>
      <c r="J1195" s="189"/>
      <c r="K1195" s="189"/>
      <c r="L1195" s="189"/>
      <c r="M1195" s="189"/>
      <c r="N1195" s="189"/>
      <c r="O1195" s="189"/>
      <c r="P1195" s="291"/>
      <c r="Q1195" s="189"/>
      <c r="R1195" s="189"/>
      <c r="S1195" s="189"/>
      <c r="T1195" s="189"/>
      <c r="U1195" s="189"/>
      <c r="V1195" s="189"/>
      <c r="W1195" s="189"/>
      <c r="X1195" s="189"/>
      <c r="Y1195" s="189"/>
      <c r="Z1195" s="189"/>
      <c r="AA1195" s="189"/>
      <c r="AB1195" s="189"/>
      <c r="AC1195" s="189"/>
      <c r="AD1195" s="189"/>
      <c r="AE1195" s="189"/>
      <c r="AF1195" s="189"/>
      <c r="AG1195" s="189"/>
      <c r="AH1195" s="189"/>
      <c r="AI1195" s="189"/>
      <c r="AJ1195" s="189"/>
      <c r="AK1195" s="189"/>
      <c r="AL1195" s="189"/>
      <c r="AM1195" s="189"/>
      <c r="AN1195" s="189"/>
      <c r="AO1195" s="189"/>
      <c r="AP1195" s="189"/>
      <c r="AQ1195" s="189"/>
      <c r="AR1195" s="189"/>
      <c r="AS1195" s="189"/>
      <c r="AT1195" s="189"/>
      <c r="AU1195" s="189"/>
      <c r="AV1195" s="189"/>
      <c r="AW1195" s="189"/>
      <c r="AX1195" s="189"/>
    </row>
    <row r="1196" ht="15.75" customHeight="1">
      <c r="A1196" s="189"/>
      <c r="B1196" s="189"/>
      <c r="C1196" s="190"/>
      <c r="D1196" s="190"/>
      <c r="E1196" s="190"/>
      <c r="F1196" s="190"/>
      <c r="G1196" s="189"/>
      <c r="H1196" s="189"/>
      <c r="I1196" s="189"/>
      <c r="J1196" s="189"/>
      <c r="K1196" s="189"/>
      <c r="L1196" s="189"/>
      <c r="M1196" s="189"/>
      <c r="N1196" s="189"/>
      <c r="O1196" s="189"/>
      <c r="P1196" s="291"/>
      <c r="Q1196" s="189"/>
      <c r="R1196" s="189"/>
      <c r="S1196" s="189"/>
      <c r="T1196" s="189"/>
      <c r="U1196" s="189"/>
      <c r="V1196" s="189"/>
      <c r="W1196" s="189"/>
      <c r="X1196" s="189"/>
      <c r="Y1196" s="189"/>
      <c r="Z1196" s="189"/>
      <c r="AA1196" s="189"/>
      <c r="AB1196" s="189"/>
      <c r="AC1196" s="189"/>
      <c r="AD1196" s="189"/>
      <c r="AE1196" s="189"/>
      <c r="AF1196" s="189"/>
      <c r="AG1196" s="189"/>
      <c r="AH1196" s="189"/>
      <c r="AI1196" s="189"/>
      <c r="AJ1196" s="189"/>
      <c r="AK1196" s="189"/>
      <c r="AL1196" s="189"/>
      <c r="AM1196" s="189"/>
      <c r="AN1196" s="189"/>
      <c r="AO1196" s="189"/>
      <c r="AP1196" s="189"/>
      <c r="AQ1196" s="189"/>
      <c r="AR1196" s="189"/>
      <c r="AS1196" s="189"/>
      <c r="AT1196" s="189"/>
      <c r="AU1196" s="189"/>
      <c r="AV1196" s="189"/>
      <c r="AW1196" s="189"/>
      <c r="AX1196" s="189"/>
    </row>
    <row r="1197" ht="15.75" customHeight="1">
      <c r="A1197" s="189"/>
      <c r="B1197" s="189"/>
      <c r="C1197" s="190"/>
      <c r="D1197" s="190"/>
      <c r="E1197" s="190"/>
      <c r="F1197" s="190"/>
      <c r="G1197" s="189"/>
      <c r="H1197" s="189"/>
      <c r="I1197" s="189"/>
      <c r="J1197" s="189"/>
      <c r="K1197" s="189"/>
      <c r="L1197" s="189"/>
      <c r="M1197" s="189"/>
      <c r="N1197" s="189"/>
      <c r="O1197" s="189"/>
      <c r="P1197" s="291"/>
      <c r="Q1197" s="189"/>
      <c r="R1197" s="189"/>
      <c r="S1197" s="189"/>
      <c r="T1197" s="189"/>
      <c r="U1197" s="189"/>
      <c r="V1197" s="189"/>
      <c r="W1197" s="189"/>
      <c r="X1197" s="189"/>
      <c r="Y1197" s="189"/>
      <c r="Z1197" s="189"/>
      <c r="AA1197" s="189"/>
      <c r="AB1197" s="189"/>
      <c r="AC1197" s="189"/>
      <c r="AD1197" s="189"/>
      <c r="AE1197" s="189"/>
      <c r="AF1197" s="189"/>
      <c r="AG1197" s="189"/>
      <c r="AH1197" s="189"/>
      <c r="AI1197" s="189"/>
      <c r="AJ1197" s="189"/>
      <c r="AK1197" s="189"/>
      <c r="AL1197" s="189"/>
      <c r="AM1197" s="189"/>
      <c r="AN1197" s="189"/>
      <c r="AO1197" s="189"/>
      <c r="AP1197" s="189"/>
      <c r="AQ1197" s="189"/>
      <c r="AR1197" s="189"/>
      <c r="AS1197" s="189"/>
      <c r="AT1197" s="189"/>
      <c r="AU1197" s="189"/>
      <c r="AV1197" s="189"/>
      <c r="AW1197" s="189"/>
      <c r="AX1197" s="189"/>
    </row>
    <row r="1198" ht="15.75" customHeight="1">
      <c r="A1198" s="189"/>
      <c r="B1198" s="189"/>
      <c r="C1198" s="190"/>
      <c r="D1198" s="190"/>
      <c r="E1198" s="190"/>
      <c r="F1198" s="190"/>
      <c r="G1198" s="189"/>
      <c r="H1198" s="189"/>
      <c r="I1198" s="189"/>
      <c r="J1198" s="189"/>
      <c r="K1198" s="189"/>
      <c r="L1198" s="189"/>
      <c r="M1198" s="189"/>
      <c r="N1198" s="189"/>
      <c r="O1198" s="189"/>
      <c r="P1198" s="291"/>
      <c r="Q1198" s="189"/>
      <c r="R1198" s="189"/>
      <c r="S1198" s="189"/>
      <c r="T1198" s="189"/>
      <c r="U1198" s="189"/>
      <c r="V1198" s="189"/>
      <c r="W1198" s="189"/>
      <c r="X1198" s="189"/>
      <c r="Y1198" s="189"/>
      <c r="Z1198" s="189"/>
      <c r="AA1198" s="189"/>
      <c r="AB1198" s="189"/>
      <c r="AC1198" s="189"/>
      <c r="AD1198" s="189"/>
      <c r="AE1198" s="189"/>
      <c r="AF1198" s="189"/>
      <c r="AG1198" s="189"/>
      <c r="AH1198" s="189"/>
      <c r="AI1198" s="189"/>
      <c r="AJ1198" s="189"/>
      <c r="AK1198" s="189"/>
      <c r="AL1198" s="189"/>
      <c r="AM1198" s="189"/>
      <c r="AN1198" s="189"/>
      <c r="AO1198" s="189"/>
      <c r="AP1198" s="189"/>
      <c r="AQ1198" s="189"/>
      <c r="AR1198" s="189"/>
      <c r="AS1198" s="189"/>
      <c r="AT1198" s="189"/>
      <c r="AU1198" s="189"/>
      <c r="AV1198" s="189"/>
      <c r="AW1198" s="189"/>
      <c r="AX1198" s="189"/>
    </row>
    <row r="1199" ht="15.75" customHeight="1">
      <c r="A1199" s="189"/>
      <c r="B1199" s="189"/>
      <c r="C1199" s="190"/>
      <c r="D1199" s="190"/>
      <c r="E1199" s="190"/>
      <c r="F1199" s="190"/>
      <c r="G1199" s="189"/>
      <c r="H1199" s="189"/>
      <c r="I1199" s="189"/>
      <c r="J1199" s="189"/>
      <c r="K1199" s="189"/>
      <c r="L1199" s="189"/>
      <c r="M1199" s="189"/>
      <c r="N1199" s="189"/>
      <c r="O1199" s="189"/>
      <c r="P1199" s="291"/>
      <c r="Q1199" s="189"/>
      <c r="R1199" s="189"/>
      <c r="S1199" s="189"/>
      <c r="T1199" s="189"/>
      <c r="U1199" s="189"/>
      <c r="V1199" s="189"/>
      <c r="W1199" s="189"/>
      <c r="X1199" s="189"/>
      <c r="Y1199" s="189"/>
      <c r="Z1199" s="189"/>
      <c r="AA1199" s="189"/>
      <c r="AB1199" s="189"/>
      <c r="AC1199" s="189"/>
      <c r="AD1199" s="189"/>
      <c r="AE1199" s="189"/>
      <c r="AF1199" s="189"/>
      <c r="AG1199" s="189"/>
      <c r="AH1199" s="189"/>
      <c r="AI1199" s="189"/>
      <c r="AJ1199" s="189"/>
      <c r="AK1199" s="189"/>
      <c r="AL1199" s="189"/>
      <c r="AM1199" s="189"/>
      <c r="AN1199" s="189"/>
      <c r="AO1199" s="189"/>
      <c r="AP1199" s="189"/>
      <c r="AQ1199" s="189"/>
      <c r="AR1199" s="189"/>
      <c r="AS1199" s="189"/>
      <c r="AT1199" s="189"/>
      <c r="AU1199" s="189"/>
      <c r="AV1199" s="189"/>
      <c r="AW1199" s="189"/>
      <c r="AX1199" s="189"/>
    </row>
    <row r="1200" ht="15.75" customHeight="1">
      <c r="A1200" s="189"/>
      <c r="B1200" s="189"/>
      <c r="C1200" s="190"/>
      <c r="D1200" s="190"/>
      <c r="E1200" s="190"/>
      <c r="F1200" s="190"/>
      <c r="G1200" s="189"/>
      <c r="H1200" s="189"/>
      <c r="I1200" s="189"/>
      <c r="J1200" s="189"/>
      <c r="K1200" s="189"/>
      <c r="L1200" s="189"/>
      <c r="M1200" s="189"/>
      <c r="N1200" s="189"/>
      <c r="O1200" s="189"/>
      <c r="P1200" s="291"/>
      <c r="Q1200" s="189"/>
      <c r="R1200" s="189"/>
      <c r="S1200" s="189"/>
      <c r="T1200" s="189"/>
      <c r="U1200" s="189"/>
      <c r="V1200" s="189"/>
      <c r="W1200" s="189"/>
      <c r="X1200" s="189"/>
      <c r="Y1200" s="189"/>
      <c r="Z1200" s="189"/>
      <c r="AA1200" s="189"/>
      <c r="AB1200" s="189"/>
      <c r="AC1200" s="189"/>
      <c r="AD1200" s="189"/>
      <c r="AE1200" s="189"/>
      <c r="AF1200" s="189"/>
      <c r="AG1200" s="189"/>
      <c r="AH1200" s="189"/>
      <c r="AI1200" s="189"/>
      <c r="AJ1200" s="189"/>
      <c r="AK1200" s="189"/>
      <c r="AL1200" s="189"/>
      <c r="AM1200" s="189"/>
      <c r="AN1200" s="189"/>
      <c r="AO1200" s="189"/>
      <c r="AP1200" s="189"/>
      <c r="AQ1200" s="189"/>
      <c r="AR1200" s="189"/>
      <c r="AS1200" s="189"/>
      <c r="AT1200" s="189"/>
      <c r="AU1200" s="189"/>
      <c r="AV1200" s="189"/>
      <c r="AW1200" s="189"/>
      <c r="AX1200" s="189"/>
    </row>
    <row r="1201" ht="15.75" customHeight="1">
      <c r="A1201" s="189"/>
      <c r="B1201" s="189"/>
      <c r="C1201" s="190"/>
      <c r="D1201" s="190"/>
      <c r="E1201" s="190"/>
      <c r="F1201" s="190"/>
      <c r="G1201" s="189"/>
      <c r="H1201" s="189"/>
      <c r="I1201" s="189"/>
      <c r="J1201" s="189"/>
      <c r="K1201" s="189"/>
      <c r="L1201" s="189"/>
      <c r="M1201" s="189"/>
      <c r="N1201" s="189"/>
      <c r="O1201" s="189"/>
      <c r="P1201" s="291"/>
      <c r="Q1201" s="189"/>
      <c r="R1201" s="189"/>
      <c r="S1201" s="189"/>
      <c r="T1201" s="189"/>
      <c r="U1201" s="189"/>
      <c r="V1201" s="189"/>
      <c r="W1201" s="189"/>
      <c r="X1201" s="189"/>
      <c r="Y1201" s="189"/>
      <c r="Z1201" s="189"/>
      <c r="AA1201" s="189"/>
      <c r="AB1201" s="189"/>
      <c r="AC1201" s="189"/>
      <c r="AD1201" s="189"/>
      <c r="AE1201" s="189"/>
      <c r="AF1201" s="189"/>
      <c r="AG1201" s="189"/>
      <c r="AH1201" s="189"/>
      <c r="AI1201" s="189"/>
      <c r="AJ1201" s="189"/>
      <c r="AK1201" s="189"/>
      <c r="AL1201" s="189"/>
      <c r="AM1201" s="189"/>
      <c r="AN1201" s="189"/>
      <c r="AO1201" s="189"/>
      <c r="AP1201" s="189"/>
      <c r="AQ1201" s="189"/>
      <c r="AR1201" s="189"/>
      <c r="AS1201" s="189"/>
      <c r="AT1201" s="189"/>
      <c r="AU1201" s="189"/>
      <c r="AV1201" s="189"/>
      <c r="AW1201" s="189"/>
      <c r="AX1201" s="189"/>
    </row>
    <row r="1202" ht="15.75" customHeight="1">
      <c r="A1202" s="189"/>
      <c r="B1202" s="189"/>
      <c r="C1202" s="190"/>
      <c r="D1202" s="190"/>
      <c r="E1202" s="190"/>
      <c r="F1202" s="190"/>
      <c r="G1202" s="189"/>
      <c r="H1202" s="189"/>
      <c r="I1202" s="189"/>
      <c r="J1202" s="189"/>
      <c r="K1202" s="189"/>
      <c r="L1202" s="189"/>
      <c r="M1202" s="189"/>
      <c r="N1202" s="189"/>
      <c r="O1202" s="189"/>
      <c r="P1202" s="291"/>
      <c r="Q1202" s="189"/>
      <c r="R1202" s="189"/>
      <c r="S1202" s="189"/>
      <c r="T1202" s="189"/>
      <c r="U1202" s="189"/>
      <c r="V1202" s="189"/>
      <c r="W1202" s="189"/>
      <c r="X1202" s="189"/>
      <c r="Y1202" s="189"/>
      <c r="Z1202" s="189"/>
      <c r="AA1202" s="189"/>
      <c r="AB1202" s="189"/>
      <c r="AC1202" s="189"/>
      <c r="AD1202" s="189"/>
      <c r="AE1202" s="189"/>
      <c r="AF1202" s="189"/>
      <c r="AG1202" s="189"/>
      <c r="AH1202" s="189"/>
      <c r="AI1202" s="189"/>
      <c r="AJ1202" s="189"/>
      <c r="AK1202" s="189"/>
      <c r="AL1202" s="189"/>
      <c r="AM1202" s="189"/>
      <c r="AN1202" s="189"/>
      <c r="AO1202" s="189"/>
      <c r="AP1202" s="189"/>
      <c r="AQ1202" s="189"/>
      <c r="AR1202" s="189"/>
      <c r="AS1202" s="189"/>
      <c r="AT1202" s="189"/>
      <c r="AU1202" s="189"/>
      <c r="AV1202" s="189"/>
      <c r="AW1202" s="189"/>
      <c r="AX1202" s="189"/>
    </row>
    <row r="1203" ht="15.75" customHeight="1">
      <c r="A1203" s="189"/>
      <c r="B1203" s="189"/>
      <c r="C1203" s="190"/>
      <c r="D1203" s="190"/>
      <c r="E1203" s="190"/>
      <c r="F1203" s="190"/>
      <c r="G1203" s="189"/>
      <c r="H1203" s="189"/>
      <c r="I1203" s="189"/>
      <c r="J1203" s="189"/>
      <c r="K1203" s="189"/>
      <c r="L1203" s="189"/>
      <c r="M1203" s="189"/>
      <c r="N1203" s="189"/>
      <c r="O1203" s="189"/>
      <c r="P1203" s="291"/>
      <c r="Q1203" s="189"/>
      <c r="R1203" s="189"/>
      <c r="S1203" s="189"/>
      <c r="T1203" s="189"/>
      <c r="U1203" s="189"/>
      <c r="V1203" s="189"/>
      <c r="W1203" s="189"/>
      <c r="X1203" s="189"/>
      <c r="Y1203" s="189"/>
      <c r="Z1203" s="189"/>
      <c r="AA1203" s="189"/>
      <c r="AB1203" s="189"/>
      <c r="AC1203" s="189"/>
      <c r="AD1203" s="189"/>
      <c r="AE1203" s="189"/>
      <c r="AF1203" s="189"/>
      <c r="AG1203" s="189"/>
      <c r="AH1203" s="189"/>
      <c r="AI1203" s="189"/>
      <c r="AJ1203" s="189"/>
      <c r="AK1203" s="189"/>
      <c r="AL1203" s="189"/>
      <c r="AM1203" s="189"/>
      <c r="AN1203" s="189"/>
      <c r="AO1203" s="189"/>
      <c r="AP1203" s="189"/>
      <c r="AQ1203" s="189"/>
      <c r="AR1203" s="189"/>
      <c r="AS1203" s="189"/>
      <c r="AT1203" s="189"/>
      <c r="AU1203" s="189"/>
      <c r="AV1203" s="189"/>
      <c r="AW1203" s="189"/>
      <c r="AX1203" s="189"/>
    </row>
    <row r="1204" ht="15.75" customHeight="1">
      <c r="A1204" s="189"/>
      <c r="B1204" s="189"/>
      <c r="C1204" s="190"/>
      <c r="D1204" s="190"/>
      <c r="E1204" s="190"/>
      <c r="F1204" s="190"/>
      <c r="G1204" s="189"/>
      <c r="H1204" s="189"/>
      <c r="I1204" s="189"/>
      <c r="J1204" s="189"/>
      <c r="K1204" s="189"/>
      <c r="L1204" s="189"/>
      <c r="M1204" s="189"/>
      <c r="N1204" s="189"/>
      <c r="O1204" s="189"/>
      <c r="P1204" s="291"/>
      <c r="Q1204" s="189"/>
      <c r="R1204" s="189"/>
      <c r="S1204" s="189"/>
      <c r="T1204" s="189"/>
      <c r="U1204" s="189"/>
      <c r="V1204" s="189"/>
      <c r="W1204" s="189"/>
      <c r="X1204" s="189"/>
      <c r="Y1204" s="189"/>
      <c r="Z1204" s="189"/>
      <c r="AA1204" s="189"/>
      <c r="AB1204" s="189"/>
      <c r="AC1204" s="189"/>
      <c r="AD1204" s="189"/>
      <c r="AE1204" s="189"/>
      <c r="AF1204" s="189"/>
      <c r="AG1204" s="189"/>
      <c r="AH1204" s="189"/>
      <c r="AI1204" s="189"/>
      <c r="AJ1204" s="189"/>
      <c r="AK1204" s="189"/>
      <c r="AL1204" s="189"/>
      <c r="AM1204" s="189"/>
      <c r="AN1204" s="189"/>
      <c r="AO1204" s="189"/>
      <c r="AP1204" s="189"/>
      <c r="AQ1204" s="189"/>
      <c r="AR1204" s="189"/>
      <c r="AS1204" s="189"/>
      <c r="AT1204" s="189"/>
      <c r="AU1204" s="189"/>
      <c r="AV1204" s="189"/>
      <c r="AW1204" s="189"/>
      <c r="AX1204" s="189"/>
    </row>
    <row r="1205" ht="15.75" customHeight="1">
      <c r="A1205" s="189"/>
      <c r="B1205" s="189"/>
      <c r="C1205" s="190"/>
      <c r="D1205" s="190"/>
      <c r="E1205" s="190"/>
      <c r="F1205" s="190"/>
      <c r="G1205" s="189"/>
      <c r="H1205" s="189"/>
      <c r="I1205" s="189"/>
      <c r="J1205" s="189"/>
      <c r="K1205" s="189"/>
      <c r="L1205" s="189"/>
      <c r="M1205" s="189"/>
      <c r="N1205" s="189"/>
      <c r="O1205" s="189"/>
      <c r="P1205" s="291"/>
      <c r="Q1205" s="189"/>
      <c r="R1205" s="189"/>
      <c r="S1205" s="189"/>
      <c r="T1205" s="189"/>
      <c r="U1205" s="189"/>
      <c r="V1205" s="189"/>
      <c r="W1205" s="189"/>
      <c r="X1205" s="189"/>
      <c r="Y1205" s="189"/>
      <c r="Z1205" s="189"/>
      <c r="AA1205" s="189"/>
      <c r="AB1205" s="189"/>
      <c r="AC1205" s="189"/>
      <c r="AD1205" s="189"/>
      <c r="AE1205" s="189"/>
      <c r="AF1205" s="189"/>
      <c r="AG1205" s="189"/>
      <c r="AH1205" s="189"/>
      <c r="AI1205" s="189"/>
      <c r="AJ1205" s="189"/>
      <c r="AK1205" s="189"/>
      <c r="AL1205" s="189"/>
      <c r="AM1205" s="189"/>
      <c r="AN1205" s="189"/>
      <c r="AO1205" s="189"/>
      <c r="AP1205" s="189"/>
      <c r="AQ1205" s="189"/>
      <c r="AR1205" s="189"/>
      <c r="AS1205" s="189"/>
      <c r="AT1205" s="189"/>
      <c r="AU1205" s="189"/>
      <c r="AV1205" s="189"/>
      <c r="AW1205" s="189"/>
      <c r="AX1205" s="189"/>
    </row>
    <row r="1206" ht="15.75" customHeight="1">
      <c r="A1206" s="189"/>
      <c r="B1206" s="189"/>
      <c r="C1206" s="190"/>
      <c r="D1206" s="190"/>
      <c r="E1206" s="190"/>
      <c r="F1206" s="190"/>
      <c r="G1206" s="189"/>
      <c r="H1206" s="189"/>
      <c r="I1206" s="189"/>
      <c r="J1206" s="189"/>
      <c r="K1206" s="189"/>
      <c r="L1206" s="189"/>
      <c r="M1206" s="189"/>
      <c r="N1206" s="189"/>
      <c r="O1206" s="189"/>
      <c r="P1206" s="291"/>
      <c r="Q1206" s="189"/>
      <c r="R1206" s="189"/>
      <c r="S1206" s="189"/>
      <c r="T1206" s="189"/>
      <c r="U1206" s="189"/>
      <c r="V1206" s="189"/>
      <c r="W1206" s="189"/>
      <c r="X1206" s="189"/>
      <c r="Y1206" s="189"/>
      <c r="Z1206" s="189"/>
      <c r="AA1206" s="189"/>
      <c r="AB1206" s="189"/>
      <c r="AC1206" s="189"/>
      <c r="AD1206" s="189"/>
      <c r="AE1206" s="189"/>
      <c r="AF1206" s="189"/>
      <c r="AG1206" s="189"/>
      <c r="AH1206" s="189"/>
      <c r="AI1206" s="189"/>
      <c r="AJ1206" s="189"/>
      <c r="AK1206" s="189"/>
      <c r="AL1206" s="189"/>
      <c r="AM1206" s="189"/>
      <c r="AN1206" s="189"/>
      <c r="AO1206" s="189"/>
      <c r="AP1206" s="189"/>
      <c r="AQ1206" s="189"/>
      <c r="AR1206" s="189"/>
      <c r="AS1206" s="189"/>
      <c r="AT1206" s="189"/>
      <c r="AU1206" s="189"/>
      <c r="AV1206" s="189"/>
      <c r="AW1206" s="189"/>
      <c r="AX1206" s="189"/>
    </row>
    <row r="1207" ht="15.75" customHeight="1">
      <c r="A1207" s="189"/>
      <c r="B1207" s="189"/>
      <c r="C1207" s="190"/>
      <c r="D1207" s="190"/>
      <c r="E1207" s="190"/>
      <c r="F1207" s="190"/>
      <c r="G1207" s="189"/>
      <c r="H1207" s="189"/>
      <c r="I1207" s="189"/>
      <c r="J1207" s="189"/>
      <c r="K1207" s="189"/>
      <c r="L1207" s="189"/>
      <c r="M1207" s="189"/>
      <c r="N1207" s="189"/>
      <c r="O1207" s="189"/>
      <c r="P1207" s="291"/>
      <c r="Q1207" s="189"/>
      <c r="R1207" s="189"/>
      <c r="S1207" s="189"/>
      <c r="T1207" s="189"/>
      <c r="U1207" s="189"/>
      <c r="V1207" s="189"/>
      <c r="W1207" s="189"/>
      <c r="X1207" s="189"/>
      <c r="Y1207" s="189"/>
      <c r="Z1207" s="189"/>
      <c r="AA1207" s="189"/>
      <c r="AB1207" s="189"/>
      <c r="AC1207" s="189"/>
      <c r="AD1207" s="189"/>
      <c r="AE1207" s="189"/>
      <c r="AF1207" s="189"/>
      <c r="AG1207" s="189"/>
      <c r="AH1207" s="189"/>
      <c r="AI1207" s="189"/>
      <c r="AJ1207" s="189"/>
      <c r="AK1207" s="189"/>
      <c r="AL1207" s="189"/>
      <c r="AM1207" s="189"/>
      <c r="AN1207" s="189"/>
      <c r="AO1207" s="189"/>
      <c r="AP1207" s="189"/>
      <c r="AQ1207" s="189"/>
      <c r="AR1207" s="189"/>
      <c r="AS1207" s="189"/>
      <c r="AT1207" s="189"/>
      <c r="AU1207" s="189"/>
      <c r="AV1207" s="189"/>
      <c r="AW1207" s="189"/>
      <c r="AX1207" s="189"/>
    </row>
    <row r="1208" ht="15.75" customHeight="1">
      <c r="A1208" s="189"/>
      <c r="B1208" s="189"/>
      <c r="C1208" s="190"/>
      <c r="D1208" s="190"/>
      <c r="E1208" s="190"/>
      <c r="F1208" s="190"/>
      <c r="G1208" s="189"/>
      <c r="H1208" s="189"/>
      <c r="I1208" s="189"/>
      <c r="J1208" s="189"/>
      <c r="K1208" s="189"/>
      <c r="L1208" s="189"/>
      <c r="M1208" s="189"/>
      <c r="N1208" s="189"/>
      <c r="O1208" s="189"/>
      <c r="P1208" s="291"/>
      <c r="Q1208" s="189"/>
      <c r="R1208" s="189"/>
      <c r="S1208" s="189"/>
      <c r="T1208" s="189"/>
      <c r="U1208" s="189"/>
      <c r="V1208" s="189"/>
      <c r="W1208" s="189"/>
      <c r="X1208" s="189"/>
      <c r="Y1208" s="189"/>
      <c r="Z1208" s="189"/>
      <c r="AA1208" s="189"/>
      <c r="AB1208" s="189"/>
      <c r="AC1208" s="189"/>
      <c r="AD1208" s="189"/>
      <c r="AE1208" s="189"/>
      <c r="AF1208" s="189"/>
      <c r="AG1208" s="189"/>
      <c r="AH1208" s="189"/>
      <c r="AI1208" s="189"/>
      <c r="AJ1208" s="189"/>
      <c r="AK1208" s="189"/>
      <c r="AL1208" s="189"/>
      <c r="AM1208" s="189"/>
      <c r="AN1208" s="189"/>
      <c r="AO1208" s="189"/>
      <c r="AP1208" s="189"/>
      <c r="AQ1208" s="189"/>
      <c r="AR1208" s="189"/>
      <c r="AS1208" s="189"/>
      <c r="AT1208" s="189"/>
      <c r="AU1208" s="189"/>
      <c r="AV1208" s="189"/>
      <c r="AW1208" s="189"/>
      <c r="AX1208" s="189"/>
    </row>
    <row r="1209" ht="15.75" customHeight="1">
      <c r="A1209" s="189"/>
      <c r="B1209" s="189"/>
      <c r="C1209" s="190"/>
      <c r="D1209" s="190"/>
      <c r="E1209" s="190"/>
      <c r="F1209" s="190"/>
      <c r="G1209" s="189"/>
      <c r="H1209" s="189"/>
      <c r="I1209" s="189"/>
      <c r="J1209" s="189"/>
      <c r="K1209" s="189"/>
      <c r="L1209" s="189"/>
      <c r="M1209" s="189"/>
      <c r="N1209" s="189"/>
      <c r="O1209" s="189"/>
      <c r="P1209" s="291"/>
      <c r="Q1209" s="189"/>
      <c r="R1209" s="189"/>
      <c r="S1209" s="189"/>
      <c r="T1209" s="189"/>
      <c r="U1209" s="189"/>
      <c r="V1209" s="189"/>
      <c r="W1209" s="189"/>
      <c r="X1209" s="189"/>
      <c r="Y1209" s="189"/>
      <c r="Z1209" s="189"/>
      <c r="AA1209" s="189"/>
      <c r="AB1209" s="189"/>
      <c r="AC1209" s="189"/>
      <c r="AD1209" s="189"/>
      <c r="AE1209" s="189"/>
      <c r="AF1209" s="189"/>
      <c r="AG1209" s="189"/>
      <c r="AH1209" s="189"/>
      <c r="AI1209" s="189"/>
      <c r="AJ1209" s="189"/>
      <c r="AK1209" s="189"/>
      <c r="AL1209" s="189"/>
      <c r="AM1209" s="189"/>
      <c r="AN1209" s="189"/>
      <c r="AO1209" s="189"/>
      <c r="AP1209" s="189"/>
      <c r="AQ1209" s="189"/>
      <c r="AR1209" s="189"/>
      <c r="AS1209" s="189"/>
      <c r="AT1209" s="189"/>
      <c r="AU1209" s="189"/>
      <c r="AV1209" s="189"/>
      <c r="AW1209" s="189"/>
      <c r="AX1209" s="189"/>
    </row>
    <row r="1210" ht="15.75" customHeight="1">
      <c r="A1210" s="189"/>
      <c r="B1210" s="189"/>
      <c r="C1210" s="190"/>
      <c r="D1210" s="190"/>
      <c r="E1210" s="190"/>
      <c r="F1210" s="190"/>
      <c r="G1210" s="189"/>
      <c r="H1210" s="189"/>
      <c r="I1210" s="189"/>
      <c r="J1210" s="189"/>
      <c r="K1210" s="189"/>
      <c r="L1210" s="189"/>
      <c r="M1210" s="189"/>
      <c r="N1210" s="189"/>
      <c r="O1210" s="189"/>
      <c r="P1210" s="291"/>
      <c r="Q1210" s="189"/>
      <c r="R1210" s="189"/>
      <c r="S1210" s="189"/>
      <c r="T1210" s="189"/>
      <c r="U1210" s="189"/>
      <c r="V1210" s="189"/>
      <c r="W1210" s="189"/>
      <c r="X1210" s="189"/>
      <c r="Y1210" s="189"/>
      <c r="Z1210" s="189"/>
      <c r="AA1210" s="189"/>
      <c r="AB1210" s="189"/>
      <c r="AC1210" s="189"/>
      <c r="AD1210" s="189"/>
      <c r="AE1210" s="189"/>
      <c r="AF1210" s="189"/>
      <c r="AG1210" s="189"/>
      <c r="AH1210" s="189"/>
      <c r="AI1210" s="189"/>
      <c r="AJ1210" s="189"/>
      <c r="AK1210" s="189"/>
      <c r="AL1210" s="189"/>
      <c r="AM1210" s="189"/>
      <c r="AN1210" s="189"/>
      <c r="AO1210" s="189"/>
      <c r="AP1210" s="189"/>
      <c r="AQ1210" s="189"/>
      <c r="AR1210" s="189"/>
      <c r="AS1210" s="189"/>
      <c r="AT1210" s="189"/>
      <c r="AU1210" s="189"/>
      <c r="AV1210" s="189"/>
      <c r="AW1210" s="189"/>
      <c r="AX1210" s="189"/>
    </row>
    <row r="1211" ht="15.75" customHeight="1">
      <c r="A1211" s="189"/>
      <c r="B1211" s="189"/>
      <c r="C1211" s="190"/>
      <c r="D1211" s="190"/>
      <c r="E1211" s="190"/>
      <c r="F1211" s="190"/>
      <c r="G1211" s="189"/>
      <c r="H1211" s="189"/>
      <c r="I1211" s="189"/>
      <c r="J1211" s="189"/>
      <c r="K1211" s="189"/>
      <c r="L1211" s="189"/>
      <c r="M1211" s="189"/>
      <c r="N1211" s="189"/>
      <c r="O1211" s="189"/>
      <c r="P1211" s="291"/>
      <c r="Q1211" s="189"/>
      <c r="R1211" s="189"/>
      <c r="S1211" s="189"/>
      <c r="T1211" s="189"/>
      <c r="U1211" s="189"/>
      <c r="V1211" s="189"/>
      <c r="W1211" s="189"/>
      <c r="X1211" s="189"/>
      <c r="Y1211" s="189"/>
      <c r="Z1211" s="189"/>
      <c r="AA1211" s="189"/>
      <c r="AB1211" s="189"/>
      <c r="AC1211" s="189"/>
      <c r="AD1211" s="189"/>
      <c r="AE1211" s="189"/>
      <c r="AF1211" s="189"/>
      <c r="AG1211" s="189"/>
      <c r="AH1211" s="189"/>
      <c r="AI1211" s="189"/>
      <c r="AJ1211" s="189"/>
      <c r="AK1211" s="189"/>
      <c r="AL1211" s="189"/>
      <c r="AM1211" s="189"/>
      <c r="AN1211" s="189"/>
      <c r="AO1211" s="189"/>
      <c r="AP1211" s="189"/>
      <c r="AQ1211" s="189"/>
      <c r="AR1211" s="189"/>
      <c r="AS1211" s="189"/>
      <c r="AT1211" s="189"/>
      <c r="AU1211" s="189"/>
      <c r="AV1211" s="189"/>
      <c r="AW1211" s="189"/>
      <c r="AX1211" s="189"/>
    </row>
    <row r="1212" ht="15.75" customHeight="1">
      <c r="A1212" s="189"/>
      <c r="B1212" s="189"/>
      <c r="C1212" s="190"/>
      <c r="D1212" s="190"/>
      <c r="E1212" s="190"/>
      <c r="F1212" s="190"/>
      <c r="G1212" s="189"/>
      <c r="H1212" s="189"/>
      <c r="I1212" s="189"/>
      <c r="J1212" s="189"/>
      <c r="K1212" s="189"/>
      <c r="L1212" s="189"/>
      <c r="M1212" s="189"/>
      <c r="N1212" s="189"/>
      <c r="O1212" s="189"/>
      <c r="P1212" s="291"/>
      <c r="Q1212" s="189"/>
      <c r="R1212" s="189"/>
      <c r="S1212" s="189"/>
      <c r="T1212" s="189"/>
      <c r="U1212" s="189"/>
      <c r="V1212" s="189"/>
      <c r="W1212" s="189"/>
      <c r="X1212" s="189"/>
      <c r="Y1212" s="189"/>
      <c r="Z1212" s="189"/>
      <c r="AA1212" s="189"/>
      <c r="AB1212" s="189"/>
      <c r="AC1212" s="189"/>
      <c r="AD1212" s="189"/>
      <c r="AE1212" s="189"/>
      <c r="AF1212" s="189"/>
      <c r="AG1212" s="189"/>
      <c r="AH1212" s="189"/>
      <c r="AI1212" s="189"/>
      <c r="AJ1212" s="189"/>
      <c r="AK1212" s="189"/>
      <c r="AL1212" s="189"/>
      <c r="AM1212" s="189"/>
      <c r="AN1212" s="189"/>
      <c r="AO1212" s="189"/>
      <c r="AP1212" s="189"/>
      <c r="AQ1212" s="189"/>
      <c r="AR1212" s="189"/>
      <c r="AS1212" s="189"/>
      <c r="AT1212" s="189"/>
      <c r="AU1212" s="189"/>
      <c r="AV1212" s="189"/>
      <c r="AW1212" s="189"/>
      <c r="AX1212" s="189"/>
    </row>
    <row r="1213" ht="15.75" customHeight="1">
      <c r="A1213" s="189"/>
      <c r="B1213" s="189"/>
      <c r="C1213" s="190"/>
      <c r="D1213" s="190"/>
      <c r="E1213" s="190"/>
      <c r="F1213" s="190"/>
      <c r="G1213" s="189"/>
      <c r="H1213" s="189"/>
      <c r="I1213" s="189"/>
      <c r="J1213" s="189"/>
      <c r="K1213" s="189"/>
      <c r="L1213" s="189"/>
      <c r="M1213" s="189"/>
      <c r="N1213" s="189"/>
      <c r="O1213" s="189"/>
      <c r="P1213" s="291"/>
      <c r="Q1213" s="189"/>
      <c r="R1213" s="189"/>
      <c r="S1213" s="189"/>
      <c r="T1213" s="189"/>
      <c r="U1213" s="189"/>
      <c r="V1213" s="189"/>
      <c r="W1213" s="189"/>
      <c r="X1213" s="189"/>
      <c r="Y1213" s="189"/>
      <c r="Z1213" s="189"/>
      <c r="AA1213" s="189"/>
      <c r="AB1213" s="189"/>
      <c r="AC1213" s="189"/>
      <c r="AD1213" s="189"/>
      <c r="AE1213" s="189"/>
      <c r="AF1213" s="189"/>
      <c r="AG1213" s="189"/>
      <c r="AH1213" s="189"/>
      <c r="AI1213" s="189"/>
      <c r="AJ1213" s="189"/>
      <c r="AK1213" s="189"/>
      <c r="AL1213" s="189"/>
      <c r="AM1213" s="189"/>
      <c r="AN1213" s="189"/>
      <c r="AO1213" s="189"/>
      <c r="AP1213" s="189"/>
      <c r="AQ1213" s="189"/>
      <c r="AR1213" s="189"/>
      <c r="AS1213" s="189"/>
      <c r="AT1213" s="189"/>
      <c r="AU1213" s="189"/>
      <c r="AV1213" s="189"/>
      <c r="AW1213" s="189"/>
      <c r="AX1213" s="189"/>
    </row>
    <row r="1214" ht="15.75" customHeight="1">
      <c r="A1214" s="189"/>
      <c r="B1214" s="189"/>
      <c r="C1214" s="190"/>
      <c r="D1214" s="190"/>
      <c r="E1214" s="190"/>
      <c r="F1214" s="190"/>
      <c r="G1214" s="189"/>
      <c r="H1214" s="189"/>
      <c r="I1214" s="189"/>
      <c r="J1214" s="189"/>
      <c r="K1214" s="189"/>
      <c r="L1214" s="189"/>
      <c r="M1214" s="189"/>
      <c r="N1214" s="189"/>
      <c r="O1214" s="189"/>
      <c r="P1214" s="291"/>
      <c r="Q1214" s="189"/>
      <c r="R1214" s="189"/>
      <c r="S1214" s="189"/>
      <c r="T1214" s="189"/>
      <c r="U1214" s="189"/>
      <c r="V1214" s="189"/>
      <c r="W1214" s="189"/>
      <c r="X1214" s="189"/>
      <c r="Y1214" s="189"/>
      <c r="Z1214" s="189"/>
      <c r="AA1214" s="189"/>
      <c r="AB1214" s="189"/>
      <c r="AC1214" s="189"/>
      <c r="AD1214" s="189"/>
      <c r="AE1214" s="189"/>
      <c r="AF1214" s="189"/>
      <c r="AG1214" s="189"/>
      <c r="AH1214" s="189"/>
      <c r="AI1214" s="189"/>
      <c r="AJ1214" s="189"/>
      <c r="AK1214" s="189"/>
      <c r="AL1214" s="189"/>
      <c r="AM1214" s="189"/>
      <c r="AN1214" s="189"/>
      <c r="AO1214" s="189"/>
      <c r="AP1214" s="189"/>
      <c r="AQ1214" s="189"/>
      <c r="AR1214" s="189"/>
      <c r="AS1214" s="189"/>
      <c r="AT1214" s="189"/>
      <c r="AU1214" s="189"/>
      <c r="AV1214" s="189"/>
      <c r="AW1214" s="189"/>
      <c r="AX1214" s="189"/>
    </row>
    <row r="1215" ht="15.75" customHeight="1">
      <c r="A1215" s="189"/>
      <c r="B1215" s="189"/>
      <c r="C1215" s="190"/>
      <c r="D1215" s="190"/>
      <c r="E1215" s="190"/>
      <c r="F1215" s="190"/>
      <c r="G1215" s="189"/>
      <c r="H1215" s="189"/>
      <c r="I1215" s="189"/>
      <c r="J1215" s="189"/>
      <c r="K1215" s="189"/>
      <c r="L1215" s="189"/>
      <c r="M1215" s="189"/>
      <c r="N1215" s="189"/>
      <c r="O1215" s="189"/>
      <c r="P1215" s="291"/>
      <c r="Q1215" s="189"/>
      <c r="R1215" s="189"/>
      <c r="S1215" s="189"/>
      <c r="T1215" s="189"/>
      <c r="U1215" s="189"/>
      <c r="V1215" s="189"/>
      <c r="W1215" s="189"/>
      <c r="X1215" s="189"/>
      <c r="Y1215" s="189"/>
      <c r="Z1215" s="189"/>
      <c r="AA1215" s="189"/>
      <c r="AB1215" s="189"/>
      <c r="AC1215" s="189"/>
      <c r="AD1215" s="189"/>
      <c r="AE1215" s="189"/>
      <c r="AF1215" s="189"/>
      <c r="AG1215" s="189"/>
      <c r="AH1215" s="189"/>
      <c r="AI1215" s="189"/>
      <c r="AJ1215" s="189"/>
      <c r="AK1215" s="189"/>
      <c r="AL1215" s="189"/>
      <c r="AM1215" s="189"/>
      <c r="AN1215" s="189"/>
      <c r="AO1215" s="189"/>
      <c r="AP1215" s="189"/>
      <c r="AQ1215" s="189"/>
      <c r="AR1215" s="189"/>
      <c r="AS1215" s="189"/>
      <c r="AT1215" s="189"/>
      <c r="AU1215" s="189"/>
      <c r="AV1215" s="189"/>
      <c r="AW1215" s="189"/>
      <c r="AX1215" s="189"/>
    </row>
    <row r="1216" ht="15.75" customHeight="1">
      <c r="A1216" s="189"/>
      <c r="B1216" s="189"/>
      <c r="C1216" s="190"/>
      <c r="D1216" s="190"/>
      <c r="E1216" s="190"/>
      <c r="F1216" s="190"/>
      <c r="G1216" s="189"/>
      <c r="H1216" s="189"/>
      <c r="I1216" s="189"/>
      <c r="J1216" s="189"/>
      <c r="K1216" s="189"/>
      <c r="L1216" s="189"/>
      <c r="M1216" s="189"/>
      <c r="N1216" s="189"/>
      <c r="O1216" s="189"/>
      <c r="P1216" s="291"/>
      <c r="Q1216" s="189"/>
      <c r="R1216" s="189"/>
      <c r="S1216" s="189"/>
      <c r="T1216" s="189"/>
      <c r="U1216" s="189"/>
      <c r="V1216" s="189"/>
      <c r="W1216" s="189"/>
      <c r="X1216" s="189"/>
      <c r="Y1216" s="189"/>
      <c r="Z1216" s="189"/>
      <c r="AA1216" s="189"/>
      <c r="AB1216" s="189"/>
      <c r="AC1216" s="189"/>
      <c r="AD1216" s="189"/>
      <c r="AE1216" s="189"/>
      <c r="AF1216" s="189"/>
      <c r="AG1216" s="189"/>
      <c r="AH1216" s="189"/>
      <c r="AI1216" s="189"/>
      <c r="AJ1216" s="189"/>
      <c r="AK1216" s="189"/>
      <c r="AL1216" s="189"/>
      <c r="AM1216" s="189"/>
      <c r="AN1216" s="189"/>
      <c r="AO1216" s="189"/>
      <c r="AP1216" s="189"/>
      <c r="AQ1216" s="189"/>
      <c r="AR1216" s="189"/>
      <c r="AS1216" s="189"/>
      <c r="AT1216" s="189"/>
      <c r="AU1216" s="189"/>
      <c r="AV1216" s="189"/>
      <c r="AW1216" s="189"/>
      <c r="AX1216" s="189"/>
    </row>
    <row r="1217" ht="15.75" customHeight="1">
      <c r="A1217" s="189"/>
      <c r="B1217" s="189"/>
      <c r="C1217" s="190"/>
      <c r="D1217" s="190"/>
      <c r="E1217" s="190"/>
      <c r="F1217" s="190"/>
      <c r="G1217" s="189"/>
      <c r="H1217" s="189"/>
      <c r="I1217" s="189"/>
      <c r="J1217" s="189"/>
      <c r="K1217" s="189"/>
      <c r="L1217" s="189"/>
      <c r="M1217" s="189"/>
      <c r="N1217" s="189"/>
      <c r="O1217" s="189"/>
      <c r="P1217" s="291"/>
      <c r="Q1217" s="189"/>
      <c r="R1217" s="189"/>
      <c r="S1217" s="189"/>
      <c r="T1217" s="189"/>
      <c r="U1217" s="189"/>
      <c r="V1217" s="189"/>
      <c r="W1217" s="189"/>
      <c r="X1217" s="189"/>
      <c r="Y1217" s="189"/>
      <c r="Z1217" s="189"/>
      <c r="AA1217" s="189"/>
      <c r="AB1217" s="189"/>
      <c r="AC1217" s="189"/>
      <c r="AD1217" s="189"/>
      <c r="AE1217" s="189"/>
      <c r="AF1217" s="189"/>
      <c r="AG1217" s="189"/>
      <c r="AH1217" s="189"/>
      <c r="AI1217" s="189"/>
      <c r="AJ1217" s="189"/>
      <c r="AK1217" s="189"/>
      <c r="AL1217" s="189"/>
      <c r="AM1217" s="189"/>
      <c r="AN1217" s="189"/>
      <c r="AO1217" s="189"/>
      <c r="AP1217" s="189"/>
      <c r="AQ1217" s="189"/>
      <c r="AR1217" s="189"/>
      <c r="AS1217" s="189"/>
      <c r="AT1217" s="189"/>
      <c r="AU1217" s="189"/>
      <c r="AV1217" s="189"/>
      <c r="AW1217" s="189"/>
      <c r="AX1217" s="189"/>
    </row>
    <row r="1218" ht="15.75" customHeight="1">
      <c r="A1218" s="189"/>
      <c r="B1218" s="189"/>
      <c r="C1218" s="190"/>
      <c r="D1218" s="190"/>
      <c r="E1218" s="190"/>
      <c r="F1218" s="190"/>
      <c r="G1218" s="189"/>
      <c r="H1218" s="189"/>
      <c r="I1218" s="189"/>
      <c r="J1218" s="189"/>
      <c r="K1218" s="189"/>
      <c r="L1218" s="189"/>
      <c r="M1218" s="189"/>
      <c r="N1218" s="189"/>
      <c r="O1218" s="189"/>
      <c r="P1218" s="291"/>
      <c r="Q1218" s="189"/>
      <c r="R1218" s="189"/>
      <c r="S1218" s="189"/>
      <c r="T1218" s="189"/>
      <c r="U1218" s="189"/>
      <c r="V1218" s="189"/>
      <c r="W1218" s="189"/>
      <c r="X1218" s="189"/>
      <c r="Y1218" s="189"/>
      <c r="Z1218" s="189"/>
      <c r="AA1218" s="189"/>
      <c r="AB1218" s="189"/>
      <c r="AC1218" s="189"/>
      <c r="AD1218" s="189"/>
      <c r="AE1218" s="189"/>
      <c r="AF1218" s="189"/>
      <c r="AG1218" s="189"/>
      <c r="AH1218" s="189"/>
      <c r="AI1218" s="189"/>
      <c r="AJ1218" s="189"/>
      <c r="AK1218" s="189"/>
      <c r="AL1218" s="189"/>
      <c r="AM1218" s="189"/>
      <c r="AN1218" s="189"/>
      <c r="AO1218" s="189"/>
      <c r="AP1218" s="189"/>
      <c r="AQ1218" s="189"/>
      <c r="AR1218" s="189"/>
      <c r="AS1218" s="189"/>
      <c r="AT1218" s="189"/>
      <c r="AU1218" s="189"/>
      <c r="AV1218" s="189"/>
      <c r="AW1218" s="189"/>
      <c r="AX1218" s="189"/>
    </row>
    <row r="1219" ht="15.75" customHeight="1">
      <c r="A1219" s="189"/>
      <c r="B1219" s="189"/>
      <c r="C1219" s="190"/>
      <c r="D1219" s="190"/>
      <c r="E1219" s="190"/>
      <c r="F1219" s="190"/>
      <c r="G1219" s="189"/>
      <c r="H1219" s="189"/>
      <c r="I1219" s="189"/>
      <c r="J1219" s="189"/>
      <c r="K1219" s="189"/>
      <c r="L1219" s="189"/>
      <c r="M1219" s="189"/>
      <c r="N1219" s="189"/>
      <c r="O1219" s="189"/>
      <c r="P1219" s="291"/>
      <c r="Q1219" s="189"/>
      <c r="R1219" s="189"/>
      <c r="S1219" s="189"/>
      <c r="T1219" s="189"/>
      <c r="U1219" s="189"/>
      <c r="V1219" s="189"/>
      <c r="W1219" s="189"/>
      <c r="X1219" s="189"/>
      <c r="Y1219" s="189"/>
      <c r="Z1219" s="189"/>
      <c r="AA1219" s="189"/>
      <c r="AB1219" s="189"/>
      <c r="AC1219" s="189"/>
      <c r="AD1219" s="189"/>
      <c r="AE1219" s="189"/>
      <c r="AF1219" s="189"/>
      <c r="AG1219" s="189"/>
      <c r="AH1219" s="189"/>
      <c r="AI1219" s="189"/>
      <c r="AJ1219" s="189"/>
      <c r="AK1219" s="189"/>
      <c r="AL1219" s="189"/>
      <c r="AM1219" s="189"/>
      <c r="AN1219" s="189"/>
      <c r="AO1219" s="189"/>
      <c r="AP1219" s="189"/>
      <c r="AQ1219" s="189"/>
      <c r="AR1219" s="189"/>
      <c r="AS1219" s="189"/>
      <c r="AT1219" s="189"/>
      <c r="AU1219" s="189"/>
      <c r="AV1219" s="189"/>
      <c r="AW1219" s="189"/>
      <c r="AX1219" s="189"/>
    </row>
    <row r="1220" ht="15.75" customHeight="1">
      <c r="A1220" s="189"/>
      <c r="B1220" s="189"/>
      <c r="C1220" s="190"/>
      <c r="D1220" s="190"/>
      <c r="E1220" s="190"/>
      <c r="F1220" s="190"/>
      <c r="G1220" s="189"/>
      <c r="H1220" s="189"/>
      <c r="I1220" s="189"/>
      <c r="J1220" s="189"/>
      <c r="K1220" s="189"/>
      <c r="L1220" s="189"/>
      <c r="M1220" s="189"/>
      <c r="N1220" s="189"/>
      <c r="O1220" s="189"/>
      <c r="P1220" s="291"/>
      <c r="Q1220" s="189"/>
      <c r="R1220" s="189"/>
      <c r="S1220" s="189"/>
      <c r="T1220" s="189"/>
      <c r="U1220" s="189"/>
      <c r="V1220" s="189"/>
      <c r="W1220" s="189"/>
      <c r="X1220" s="189"/>
      <c r="Y1220" s="189"/>
      <c r="Z1220" s="189"/>
      <c r="AA1220" s="189"/>
      <c r="AB1220" s="189"/>
      <c r="AC1220" s="189"/>
      <c r="AD1220" s="189"/>
      <c r="AE1220" s="189"/>
      <c r="AF1220" s="189"/>
      <c r="AG1220" s="189"/>
      <c r="AH1220" s="189"/>
      <c r="AI1220" s="189"/>
      <c r="AJ1220" s="189"/>
      <c r="AK1220" s="189"/>
      <c r="AL1220" s="189"/>
      <c r="AM1220" s="189"/>
      <c r="AN1220" s="189"/>
      <c r="AO1220" s="189"/>
      <c r="AP1220" s="189"/>
      <c r="AQ1220" s="189"/>
      <c r="AR1220" s="189"/>
      <c r="AS1220" s="189"/>
      <c r="AT1220" s="189"/>
      <c r="AU1220" s="189"/>
      <c r="AV1220" s="189"/>
      <c r="AW1220" s="189"/>
      <c r="AX1220" s="189"/>
    </row>
    <row r="1221" ht="15.75" customHeight="1">
      <c r="A1221" s="189"/>
      <c r="B1221" s="189"/>
      <c r="C1221" s="190"/>
      <c r="D1221" s="190"/>
      <c r="E1221" s="190"/>
      <c r="F1221" s="190"/>
      <c r="G1221" s="189"/>
      <c r="H1221" s="189"/>
      <c r="I1221" s="189"/>
      <c r="J1221" s="189"/>
      <c r="K1221" s="189"/>
      <c r="L1221" s="189"/>
      <c r="M1221" s="189"/>
      <c r="N1221" s="189"/>
      <c r="O1221" s="189"/>
      <c r="P1221" s="291"/>
      <c r="Q1221" s="189"/>
      <c r="R1221" s="189"/>
      <c r="S1221" s="189"/>
      <c r="T1221" s="189"/>
      <c r="U1221" s="189"/>
      <c r="V1221" s="189"/>
      <c r="W1221" s="189"/>
      <c r="X1221" s="189"/>
      <c r="Y1221" s="189"/>
      <c r="Z1221" s="189"/>
      <c r="AA1221" s="189"/>
      <c r="AB1221" s="189"/>
      <c r="AC1221" s="189"/>
      <c r="AD1221" s="189"/>
      <c r="AE1221" s="189"/>
      <c r="AF1221" s="189"/>
      <c r="AG1221" s="189"/>
      <c r="AH1221" s="189"/>
      <c r="AI1221" s="189"/>
      <c r="AJ1221" s="189"/>
      <c r="AK1221" s="189"/>
      <c r="AL1221" s="189"/>
      <c r="AM1221" s="189"/>
      <c r="AN1221" s="189"/>
      <c r="AO1221" s="189"/>
      <c r="AP1221" s="189"/>
      <c r="AQ1221" s="189"/>
      <c r="AR1221" s="189"/>
      <c r="AS1221" s="189"/>
      <c r="AT1221" s="189"/>
      <c r="AU1221" s="189"/>
      <c r="AV1221" s="189"/>
      <c r="AW1221" s="189"/>
      <c r="AX1221" s="189"/>
    </row>
    <row r="1222" ht="15.75" customHeight="1">
      <c r="A1222" s="189"/>
      <c r="B1222" s="189"/>
      <c r="C1222" s="190"/>
      <c r="D1222" s="190"/>
      <c r="E1222" s="190"/>
      <c r="F1222" s="190"/>
      <c r="G1222" s="189"/>
      <c r="H1222" s="189"/>
      <c r="I1222" s="189"/>
      <c r="J1222" s="189"/>
      <c r="K1222" s="189"/>
      <c r="L1222" s="189"/>
      <c r="M1222" s="189"/>
      <c r="N1222" s="189"/>
      <c r="O1222" s="189"/>
      <c r="P1222" s="291"/>
      <c r="Q1222" s="189"/>
      <c r="R1222" s="189"/>
      <c r="S1222" s="189"/>
      <c r="T1222" s="189"/>
      <c r="U1222" s="189"/>
      <c r="V1222" s="189"/>
      <c r="W1222" s="189"/>
      <c r="X1222" s="189"/>
      <c r="Y1222" s="189"/>
      <c r="Z1222" s="189"/>
      <c r="AA1222" s="189"/>
      <c r="AB1222" s="189"/>
      <c r="AC1222" s="189"/>
      <c r="AD1222" s="189"/>
      <c r="AE1222" s="189"/>
      <c r="AF1222" s="189"/>
      <c r="AG1222" s="189"/>
      <c r="AH1222" s="189"/>
      <c r="AI1222" s="189"/>
      <c r="AJ1222" s="189"/>
      <c r="AK1222" s="189"/>
      <c r="AL1222" s="189"/>
      <c r="AM1222" s="189"/>
      <c r="AN1222" s="189"/>
      <c r="AO1222" s="189"/>
      <c r="AP1222" s="189"/>
      <c r="AQ1222" s="189"/>
      <c r="AR1222" s="189"/>
      <c r="AS1222" s="189"/>
      <c r="AT1222" s="189"/>
      <c r="AU1222" s="189"/>
      <c r="AV1222" s="189"/>
      <c r="AW1222" s="189"/>
      <c r="AX1222" s="189"/>
    </row>
    <row r="1223" ht="15.75" customHeight="1">
      <c r="A1223" s="189"/>
      <c r="B1223" s="189"/>
      <c r="C1223" s="190"/>
      <c r="D1223" s="190"/>
      <c r="E1223" s="190"/>
      <c r="F1223" s="190"/>
      <c r="G1223" s="189"/>
      <c r="H1223" s="189"/>
      <c r="I1223" s="189"/>
      <c r="J1223" s="189"/>
      <c r="K1223" s="189"/>
      <c r="L1223" s="189"/>
      <c r="M1223" s="189"/>
      <c r="N1223" s="189"/>
      <c r="O1223" s="189"/>
      <c r="P1223" s="291"/>
      <c r="Q1223" s="189"/>
      <c r="R1223" s="189"/>
      <c r="S1223" s="189"/>
      <c r="T1223" s="189"/>
      <c r="U1223" s="189"/>
      <c r="V1223" s="189"/>
      <c r="W1223" s="189"/>
      <c r="X1223" s="189"/>
      <c r="Y1223" s="189"/>
      <c r="Z1223" s="189"/>
      <c r="AA1223" s="189"/>
      <c r="AB1223" s="189"/>
      <c r="AC1223" s="189"/>
      <c r="AD1223" s="189"/>
      <c r="AE1223" s="189"/>
      <c r="AF1223" s="189"/>
      <c r="AG1223" s="189"/>
      <c r="AH1223" s="189"/>
      <c r="AI1223" s="189"/>
      <c r="AJ1223" s="189"/>
      <c r="AK1223" s="189"/>
      <c r="AL1223" s="189"/>
      <c r="AM1223" s="189"/>
      <c r="AN1223" s="189"/>
      <c r="AO1223" s="189"/>
      <c r="AP1223" s="189"/>
      <c r="AQ1223" s="189"/>
      <c r="AR1223" s="189"/>
      <c r="AS1223" s="189"/>
      <c r="AT1223" s="189"/>
      <c r="AU1223" s="189"/>
      <c r="AV1223" s="189"/>
      <c r="AW1223" s="189"/>
      <c r="AX1223" s="189"/>
    </row>
    <row r="1224" ht="15.75" customHeight="1">
      <c r="A1224" s="189"/>
      <c r="B1224" s="189"/>
      <c r="C1224" s="190"/>
      <c r="D1224" s="190"/>
      <c r="E1224" s="190"/>
      <c r="F1224" s="190"/>
      <c r="G1224" s="189"/>
      <c r="H1224" s="189"/>
      <c r="I1224" s="189"/>
      <c r="J1224" s="189"/>
      <c r="K1224" s="189"/>
      <c r="L1224" s="189"/>
      <c r="M1224" s="189"/>
      <c r="N1224" s="189"/>
      <c r="O1224" s="189"/>
      <c r="P1224" s="291"/>
      <c r="Q1224" s="189"/>
      <c r="R1224" s="189"/>
      <c r="S1224" s="189"/>
      <c r="T1224" s="189"/>
      <c r="U1224" s="189"/>
      <c r="V1224" s="189"/>
      <c r="W1224" s="189"/>
      <c r="X1224" s="189"/>
      <c r="Y1224" s="189"/>
      <c r="Z1224" s="189"/>
      <c r="AA1224" s="189"/>
      <c r="AB1224" s="189"/>
      <c r="AC1224" s="189"/>
      <c r="AD1224" s="189"/>
      <c r="AE1224" s="189"/>
      <c r="AF1224" s="189"/>
      <c r="AG1224" s="189"/>
      <c r="AH1224" s="189"/>
      <c r="AI1224" s="189"/>
      <c r="AJ1224" s="189"/>
      <c r="AK1224" s="189"/>
      <c r="AL1224" s="189"/>
      <c r="AM1224" s="189"/>
      <c r="AN1224" s="189"/>
      <c r="AO1224" s="189"/>
      <c r="AP1224" s="189"/>
      <c r="AQ1224" s="189"/>
      <c r="AR1224" s="189"/>
      <c r="AS1224" s="189"/>
      <c r="AT1224" s="189"/>
      <c r="AU1224" s="189"/>
      <c r="AV1224" s="189"/>
      <c r="AW1224" s="189"/>
      <c r="AX1224" s="189"/>
    </row>
    <row r="1225" ht="15.75" customHeight="1">
      <c r="A1225" s="189"/>
      <c r="B1225" s="189"/>
      <c r="C1225" s="190"/>
      <c r="D1225" s="190"/>
      <c r="E1225" s="190"/>
      <c r="F1225" s="190"/>
      <c r="G1225" s="189"/>
      <c r="H1225" s="189"/>
      <c r="I1225" s="189"/>
      <c r="J1225" s="189"/>
      <c r="K1225" s="189"/>
      <c r="L1225" s="189"/>
      <c r="M1225" s="189"/>
      <c r="N1225" s="189"/>
      <c r="O1225" s="189"/>
      <c r="P1225" s="291"/>
      <c r="Q1225" s="189"/>
      <c r="R1225" s="189"/>
      <c r="S1225" s="189"/>
      <c r="T1225" s="189"/>
      <c r="U1225" s="189"/>
      <c r="V1225" s="189"/>
      <c r="W1225" s="189"/>
      <c r="X1225" s="189"/>
      <c r="Y1225" s="189"/>
      <c r="Z1225" s="189"/>
      <c r="AA1225" s="189"/>
      <c r="AB1225" s="189"/>
      <c r="AC1225" s="189"/>
      <c r="AD1225" s="189"/>
      <c r="AE1225" s="189"/>
      <c r="AF1225" s="189"/>
      <c r="AG1225" s="189"/>
      <c r="AH1225" s="189"/>
      <c r="AI1225" s="189"/>
      <c r="AJ1225" s="189"/>
      <c r="AK1225" s="189"/>
      <c r="AL1225" s="189"/>
      <c r="AM1225" s="189"/>
      <c r="AN1225" s="189"/>
      <c r="AO1225" s="189"/>
      <c r="AP1225" s="189"/>
      <c r="AQ1225" s="189"/>
      <c r="AR1225" s="189"/>
      <c r="AS1225" s="189"/>
      <c r="AT1225" s="189"/>
      <c r="AU1225" s="189"/>
      <c r="AV1225" s="189"/>
      <c r="AW1225" s="189"/>
      <c r="AX1225" s="189"/>
    </row>
    <row r="1226" ht="15.75" customHeight="1">
      <c r="A1226" s="189"/>
      <c r="B1226" s="189"/>
      <c r="C1226" s="190"/>
      <c r="D1226" s="190"/>
      <c r="E1226" s="190"/>
      <c r="F1226" s="190"/>
      <c r="G1226" s="189"/>
      <c r="H1226" s="189"/>
      <c r="I1226" s="189"/>
      <c r="J1226" s="189"/>
      <c r="K1226" s="189"/>
      <c r="L1226" s="189"/>
      <c r="M1226" s="189"/>
      <c r="N1226" s="189"/>
      <c r="O1226" s="189"/>
      <c r="P1226" s="291"/>
      <c r="Q1226" s="189"/>
      <c r="R1226" s="189"/>
      <c r="S1226" s="189"/>
      <c r="T1226" s="189"/>
      <c r="U1226" s="189"/>
      <c r="V1226" s="189"/>
      <c r="W1226" s="189"/>
      <c r="X1226" s="189"/>
      <c r="Y1226" s="189"/>
      <c r="Z1226" s="189"/>
      <c r="AA1226" s="189"/>
      <c r="AB1226" s="189"/>
      <c r="AC1226" s="189"/>
      <c r="AD1226" s="189"/>
      <c r="AE1226" s="189"/>
      <c r="AF1226" s="189"/>
      <c r="AG1226" s="189"/>
      <c r="AH1226" s="189"/>
      <c r="AI1226" s="189"/>
      <c r="AJ1226" s="189"/>
      <c r="AK1226" s="189"/>
      <c r="AL1226" s="189"/>
      <c r="AM1226" s="189"/>
      <c r="AN1226" s="189"/>
      <c r="AO1226" s="189"/>
      <c r="AP1226" s="189"/>
      <c r="AQ1226" s="189"/>
      <c r="AR1226" s="189"/>
      <c r="AS1226" s="189"/>
      <c r="AT1226" s="189"/>
      <c r="AU1226" s="189"/>
      <c r="AV1226" s="189"/>
      <c r="AW1226" s="189"/>
      <c r="AX1226" s="189"/>
    </row>
    <row r="1227" ht="15.75" customHeight="1">
      <c r="A1227" s="189"/>
      <c r="B1227" s="189"/>
      <c r="C1227" s="190"/>
      <c r="D1227" s="190"/>
      <c r="E1227" s="190"/>
      <c r="F1227" s="190"/>
      <c r="G1227" s="189"/>
      <c r="H1227" s="189"/>
      <c r="I1227" s="189"/>
      <c r="J1227" s="189"/>
      <c r="K1227" s="189"/>
      <c r="L1227" s="189"/>
      <c r="M1227" s="189"/>
      <c r="N1227" s="189"/>
      <c r="O1227" s="189"/>
      <c r="P1227" s="291"/>
      <c r="Q1227" s="189"/>
      <c r="R1227" s="189"/>
      <c r="S1227" s="189"/>
      <c r="T1227" s="189"/>
      <c r="U1227" s="189"/>
      <c r="V1227" s="189"/>
      <c r="W1227" s="189"/>
      <c r="X1227" s="189"/>
      <c r="Y1227" s="189"/>
      <c r="Z1227" s="189"/>
      <c r="AA1227" s="189"/>
      <c r="AB1227" s="189"/>
      <c r="AC1227" s="189"/>
      <c r="AD1227" s="189"/>
      <c r="AE1227" s="189"/>
      <c r="AF1227" s="189"/>
      <c r="AG1227" s="189"/>
      <c r="AH1227" s="189"/>
      <c r="AI1227" s="189"/>
      <c r="AJ1227" s="189"/>
      <c r="AK1227" s="189"/>
      <c r="AL1227" s="189"/>
      <c r="AM1227" s="189"/>
      <c r="AN1227" s="189"/>
      <c r="AO1227" s="189"/>
      <c r="AP1227" s="189"/>
      <c r="AQ1227" s="189"/>
      <c r="AR1227" s="189"/>
      <c r="AS1227" s="189"/>
      <c r="AT1227" s="189"/>
      <c r="AU1227" s="189"/>
      <c r="AV1227" s="189"/>
      <c r="AW1227" s="189"/>
      <c r="AX1227" s="189"/>
    </row>
    <row r="1228" ht="15.75" customHeight="1">
      <c r="A1228" s="189"/>
      <c r="B1228" s="189"/>
      <c r="C1228" s="190"/>
      <c r="D1228" s="190"/>
      <c r="E1228" s="190"/>
      <c r="F1228" s="190"/>
      <c r="G1228" s="189"/>
      <c r="H1228" s="189"/>
      <c r="I1228" s="189"/>
      <c r="J1228" s="189"/>
      <c r="K1228" s="189"/>
      <c r="L1228" s="189"/>
      <c r="M1228" s="189"/>
      <c r="N1228" s="189"/>
      <c r="O1228" s="189"/>
      <c r="P1228" s="291"/>
      <c r="Q1228" s="189"/>
      <c r="R1228" s="189"/>
      <c r="S1228" s="189"/>
      <c r="T1228" s="189"/>
      <c r="U1228" s="189"/>
      <c r="V1228" s="189"/>
      <c r="W1228" s="189"/>
      <c r="X1228" s="189"/>
      <c r="Y1228" s="189"/>
      <c r="Z1228" s="189"/>
      <c r="AA1228" s="189"/>
      <c r="AB1228" s="189"/>
      <c r="AC1228" s="189"/>
      <c r="AD1228" s="189"/>
      <c r="AE1228" s="189"/>
      <c r="AF1228" s="189"/>
      <c r="AG1228" s="189"/>
      <c r="AH1228" s="189"/>
      <c r="AI1228" s="189"/>
      <c r="AJ1228" s="189"/>
      <c r="AK1228" s="189"/>
      <c r="AL1228" s="189"/>
      <c r="AM1228" s="189"/>
      <c r="AN1228" s="189"/>
      <c r="AO1228" s="189"/>
      <c r="AP1228" s="189"/>
      <c r="AQ1228" s="189"/>
      <c r="AR1228" s="189"/>
      <c r="AS1228" s="189"/>
      <c r="AT1228" s="189"/>
      <c r="AU1228" s="189"/>
      <c r="AV1228" s="189"/>
      <c r="AW1228" s="189"/>
      <c r="AX1228" s="189"/>
    </row>
    <row r="1229" ht="15.75" customHeight="1">
      <c r="A1229" s="189"/>
      <c r="B1229" s="189"/>
      <c r="C1229" s="190"/>
      <c r="D1229" s="190"/>
      <c r="E1229" s="190"/>
      <c r="F1229" s="190"/>
      <c r="G1229" s="189"/>
      <c r="H1229" s="189"/>
      <c r="I1229" s="189"/>
      <c r="J1229" s="189"/>
      <c r="K1229" s="189"/>
      <c r="L1229" s="189"/>
      <c r="M1229" s="189"/>
      <c r="N1229" s="189"/>
      <c r="O1229" s="189"/>
      <c r="P1229" s="291"/>
      <c r="Q1229" s="189"/>
      <c r="R1229" s="189"/>
      <c r="S1229" s="189"/>
      <c r="T1229" s="189"/>
      <c r="U1229" s="189"/>
      <c r="V1229" s="189"/>
      <c r="W1229" s="189"/>
      <c r="X1229" s="189"/>
      <c r="Y1229" s="189"/>
      <c r="Z1229" s="189"/>
      <c r="AA1229" s="189"/>
      <c r="AB1229" s="189"/>
      <c r="AC1229" s="189"/>
      <c r="AD1229" s="189"/>
      <c r="AE1229" s="189"/>
      <c r="AF1229" s="189"/>
      <c r="AG1229" s="189"/>
      <c r="AH1229" s="189"/>
      <c r="AI1229" s="189"/>
      <c r="AJ1229" s="189"/>
      <c r="AK1229" s="189"/>
      <c r="AL1229" s="189"/>
      <c r="AM1229" s="189"/>
      <c r="AN1229" s="189"/>
      <c r="AO1229" s="189"/>
      <c r="AP1229" s="189"/>
      <c r="AQ1229" s="189"/>
      <c r="AR1229" s="189"/>
      <c r="AS1229" s="189"/>
      <c r="AT1229" s="189"/>
      <c r="AU1229" s="189"/>
      <c r="AV1229" s="189"/>
      <c r="AW1229" s="189"/>
      <c r="AX1229" s="189"/>
    </row>
    <row r="1230" ht="15.75" customHeight="1">
      <c r="A1230" s="189"/>
      <c r="B1230" s="189"/>
      <c r="C1230" s="190"/>
      <c r="D1230" s="190"/>
      <c r="E1230" s="190"/>
      <c r="F1230" s="190"/>
      <c r="G1230" s="189"/>
      <c r="H1230" s="189"/>
      <c r="I1230" s="189"/>
      <c r="J1230" s="189"/>
      <c r="K1230" s="189"/>
      <c r="L1230" s="189"/>
      <c r="M1230" s="189"/>
      <c r="N1230" s="189"/>
      <c r="O1230" s="189"/>
      <c r="P1230" s="291"/>
      <c r="Q1230" s="189"/>
      <c r="R1230" s="189"/>
      <c r="S1230" s="189"/>
      <c r="T1230" s="189"/>
      <c r="U1230" s="189"/>
      <c r="V1230" s="189"/>
      <c r="W1230" s="189"/>
      <c r="X1230" s="189"/>
      <c r="Y1230" s="189"/>
      <c r="Z1230" s="189"/>
      <c r="AA1230" s="189"/>
      <c r="AB1230" s="189"/>
      <c r="AC1230" s="189"/>
      <c r="AD1230" s="189"/>
      <c r="AE1230" s="189"/>
      <c r="AF1230" s="189"/>
      <c r="AG1230" s="189"/>
      <c r="AH1230" s="189"/>
      <c r="AI1230" s="189"/>
      <c r="AJ1230" s="189"/>
      <c r="AK1230" s="189"/>
      <c r="AL1230" s="189"/>
      <c r="AM1230" s="189"/>
      <c r="AN1230" s="189"/>
      <c r="AO1230" s="189"/>
      <c r="AP1230" s="189"/>
      <c r="AQ1230" s="189"/>
      <c r="AR1230" s="189"/>
      <c r="AS1230" s="189"/>
      <c r="AT1230" s="189"/>
      <c r="AU1230" s="189"/>
      <c r="AV1230" s="189"/>
      <c r="AW1230" s="189"/>
      <c r="AX1230" s="189"/>
    </row>
    <row r="1231" ht="15.75" customHeight="1">
      <c r="A1231" s="189"/>
      <c r="B1231" s="189"/>
      <c r="C1231" s="190"/>
      <c r="D1231" s="190"/>
      <c r="E1231" s="190"/>
      <c r="F1231" s="190"/>
      <c r="G1231" s="189"/>
      <c r="H1231" s="189"/>
      <c r="I1231" s="189"/>
      <c r="J1231" s="189"/>
      <c r="K1231" s="189"/>
      <c r="L1231" s="189"/>
      <c r="M1231" s="189"/>
      <c r="N1231" s="189"/>
      <c r="O1231" s="189"/>
      <c r="P1231" s="291"/>
      <c r="Q1231" s="189"/>
      <c r="R1231" s="189"/>
      <c r="S1231" s="189"/>
      <c r="T1231" s="189"/>
      <c r="U1231" s="189"/>
      <c r="V1231" s="189"/>
      <c r="W1231" s="189"/>
      <c r="X1231" s="189"/>
      <c r="Y1231" s="189"/>
      <c r="Z1231" s="189"/>
      <c r="AA1231" s="189"/>
      <c r="AB1231" s="189"/>
      <c r="AC1231" s="189"/>
      <c r="AD1231" s="189"/>
      <c r="AE1231" s="189"/>
      <c r="AF1231" s="189"/>
      <c r="AG1231" s="189"/>
      <c r="AH1231" s="189"/>
      <c r="AI1231" s="189"/>
      <c r="AJ1231" s="189"/>
      <c r="AK1231" s="189"/>
      <c r="AL1231" s="189"/>
      <c r="AM1231" s="189"/>
      <c r="AN1231" s="189"/>
      <c r="AO1231" s="189"/>
      <c r="AP1231" s="189"/>
      <c r="AQ1231" s="189"/>
      <c r="AR1231" s="189"/>
      <c r="AS1231" s="189"/>
      <c r="AT1231" s="189"/>
      <c r="AU1231" s="189"/>
      <c r="AV1231" s="189"/>
      <c r="AW1231" s="189"/>
      <c r="AX1231" s="189"/>
    </row>
    <row r="1232" ht="15.75" customHeight="1">
      <c r="A1232" s="189"/>
      <c r="B1232" s="189"/>
      <c r="C1232" s="190"/>
      <c r="D1232" s="190"/>
      <c r="E1232" s="190"/>
      <c r="F1232" s="190"/>
      <c r="G1232" s="189"/>
      <c r="H1232" s="189"/>
      <c r="I1232" s="189"/>
      <c r="J1232" s="189"/>
      <c r="K1232" s="189"/>
      <c r="L1232" s="189"/>
      <c r="M1232" s="189"/>
      <c r="N1232" s="189"/>
      <c r="O1232" s="189"/>
      <c r="P1232" s="291"/>
      <c r="Q1232" s="189"/>
      <c r="R1232" s="189"/>
      <c r="S1232" s="189"/>
      <c r="T1232" s="189"/>
      <c r="U1232" s="189"/>
      <c r="V1232" s="189"/>
      <c r="W1232" s="189"/>
      <c r="X1232" s="189"/>
      <c r="Y1232" s="189"/>
      <c r="Z1232" s="189"/>
      <c r="AA1232" s="189"/>
      <c r="AB1232" s="189"/>
      <c r="AC1232" s="189"/>
      <c r="AD1232" s="189"/>
      <c r="AE1232" s="189"/>
      <c r="AF1232" s="189"/>
      <c r="AG1232" s="189"/>
      <c r="AH1232" s="189"/>
      <c r="AI1232" s="189"/>
      <c r="AJ1232" s="189"/>
      <c r="AK1232" s="189"/>
      <c r="AL1232" s="189"/>
      <c r="AM1232" s="189"/>
      <c r="AN1232" s="189"/>
      <c r="AO1232" s="189"/>
      <c r="AP1232" s="189"/>
      <c r="AQ1232" s="189"/>
      <c r="AR1232" s="189"/>
      <c r="AS1232" s="189"/>
      <c r="AT1232" s="189"/>
      <c r="AU1232" s="189"/>
      <c r="AV1232" s="189"/>
      <c r="AW1232" s="189"/>
      <c r="AX1232" s="189"/>
    </row>
    <row r="1233" ht="15.75" customHeight="1">
      <c r="A1233" s="189"/>
      <c r="B1233" s="189"/>
      <c r="C1233" s="190"/>
      <c r="D1233" s="190"/>
      <c r="E1233" s="190"/>
      <c r="F1233" s="190"/>
      <c r="G1233" s="189"/>
      <c r="H1233" s="189"/>
      <c r="I1233" s="189"/>
      <c r="J1233" s="189"/>
      <c r="K1233" s="189"/>
      <c r="L1233" s="189"/>
      <c r="M1233" s="189"/>
      <c r="N1233" s="189"/>
      <c r="O1233" s="189"/>
      <c r="P1233" s="291"/>
      <c r="Q1233" s="189"/>
      <c r="R1233" s="189"/>
      <c r="S1233" s="189"/>
      <c r="T1233" s="189"/>
      <c r="U1233" s="189"/>
      <c r="V1233" s="189"/>
      <c r="W1233" s="189"/>
      <c r="X1233" s="189"/>
      <c r="Y1233" s="189"/>
      <c r="Z1233" s="189"/>
      <c r="AA1233" s="189"/>
      <c r="AB1233" s="189"/>
      <c r="AC1233" s="189"/>
      <c r="AD1233" s="189"/>
      <c r="AE1233" s="189"/>
      <c r="AF1233" s="189"/>
      <c r="AG1233" s="189"/>
      <c r="AH1233" s="189"/>
      <c r="AI1233" s="189"/>
      <c r="AJ1233" s="189"/>
      <c r="AK1233" s="189"/>
      <c r="AL1233" s="189"/>
      <c r="AM1233" s="189"/>
      <c r="AN1233" s="189"/>
      <c r="AO1233" s="189"/>
      <c r="AP1233" s="189"/>
      <c r="AQ1233" s="189"/>
      <c r="AR1233" s="189"/>
      <c r="AS1233" s="189"/>
      <c r="AT1233" s="189"/>
      <c r="AU1233" s="189"/>
      <c r="AV1233" s="189"/>
      <c r="AW1233" s="189"/>
      <c r="AX1233" s="189"/>
    </row>
    <row r="1234" ht="15.75" customHeight="1">
      <c r="A1234" s="189"/>
      <c r="B1234" s="189"/>
      <c r="C1234" s="190"/>
      <c r="D1234" s="190"/>
      <c r="E1234" s="190"/>
      <c r="F1234" s="190"/>
      <c r="G1234" s="189"/>
      <c r="H1234" s="189"/>
      <c r="I1234" s="189"/>
      <c r="J1234" s="189"/>
      <c r="K1234" s="189"/>
      <c r="L1234" s="189"/>
      <c r="M1234" s="189"/>
      <c r="N1234" s="189"/>
      <c r="O1234" s="189"/>
      <c r="P1234" s="291"/>
      <c r="Q1234" s="189"/>
      <c r="R1234" s="189"/>
      <c r="S1234" s="189"/>
      <c r="T1234" s="189"/>
      <c r="U1234" s="189"/>
      <c r="V1234" s="189"/>
      <c r="W1234" s="189"/>
      <c r="X1234" s="189"/>
      <c r="Y1234" s="189"/>
      <c r="Z1234" s="189"/>
      <c r="AA1234" s="189"/>
      <c r="AB1234" s="189"/>
      <c r="AC1234" s="189"/>
      <c r="AD1234" s="189"/>
      <c r="AE1234" s="189"/>
      <c r="AF1234" s="189"/>
      <c r="AG1234" s="189"/>
      <c r="AH1234" s="189"/>
      <c r="AI1234" s="189"/>
      <c r="AJ1234" s="189"/>
      <c r="AK1234" s="189"/>
      <c r="AL1234" s="189"/>
      <c r="AM1234" s="189"/>
      <c r="AN1234" s="189"/>
      <c r="AO1234" s="189"/>
      <c r="AP1234" s="189"/>
      <c r="AQ1234" s="189"/>
      <c r="AR1234" s="189"/>
      <c r="AS1234" s="189"/>
      <c r="AT1234" s="189"/>
      <c r="AU1234" s="189"/>
      <c r="AV1234" s="189"/>
      <c r="AW1234" s="189"/>
      <c r="AX1234" s="189"/>
    </row>
    <row r="1235" ht="15.75" customHeight="1">
      <c r="A1235" s="189"/>
      <c r="B1235" s="189"/>
      <c r="C1235" s="190"/>
      <c r="D1235" s="190"/>
      <c r="E1235" s="190"/>
      <c r="F1235" s="190"/>
      <c r="G1235" s="189"/>
      <c r="H1235" s="189"/>
      <c r="I1235" s="189"/>
      <c r="J1235" s="189"/>
      <c r="K1235" s="189"/>
      <c r="L1235" s="189"/>
      <c r="M1235" s="189"/>
      <c r="N1235" s="189"/>
      <c r="O1235" s="189"/>
      <c r="P1235" s="291"/>
      <c r="Q1235" s="189"/>
      <c r="R1235" s="189"/>
      <c r="S1235" s="189"/>
      <c r="T1235" s="189"/>
      <c r="U1235" s="189"/>
      <c r="V1235" s="189"/>
      <c r="W1235" s="189"/>
      <c r="X1235" s="189"/>
      <c r="Y1235" s="189"/>
      <c r="Z1235" s="189"/>
      <c r="AA1235" s="189"/>
      <c r="AB1235" s="189"/>
      <c r="AC1235" s="189"/>
      <c r="AD1235" s="189"/>
      <c r="AE1235" s="189"/>
      <c r="AF1235" s="189"/>
      <c r="AG1235" s="189"/>
      <c r="AH1235" s="189"/>
      <c r="AI1235" s="189"/>
      <c r="AJ1235" s="189"/>
      <c r="AK1235" s="189"/>
      <c r="AL1235" s="189"/>
      <c r="AM1235" s="189"/>
      <c r="AN1235" s="189"/>
      <c r="AO1235" s="189"/>
      <c r="AP1235" s="189"/>
      <c r="AQ1235" s="189"/>
      <c r="AR1235" s="189"/>
      <c r="AS1235" s="189"/>
      <c r="AT1235" s="189"/>
      <c r="AU1235" s="189"/>
      <c r="AV1235" s="189"/>
      <c r="AW1235" s="189"/>
      <c r="AX1235" s="189"/>
    </row>
    <row r="1236" ht="15.75" customHeight="1">
      <c r="A1236" s="189"/>
      <c r="B1236" s="189"/>
      <c r="C1236" s="190"/>
      <c r="D1236" s="190"/>
      <c r="E1236" s="190"/>
      <c r="F1236" s="190"/>
      <c r="G1236" s="189"/>
      <c r="H1236" s="189"/>
      <c r="I1236" s="189"/>
      <c r="J1236" s="189"/>
      <c r="K1236" s="189"/>
      <c r="L1236" s="189"/>
      <c r="M1236" s="189"/>
      <c r="N1236" s="189"/>
      <c r="O1236" s="189"/>
      <c r="P1236" s="291"/>
      <c r="Q1236" s="189"/>
      <c r="R1236" s="189"/>
      <c r="S1236" s="189"/>
      <c r="T1236" s="189"/>
      <c r="U1236" s="189"/>
      <c r="V1236" s="189"/>
      <c r="W1236" s="189"/>
      <c r="X1236" s="189"/>
      <c r="Y1236" s="189"/>
      <c r="Z1236" s="189"/>
      <c r="AA1236" s="189"/>
      <c r="AB1236" s="189"/>
      <c r="AC1236" s="189"/>
      <c r="AD1236" s="189"/>
      <c r="AE1236" s="189"/>
      <c r="AF1236" s="189"/>
      <c r="AG1236" s="189"/>
      <c r="AH1236" s="189"/>
      <c r="AI1236" s="189"/>
      <c r="AJ1236" s="189"/>
      <c r="AK1236" s="189"/>
      <c r="AL1236" s="189"/>
      <c r="AM1236" s="189"/>
      <c r="AN1236" s="189"/>
      <c r="AO1236" s="189"/>
      <c r="AP1236" s="189"/>
      <c r="AQ1236" s="189"/>
      <c r="AR1236" s="189"/>
      <c r="AS1236" s="189"/>
      <c r="AT1236" s="189"/>
      <c r="AU1236" s="189"/>
      <c r="AV1236" s="189"/>
      <c r="AW1236" s="189"/>
      <c r="AX1236" s="189"/>
    </row>
    <row r="1237" ht="15.75" customHeight="1">
      <c r="A1237" s="189"/>
      <c r="B1237" s="189"/>
      <c r="C1237" s="190"/>
      <c r="D1237" s="190"/>
      <c r="E1237" s="190"/>
      <c r="F1237" s="190"/>
      <c r="G1237" s="189"/>
      <c r="H1237" s="189"/>
      <c r="I1237" s="189"/>
      <c r="J1237" s="189"/>
      <c r="K1237" s="189"/>
      <c r="L1237" s="189"/>
      <c r="M1237" s="189"/>
      <c r="N1237" s="189"/>
      <c r="O1237" s="189"/>
      <c r="P1237" s="291"/>
      <c r="Q1237" s="189"/>
      <c r="R1237" s="189"/>
      <c r="S1237" s="189"/>
      <c r="T1237" s="189"/>
      <c r="U1237" s="189"/>
      <c r="V1237" s="189"/>
      <c r="W1237" s="189"/>
      <c r="X1237" s="189"/>
      <c r="Y1237" s="189"/>
      <c r="Z1237" s="189"/>
      <c r="AA1237" s="189"/>
      <c r="AB1237" s="189"/>
      <c r="AC1237" s="189"/>
      <c r="AD1237" s="189"/>
      <c r="AE1237" s="189"/>
      <c r="AF1237" s="189"/>
      <c r="AG1237" s="189"/>
      <c r="AH1237" s="189"/>
      <c r="AI1237" s="189"/>
      <c r="AJ1237" s="189"/>
      <c r="AK1237" s="189"/>
      <c r="AL1237" s="189"/>
      <c r="AM1237" s="189"/>
      <c r="AN1237" s="189"/>
      <c r="AO1237" s="189"/>
      <c r="AP1237" s="189"/>
      <c r="AQ1237" s="189"/>
      <c r="AR1237" s="189"/>
      <c r="AS1237" s="189"/>
      <c r="AT1237" s="189"/>
      <c r="AU1237" s="189"/>
      <c r="AV1237" s="189"/>
      <c r="AW1237" s="189"/>
      <c r="AX1237" s="189"/>
    </row>
    <row r="1238" ht="15.75" customHeight="1">
      <c r="A1238" s="189"/>
      <c r="B1238" s="189"/>
      <c r="C1238" s="190"/>
      <c r="D1238" s="190"/>
      <c r="E1238" s="190"/>
      <c r="F1238" s="190"/>
      <c r="G1238" s="189"/>
      <c r="H1238" s="189"/>
      <c r="I1238" s="189"/>
      <c r="J1238" s="189"/>
      <c r="K1238" s="189"/>
      <c r="L1238" s="189"/>
      <c r="M1238" s="189"/>
      <c r="N1238" s="189"/>
      <c r="O1238" s="189"/>
      <c r="P1238" s="291"/>
      <c r="Q1238" s="189"/>
      <c r="R1238" s="189"/>
      <c r="S1238" s="189"/>
      <c r="T1238" s="189"/>
      <c r="U1238" s="189"/>
      <c r="V1238" s="189"/>
      <c r="W1238" s="189"/>
      <c r="X1238" s="189"/>
      <c r="Y1238" s="189"/>
      <c r="Z1238" s="189"/>
      <c r="AA1238" s="189"/>
      <c r="AB1238" s="189"/>
      <c r="AC1238" s="189"/>
      <c r="AD1238" s="189"/>
      <c r="AE1238" s="189"/>
      <c r="AF1238" s="189"/>
      <c r="AG1238" s="189"/>
      <c r="AH1238" s="189"/>
      <c r="AI1238" s="189"/>
      <c r="AJ1238" s="189"/>
      <c r="AK1238" s="189"/>
      <c r="AL1238" s="189"/>
      <c r="AM1238" s="189"/>
      <c r="AN1238" s="189"/>
      <c r="AO1238" s="189"/>
      <c r="AP1238" s="189"/>
      <c r="AQ1238" s="189"/>
      <c r="AR1238" s="189"/>
      <c r="AS1238" s="189"/>
      <c r="AT1238" s="189"/>
      <c r="AU1238" s="189"/>
      <c r="AV1238" s="189"/>
      <c r="AW1238" s="189"/>
      <c r="AX1238" s="189"/>
    </row>
    <row r="1239" ht="15.75" customHeight="1">
      <c r="A1239" s="189"/>
      <c r="B1239" s="189"/>
      <c r="C1239" s="190"/>
      <c r="D1239" s="190"/>
      <c r="E1239" s="190"/>
      <c r="F1239" s="190"/>
      <c r="G1239" s="189"/>
      <c r="H1239" s="189"/>
      <c r="I1239" s="189"/>
      <c r="J1239" s="189"/>
      <c r="K1239" s="189"/>
      <c r="L1239" s="189"/>
      <c r="M1239" s="189"/>
      <c r="N1239" s="189"/>
      <c r="O1239" s="189"/>
      <c r="P1239" s="291"/>
      <c r="Q1239" s="189"/>
      <c r="R1239" s="189"/>
      <c r="S1239" s="189"/>
      <c r="T1239" s="189"/>
      <c r="U1239" s="189"/>
      <c r="V1239" s="189"/>
      <c r="W1239" s="189"/>
      <c r="X1239" s="189"/>
      <c r="Y1239" s="189"/>
      <c r="Z1239" s="189"/>
      <c r="AA1239" s="189"/>
      <c r="AB1239" s="189"/>
      <c r="AC1239" s="189"/>
      <c r="AD1239" s="189"/>
      <c r="AE1239" s="189"/>
      <c r="AF1239" s="189"/>
      <c r="AG1239" s="189"/>
      <c r="AH1239" s="189"/>
      <c r="AI1239" s="189"/>
      <c r="AJ1239" s="189"/>
      <c r="AK1239" s="189"/>
      <c r="AL1239" s="189"/>
      <c r="AM1239" s="189"/>
      <c r="AN1239" s="189"/>
      <c r="AO1239" s="189"/>
      <c r="AP1239" s="189"/>
      <c r="AQ1239" s="189"/>
      <c r="AR1239" s="189"/>
      <c r="AS1239" s="189"/>
      <c r="AT1239" s="189"/>
      <c r="AU1239" s="189"/>
      <c r="AV1239" s="189"/>
      <c r="AW1239" s="189"/>
      <c r="AX1239" s="189"/>
    </row>
    <row r="1240" ht="15.75" customHeight="1">
      <c r="A1240" s="189"/>
      <c r="B1240" s="189"/>
      <c r="C1240" s="190"/>
      <c r="D1240" s="190"/>
      <c r="E1240" s="190"/>
      <c r="F1240" s="190"/>
      <c r="G1240" s="189"/>
      <c r="H1240" s="189"/>
      <c r="I1240" s="189"/>
      <c r="J1240" s="189"/>
      <c r="K1240" s="189"/>
      <c r="L1240" s="189"/>
      <c r="M1240" s="189"/>
      <c r="N1240" s="189"/>
      <c r="O1240" s="189"/>
      <c r="P1240" s="291"/>
      <c r="Q1240" s="189"/>
      <c r="R1240" s="189"/>
      <c r="S1240" s="189"/>
      <c r="T1240" s="189"/>
      <c r="U1240" s="189"/>
      <c r="V1240" s="189"/>
      <c r="W1240" s="189"/>
      <c r="X1240" s="189"/>
      <c r="Y1240" s="189"/>
      <c r="Z1240" s="189"/>
      <c r="AA1240" s="189"/>
      <c r="AB1240" s="189"/>
      <c r="AC1240" s="189"/>
      <c r="AD1240" s="189"/>
      <c r="AE1240" s="189"/>
      <c r="AF1240" s="189"/>
      <c r="AG1240" s="189"/>
      <c r="AH1240" s="189"/>
      <c r="AI1240" s="189"/>
      <c r="AJ1240" s="189"/>
      <c r="AK1240" s="189"/>
      <c r="AL1240" s="189"/>
      <c r="AM1240" s="189"/>
      <c r="AN1240" s="189"/>
      <c r="AO1240" s="189"/>
      <c r="AP1240" s="189"/>
      <c r="AQ1240" s="189"/>
      <c r="AR1240" s="189"/>
      <c r="AS1240" s="189"/>
      <c r="AT1240" s="189"/>
      <c r="AU1240" s="189"/>
      <c r="AV1240" s="189"/>
      <c r="AW1240" s="189"/>
      <c r="AX1240" s="189"/>
    </row>
    <row r="1241" ht="15.75" customHeight="1">
      <c r="A1241" s="189"/>
      <c r="B1241" s="189"/>
      <c r="C1241" s="190"/>
      <c r="D1241" s="190"/>
      <c r="E1241" s="190"/>
      <c r="F1241" s="190"/>
      <c r="G1241" s="189"/>
      <c r="H1241" s="189"/>
      <c r="I1241" s="189"/>
      <c r="J1241" s="189"/>
      <c r="K1241" s="189"/>
      <c r="L1241" s="189"/>
      <c r="M1241" s="189"/>
      <c r="N1241" s="189"/>
      <c r="O1241" s="189"/>
      <c r="P1241" s="291"/>
      <c r="Q1241" s="189"/>
      <c r="R1241" s="189"/>
      <c r="S1241" s="189"/>
      <c r="T1241" s="189"/>
      <c r="U1241" s="189"/>
      <c r="V1241" s="189"/>
      <c r="W1241" s="189"/>
      <c r="X1241" s="189"/>
      <c r="Y1241" s="189"/>
      <c r="Z1241" s="189"/>
      <c r="AA1241" s="189"/>
      <c r="AB1241" s="189"/>
      <c r="AC1241" s="189"/>
      <c r="AD1241" s="189"/>
      <c r="AE1241" s="189"/>
      <c r="AF1241" s="189"/>
      <c r="AG1241" s="189"/>
      <c r="AH1241" s="189"/>
      <c r="AI1241" s="189"/>
      <c r="AJ1241" s="189"/>
      <c r="AK1241" s="189"/>
      <c r="AL1241" s="189"/>
      <c r="AM1241" s="189"/>
      <c r="AN1241" s="189"/>
      <c r="AO1241" s="189"/>
      <c r="AP1241" s="189"/>
      <c r="AQ1241" s="189"/>
      <c r="AR1241" s="189"/>
      <c r="AS1241" s="189"/>
      <c r="AT1241" s="189"/>
      <c r="AU1241" s="189"/>
      <c r="AV1241" s="189"/>
      <c r="AW1241" s="189"/>
      <c r="AX1241" s="189"/>
    </row>
    <row r="1242" ht="15.75" customHeight="1">
      <c r="A1242" s="189"/>
      <c r="B1242" s="189"/>
      <c r="C1242" s="190"/>
      <c r="D1242" s="190"/>
      <c r="E1242" s="190"/>
      <c r="F1242" s="190"/>
      <c r="G1242" s="189"/>
      <c r="H1242" s="189"/>
      <c r="I1242" s="189"/>
      <c r="J1242" s="189"/>
      <c r="K1242" s="189"/>
      <c r="L1242" s="189"/>
      <c r="M1242" s="189"/>
      <c r="N1242" s="189"/>
      <c r="O1242" s="189"/>
      <c r="P1242" s="291"/>
      <c r="Q1242" s="189"/>
      <c r="R1242" s="189"/>
      <c r="S1242" s="189"/>
      <c r="T1242" s="189"/>
      <c r="U1242" s="189"/>
      <c r="V1242" s="189"/>
      <c r="W1242" s="189"/>
      <c r="X1242" s="189"/>
      <c r="Y1242" s="189"/>
      <c r="Z1242" s="189"/>
      <c r="AA1242" s="189"/>
      <c r="AB1242" s="189"/>
      <c r="AC1242" s="189"/>
      <c r="AD1242" s="189"/>
      <c r="AE1242" s="189"/>
      <c r="AF1242" s="189"/>
      <c r="AG1242" s="189"/>
      <c r="AH1242" s="189"/>
      <c r="AI1242" s="189"/>
      <c r="AJ1242" s="189"/>
      <c r="AK1242" s="189"/>
      <c r="AL1242" s="189"/>
      <c r="AM1242" s="189"/>
      <c r="AN1242" s="189"/>
      <c r="AO1242" s="189"/>
      <c r="AP1242" s="189"/>
      <c r="AQ1242" s="189"/>
      <c r="AR1242" s="189"/>
      <c r="AS1242" s="189"/>
      <c r="AT1242" s="189"/>
      <c r="AU1242" s="189"/>
      <c r="AV1242" s="189"/>
      <c r="AW1242" s="189"/>
      <c r="AX1242" s="189"/>
    </row>
    <row r="1243" ht="15.75" customHeight="1">
      <c r="A1243" s="189"/>
      <c r="B1243" s="189"/>
      <c r="C1243" s="190"/>
      <c r="D1243" s="190"/>
      <c r="E1243" s="190"/>
      <c r="F1243" s="190"/>
      <c r="G1243" s="189"/>
      <c r="H1243" s="189"/>
      <c r="I1243" s="189"/>
      <c r="J1243" s="189"/>
      <c r="K1243" s="189"/>
      <c r="L1243" s="189"/>
      <c r="M1243" s="189"/>
      <c r="N1243" s="189"/>
      <c r="O1243" s="189"/>
      <c r="P1243" s="291"/>
      <c r="Q1243" s="189"/>
      <c r="R1243" s="189"/>
      <c r="S1243" s="189"/>
      <c r="T1243" s="189"/>
      <c r="U1243" s="189"/>
      <c r="V1243" s="189"/>
      <c r="W1243" s="189"/>
      <c r="X1243" s="189"/>
      <c r="Y1243" s="189"/>
      <c r="Z1243" s="189"/>
      <c r="AA1243" s="189"/>
      <c r="AB1243" s="189"/>
      <c r="AC1243" s="189"/>
      <c r="AD1243" s="189"/>
      <c r="AE1243" s="189"/>
      <c r="AF1243" s="189"/>
      <c r="AG1243" s="189"/>
      <c r="AH1243" s="189"/>
      <c r="AI1243" s="189"/>
      <c r="AJ1243" s="189"/>
      <c r="AK1243" s="189"/>
      <c r="AL1243" s="189"/>
      <c r="AM1243" s="189"/>
      <c r="AN1243" s="189"/>
      <c r="AO1243" s="189"/>
      <c r="AP1243" s="189"/>
      <c r="AQ1243" s="189"/>
      <c r="AR1243" s="189"/>
      <c r="AS1243" s="189"/>
      <c r="AT1243" s="189"/>
      <c r="AU1243" s="189"/>
      <c r="AV1243" s="189"/>
      <c r="AW1243" s="189"/>
      <c r="AX1243" s="189"/>
    </row>
    <row r="1244" ht="15.75" customHeight="1">
      <c r="A1244" s="189"/>
      <c r="B1244" s="189"/>
      <c r="C1244" s="190"/>
      <c r="D1244" s="190"/>
      <c r="E1244" s="190"/>
      <c r="F1244" s="190"/>
      <c r="G1244" s="189"/>
      <c r="H1244" s="189"/>
      <c r="I1244" s="189"/>
      <c r="J1244" s="189"/>
      <c r="K1244" s="189"/>
      <c r="L1244" s="189"/>
      <c r="M1244" s="189"/>
      <c r="N1244" s="189"/>
      <c r="O1244" s="189"/>
      <c r="P1244" s="291"/>
      <c r="Q1244" s="189"/>
      <c r="R1244" s="189"/>
      <c r="S1244" s="189"/>
      <c r="T1244" s="189"/>
      <c r="U1244" s="189"/>
      <c r="V1244" s="189"/>
      <c r="W1244" s="189"/>
      <c r="X1244" s="189"/>
      <c r="Y1244" s="189"/>
      <c r="Z1244" s="189"/>
      <c r="AA1244" s="189"/>
      <c r="AB1244" s="189"/>
      <c r="AC1244" s="189"/>
      <c r="AD1244" s="189"/>
      <c r="AE1244" s="189"/>
      <c r="AF1244" s="189"/>
      <c r="AG1244" s="189"/>
      <c r="AH1244" s="189"/>
      <c r="AI1244" s="189"/>
      <c r="AJ1244" s="189"/>
      <c r="AK1244" s="189"/>
      <c r="AL1244" s="189"/>
      <c r="AM1244" s="189"/>
      <c r="AN1244" s="189"/>
      <c r="AO1244" s="189"/>
      <c r="AP1244" s="189"/>
      <c r="AQ1244" s="189"/>
      <c r="AR1244" s="189"/>
      <c r="AS1244" s="189"/>
      <c r="AT1244" s="189"/>
      <c r="AU1244" s="189"/>
      <c r="AV1244" s="189"/>
      <c r="AW1244" s="189"/>
      <c r="AX1244" s="189"/>
    </row>
    <row r="1245" ht="15.75" customHeight="1">
      <c r="A1245" s="189"/>
      <c r="B1245" s="189"/>
      <c r="C1245" s="190"/>
      <c r="D1245" s="190"/>
      <c r="E1245" s="190"/>
      <c r="F1245" s="190"/>
      <c r="G1245" s="189"/>
      <c r="H1245" s="189"/>
      <c r="I1245" s="189"/>
      <c r="J1245" s="189"/>
      <c r="K1245" s="189"/>
      <c r="L1245" s="189"/>
      <c r="M1245" s="189"/>
      <c r="N1245" s="189"/>
      <c r="O1245" s="189"/>
      <c r="P1245" s="291"/>
      <c r="Q1245" s="189"/>
      <c r="R1245" s="189"/>
      <c r="S1245" s="189"/>
      <c r="T1245" s="189"/>
      <c r="U1245" s="189"/>
      <c r="V1245" s="189"/>
      <c r="W1245" s="189"/>
      <c r="X1245" s="189"/>
      <c r="Y1245" s="189"/>
      <c r="Z1245" s="189"/>
      <c r="AA1245" s="189"/>
      <c r="AB1245" s="189"/>
      <c r="AC1245" s="189"/>
      <c r="AD1245" s="189"/>
      <c r="AE1245" s="189"/>
      <c r="AF1245" s="189"/>
      <c r="AG1245" s="189"/>
      <c r="AH1245" s="189"/>
      <c r="AI1245" s="189"/>
      <c r="AJ1245" s="189"/>
      <c r="AK1245" s="189"/>
      <c r="AL1245" s="189"/>
      <c r="AM1245" s="189"/>
      <c r="AN1245" s="189"/>
      <c r="AO1245" s="189"/>
      <c r="AP1245" s="189"/>
      <c r="AQ1245" s="189"/>
      <c r="AR1245" s="189"/>
      <c r="AS1245" s="189"/>
      <c r="AT1245" s="189"/>
      <c r="AU1245" s="189"/>
      <c r="AV1245" s="189"/>
      <c r="AW1245" s="189"/>
      <c r="AX1245" s="189"/>
    </row>
    <row r="1246" ht="15.75" customHeight="1">
      <c r="A1246" s="189"/>
      <c r="B1246" s="189"/>
      <c r="C1246" s="190"/>
      <c r="D1246" s="190"/>
      <c r="E1246" s="190"/>
      <c r="F1246" s="190"/>
      <c r="G1246" s="189"/>
      <c r="H1246" s="189"/>
      <c r="I1246" s="189"/>
      <c r="J1246" s="189"/>
      <c r="K1246" s="189"/>
      <c r="L1246" s="189"/>
      <c r="M1246" s="189"/>
      <c r="N1246" s="189"/>
      <c r="O1246" s="189"/>
      <c r="P1246" s="291"/>
      <c r="Q1246" s="189"/>
      <c r="R1246" s="189"/>
      <c r="S1246" s="189"/>
      <c r="T1246" s="189"/>
      <c r="U1246" s="189"/>
      <c r="V1246" s="189"/>
      <c r="W1246" s="189"/>
      <c r="X1246" s="189"/>
      <c r="Y1246" s="189"/>
      <c r="Z1246" s="189"/>
      <c r="AA1246" s="189"/>
      <c r="AB1246" s="189"/>
      <c r="AC1246" s="189"/>
      <c r="AD1246" s="189"/>
      <c r="AE1246" s="189"/>
      <c r="AF1246" s="189"/>
      <c r="AG1246" s="189"/>
      <c r="AH1246" s="189"/>
      <c r="AI1246" s="189"/>
      <c r="AJ1246" s="189"/>
      <c r="AK1246" s="189"/>
      <c r="AL1246" s="189"/>
      <c r="AM1246" s="189"/>
      <c r="AN1246" s="189"/>
      <c r="AO1246" s="189"/>
      <c r="AP1246" s="189"/>
      <c r="AQ1246" s="189"/>
      <c r="AR1246" s="189"/>
      <c r="AS1246" s="189"/>
      <c r="AT1246" s="189"/>
      <c r="AU1246" s="189"/>
      <c r="AV1246" s="189"/>
      <c r="AW1246" s="189"/>
      <c r="AX1246" s="189"/>
    </row>
    <row r="1247" ht="15.75" customHeight="1">
      <c r="A1247" s="189"/>
      <c r="B1247" s="189"/>
      <c r="C1247" s="190"/>
      <c r="D1247" s="190"/>
      <c r="E1247" s="190"/>
      <c r="F1247" s="190"/>
      <c r="G1247" s="189"/>
      <c r="H1247" s="189"/>
      <c r="I1247" s="189"/>
      <c r="J1247" s="189"/>
      <c r="K1247" s="189"/>
      <c r="L1247" s="189"/>
      <c r="M1247" s="189"/>
      <c r="N1247" s="189"/>
      <c r="O1247" s="189"/>
      <c r="P1247" s="291"/>
      <c r="Q1247" s="189"/>
      <c r="R1247" s="189"/>
      <c r="S1247" s="189"/>
      <c r="T1247" s="189"/>
      <c r="U1247" s="189"/>
      <c r="V1247" s="189"/>
      <c r="W1247" s="189"/>
      <c r="X1247" s="189"/>
      <c r="Y1247" s="189"/>
      <c r="Z1247" s="189"/>
      <c r="AA1247" s="189"/>
      <c r="AB1247" s="189"/>
      <c r="AC1247" s="189"/>
      <c r="AD1247" s="189"/>
      <c r="AE1247" s="189"/>
      <c r="AF1247" s="189"/>
      <c r="AG1247" s="189"/>
      <c r="AH1247" s="189"/>
      <c r="AI1247" s="189"/>
      <c r="AJ1247" s="189"/>
      <c r="AK1247" s="189"/>
      <c r="AL1247" s="189"/>
      <c r="AM1247" s="189"/>
      <c r="AN1247" s="189"/>
      <c r="AO1247" s="189"/>
      <c r="AP1247" s="189"/>
      <c r="AQ1247" s="189"/>
      <c r="AR1247" s="189"/>
      <c r="AS1247" s="189"/>
      <c r="AT1247" s="189"/>
      <c r="AU1247" s="189"/>
      <c r="AV1247" s="189"/>
      <c r="AW1247" s="189"/>
      <c r="AX1247" s="189"/>
    </row>
    <row r="1248" ht="15.75" customHeight="1">
      <c r="A1248" s="189"/>
      <c r="B1248" s="189"/>
      <c r="C1248" s="190"/>
      <c r="D1248" s="190"/>
      <c r="E1248" s="190"/>
      <c r="F1248" s="190"/>
      <c r="G1248" s="189"/>
      <c r="H1248" s="189"/>
      <c r="I1248" s="189"/>
      <c r="J1248" s="189"/>
      <c r="K1248" s="189"/>
      <c r="L1248" s="189"/>
      <c r="M1248" s="189"/>
      <c r="N1248" s="189"/>
      <c r="O1248" s="189"/>
      <c r="P1248" s="291"/>
      <c r="Q1248" s="189"/>
      <c r="R1248" s="189"/>
      <c r="S1248" s="189"/>
      <c r="T1248" s="189"/>
      <c r="U1248" s="189"/>
      <c r="V1248" s="189"/>
      <c r="W1248" s="189"/>
      <c r="X1248" s="189"/>
      <c r="Y1248" s="189"/>
      <c r="Z1248" s="189"/>
      <c r="AA1248" s="189"/>
      <c r="AB1248" s="189"/>
      <c r="AC1248" s="189"/>
      <c r="AD1248" s="189"/>
      <c r="AE1248" s="189"/>
      <c r="AF1248" s="189"/>
      <c r="AG1248" s="189"/>
      <c r="AH1248" s="189"/>
      <c r="AI1248" s="189"/>
      <c r="AJ1248" s="189"/>
      <c r="AK1248" s="189"/>
      <c r="AL1248" s="189"/>
      <c r="AM1248" s="189"/>
      <c r="AN1248" s="189"/>
      <c r="AO1248" s="189"/>
      <c r="AP1248" s="189"/>
      <c r="AQ1248" s="189"/>
      <c r="AR1248" s="189"/>
      <c r="AS1248" s="189"/>
      <c r="AT1248" s="189"/>
      <c r="AU1248" s="189"/>
      <c r="AV1248" s="189"/>
      <c r="AW1248" s="189"/>
      <c r="AX1248" s="189"/>
    </row>
    <row r="1249" ht="15.75" customHeight="1">
      <c r="A1249" s="189"/>
      <c r="B1249" s="189"/>
      <c r="C1249" s="190"/>
      <c r="D1249" s="190"/>
      <c r="E1249" s="190"/>
      <c r="F1249" s="190"/>
      <c r="G1249" s="189"/>
      <c r="H1249" s="189"/>
      <c r="I1249" s="189"/>
      <c r="J1249" s="189"/>
      <c r="K1249" s="189"/>
      <c r="L1249" s="189"/>
      <c r="M1249" s="189"/>
      <c r="N1249" s="189"/>
      <c r="O1249" s="189"/>
      <c r="P1249" s="291"/>
      <c r="Q1249" s="189"/>
      <c r="R1249" s="189"/>
      <c r="S1249" s="189"/>
      <c r="T1249" s="189"/>
      <c r="U1249" s="189"/>
      <c r="V1249" s="189"/>
      <c r="W1249" s="189"/>
      <c r="X1249" s="189"/>
      <c r="Y1249" s="189"/>
      <c r="Z1249" s="189"/>
      <c r="AA1249" s="189"/>
      <c r="AB1249" s="189"/>
      <c r="AC1249" s="189"/>
      <c r="AD1249" s="189"/>
      <c r="AE1249" s="189"/>
      <c r="AF1249" s="189"/>
      <c r="AG1249" s="189"/>
      <c r="AH1249" s="189"/>
      <c r="AI1249" s="189"/>
      <c r="AJ1249" s="189"/>
      <c r="AK1249" s="189"/>
      <c r="AL1249" s="189"/>
      <c r="AM1249" s="189"/>
      <c r="AN1249" s="189"/>
      <c r="AO1249" s="189"/>
      <c r="AP1249" s="189"/>
      <c r="AQ1249" s="189"/>
      <c r="AR1249" s="189"/>
      <c r="AS1249" s="189"/>
      <c r="AT1249" s="189"/>
      <c r="AU1249" s="189"/>
      <c r="AV1249" s="189"/>
      <c r="AW1249" s="189"/>
      <c r="AX1249" s="189"/>
    </row>
    <row r="1250" ht="15.75" customHeight="1">
      <c r="A1250" s="189"/>
      <c r="B1250" s="189"/>
      <c r="C1250" s="190"/>
      <c r="D1250" s="190"/>
      <c r="E1250" s="190"/>
      <c r="F1250" s="190"/>
      <c r="G1250" s="189"/>
      <c r="H1250" s="189"/>
      <c r="I1250" s="189"/>
      <c r="J1250" s="189"/>
      <c r="K1250" s="189"/>
      <c r="L1250" s="189"/>
      <c r="M1250" s="189"/>
      <c r="N1250" s="189"/>
      <c r="O1250" s="189"/>
      <c r="P1250" s="291"/>
      <c r="Q1250" s="189"/>
      <c r="R1250" s="189"/>
      <c r="S1250" s="189"/>
      <c r="T1250" s="189"/>
      <c r="U1250" s="189"/>
      <c r="V1250" s="189"/>
      <c r="W1250" s="189"/>
      <c r="X1250" s="189"/>
      <c r="Y1250" s="189"/>
      <c r="Z1250" s="189"/>
      <c r="AA1250" s="189"/>
      <c r="AB1250" s="189"/>
      <c r="AC1250" s="189"/>
      <c r="AD1250" s="189"/>
      <c r="AE1250" s="189"/>
      <c r="AF1250" s="189"/>
      <c r="AG1250" s="189"/>
      <c r="AH1250" s="189"/>
      <c r="AI1250" s="189"/>
      <c r="AJ1250" s="189"/>
      <c r="AK1250" s="189"/>
      <c r="AL1250" s="189"/>
      <c r="AM1250" s="189"/>
      <c r="AN1250" s="189"/>
      <c r="AO1250" s="189"/>
      <c r="AP1250" s="189"/>
      <c r="AQ1250" s="189"/>
      <c r="AR1250" s="189"/>
      <c r="AS1250" s="189"/>
      <c r="AT1250" s="189"/>
      <c r="AU1250" s="189"/>
      <c r="AV1250" s="189"/>
      <c r="AW1250" s="189"/>
      <c r="AX1250" s="189"/>
    </row>
    <row r="1251" ht="15.75" customHeight="1">
      <c r="A1251" s="189"/>
      <c r="B1251" s="189"/>
      <c r="C1251" s="190"/>
      <c r="D1251" s="190"/>
      <c r="E1251" s="190"/>
      <c r="F1251" s="190"/>
      <c r="G1251" s="189"/>
      <c r="H1251" s="189"/>
      <c r="I1251" s="189"/>
      <c r="J1251" s="189"/>
      <c r="K1251" s="189"/>
      <c r="L1251" s="189"/>
      <c r="M1251" s="189"/>
      <c r="N1251" s="189"/>
      <c r="O1251" s="189"/>
      <c r="P1251" s="291"/>
      <c r="Q1251" s="189"/>
      <c r="R1251" s="189"/>
      <c r="S1251" s="189"/>
      <c r="T1251" s="189"/>
      <c r="U1251" s="189"/>
      <c r="V1251" s="189"/>
      <c r="W1251" s="189"/>
      <c r="X1251" s="189"/>
      <c r="Y1251" s="189"/>
      <c r="Z1251" s="189"/>
      <c r="AA1251" s="189"/>
      <c r="AB1251" s="189"/>
      <c r="AC1251" s="189"/>
      <c r="AD1251" s="189"/>
      <c r="AE1251" s="189"/>
      <c r="AF1251" s="189"/>
      <c r="AG1251" s="189"/>
      <c r="AH1251" s="189"/>
      <c r="AI1251" s="189"/>
      <c r="AJ1251" s="189"/>
      <c r="AK1251" s="189"/>
      <c r="AL1251" s="189"/>
      <c r="AM1251" s="189"/>
      <c r="AN1251" s="189"/>
      <c r="AO1251" s="189"/>
      <c r="AP1251" s="189"/>
      <c r="AQ1251" s="189"/>
      <c r="AR1251" s="189"/>
      <c r="AS1251" s="189"/>
      <c r="AT1251" s="189"/>
      <c r="AU1251" s="189"/>
      <c r="AV1251" s="189"/>
      <c r="AW1251" s="189"/>
      <c r="AX1251" s="189"/>
    </row>
    <row r="1252" ht="15.75" customHeight="1">
      <c r="A1252" s="189"/>
      <c r="B1252" s="189"/>
      <c r="C1252" s="190"/>
      <c r="D1252" s="190"/>
      <c r="E1252" s="190"/>
      <c r="F1252" s="190"/>
      <c r="G1252" s="189"/>
      <c r="H1252" s="189"/>
      <c r="I1252" s="189"/>
      <c r="J1252" s="189"/>
      <c r="K1252" s="189"/>
      <c r="L1252" s="189"/>
      <c r="M1252" s="189"/>
      <c r="N1252" s="189"/>
      <c r="O1252" s="189"/>
      <c r="P1252" s="291"/>
      <c r="Q1252" s="189"/>
      <c r="R1252" s="189"/>
      <c r="S1252" s="189"/>
      <c r="T1252" s="189"/>
      <c r="U1252" s="189"/>
      <c r="V1252" s="189"/>
      <c r="W1252" s="189"/>
      <c r="X1252" s="189"/>
      <c r="Y1252" s="189"/>
      <c r="Z1252" s="189"/>
      <c r="AA1252" s="189"/>
      <c r="AB1252" s="189"/>
      <c r="AC1252" s="189"/>
      <c r="AD1252" s="189"/>
      <c r="AE1252" s="189"/>
      <c r="AF1252" s="189"/>
      <c r="AG1252" s="189"/>
      <c r="AH1252" s="189"/>
      <c r="AI1252" s="189"/>
      <c r="AJ1252" s="189"/>
      <c r="AK1252" s="189"/>
      <c r="AL1252" s="189"/>
      <c r="AM1252" s="189"/>
      <c r="AN1252" s="189"/>
      <c r="AO1252" s="189"/>
      <c r="AP1252" s="189"/>
      <c r="AQ1252" s="189"/>
      <c r="AR1252" s="189"/>
      <c r="AS1252" s="189"/>
      <c r="AT1252" s="189"/>
      <c r="AU1252" s="189"/>
      <c r="AV1252" s="189"/>
      <c r="AW1252" s="189"/>
      <c r="AX1252" s="189"/>
    </row>
    <row r="1253" ht="15.75" customHeight="1">
      <c r="A1253" s="189"/>
      <c r="B1253" s="189"/>
      <c r="C1253" s="190"/>
      <c r="D1253" s="190"/>
      <c r="E1253" s="190"/>
      <c r="F1253" s="190"/>
      <c r="G1253" s="189"/>
      <c r="H1253" s="189"/>
      <c r="I1253" s="189"/>
      <c r="J1253" s="189"/>
      <c r="K1253" s="189"/>
      <c r="L1253" s="189"/>
      <c r="M1253" s="189"/>
      <c r="N1253" s="189"/>
      <c r="O1253" s="189"/>
      <c r="P1253" s="291"/>
      <c r="Q1253" s="189"/>
      <c r="R1253" s="189"/>
      <c r="S1253" s="189"/>
      <c r="T1253" s="189"/>
      <c r="U1253" s="189"/>
      <c r="V1253" s="189"/>
      <c r="W1253" s="189"/>
      <c r="X1253" s="189"/>
      <c r="Y1253" s="189"/>
      <c r="Z1253" s="189"/>
      <c r="AA1253" s="189"/>
      <c r="AB1253" s="189"/>
      <c r="AC1253" s="189"/>
      <c r="AD1253" s="189"/>
      <c r="AE1253" s="189"/>
      <c r="AF1253" s="189"/>
      <c r="AG1253" s="189"/>
      <c r="AH1253" s="189"/>
      <c r="AI1253" s="189"/>
      <c r="AJ1253" s="189"/>
      <c r="AK1253" s="189"/>
      <c r="AL1253" s="189"/>
      <c r="AM1253" s="189"/>
      <c r="AN1253" s="189"/>
      <c r="AO1253" s="189"/>
      <c r="AP1253" s="189"/>
      <c r="AQ1253" s="189"/>
      <c r="AR1253" s="189"/>
      <c r="AS1253" s="189"/>
      <c r="AT1253" s="189"/>
      <c r="AU1253" s="189"/>
      <c r="AV1253" s="189"/>
      <c r="AW1253" s="189"/>
      <c r="AX1253" s="189"/>
    </row>
    <row r="1254" ht="15.75" customHeight="1">
      <c r="A1254" s="189"/>
      <c r="B1254" s="189"/>
      <c r="C1254" s="190"/>
      <c r="D1254" s="190"/>
      <c r="E1254" s="190"/>
      <c r="F1254" s="190"/>
      <c r="G1254" s="189"/>
      <c r="H1254" s="189"/>
      <c r="I1254" s="189"/>
      <c r="J1254" s="189"/>
      <c r="K1254" s="189"/>
      <c r="L1254" s="189"/>
      <c r="M1254" s="189"/>
      <c r="N1254" s="189"/>
      <c r="O1254" s="189"/>
      <c r="P1254" s="291"/>
      <c r="Q1254" s="189"/>
      <c r="R1254" s="189"/>
      <c r="S1254" s="189"/>
      <c r="T1254" s="189"/>
      <c r="U1254" s="189"/>
      <c r="V1254" s="189"/>
      <c r="W1254" s="189"/>
      <c r="X1254" s="189"/>
      <c r="Y1254" s="189"/>
      <c r="Z1254" s="189"/>
      <c r="AA1254" s="189"/>
      <c r="AB1254" s="189"/>
      <c r="AC1254" s="189"/>
      <c r="AD1254" s="189"/>
      <c r="AE1254" s="189"/>
      <c r="AF1254" s="189"/>
      <c r="AG1254" s="189"/>
      <c r="AH1254" s="189"/>
      <c r="AI1254" s="189"/>
      <c r="AJ1254" s="189"/>
      <c r="AK1254" s="189"/>
      <c r="AL1254" s="189"/>
      <c r="AM1254" s="189"/>
      <c r="AN1254" s="189"/>
      <c r="AO1254" s="189"/>
      <c r="AP1254" s="189"/>
      <c r="AQ1254" s="189"/>
      <c r="AR1254" s="189"/>
      <c r="AS1254" s="189"/>
      <c r="AT1254" s="189"/>
      <c r="AU1254" s="189"/>
      <c r="AV1254" s="189"/>
      <c r="AW1254" s="189"/>
      <c r="AX1254" s="189"/>
    </row>
    <row r="1255" ht="15.75" customHeight="1">
      <c r="A1255" s="189"/>
      <c r="B1255" s="189"/>
      <c r="C1255" s="190"/>
      <c r="D1255" s="190"/>
      <c r="E1255" s="190"/>
      <c r="F1255" s="190"/>
      <c r="G1255" s="189"/>
      <c r="H1255" s="189"/>
      <c r="I1255" s="189"/>
      <c r="J1255" s="189"/>
      <c r="K1255" s="189"/>
      <c r="L1255" s="189"/>
      <c r="M1255" s="189"/>
      <c r="N1255" s="189"/>
      <c r="O1255" s="189"/>
      <c r="P1255" s="291"/>
      <c r="Q1255" s="189"/>
      <c r="R1255" s="189"/>
      <c r="S1255" s="189"/>
      <c r="T1255" s="189"/>
      <c r="U1255" s="189"/>
      <c r="V1255" s="189"/>
      <c r="W1255" s="189"/>
      <c r="X1255" s="189"/>
      <c r="Y1255" s="189"/>
      <c r="Z1255" s="189"/>
      <c r="AA1255" s="189"/>
      <c r="AB1255" s="189"/>
      <c r="AC1255" s="189"/>
      <c r="AD1255" s="189"/>
      <c r="AE1255" s="189"/>
      <c r="AF1255" s="189"/>
      <c r="AG1255" s="189"/>
      <c r="AH1255" s="189"/>
      <c r="AI1255" s="189"/>
      <c r="AJ1255" s="189"/>
      <c r="AK1255" s="189"/>
      <c r="AL1255" s="189"/>
      <c r="AM1255" s="189"/>
      <c r="AN1255" s="189"/>
      <c r="AO1255" s="189"/>
      <c r="AP1255" s="189"/>
      <c r="AQ1255" s="189"/>
      <c r="AR1255" s="189"/>
      <c r="AS1255" s="189"/>
      <c r="AT1255" s="189"/>
      <c r="AU1255" s="189"/>
      <c r="AV1255" s="189"/>
      <c r="AW1255" s="189"/>
      <c r="AX1255" s="189"/>
    </row>
    <row r="1256" ht="15.75" customHeight="1">
      <c r="A1256" s="189"/>
      <c r="B1256" s="189"/>
      <c r="C1256" s="190"/>
      <c r="D1256" s="190"/>
      <c r="E1256" s="190"/>
      <c r="F1256" s="190"/>
      <c r="G1256" s="189"/>
      <c r="H1256" s="189"/>
      <c r="I1256" s="189"/>
      <c r="J1256" s="189"/>
      <c r="K1256" s="189"/>
      <c r="L1256" s="189"/>
      <c r="M1256" s="189"/>
      <c r="N1256" s="189"/>
      <c r="O1256" s="189"/>
      <c r="P1256" s="291"/>
      <c r="Q1256" s="189"/>
      <c r="R1256" s="189"/>
      <c r="S1256" s="189"/>
      <c r="T1256" s="189"/>
      <c r="U1256" s="189"/>
      <c r="V1256" s="189"/>
      <c r="W1256" s="189"/>
      <c r="X1256" s="189"/>
      <c r="Y1256" s="189"/>
      <c r="Z1256" s="189"/>
      <c r="AA1256" s="189"/>
      <c r="AB1256" s="189"/>
      <c r="AC1256" s="189"/>
      <c r="AD1256" s="189"/>
      <c r="AE1256" s="189"/>
      <c r="AF1256" s="189"/>
      <c r="AG1256" s="189"/>
      <c r="AH1256" s="189"/>
      <c r="AI1256" s="189"/>
      <c r="AJ1256" s="189"/>
      <c r="AK1256" s="189"/>
      <c r="AL1256" s="189"/>
      <c r="AM1256" s="189"/>
      <c r="AN1256" s="189"/>
      <c r="AO1256" s="189"/>
      <c r="AP1256" s="189"/>
      <c r="AQ1256" s="189"/>
      <c r="AR1256" s="189"/>
      <c r="AS1256" s="189"/>
      <c r="AT1256" s="189"/>
      <c r="AU1256" s="189"/>
      <c r="AV1256" s="189"/>
      <c r="AW1256" s="189"/>
      <c r="AX1256" s="189"/>
    </row>
    <row r="1257" ht="15.75" customHeight="1">
      <c r="A1257" s="189"/>
      <c r="B1257" s="189"/>
      <c r="C1257" s="190"/>
      <c r="D1257" s="190"/>
      <c r="E1257" s="190"/>
      <c r="F1257" s="190"/>
      <c r="G1257" s="189"/>
      <c r="H1257" s="189"/>
      <c r="I1257" s="189"/>
      <c r="J1257" s="189"/>
      <c r="K1257" s="189"/>
      <c r="L1257" s="189"/>
      <c r="M1257" s="189"/>
      <c r="N1257" s="189"/>
      <c r="O1257" s="189"/>
      <c r="P1257" s="291"/>
      <c r="Q1257" s="189"/>
      <c r="R1257" s="189"/>
      <c r="S1257" s="189"/>
      <c r="T1257" s="189"/>
      <c r="U1257" s="189"/>
      <c r="V1257" s="189"/>
      <c r="W1257" s="189"/>
      <c r="X1257" s="189"/>
      <c r="Y1257" s="189"/>
      <c r="Z1257" s="189"/>
      <c r="AA1257" s="189"/>
      <c r="AB1257" s="189"/>
      <c r="AC1257" s="189"/>
      <c r="AD1257" s="189"/>
      <c r="AE1257" s="189"/>
      <c r="AF1257" s="189"/>
      <c r="AG1257" s="189"/>
      <c r="AH1257" s="189"/>
      <c r="AI1257" s="189"/>
      <c r="AJ1257" s="189"/>
      <c r="AK1257" s="189"/>
      <c r="AL1257" s="189"/>
      <c r="AM1257" s="189"/>
      <c r="AN1257" s="189"/>
      <c r="AO1257" s="189"/>
      <c r="AP1257" s="189"/>
      <c r="AQ1257" s="189"/>
      <c r="AR1257" s="189"/>
      <c r="AS1257" s="189"/>
      <c r="AT1257" s="189"/>
      <c r="AU1257" s="189"/>
      <c r="AV1257" s="189"/>
      <c r="AW1257" s="189"/>
      <c r="AX1257" s="189"/>
    </row>
    <row r="1258" ht="15.75" customHeight="1">
      <c r="A1258" s="189"/>
      <c r="B1258" s="189"/>
      <c r="C1258" s="190"/>
      <c r="D1258" s="190"/>
      <c r="E1258" s="190"/>
      <c r="F1258" s="190"/>
      <c r="G1258" s="189"/>
      <c r="H1258" s="189"/>
      <c r="I1258" s="189"/>
      <c r="J1258" s="189"/>
      <c r="K1258" s="189"/>
      <c r="L1258" s="189"/>
      <c r="M1258" s="189"/>
      <c r="N1258" s="189"/>
      <c r="O1258" s="189"/>
      <c r="P1258" s="291"/>
      <c r="Q1258" s="189"/>
      <c r="R1258" s="189"/>
      <c r="S1258" s="189"/>
      <c r="T1258" s="189"/>
      <c r="U1258" s="189"/>
      <c r="V1258" s="189"/>
      <c r="W1258" s="189"/>
      <c r="X1258" s="189"/>
      <c r="Y1258" s="189"/>
      <c r="Z1258" s="189"/>
      <c r="AA1258" s="189"/>
      <c r="AB1258" s="189"/>
      <c r="AC1258" s="189"/>
      <c r="AD1258" s="189"/>
      <c r="AE1258" s="189"/>
      <c r="AF1258" s="189"/>
      <c r="AG1258" s="189"/>
      <c r="AH1258" s="189"/>
      <c r="AI1258" s="189"/>
      <c r="AJ1258" s="189"/>
      <c r="AK1258" s="189"/>
      <c r="AL1258" s="189"/>
      <c r="AM1258" s="189"/>
      <c r="AN1258" s="189"/>
      <c r="AO1258" s="189"/>
      <c r="AP1258" s="189"/>
      <c r="AQ1258" s="189"/>
      <c r="AR1258" s="189"/>
      <c r="AS1258" s="189"/>
      <c r="AT1258" s="189"/>
      <c r="AU1258" s="189"/>
      <c r="AV1258" s="189"/>
      <c r="AW1258" s="189"/>
      <c r="AX1258" s="189"/>
    </row>
    <row r="1259" ht="15.75" customHeight="1">
      <c r="A1259" s="189"/>
      <c r="B1259" s="189"/>
      <c r="C1259" s="190"/>
      <c r="D1259" s="190"/>
      <c r="E1259" s="190"/>
      <c r="F1259" s="190"/>
      <c r="G1259" s="189"/>
      <c r="H1259" s="189"/>
      <c r="I1259" s="189"/>
      <c r="J1259" s="189"/>
      <c r="K1259" s="189"/>
      <c r="L1259" s="189"/>
      <c r="M1259" s="189"/>
      <c r="N1259" s="189"/>
      <c r="O1259" s="189"/>
      <c r="P1259" s="291"/>
      <c r="Q1259" s="189"/>
      <c r="R1259" s="189"/>
      <c r="S1259" s="189"/>
      <c r="T1259" s="189"/>
      <c r="U1259" s="189"/>
      <c r="V1259" s="189"/>
      <c r="W1259" s="189"/>
      <c r="X1259" s="189"/>
      <c r="Y1259" s="189"/>
      <c r="Z1259" s="189"/>
      <c r="AA1259" s="189"/>
      <c r="AB1259" s="189"/>
      <c r="AC1259" s="189"/>
      <c r="AD1259" s="189"/>
      <c r="AE1259" s="189"/>
      <c r="AF1259" s="189"/>
      <c r="AG1259" s="189"/>
      <c r="AH1259" s="189"/>
      <c r="AI1259" s="189"/>
      <c r="AJ1259" s="189"/>
      <c r="AK1259" s="189"/>
      <c r="AL1259" s="189"/>
      <c r="AM1259" s="189"/>
      <c r="AN1259" s="189"/>
      <c r="AO1259" s="189"/>
      <c r="AP1259" s="189"/>
      <c r="AQ1259" s="189"/>
      <c r="AR1259" s="189"/>
      <c r="AS1259" s="189"/>
      <c r="AT1259" s="189"/>
      <c r="AU1259" s="189"/>
      <c r="AV1259" s="189"/>
      <c r="AW1259" s="189"/>
      <c r="AX1259" s="189"/>
    </row>
    <row r="1260" ht="15.75" customHeight="1">
      <c r="A1260" s="189"/>
      <c r="B1260" s="189"/>
      <c r="C1260" s="190"/>
      <c r="D1260" s="190"/>
      <c r="E1260" s="190"/>
      <c r="F1260" s="190"/>
      <c r="G1260" s="189"/>
      <c r="H1260" s="189"/>
      <c r="I1260" s="189"/>
      <c r="J1260" s="189"/>
      <c r="K1260" s="189"/>
      <c r="L1260" s="189"/>
      <c r="M1260" s="189"/>
      <c r="N1260" s="189"/>
      <c r="O1260" s="189"/>
      <c r="P1260" s="291"/>
      <c r="Q1260" s="189"/>
      <c r="R1260" s="189"/>
      <c r="S1260" s="189"/>
      <c r="T1260" s="189"/>
      <c r="U1260" s="189"/>
      <c r="V1260" s="189"/>
      <c r="W1260" s="189"/>
      <c r="X1260" s="189"/>
      <c r="Y1260" s="189"/>
      <c r="Z1260" s="189"/>
      <c r="AA1260" s="189"/>
      <c r="AB1260" s="189"/>
      <c r="AC1260" s="189"/>
      <c r="AD1260" s="189"/>
      <c r="AE1260" s="189"/>
      <c r="AF1260" s="189"/>
      <c r="AG1260" s="189"/>
      <c r="AH1260" s="189"/>
      <c r="AI1260" s="189"/>
      <c r="AJ1260" s="189"/>
      <c r="AK1260" s="189"/>
      <c r="AL1260" s="189"/>
      <c r="AM1260" s="189"/>
      <c r="AN1260" s="189"/>
      <c r="AO1260" s="189"/>
      <c r="AP1260" s="189"/>
      <c r="AQ1260" s="189"/>
      <c r="AR1260" s="189"/>
      <c r="AS1260" s="189"/>
      <c r="AT1260" s="189"/>
      <c r="AU1260" s="189"/>
      <c r="AV1260" s="189"/>
      <c r="AW1260" s="189"/>
      <c r="AX1260" s="189"/>
    </row>
    <row r="1261" ht="15.75" customHeight="1">
      <c r="A1261" s="189"/>
      <c r="B1261" s="189"/>
      <c r="C1261" s="190"/>
      <c r="D1261" s="190"/>
      <c r="E1261" s="190"/>
      <c r="F1261" s="190"/>
      <c r="G1261" s="189"/>
      <c r="H1261" s="189"/>
      <c r="I1261" s="189"/>
      <c r="J1261" s="189"/>
      <c r="K1261" s="189"/>
      <c r="L1261" s="189"/>
      <c r="M1261" s="189"/>
      <c r="N1261" s="189"/>
      <c r="O1261" s="189"/>
      <c r="P1261" s="291"/>
      <c r="Q1261" s="189"/>
      <c r="R1261" s="189"/>
      <c r="S1261" s="189"/>
      <c r="T1261" s="189"/>
      <c r="U1261" s="189"/>
      <c r="V1261" s="189"/>
      <c r="W1261" s="189"/>
      <c r="X1261" s="189"/>
      <c r="Y1261" s="189"/>
      <c r="Z1261" s="189"/>
      <c r="AA1261" s="189"/>
      <c r="AB1261" s="189"/>
      <c r="AC1261" s="189"/>
      <c r="AD1261" s="189"/>
      <c r="AE1261" s="189"/>
      <c r="AF1261" s="189"/>
      <c r="AG1261" s="189"/>
      <c r="AH1261" s="189"/>
      <c r="AI1261" s="189"/>
      <c r="AJ1261" s="189"/>
      <c r="AK1261" s="189"/>
      <c r="AL1261" s="189"/>
      <c r="AM1261" s="189"/>
      <c r="AN1261" s="189"/>
      <c r="AO1261" s="189"/>
      <c r="AP1261" s="189"/>
      <c r="AQ1261" s="189"/>
      <c r="AR1261" s="189"/>
      <c r="AS1261" s="189"/>
      <c r="AT1261" s="189"/>
      <c r="AU1261" s="189"/>
      <c r="AV1261" s="189"/>
      <c r="AW1261" s="189"/>
      <c r="AX1261" s="189"/>
    </row>
    <row r="1262" ht="15.75" customHeight="1">
      <c r="A1262" s="189"/>
      <c r="B1262" s="189"/>
      <c r="C1262" s="190"/>
      <c r="D1262" s="190"/>
      <c r="E1262" s="190"/>
      <c r="F1262" s="190"/>
      <c r="G1262" s="189"/>
      <c r="H1262" s="189"/>
      <c r="I1262" s="189"/>
      <c r="J1262" s="189"/>
      <c r="K1262" s="189"/>
      <c r="L1262" s="189"/>
      <c r="M1262" s="189"/>
      <c r="N1262" s="189"/>
      <c r="O1262" s="189"/>
      <c r="P1262" s="291"/>
      <c r="Q1262" s="189"/>
      <c r="R1262" s="189"/>
      <c r="S1262" s="189"/>
      <c r="T1262" s="189"/>
      <c r="U1262" s="189"/>
      <c r="V1262" s="189"/>
      <c r="W1262" s="189"/>
      <c r="X1262" s="189"/>
      <c r="Y1262" s="189"/>
      <c r="Z1262" s="189"/>
      <c r="AA1262" s="189"/>
      <c r="AB1262" s="189"/>
      <c r="AC1262" s="189"/>
      <c r="AD1262" s="189"/>
      <c r="AE1262" s="189"/>
      <c r="AF1262" s="189"/>
      <c r="AG1262" s="189"/>
      <c r="AH1262" s="189"/>
      <c r="AI1262" s="189"/>
      <c r="AJ1262" s="189"/>
      <c r="AK1262" s="189"/>
      <c r="AL1262" s="189"/>
      <c r="AM1262" s="189"/>
      <c r="AN1262" s="189"/>
      <c r="AO1262" s="189"/>
      <c r="AP1262" s="189"/>
      <c r="AQ1262" s="189"/>
      <c r="AR1262" s="189"/>
      <c r="AS1262" s="189"/>
      <c r="AT1262" s="189"/>
      <c r="AU1262" s="189"/>
      <c r="AV1262" s="189"/>
      <c r="AW1262" s="189"/>
      <c r="AX1262" s="189"/>
    </row>
    <row r="1263" ht="15.75" customHeight="1">
      <c r="A1263" s="189"/>
      <c r="B1263" s="189"/>
      <c r="C1263" s="190"/>
      <c r="D1263" s="190"/>
      <c r="E1263" s="190"/>
      <c r="F1263" s="190"/>
      <c r="G1263" s="189"/>
      <c r="H1263" s="189"/>
      <c r="I1263" s="189"/>
      <c r="J1263" s="189"/>
      <c r="K1263" s="189"/>
      <c r="L1263" s="189"/>
      <c r="M1263" s="189"/>
      <c r="N1263" s="189"/>
      <c r="O1263" s="189"/>
      <c r="P1263" s="291"/>
      <c r="Q1263" s="189"/>
      <c r="R1263" s="189"/>
      <c r="S1263" s="189"/>
      <c r="T1263" s="189"/>
      <c r="U1263" s="189"/>
      <c r="V1263" s="189"/>
      <c r="W1263" s="189"/>
      <c r="X1263" s="189"/>
      <c r="Y1263" s="189"/>
      <c r="Z1263" s="189"/>
      <c r="AA1263" s="189"/>
      <c r="AB1263" s="189"/>
      <c r="AC1263" s="189"/>
      <c r="AD1263" s="189"/>
      <c r="AE1263" s="189"/>
      <c r="AF1263" s="189"/>
      <c r="AG1263" s="189"/>
      <c r="AH1263" s="189"/>
      <c r="AI1263" s="189"/>
      <c r="AJ1263" s="189"/>
      <c r="AK1263" s="189"/>
      <c r="AL1263" s="189"/>
      <c r="AM1263" s="189"/>
      <c r="AN1263" s="189"/>
      <c r="AO1263" s="189"/>
      <c r="AP1263" s="189"/>
      <c r="AQ1263" s="189"/>
      <c r="AR1263" s="189"/>
      <c r="AS1263" s="189"/>
      <c r="AT1263" s="189"/>
      <c r="AU1263" s="189"/>
      <c r="AV1263" s="189"/>
      <c r="AW1263" s="189"/>
      <c r="AX1263" s="189"/>
    </row>
    <row r="1264" ht="15.75" customHeight="1">
      <c r="A1264" s="189"/>
      <c r="B1264" s="189"/>
      <c r="C1264" s="190"/>
      <c r="D1264" s="190"/>
      <c r="E1264" s="190"/>
      <c r="F1264" s="190"/>
      <c r="G1264" s="189"/>
      <c r="H1264" s="189"/>
      <c r="I1264" s="189"/>
      <c r="J1264" s="189"/>
      <c r="K1264" s="189"/>
      <c r="L1264" s="189"/>
      <c r="M1264" s="189"/>
      <c r="N1264" s="189"/>
      <c r="O1264" s="189"/>
      <c r="P1264" s="291"/>
      <c r="Q1264" s="189"/>
      <c r="R1264" s="189"/>
      <c r="S1264" s="189"/>
      <c r="T1264" s="189"/>
      <c r="U1264" s="189"/>
      <c r="V1264" s="189"/>
      <c r="W1264" s="189"/>
      <c r="X1264" s="189"/>
      <c r="Y1264" s="189"/>
      <c r="Z1264" s="189"/>
      <c r="AA1264" s="189"/>
      <c r="AB1264" s="189"/>
      <c r="AC1264" s="189"/>
      <c r="AD1264" s="189"/>
      <c r="AE1264" s="189"/>
      <c r="AF1264" s="189"/>
      <c r="AG1264" s="189"/>
      <c r="AH1264" s="189"/>
      <c r="AI1264" s="189"/>
      <c r="AJ1264" s="189"/>
      <c r="AK1264" s="189"/>
      <c r="AL1264" s="189"/>
      <c r="AM1264" s="189"/>
      <c r="AN1264" s="189"/>
      <c r="AO1264" s="189"/>
      <c r="AP1264" s="189"/>
      <c r="AQ1264" s="189"/>
      <c r="AR1264" s="189"/>
      <c r="AS1264" s="189"/>
      <c r="AT1264" s="189"/>
      <c r="AU1264" s="189"/>
      <c r="AV1264" s="189"/>
      <c r="AW1264" s="189"/>
      <c r="AX1264" s="189"/>
    </row>
    <row r="1265" ht="15.75" customHeight="1">
      <c r="A1265" s="189"/>
      <c r="B1265" s="189"/>
      <c r="C1265" s="190"/>
      <c r="D1265" s="190"/>
      <c r="E1265" s="190"/>
      <c r="F1265" s="190"/>
      <c r="G1265" s="189"/>
      <c r="H1265" s="189"/>
      <c r="I1265" s="189"/>
      <c r="J1265" s="189"/>
      <c r="K1265" s="189"/>
      <c r="L1265" s="189"/>
      <c r="M1265" s="189"/>
      <c r="N1265" s="189"/>
      <c r="O1265" s="189"/>
      <c r="P1265" s="291"/>
      <c r="Q1265" s="189"/>
      <c r="R1265" s="189"/>
      <c r="S1265" s="189"/>
      <c r="T1265" s="189"/>
      <c r="U1265" s="189"/>
      <c r="V1265" s="189"/>
      <c r="W1265" s="189"/>
      <c r="X1265" s="189"/>
      <c r="Y1265" s="189"/>
      <c r="Z1265" s="189"/>
      <c r="AA1265" s="189"/>
      <c r="AB1265" s="189"/>
      <c r="AC1265" s="189"/>
      <c r="AD1265" s="189"/>
      <c r="AE1265" s="189"/>
      <c r="AF1265" s="189"/>
      <c r="AG1265" s="189"/>
      <c r="AH1265" s="189"/>
      <c r="AI1265" s="189"/>
      <c r="AJ1265" s="189"/>
      <c r="AK1265" s="189"/>
      <c r="AL1265" s="189"/>
      <c r="AM1265" s="189"/>
      <c r="AN1265" s="189"/>
      <c r="AO1265" s="189"/>
      <c r="AP1265" s="189"/>
      <c r="AQ1265" s="189"/>
      <c r="AR1265" s="189"/>
      <c r="AS1265" s="189"/>
      <c r="AT1265" s="189"/>
      <c r="AU1265" s="189"/>
      <c r="AV1265" s="189"/>
      <c r="AW1265" s="189"/>
      <c r="AX1265" s="189"/>
    </row>
    <row r="1266" ht="15.75" customHeight="1">
      <c r="A1266" s="189"/>
      <c r="B1266" s="189"/>
      <c r="C1266" s="190"/>
      <c r="D1266" s="190"/>
      <c r="E1266" s="190"/>
      <c r="F1266" s="190"/>
      <c r="G1266" s="189"/>
      <c r="H1266" s="189"/>
      <c r="I1266" s="189"/>
      <c r="J1266" s="189"/>
      <c r="K1266" s="189"/>
      <c r="L1266" s="189"/>
      <c r="M1266" s="189"/>
      <c r="N1266" s="189"/>
      <c r="O1266" s="189"/>
      <c r="P1266" s="291"/>
      <c r="Q1266" s="189"/>
      <c r="R1266" s="189"/>
      <c r="S1266" s="189"/>
      <c r="T1266" s="189"/>
      <c r="U1266" s="189"/>
      <c r="V1266" s="189"/>
      <c r="W1266" s="189"/>
      <c r="X1266" s="189"/>
      <c r="Y1266" s="189"/>
      <c r="Z1266" s="189"/>
      <c r="AA1266" s="189"/>
      <c r="AB1266" s="189"/>
      <c r="AC1266" s="189"/>
      <c r="AD1266" s="189"/>
      <c r="AE1266" s="189"/>
      <c r="AF1266" s="189"/>
      <c r="AG1266" s="189"/>
      <c r="AH1266" s="189"/>
      <c r="AI1266" s="189"/>
      <c r="AJ1266" s="189"/>
      <c r="AK1266" s="189"/>
      <c r="AL1266" s="189"/>
      <c r="AM1266" s="189"/>
      <c r="AN1266" s="189"/>
      <c r="AO1266" s="189"/>
      <c r="AP1266" s="189"/>
      <c r="AQ1266" s="189"/>
      <c r="AR1266" s="189"/>
      <c r="AS1266" s="189"/>
      <c r="AT1266" s="189"/>
      <c r="AU1266" s="189"/>
      <c r="AV1266" s="189"/>
      <c r="AW1266" s="189"/>
      <c r="AX1266" s="189"/>
    </row>
    <row r="1267" ht="15.75" customHeight="1">
      <c r="A1267" s="189"/>
      <c r="B1267" s="189"/>
      <c r="C1267" s="190"/>
      <c r="D1267" s="190"/>
      <c r="E1267" s="190"/>
      <c r="F1267" s="190"/>
      <c r="G1267" s="189"/>
      <c r="H1267" s="189"/>
      <c r="I1267" s="189"/>
      <c r="J1267" s="189"/>
      <c r="K1267" s="189"/>
      <c r="L1267" s="189"/>
      <c r="M1267" s="189"/>
      <c r="N1267" s="189"/>
      <c r="O1267" s="189"/>
      <c r="P1267" s="291"/>
      <c r="Q1267" s="189"/>
      <c r="R1267" s="189"/>
      <c r="S1267" s="189"/>
      <c r="T1267" s="189"/>
      <c r="U1267" s="189"/>
      <c r="V1267" s="189"/>
      <c r="W1267" s="189"/>
      <c r="X1267" s="189"/>
      <c r="Y1267" s="189"/>
      <c r="Z1267" s="189"/>
      <c r="AA1267" s="189"/>
      <c r="AB1267" s="189"/>
      <c r="AC1267" s="189"/>
      <c r="AD1267" s="189"/>
      <c r="AE1267" s="189"/>
      <c r="AF1267" s="189"/>
      <c r="AG1267" s="189"/>
      <c r="AH1267" s="189"/>
      <c r="AI1267" s="189"/>
      <c r="AJ1267" s="189"/>
      <c r="AK1267" s="189"/>
      <c r="AL1267" s="189"/>
      <c r="AM1267" s="189"/>
      <c r="AN1267" s="189"/>
      <c r="AO1267" s="189"/>
      <c r="AP1267" s="189"/>
      <c r="AQ1267" s="189"/>
      <c r="AR1267" s="189"/>
      <c r="AS1267" s="189"/>
      <c r="AT1267" s="189"/>
      <c r="AU1267" s="189"/>
      <c r="AV1267" s="189"/>
      <c r="AW1267" s="189"/>
      <c r="AX1267" s="189"/>
    </row>
    <row r="1268" ht="15.75" customHeight="1">
      <c r="A1268" s="189"/>
      <c r="B1268" s="189"/>
      <c r="C1268" s="190"/>
      <c r="D1268" s="190"/>
      <c r="E1268" s="190"/>
      <c r="F1268" s="190"/>
      <c r="G1268" s="189"/>
      <c r="H1268" s="189"/>
      <c r="I1268" s="189"/>
      <c r="J1268" s="189"/>
      <c r="K1268" s="189"/>
      <c r="L1268" s="189"/>
      <c r="M1268" s="189"/>
      <c r="N1268" s="189"/>
      <c r="O1268" s="189"/>
      <c r="P1268" s="291"/>
      <c r="Q1268" s="189"/>
      <c r="R1268" s="189"/>
      <c r="S1268" s="189"/>
      <c r="T1268" s="189"/>
      <c r="U1268" s="189"/>
      <c r="V1268" s="189"/>
      <c r="W1268" s="189"/>
      <c r="X1268" s="189"/>
      <c r="Y1268" s="189"/>
      <c r="Z1268" s="189"/>
      <c r="AA1268" s="189"/>
      <c r="AB1268" s="189"/>
      <c r="AC1268" s="189"/>
      <c r="AD1268" s="189"/>
      <c r="AE1268" s="189"/>
      <c r="AF1268" s="189"/>
      <c r="AG1268" s="189"/>
      <c r="AH1268" s="189"/>
      <c r="AI1268" s="189"/>
      <c r="AJ1268" s="189"/>
      <c r="AK1268" s="189"/>
      <c r="AL1268" s="189"/>
      <c r="AM1268" s="189"/>
      <c r="AN1268" s="189"/>
      <c r="AO1268" s="189"/>
      <c r="AP1268" s="189"/>
      <c r="AQ1268" s="189"/>
      <c r="AR1268" s="189"/>
      <c r="AS1268" s="189"/>
      <c r="AT1268" s="189"/>
      <c r="AU1268" s="189"/>
      <c r="AV1268" s="189"/>
      <c r="AW1268" s="189"/>
      <c r="AX1268" s="189"/>
    </row>
    <row r="1269" ht="15.75" customHeight="1">
      <c r="A1269" s="189"/>
      <c r="B1269" s="189"/>
      <c r="C1269" s="190"/>
      <c r="D1269" s="190"/>
      <c r="E1269" s="190"/>
      <c r="F1269" s="190"/>
      <c r="G1269" s="189"/>
      <c r="H1269" s="189"/>
      <c r="I1269" s="189"/>
      <c r="J1269" s="189"/>
      <c r="K1269" s="189"/>
      <c r="L1269" s="189"/>
      <c r="M1269" s="189"/>
      <c r="N1269" s="189"/>
      <c r="O1269" s="189"/>
      <c r="P1269" s="291"/>
      <c r="Q1269" s="189"/>
      <c r="R1269" s="189"/>
      <c r="S1269" s="189"/>
      <c r="T1269" s="189"/>
      <c r="U1269" s="189"/>
      <c r="V1269" s="189"/>
      <c r="W1269" s="189"/>
      <c r="X1269" s="189"/>
      <c r="Y1269" s="189"/>
      <c r="Z1269" s="189"/>
      <c r="AA1269" s="189"/>
      <c r="AB1269" s="189"/>
      <c r="AC1269" s="189"/>
      <c r="AD1269" s="189"/>
      <c r="AE1269" s="189"/>
      <c r="AF1269" s="189"/>
      <c r="AG1269" s="189"/>
      <c r="AH1269" s="189"/>
      <c r="AI1269" s="189"/>
      <c r="AJ1269" s="189"/>
      <c r="AK1269" s="189"/>
      <c r="AL1269" s="189"/>
      <c r="AM1269" s="189"/>
      <c r="AN1269" s="189"/>
      <c r="AO1269" s="189"/>
      <c r="AP1269" s="189"/>
      <c r="AQ1269" s="189"/>
      <c r="AR1269" s="189"/>
      <c r="AS1269" s="189"/>
      <c r="AT1269" s="189"/>
      <c r="AU1269" s="189"/>
      <c r="AV1269" s="189"/>
      <c r="AW1269" s="189"/>
      <c r="AX1269" s="189"/>
    </row>
    <row r="1270" ht="15.75" customHeight="1">
      <c r="A1270" s="189"/>
      <c r="B1270" s="189"/>
      <c r="C1270" s="190"/>
      <c r="D1270" s="190"/>
      <c r="E1270" s="190"/>
      <c r="F1270" s="190"/>
      <c r="G1270" s="189"/>
      <c r="H1270" s="189"/>
      <c r="I1270" s="189"/>
      <c r="J1270" s="189"/>
      <c r="K1270" s="189"/>
      <c r="L1270" s="189"/>
      <c r="M1270" s="189"/>
      <c r="N1270" s="189"/>
      <c r="O1270" s="189"/>
      <c r="P1270" s="291"/>
      <c r="Q1270" s="189"/>
      <c r="R1270" s="189"/>
      <c r="S1270" s="189"/>
      <c r="T1270" s="189"/>
      <c r="U1270" s="189"/>
      <c r="V1270" s="189"/>
      <c r="W1270" s="189"/>
      <c r="X1270" s="189"/>
      <c r="Y1270" s="189"/>
      <c r="Z1270" s="189"/>
      <c r="AA1270" s="189"/>
      <c r="AB1270" s="189"/>
      <c r="AC1270" s="189"/>
      <c r="AD1270" s="189"/>
      <c r="AE1270" s="189"/>
      <c r="AF1270" s="189"/>
      <c r="AG1270" s="189"/>
      <c r="AH1270" s="189"/>
      <c r="AI1270" s="189"/>
      <c r="AJ1270" s="189"/>
      <c r="AK1270" s="189"/>
      <c r="AL1270" s="189"/>
      <c r="AM1270" s="189"/>
      <c r="AN1270" s="189"/>
      <c r="AO1270" s="189"/>
      <c r="AP1270" s="189"/>
      <c r="AQ1270" s="189"/>
      <c r="AR1270" s="189"/>
      <c r="AS1270" s="189"/>
      <c r="AT1270" s="189"/>
      <c r="AU1270" s="189"/>
      <c r="AV1270" s="189"/>
      <c r="AW1270" s="189"/>
      <c r="AX1270" s="189"/>
    </row>
    <row r="1271" ht="15.75" customHeight="1">
      <c r="A1271" s="189"/>
      <c r="B1271" s="189"/>
      <c r="C1271" s="190"/>
      <c r="D1271" s="190"/>
      <c r="E1271" s="190"/>
      <c r="F1271" s="190"/>
      <c r="G1271" s="189"/>
      <c r="H1271" s="189"/>
      <c r="I1271" s="189"/>
      <c r="J1271" s="189"/>
      <c r="K1271" s="189"/>
      <c r="L1271" s="189"/>
      <c r="M1271" s="189"/>
      <c r="N1271" s="189"/>
      <c r="O1271" s="189"/>
      <c r="P1271" s="291"/>
      <c r="Q1271" s="189"/>
      <c r="R1271" s="189"/>
      <c r="S1271" s="189"/>
      <c r="T1271" s="189"/>
      <c r="U1271" s="189"/>
      <c r="V1271" s="189"/>
      <c r="W1271" s="189"/>
      <c r="X1271" s="189"/>
      <c r="Y1271" s="189"/>
      <c r="Z1271" s="189"/>
      <c r="AA1271" s="189"/>
      <c r="AB1271" s="189"/>
      <c r="AC1271" s="189"/>
      <c r="AD1271" s="189"/>
      <c r="AE1271" s="189"/>
      <c r="AF1271" s="189"/>
      <c r="AG1271" s="189"/>
      <c r="AH1271" s="189"/>
      <c r="AI1271" s="189"/>
      <c r="AJ1271" s="189"/>
      <c r="AK1271" s="189"/>
      <c r="AL1271" s="189"/>
      <c r="AM1271" s="189"/>
      <c r="AN1271" s="189"/>
      <c r="AO1271" s="189"/>
      <c r="AP1271" s="189"/>
      <c r="AQ1271" s="189"/>
      <c r="AR1271" s="189"/>
      <c r="AS1271" s="189"/>
      <c r="AT1271" s="189"/>
      <c r="AU1271" s="189"/>
      <c r="AV1271" s="189"/>
      <c r="AW1271" s="189"/>
      <c r="AX1271" s="189"/>
    </row>
    <row r="1272" ht="15.75" customHeight="1">
      <c r="A1272" s="189"/>
      <c r="B1272" s="189"/>
      <c r="C1272" s="190"/>
      <c r="D1272" s="190"/>
      <c r="E1272" s="190"/>
      <c r="F1272" s="190"/>
      <c r="G1272" s="189"/>
      <c r="H1272" s="189"/>
      <c r="I1272" s="189"/>
      <c r="J1272" s="189"/>
      <c r="K1272" s="189"/>
      <c r="L1272" s="189"/>
      <c r="M1272" s="189"/>
      <c r="N1272" s="189"/>
      <c r="O1272" s="189"/>
      <c r="P1272" s="291"/>
      <c r="Q1272" s="189"/>
      <c r="R1272" s="189"/>
      <c r="S1272" s="189"/>
      <c r="T1272" s="189"/>
      <c r="U1272" s="189"/>
      <c r="V1272" s="189"/>
      <c r="W1272" s="189"/>
      <c r="X1272" s="189"/>
      <c r="Y1272" s="189"/>
      <c r="Z1272" s="189"/>
      <c r="AA1272" s="189"/>
      <c r="AB1272" s="189"/>
      <c r="AC1272" s="189"/>
      <c r="AD1272" s="189"/>
      <c r="AE1272" s="189"/>
      <c r="AF1272" s="189"/>
      <c r="AG1272" s="189"/>
      <c r="AH1272" s="189"/>
      <c r="AI1272" s="189"/>
      <c r="AJ1272" s="189"/>
      <c r="AK1272" s="189"/>
      <c r="AL1272" s="189"/>
      <c r="AM1272" s="189"/>
      <c r="AN1272" s="189"/>
      <c r="AO1272" s="189"/>
      <c r="AP1272" s="189"/>
      <c r="AQ1272" s="189"/>
      <c r="AR1272" s="189"/>
      <c r="AS1272" s="189"/>
      <c r="AT1272" s="189"/>
      <c r="AU1272" s="189"/>
      <c r="AV1272" s="189"/>
      <c r="AW1272" s="189"/>
      <c r="AX1272" s="189"/>
    </row>
    <row r="1273" ht="15.75" customHeight="1">
      <c r="A1273" s="189"/>
      <c r="B1273" s="189"/>
      <c r="C1273" s="190"/>
      <c r="D1273" s="190"/>
      <c r="E1273" s="190"/>
      <c r="F1273" s="190"/>
      <c r="G1273" s="189"/>
      <c r="H1273" s="189"/>
      <c r="I1273" s="189"/>
      <c r="J1273" s="189"/>
      <c r="K1273" s="189"/>
      <c r="L1273" s="189"/>
      <c r="M1273" s="189"/>
      <c r="N1273" s="189"/>
      <c r="O1273" s="189"/>
      <c r="P1273" s="291"/>
      <c r="Q1273" s="189"/>
      <c r="R1273" s="189"/>
      <c r="S1273" s="189"/>
      <c r="T1273" s="189"/>
      <c r="U1273" s="189"/>
      <c r="V1273" s="189"/>
      <c r="W1273" s="189"/>
      <c r="X1273" s="189"/>
      <c r="Y1273" s="189"/>
      <c r="Z1273" s="189"/>
      <c r="AA1273" s="189"/>
      <c r="AB1273" s="189"/>
      <c r="AC1273" s="189"/>
      <c r="AD1273" s="189"/>
      <c r="AE1273" s="189"/>
      <c r="AF1273" s="189"/>
      <c r="AG1273" s="189"/>
      <c r="AH1273" s="189"/>
      <c r="AI1273" s="189"/>
      <c r="AJ1273" s="189"/>
      <c r="AK1273" s="189"/>
      <c r="AL1273" s="189"/>
      <c r="AM1273" s="189"/>
      <c r="AN1273" s="189"/>
      <c r="AO1273" s="189"/>
      <c r="AP1273" s="189"/>
      <c r="AQ1273" s="189"/>
      <c r="AR1273" s="189"/>
      <c r="AS1273" s="189"/>
      <c r="AT1273" s="189"/>
      <c r="AU1273" s="189"/>
      <c r="AV1273" s="189"/>
      <c r="AW1273" s="189"/>
      <c r="AX1273" s="189"/>
    </row>
    <row r="1274" ht="15.75" customHeight="1">
      <c r="A1274" s="189"/>
      <c r="B1274" s="189"/>
      <c r="C1274" s="190"/>
      <c r="D1274" s="190"/>
      <c r="E1274" s="190"/>
      <c r="F1274" s="190"/>
      <c r="G1274" s="189"/>
      <c r="H1274" s="189"/>
      <c r="I1274" s="189"/>
      <c r="J1274" s="189"/>
      <c r="K1274" s="189"/>
      <c r="L1274" s="189"/>
      <c r="M1274" s="189"/>
      <c r="N1274" s="189"/>
      <c r="O1274" s="189"/>
      <c r="P1274" s="291"/>
      <c r="Q1274" s="189"/>
      <c r="R1274" s="189"/>
      <c r="S1274" s="189"/>
      <c r="T1274" s="189"/>
      <c r="U1274" s="189"/>
      <c r="V1274" s="189"/>
      <c r="W1274" s="189"/>
      <c r="X1274" s="189"/>
      <c r="Y1274" s="189"/>
      <c r="Z1274" s="189"/>
      <c r="AA1274" s="189"/>
      <c r="AB1274" s="189"/>
      <c r="AC1274" s="189"/>
      <c r="AD1274" s="189"/>
      <c r="AE1274" s="189"/>
      <c r="AF1274" s="189"/>
      <c r="AG1274" s="189"/>
      <c r="AH1274" s="189"/>
      <c r="AI1274" s="189"/>
      <c r="AJ1274" s="189"/>
      <c r="AK1274" s="189"/>
      <c r="AL1274" s="189"/>
      <c r="AM1274" s="189"/>
      <c r="AN1274" s="189"/>
      <c r="AO1274" s="189"/>
      <c r="AP1274" s="189"/>
      <c r="AQ1274" s="189"/>
      <c r="AR1274" s="189"/>
      <c r="AS1274" s="189"/>
      <c r="AT1274" s="189"/>
      <c r="AU1274" s="189"/>
      <c r="AV1274" s="189"/>
      <c r="AW1274" s="189"/>
      <c r="AX1274" s="189"/>
    </row>
    <row r="1275" ht="15.75" customHeight="1">
      <c r="A1275" s="189"/>
      <c r="B1275" s="189"/>
      <c r="C1275" s="190"/>
      <c r="D1275" s="190"/>
      <c r="E1275" s="190"/>
      <c r="F1275" s="190"/>
      <c r="G1275" s="189"/>
      <c r="H1275" s="189"/>
      <c r="I1275" s="189"/>
      <c r="J1275" s="189"/>
      <c r="K1275" s="189"/>
      <c r="L1275" s="189"/>
      <c r="M1275" s="189"/>
      <c r="N1275" s="189"/>
      <c r="O1275" s="189"/>
      <c r="P1275" s="291"/>
      <c r="Q1275" s="189"/>
      <c r="R1275" s="189"/>
      <c r="S1275" s="189"/>
      <c r="T1275" s="189"/>
      <c r="U1275" s="189"/>
      <c r="V1275" s="189"/>
      <c r="W1275" s="189"/>
      <c r="X1275" s="189"/>
      <c r="Y1275" s="189"/>
      <c r="Z1275" s="189"/>
      <c r="AA1275" s="189"/>
      <c r="AB1275" s="189"/>
      <c r="AC1275" s="189"/>
      <c r="AD1275" s="189"/>
      <c r="AE1275" s="189"/>
      <c r="AF1275" s="189"/>
      <c r="AG1275" s="189"/>
      <c r="AH1275" s="189"/>
      <c r="AI1275" s="189"/>
      <c r="AJ1275" s="189"/>
      <c r="AK1275" s="189"/>
      <c r="AL1275" s="189"/>
      <c r="AM1275" s="189"/>
      <c r="AN1275" s="189"/>
      <c r="AO1275" s="189"/>
      <c r="AP1275" s="189"/>
      <c r="AQ1275" s="189"/>
      <c r="AR1275" s="189"/>
      <c r="AS1275" s="189"/>
      <c r="AT1275" s="189"/>
      <c r="AU1275" s="189"/>
      <c r="AV1275" s="189"/>
      <c r="AW1275" s="189"/>
      <c r="AX1275" s="189"/>
    </row>
    <row r="1276" ht="15.75" customHeight="1">
      <c r="A1276" s="189"/>
      <c r="B1276" s="189"/>
      <c r="C1276" s="190"/>
      <c r="D1276" s="190"/>
      <c r="E1276" s="190"/>
      <c r="F1276" s="190"/>
      <c r="G1276" s="189"/>
      <c r="H1276" s="189"/>
      <c r="I1276" s="189"/>
      <c r="J1276" s="189"/>
      <c r="K1276" s="189"/>
      <c r="L1276" s="189"/>
      <c r="M1276" s="189"/>
      <c r="N1276" s="189"/>
      <c r="O1276" s="189"/>
      <c r="P1276" s="291"/>
      <c r="Q1276" s="189"/>
      <c r="R1276" s="189"/>
      <c r="S1276" s="189"/>
      <c r="T1276" s="189"/>
      <c r="U1276" s="189"/>
      <c r="V1276" s="189"/>
      <c r="W1276" s="189"/>
      <c r="X1276" s="189"/>
      <c r="Y1276" s="189"/>
      <c r="Z1276" s="189"/>
      <c r="AA1276" s="189"/>
      <c r="AB1276" s="189"/>
      <c r="AC1276" s="189"/>
      <c r="AD1276" s="189"/>
      <c r="AE1276" s="189"/>
      <c r="AF1276" s="189"/>
      <c r="AG1276" s="189"/>
      <c r="AH1276" s="189"/>
      <c r="AI1276" s="189"/>
      <c r="AJ1276" s="189"/>
      <c r="AK1276" s="189"/>
      <c r="AL1276" s="189"/>
      <c r="AM1276" s="189"/>
      <c r="AN1276" s="189"/>
      <c r="AO1276" s="189"/>
      <c r="AP1276" s="189"/>
      <c r="AQ1276" s="189"/>
      <c r="AR1276" s="189"/>
      <c r="AS1276" s="189"/>
      <c r="AT1276" s="189"/>
      <c r="AU1276" s="189"/>
      <c r="AV1276" s="189"/>
      <c r="AW1276" s="189"/>
      <c r="AX1276" s="189"/>
    </row>
    <row r="1277" ht="15.75" customHeight="1">
      <c r="A1277" s="189"/>
      <c r="B1277" s="189"/>
      <c r="C1277" s="190"/>
      <c r="D1277" s="190"/>
      <c r="E1277" s="190"/>
      <c r="F1277" s="190"/>
      <c r="G1277" s="189"/>
      <c r="H1277" s="189"/>
      <c r="I1277" s="189"/>
      <c r="J1277" s="189"/>
      <c r="K1277" s="189"/>
      <c r="L1277" s="189"/>
      <c r="M1277" s="189"/>
      <c r="N1277" s="189"/>
      <c r="O1277" s="189"/>
      <c r="P1277" s="291"/>
      <c r="Q1277" s="189"/>
      <c r="R1277" s="189"/>
      <c r="S1277" s="189"/>
      <c r="T1277" s="189"/>
      <c r="U1277" s="189"/>
      <c r="V1277" s="189"/>
      <c r="W1277" s="189"/>
      <c r="X1277" s="189"/>
      <c r="Y1277" s="189"/>
      <c r="Z1277" s="189"/>
      <c r="AA1277" s="189"/>
      <c r="AB1277" s="189"/>
      <c r="AC1277" s="189"/>
      <c r="AD1277" s="189"/>
      <c r="AE1277" s="189"/>
      <c r="AF1277" s="189"/>
      <c r="AG1277" s="189"/>
      <c r="AH1277" s="189"/>
      <c r="AI1277" s="189"/>
      <c r="AJ1277" s="189"/>
      <c r="AK1277" s="189"/>
      <c r="AL1277" s="189"/>
      <c r="AM1277" s="189"/>
      <c r="AN1277" s="189"/>
      <c r="AO1277" s="189"/>
      <c r="AP1277" s="189"/>
      <c r="AQ1277" s="189"/>
      <c r="AR1277" s="189"/>
      <c r="AS1277" s="189"/>
      <c r="AT1277" s="189"/>
      <c r="AU1277" s="189"/>
      <c r="AV1277" s="189"/>
      <c r="AW1277" s="189"/>
      <c r="AX1277" s="189"/>
    </row>
    <row r="1278" ht="15.75" customHeight="1">
      <c r="A1278" s="189"/>
      <c r="B1278" s="189"/>
      <c r="C1278" s="190"/>
      <c r="D1278" s="190"/>
      <c r="E1278" s="190"/>
      <c r="F1278" s="190"/>
      <c r="G1278" s="189"/>
      <c r="H1278" s="189"/>
      <c r="I1278" s="189"/>
      <c r="J1278" s="189"/>
      <c r="K1278" s="189"/>
      <c r="L1278" s="189"/>
      <c r="M1278" s="189"/>
      <c r="N1278" s="189"/>
      <c r="O1278" s="189"/>
      <c r="P1278" s="291"/>
      <c r="Q1278" s="189"/>
      <c r="R1278" s="189"/>
      <c r="S1278" s="189"/>
      <c r="T1278" s="189"/>
      <c r="U1278" s="189"/>
      <c r="V1278" s="189"/>
      <c r="W1278" s="189"/>
      <c r="X1278" s="189"/>
      <c r="Y1278" s="189"/>
      <c r="Z1278" s="189"/>
      <c r="AA1278" s="189"/>
      <c r="AB1278" s="189"/>
      <c r="AC1278" s="189"/>
      <c r="AD1278" s="189"/>
      <c r="AE1278" s="189"/>
      <c r="AF1278" s="189"/>
      <c r="AG1278" s="189"/>
      <c r="AH1278" s="189"/>
      <c r="AI1278" s="189"/>
      <c r="AJ1278" s="189"/>
      <c r="AK1278" s="189"/>
      <c r="AL1278" s="189"/>
      <c r="AM1278" s="189"/>
      <c r="AN1278" s="189"/>
      <c r="AO1278" s="189"/>
      <c r="AP1278" s="189"/>
      <c r="AQ1278" s="189"/>
      <c r="AR1278" s="189"/>
      <c r="AS1278" s="189"/>
      <c r="AT1278" s="189"/>
      <c r="AU1278" s="189"/>
      <c r="AV1278" s="189"/>
      <c r="AW1278" s="189"/>
      <c r="AX1278" s="189"/>
    </row>
    <row r="1279" ht="15.75" customHeight="1">
      <c r="A1279" s="189"/>
      <c r="B1279" s="189"/>
      <c r="C1279" s="190"/>
      <c r="D1279" s="190"/>
      <c r="E1279" s="190"/>
      <c r="F1279" s="190"/>
      <c r="G1279" s="189"/>
      <c r="H1279" s="189"/>
      <c r="I1279" s="189"/>
      <c r="J1279" s="189"/>
      <c r="K1279" s="189"/>
      <c r="L1279" s="189"/>
      <c r="M1279" s="189"/>
      <c r="N1279" s="189"/>
      <c r="O1279" s="189"/>
      <c r="P1279" s="291"/>
      <c r="Q1279" s="189"/>
      <c r="R1279" s="189"/>
      <c r="S1279" s="189"/>
      <c r="T1279" s="189"/>
      <c r="U1279" s="189"/>
      <c r="V1279" s="189"/>
      <c r="W1279" s="189"/>
      <c r="X1279" s="189"/>
      <c r="Y1279" s="189"/>
      <c r="Z1279" s="189"/>
      <c r="AA1279" s="189"/>
      <c r="AB1279" s="189"/>
      <c r="AC1279" s="189"/>
      <c r="AD1279" s="189"/>
      <c r="AE1279" s="189"/>
      <c r="AF1279" s="189"/>
      <c r="AG1279" s="189"/>
      <c r="AH1279" s="189"/>
      <c r="AI1279" s="189"/>
      <c r="AJ1279" s="189"/>
      <c r="AK1279" s="189"/>
      <c r="AL1279" s="189"/>
      <c r="AM1279" s="189"/>
      <c r="AN1279" s="189"/>
      <c r="AO1279" s="189"/>
      <c r="AP1279" s="189"/>
      <c r="AQ1279" s="189"/>
      <c r="AR1279" s="189"/>
      <c r="AS1279" s="189"/>
      <c r="AT1279" s="189"/>
      <c r="AU1279" s="189"/>
      <c r="AV1279" s="189"/>
      <c r="AW1279" s="189"/>
      <c r="AX1279" s="189"/>
    </row>
    <row r="1280" ht="15.75" customHeight="1">
      <c r="A1280" s="189"/>
      <c r="B1280" s="189"/>
      <c r="C1280" s="190"/>
      <c r="D1280" s="190"/>
      <c r="E1280" s="190"/>
      <c r="F1280" s="190"/>
      <c r="G1280" s="189"/>
      <c r="H1280" s="189"/>
      <c r="I1280" s="189"/>
      <c r="J1280" s="189"/>
      <c r="K1280" s="189"/>
      <c r="L1280" s="189"/>
      <c r="M1280" s="189"/>
      <c r="N1280" s="189"/>
      <c r="O1280" s="189"/>
      <c r="P1280" s="291"/>
      <c r="Q1280" s="189"/>
      <c r="R1280" s="189"/>
      <c r="S1280" s="189"/>
      <c r="T1280" s="189"/>
      <c r="U1280" s="189"/>
      <c r="V1280" s="189"/>
      <c r="W1280" s="189"/>
      <c r="X1280" s="189"/>
      <c r="Y1280" s="189"/>
      <c r="Z1280" s="189"/>
      <c r="AA1280" s="189"/>
      <c r="AB1280" s="189"/>
      <c r="AC1280" s="189"/>
      <c r="AD1280" s="189"/>
      <c r="AE1280" s="189"/>
      <c r="AF1280" s="189"/>
      <c r="AG1280" s="189"/>
      <c r="AH1280" s="189"/>
      <c r="AI1280" s="189"/>
      <c r="AJ1280" s="189"/>
      <c r="AK1280" s="189"/>
      <c r="AL1280" s="189"/>
      <c r="AM1280" s="189"/>
      <c r="AN1280" s="189"/>
      <c r="AO1280" s="189"/>
      <c r="AP1280" s="189"/>
      <c r="AQ1280" s="189"/>
      <c r="AR1280" s="189"/>
      <c r="AS1280" s="189"/>
      <c r="AT1280" s="189"/>
      <c r="AU1280" s="189"/>
      <c r="AV1280" s="189"/>
      <c r="AW1280" s="189"/>
      <c r="AX1280" s="189"/>
    </row>
    <row r="1281" ht="15.75" customHeight="1">
      <c r="A1281" s="189"/>
      <c r="B1281" s="189"/>
      <c r="C1281" s="190"/>
      <c r="D1281" s="190"/>
      <c r="E1281" s="190"/>
      <c r="F1281" s="190"/>
      <c r="G1281" s="189"/>
      <c r="H1281" s="189"/>
      <c r="I1281" s="189"/>
      <c r="J1281" s="189"/>
      <c r="K1281" s="189"/>
      <c r="L1281" s="189"/>
      <c r="M1281" s="189"/>
      <c r="N1281" s="189"/>
      <c r="O1281" s="189"/>
      <c r="P1281" s="291"/>
      <c r="Q1281" s="189"/>
      <c r="R1281" s="189"/>
      <c r="S1281" s="189"/>
      <c r="T1281" s="189"/>
      <c r="U1281" s="189"/>
      <c r="V1281" s="189"/>
      <c r="W1281" s="189"/>
      <c r="X1281" s="189"/>
      <c r="Y1281" s="189"/>
      <c r="Z1281" s="189"/>
      <c r="AA1281" s="189"/>
      <c r="AB1281" s="189"/>
      <c r="AC1281" s="189"/>
      <c r="AD1281" s="189"/>
      <c r="AE1281" s="189"/>
      <c r="AF1281" s="189"/>
      <c r="AG1281" s="189"/>
      <c r="AH1281" s="189"/>
      <c r="AI1281" s="189"/>
      <c r="AJ1281" s="189"/>
      <c r="AK1281" s="189"/>
      <c r="AL1281" s="189"/>
      <c r="AM1281" s="189"/>
      <c r="AN1281" s="189"/>
      <c r="AO1281" s="189"/>
      <c r="AP1281" s="189"/>
      <c r="AQ1281" s="189"/>
      <c r="AR1281" s="189"/>
      <c r="AS1281" s="189"/>
      <c r="AT1281" s="189"/>
      <c r="AU1281" s="189"/>
      <c r="AV1281" s="189"/>
      <c r="AW1281" s="189"/>
      <c r="AX1281" s="189"/>
    </row>
    <row r="1282" ht="15.75" customHeight="1">
      <c r="A1282" s="189"/>
      <c r="B1282" s="189"/>
      <c r="C1282" s="190"/>
      <c r="D1282" s="190"/>
      <c r="E1282" s="190"/>
      <c r="F1282" s="190"/>
      <c r="G1282" s="189"/>
      <c r="H1282" s="189"/>
      <c r="I1282" s="189"/>
      <c r="J1282" s="189"/>
      <c r="K1282" s="189"/>
      <c r="L1282" s="189"/>
      <c r="M1282" s="189"/>
      <c r="N1282" s="189"/>
      <c r="O1282" s="189"/>
      <c r="P1282" s="291"/>
      <c r="Q1282" s="189"/>
      <c r="R1282" s="189"/>
      <c r="S1282" s="189"/>
      <c r="T1282" s="189"/>
      <c r="U1282" s="189"/>
      <c r="V1282" s="189"/>
      <c r="W1282" s="189"/>
      <c r="X1282" s="189"/>
      <c r="Y1282" s="189"/>
      <c r="Z1282" s="189"/>
      <c r="AA1282" s="189"/>
      <c r="AB1282" s="189"/>
      <c r="AC1282" s="189"/>
      <c r="AD1282" s="189"/>
      <c r="AE1282" s="189"/>
      <c r="AF1282" s="189"/>
      <c r="AG1282" s="189"/>
      <c r="AH1282" s="189"/>
      <c r="AI1282" s="189"/>
      <c r="AJ1282" s="189"/>
      <c r="AK1282" s="189"/>
      <c r="AL1282" s="189"/>
      <c r="AM1282" s="189"/>
      <c r="AN1282" s="189"/>
      <c r="AO1282" s="189"/>
      <c r="AP1282" s="189"/>
      <c r="AQ1282" s="189"/>
      <c r="AR1282" s="189"/>
      <c r="AS1282" s="189"/>
      <c r="AT1282" s="189"/>
      <c r="AU1282" s="189"/>
      <c r="AV1282" s="189"/>
      <c r="AW1282" s="189"/>
      <c r="AX1282" s="189"/>
    </row>
    <row r="1283" ht="15.75" customHeight="1">
      <c r="A1283" s="189"/>
      <c r="B1283" s="189"/>
      <c r="C1283" s="190"/>
      <c r="D1283" s="190"/>
      <c r="E1283" s="190"/>
      <c r="F1283" s="190"/>
      <c r="G1283" s="189"/>
      <c r="H1283" s="189"/>
      <c r="I1283" s="189"/>
      <c r="J1283" s="189"/>
      <c r="K1283" s="189"/>
      <c r="L1283" s="189"/>
      <c r="M1283" s="189"/>
      <c r="N1283" s="189"/>
      <c r="O1283" s="189"/>
      <c r="P1283" s="291"/>
      <c r="Q1283" s="189"/>
      <c r="R1283" s="189"/>
      <c r="S1283" s="189"/>
      <c r="T1283" s="189"/>
      <c r="U1283" s="189"/>
      <c r="V1283" s="189"/>
      <c r="W1283" s="189"/>
      <c r="X1283" s="189"/>
      <c r="Y1283" s="189"/>
      <c r="Z1283" s="189"/>
      <c r="AA1283" s="189"/>
      <c r="AB1283" s="189"/>
      <c r="AC1283" s="189"/>
      <c r="AD1283" s="189"/>
      <c r="AE1283" s="189"/>
      <c r="AF1283" s="189"/>
      <c r="AG1283" s="189"/>
      <c r="AH1283" s="189"/>
      <c r="AI1283" s="189"/>
      <c r="AJ1283" s="189"/>
      <c r="AK1283" s="189"/>
      <c r="AL1283" s="189"/>
      <c r="AM1283" s="189"/>
      <c r="AN1283" s="189"/>
      <c r="AO1283" s="189"/>
      <c r="AP1283" s="189"/>
      <c r="AQ1283" s="189"/>
      <c r="AR1283" s="189"/>
      <c r="AS1283" s="189"/>
      <c r="AT1283" s="189"/>
      <c r="AU1283" s="189"/>
      <c r="AV1283" s="189"/>
      <c r="AW1283" s="189"/>
      <c r="AX1283" s="189"/>
    </row>
    <row r="1284" ht="15.75" customHeight="1">
      <c r="A1284" s="189"/>
      <c r="B1284" s="189"/>
      <c r="C1284" s="190"/>
      <c r="D1284" s="190"/>
      <c r="E1284" s="190"/>
      <c r="F1284" s="190"/>
      <c r="G1284" s="189"/>
      <c r="H1284" s="189"/>
      <c r="I1284" s="189"/>
      <c r="J1284" s="189"/>
      <c r="K1284" s="189"/>
      <c r="L1284" s="189"/>
      <c r="M1284" s="189"/>
      <c r="N1284" s="189"/>
      <c r="O1284" s="189"/>
      <c r="P1284" s="291"/>
      <c r="Q1284" s="189"/>
      <c r="R1284" s="189"/>
      <c r="S1284" s="189"/>
      <c r="T1284" s="189"/>
      <c r="U1284" s="189"/>
      <c r="V1284" s="189"/>
      <c r="W1284" s="189"/>
      <c r="X1284" s="189"/>
      <c r="Y1284" s="189"/>
      <c r="Z1284" s="189"/>
      <c r="AA1284" s="189"/>
      <c r="AB1284" s="189"/>
      <c r="AC1284" s="189"/>
      <c r="AD1284" s="189"/>
      <c r="AE1284" s="189"/>
      <c r="AF1284" s="189"/>
      <c r="AG1284" s="189"/>
      <c r="AH1284" s="189"/>
      <c r="AI1284" s="189"/>
      <c r="AJ1284" s="189"/>
      <c r="AK1284" s="189"/>
      <c r="AL1284" s="189"/>
      <c r="AM1284" s="189"/>
      <c r="AN1284" s="189"/>
      <c r="AO1284" s="189"/>
      <c r="AP1284" s="189"/>
      <c r="AQ1284" s="189"/>
      <c r="AR1284" s="189"/>
      <c r="AS1284" s="189"/>
      <c r="AT1284" s="189"/>
      <c r="AU1284" s="189"/>
      <c r="AV1284" s="189"/>
      <c r="AW1284" s="189"/>
      <c r="AX1284" s="189"/>
    </row>
    <row r="1285" ht="15.75" customHeight="1">
      <c r="A1285" s="189"/>
      <c r="B1285" s="189"/>
      <c r="C1285" s="190"/>
      <c r="D1285" s="190"/>
      <c r="E1285" s="190"/>
      <c r="F1285" s="190"/>
      <c r="G1285" s="189"/>
      <c r="H1285" s="189"/>
      <c r="I1285" s="189"/>
      <c r="J1285" s="189"/>
      <c r="K1285" s="189"/>
      <c r="L1285" s="189"/>
      <c r="M1285" s="189"/>
      <c r="N1285" s="189"/>
      <c r="O1285" s="189"/>
      <c r="P1285" s="291"/>
      <c r="Q1285" s="189"/>
      <c r="R1285" s="189"/>
      <c r="S1285" s="189"/>
      <c r="T1285" s="189"/>
      <c r="U1285" s="189"/>
      <c r="V1285" s="189"/>
      <c r="W1285" s="189"/>
      <c r="X1285" s="189"/>
      <c r="Y1285" s="189"/>
      <c r="Z1285" s="189"/>
      <c r="AA1285" s="189"/>
      <c r="AB1285" s="189"/>
      <c r="AC1285" s="189"/>
      <c r="AD1285" s="189"/>
      <c r="AE1285" s="189"/>
      <c r="AF1285" s="189"/>
      <c r="AG1285" s="189"/>
      <c r="AH1285" s="189"/>
      <c r="AI1285" s="189"/>
      <c r="AJ1285" s="189"/>
      <c r="AK1285" s="189"/>
      <c r="AL1285" s="189"/>
      <c r="AM1285" s="189"/>
      <c r="AN1285" s="189"/>
      <c r="AO1285" s="189"/>
      <c r="AP1285" s="189"/>
      <c r="AQ1285" s="189"/>
      <c r="AR1285" s="189"/>
      <c r="AS1285" s="189"/>
      <c r="AT1285" s="189"/>
      <c r="AU1285" s="189"/>
      <c r="AV1285" s="189"/>
      <c r="AW1285" s="189"/>
      <c r="AX1285" s="189"/>
    </row>
    <row r="1286" ht="15.75" customHeight="1">
      <c r="A1286" s="189"/>
      <c r="B1286" s="189"/>
      <c r="C1286" s="190"/>
      <c r="D1286" s="190"/>
      <c r="E1286" s="190"/>
      <c r="F1286" s="190"/>
      <c r="G1286" s="189"/>
      <c r="H1286" s="189"/>
      <c r="I1286" s="189"/>
      <c r="J1286" s="189"/>
      <c r="K1286" s="189"/>
      <c r="L1286" s="189"/>
      <c r="M1286" s="189"/>
      <c r="N1286" s="189"/>
      <c r="O1286" s="189"/>
      <c r="P1286" s="291"/>
      <c r="Q1286" s="189"/>
      <c r="R1286" s="189"/>
      <c r="S1286" s="189"/>
      <c r="T1286" s="189"/>
      <c r="U1286" s="189"/>
      <c r="V1286" s="189"/>
      <c r="W1286" s="189"/>
      <c r="X1286" s="189"/>
      <c r="Y1286" s="189"/>
      <c r="Z1286" s="189"/>
      <c r="AA1286" s="189"/>
      <c r="AB1286" s="189"/>
      <c r="AC1286" s="189"/>
      <c r="AD1286" s="189"/>
      <c r="AE1286" s="189"/>
      <c r="AF1286" s="189"/>
      <c r="AG1286" s="189"/>
      <c r="AH1286" s="189"/>
      <c r="AI1286" s="189"/>
      <c r="AJ1286" s="189"/>
      <c r="AK1286" s="189"/>
      <c r="AL1286" s="189"/>
      <c r="AM1286" s="189"/>
      <c r="AN1286" s="189"/>
      <c r="AO1286" s="189"/>
      <c r="AP1286" s="189"/>
      <c r="AQ1286" s="189"/>
      <c r="AR1286" s="189"/>
      <c r="AS1286" s="189"/>
      <c r="AT1286" s="189"/>
      <c r="AU1286" s="189"/>
      <c r="AV1286" s="189"/>
      <c r="AW1286" s="189"/>
      <c r="AX1286" s="189"/>
    </row>
    <row r="1287" ht="15.75" customHeight="1">
      <c r="A1287" s="189"/>
      <c r="B1287" s="189"/>
      <c r="C1287" s="190"/>
      <c r="D1287" s="190"/>
      <c r="E1287" s="190"/>
      <c r="F1287" s="190"/>
      <c r="G1287" s="189"/>
      <c r="H1287" s="189"/>
      <c r="I1287" s="189"/>
      <c r="J1287" s="189"/>
      <c r="K1287" s="189"/>
      <c r="L1287" s="189"/>
      <c r="M1287" s="189"/>
      <c r="N1287" s="189"/>
      <c r="O1287" s="189"/>
      <c r="P1287" s="291"/>
      <c r="Q1287" s="189"/>
      <c r="R1287" s="189"/>
      <c r="S1287" s="189"/>
      <c r="T1287" s="189"/>
      <c r="U1287" s="189"/>
      <c r="V1287" s="189"/>
      <c r="W1287" s="189"/>
      <c r="X1287" s="189"/>
      <c r="Y1287" s="189"/>
      <c r="Z1287" s="189"/>
      <c r="AA1287" s="189"/>
      <c r="AB1287" s="189"/>
      <c r="AC1287" s="189"/>
      <c r="AD1287" s="189"/>
      <c r="AE1287" s="189"/>
      <c r="AF1287" s="189"/>
      <c r="AG1287" s="189"/>
      <c r="AH1287" s="189"/>
      <c r="AI1287" s="189"/>
      <c r="AJ1287" s="189"/>
      <c r="AK1287" s="189"/>
      <c r="AL1287" s="189"/>
      <c r="AM1287" s="189"/>
      <c r="AN1287" s="189"/>
      <c r="AO1287" s="189"/>
      <c r="AP1287" s="189"/>
      <c r="AQ1287" s="189"/>
      <c r="AR1287" s="189"/>
      <c r="AS1287" s="189"/>
      <c r="AT1287" s="189"/>
      <c r="AU1287" s="189"/>
      <c r="AV1287" s="189"/>
      <c r="AW1287" s="189"/>
      <c r="AX1287" s="189"/>
    </row>
    <row r="1288" ht="15.75" customHeight="1">
      <c r="A1288" s="189"/>
      <c r="B1288" s="189"/>
      <c r="C1288" s="190"/>
      <c r="D1288" s="190"/>
      <c r="E1288" s="190"/>
      <c r="F1288" s="190"/>
      <c r="G1288" s="189"/>
      <c r="H1288" s="189"/>
      <c r="I1288" s="189"/>
      <c r="J1288" s="189"/>
      <c r="K1288" s="189"/>
      <c r="L1288" s="189"/>
      <c r="M1288" s="189"/>
      <c r="N1288" s="189"/>
      <c r="O1288" s="189"/>
      <c r="P1288" s="291"/>
      <c r="Q1288" s="189"/>
      <c r="R1288" s="189"/>
      <c r="S1288" s="189"/>
      <c r="T1288" s="189"/>
      <c r="U1288" s="189"/>
      <c r="V1288" s="189"/>
      <c r="W1288" s="189"/>
      <c r="X1288" s="189"/>
      <c r="Y1288" s="189"/>
      <c r="Z1288" s="189"/>
      <c r="AA1288" s="189"/>
      <c r="AB1288" s="189"/>
      <c r="AC1288" s="189"/>
      <c r="AD1288" s="189"/>
      <c r="AE1288" s="189"/>
      <c r="AF1288" s="189"/>
      <c r="AG1288" s="189"/>
      <c r="AH1288" s="189"/>
      <c r="AI1288" s="189"/>
      <c r="AJ1288" s="189"/>
      <c r="AK1288" s="189"/>
      <c r="AL1288" s="189"/>
      <c r="AM1288" s="189"/>
      <c r="AN1288" s="189"/>
      <c r="AO1288" s="189"/>
      <c r="AP1288" s="189"/>
      <c r="AQ1288" s="189"/>
      <c r="AR1288" s="189"/>
      <c r="AS1288" s="189"/>
      <c r="AT1288" s="189"/>
      <c r="AU1288" s="189"/>
      <c r="AV1288" s="189"/>
      <c r="AW1288" s="189"/>
      <c r="AX1288" s="189"/>
    </row>
    <row r="1289" ht="15.75" customHeight="1">
      <c r="A1289" s="189"/>
      <c r="B1289" s="189"/>
      <c r="C1289" s="190"/>
      <c r="D1289" s="190"/>
      <c r="E1289" s="190"/>
      <c r="F1289" s="190"/>
      <c r="G1289" s="189"/>
      <c r="H1289" s="189"/>
      <c r="I1289" s="189"/>
      <c r="J1289" s="189"/>
      <c r="K1289" s="189"/>
      <c r="L1289" s="189"/>
      <c r="M1289" s="189"/>
      <c r="N1289" s="189"/>
      <c r="O1289" s="189"/>
      <c r="P1289" s="291"/>
      <c r="Q1289" s="189"/>
      <c r="R1289" s="189"/>
      <c r="S1289" s="189"/>
      <c r="T1289" s="189"/>
      <c r="U1289" s="189"/>
      <c r="V1289" s="189"/>
      <c r="W1289" s="189"/>
      <c r="X1289" s="189"/>
      <c r="Y1289" s="189"/>
      <c r="Z1289" s="189"/>
      <c r="AA1289" s="189"/>
      <c r="AB1289" s="189"/>
      <c r="AC1289" s="189"/>
      <c r="AD1289" s="189"/>
      <c r="AE1289" s="189"/>
      <c r="AF1289" s="189"/>
      <c r="AG1289" s="189"/>
      <c r="AH1289" s="189"/>
      <c r="AI1289" s="189"/>
      <c r="AJ1289" s="189"/>
      <c r="AK1289" s="189"/>
      <c r="AL1289" s="189"/>
      <c r="AM1289" s="189"/>
      <c r="AN1289" s="189"/>
      <c r="AO1289" s="189"/>
      <c r="AP1289" s="189"/>
      <c r="AQ1289" s="189"/>
      <c r="AR1289" s="189"/>
      <c r="AS1289" s="189"/>
      <c r="AT1289" s="189"/>
      <c r="AU1289" s="189"/>
      <c r="AV1289" s="189"/>
      <c r="AW1289" s="189"/>
      <c r="AX1289" s="189"/>
    </row>
    <row r="1290" ht="15.75" customHeight="1">
      <c r="A1290" s="189"/>
      <c r="B1290" s="189"/>
      <c r="C1290" s="190"/>
      <c r="D1290" s="190"/>
      <c r="E1290" s="190"/>
      <c r="F1290" s="190"/>
      <c r="G1290" s="189"/>
      <c r="H1290" s="189"/>
      <c r="I1290" s="189"/>
      <c r="J1290" s="189"/>
      <c r="K1290" s="189"/>
      <c r="L1290" s="189"/>
      <c r="M1290" s="189"/>
      <c r="N1290" s="189"/>
      <c r="O1290" s="189"/>
      <c r="P1290" s="291"/>
      <c r="Q1290" s="189"/>
      <c r="R1290" s="189"/>
      <c r="S1290" s="189"/>
      <c r="T1290" s="189"/>
      <c r="U1290" s="189"/>
      <c r="V1290" s="189"/>
      <c r="W1290" s="189"/>
      <c r="X1290" s="189"/>
      <c r="Y1290" s="189"/>
      <c r="Z1290" s="189"/>
      <c r="AA1290" s="189"/>
      <c r="AB1290" s="189"/>
      <c r="AC1290" s="189"/>
      <c r="AD1290" s="189"/>
      <c r="AE1290" s="189"/>
      <c r="AF1290" s="189"/>
      <c r="AG1290" s="189"/>
      <c r="AH1290" s="189"/>
      <c r="AI1290" s="189"/>
      <c r="AJ1290" s="189"/>
      <c r="AK1290" s="189"/>
      <c r="AL1290" s="189"/>
      <c r="AM1290" s="189"/>
      <c r="AN1290" s="189"/>
      <c r="AO1290" s="189"/>
      <c r="AP1290" s="189"/>
      <c r="AQ1290" s="189"/>
      <c r="AR1290" s="189"/>
      <c r="AS1290" s="189"/>
      <c r="AT1290" s="189"/>
      <c r="AU1290" s="189"/>
      <c r="AV1290" s="189"/>
      <c r="AW1290" s="189"/>
      <c r="AX1290" s="189"/>
    </row>
    <row r="1291" ht="15.75" customHeight="1">
      <c r="A1291" s="189"/>
      <c r="B1291" s="189"/>
      <c r="C1291" s="190"/>
      <c r="D1291" s="190"/>
      <c r="E1291" s="190"/>
      <c r="F1291" s="190"/>
      <c r="G1291" s="189"/>
      <c r="H1291" s="189"/>
      <c r="I1291" s="189"/>
      <c r="J1291" s="189"/>
      <c r="K1291" s="189"/>
      <c r="L1291" s="189"/>
      <c r="M1291" s="189"/>
      <c r="N1291" s="189"/>
      <c r="O1291" s="189"/>
      <c r="P1291" s="291"/>
      <c r="Q1291" s="189"/>
      <c r="R1291" s="189"/>
      <c r="S1291" s="189"/>
      <c r="T1291" s="189"/>
      <c r="U1291" s="189"/>
      <c r="V1291" s="189"/>
      <c r="W1291" s="189"/>
      <c r="X1291" s="189"/>
      <c r="Y1291" s="189"/>
      <c r="Z1291" s="189"/>
      <c r="AA1291" s="189"/>
      <c r="AB1291" s="189"/>
      <c r="AC1291" s="189"/>
      <c r="AD1291" s="189"/>
      <c r="AE1291" s="189"/>
      <c r="AF1291" s="189"/>
      <c r="AG1291" s="189"/>
      <c r="AH1291" s="189"/>
      <c r="AI1291" s="189"/>
      <c r="AJ1291" s="189"/>
      <c r="AK1291" s="189"/>
      <c r="AL1291" s="189"/>
      <c r="AM1291" s="189"/>
      <c r="AN1291" s="189"/>
      <c r="AO1291" s="189"/>
      <c r="AP1291" s="189"/>
      <c r="AQ1291" s="189"/>
      <c r="AR1291" s="189"/>
      <c r="AS1291" s="189"/>
      <c r="AT1291" s="189"/>
      <c r="AU1291" s="189"/>
      <c r="AV1291" s="189"/>
      <c r="AW1291" s="189"/>
      <c r="AX1291" s="189"/>
    </row>
    <row r="1292" ht="15.75" customHeight="1">
      <c r="A1292" s="189"/>
      <c r="B1292" s="189"/>
      <c r="C1292" s="190"/>
      <c r="D1292" s="190"/>
      <c r="E1292" s="190"/>
      <c r="F1292" s="190"/>
      <c r="G1292" s="189"/>
      <c r="H1292" s="189"/>
      <c r="I1292" s="189"/>
      <c r="J1292" s="189"/>
      <c r="K1292" s="189"/>
      <c r="L1292" s="189"/>
      <c r="M1292" s="189"/>
      <c r="N1292" s="189"/>
      <c r="O1292" s="189"/>
      <c r="P1292" s="291"/>
      <c r="Q1292" s="189"/>
      <c r="R1292" s="189"/>
      <c r="S1292" s="189"/>
      <c r="T1292" s="189"/>
      <c r="U1292" s="189"/>
      <c r="V1292" s="189"/>
      <c r="W1292" s="189"/>
      <c r="X1292" s="189"/>
      <c r="Y1292" s="189"/>
      <c r="Z1292" s="189"/>
      <c r="AA1292" s="189"/>
      <c r="AB1292" s="189"/>
      <c r="AC1292" s="189"/>
      <c r="AD1292" s="189"/>
      <c r="AE1292" s="189"/>
      <c r="AF1292" s="189"/>
      <c r="AG1292" s="189"/>
      <c r="AH1292" s="189"/>
      <c r="AI1292" s="189"/>
      <c r="AJ1292" s="189"/>
      <c r="AK1292" s="189"/>
      <c r="AL1292" s="189"/>
      <c r="AM1292" s="189"/>
      <c r="AN1292" s="189"/>
      <c r="AO1292" s="189"/>
      <c r="AP1292" s="189"/>
      <c r="AQ1292" s="189"/>
      <c r="AR1292" s="189"/>
      <c r="AS1292" s="189"/>
      <c r="AT1292" s="189"/>
      <c r="AU1292" s="189"/>
      <c r="AV1292" s="189"/>
      <c r="AW1292" s="189"/>
      <c r="AX1292" s="189"/>
    </row>
    <row r="1293" ht="15.75" customHeight="1">
      <c r="A1293" s="189"/>
      <c r="B1293" s="189"/>
      <c r="C1293" s="190"/>
      <c r="D1293" s="190"/>
      <c r="E1293" s="190"/>
      <c r="F1293" s="190"/>
      <c r="G1293" s="189"/>
      <c r="H1293" s="189"/>
      <c r="I1293" s="189"/>
      <c r="J1293" s="189"/>
      <c r="K1293" s="189"/>
      <c r="L1293" s="189"/>
      <c r="M1293" s="189"/>
      <c r="N1293" s="189"/>
      <c r="O1293" s="189"/>
      <c r="P1293" s="291"/>
      <c r="Q1293" s="189"/>
      <c r="R1293" s="189"/>
      <c r="S1293" s="189"/>
      <c r="T1293" s="189"/>
      <c r="U1293" s="189"/>
      <c r="V1293" s="189"/>
      <c r="W1293" s="189"/>
      <c r="X1293" s="189"/>
      <c r="Y1293" s="189"/>
      <c r="Z1293" s="189"/>
      <c r="AA1293" s="189"/>
      <c r="AB1293" s="189"/>
      <c r="AC1293" s="189"/>
      <c r="AD1293" s="189"/>
      <c r="AE1293" s="189"/>
      <c r="AF1293" s="189"/>
      <c r="AG1293" s="189"/>
      <c r="AH1293" s="189"/>
      <c r="AI1293" s="189"/>
      <c r="AJ1293" s="189"/>
      <c r="AK1293" s="189"/>
      <c r="AL1293" s="189"/>
      <c r="AM1293" s="189"/>
      <c r="AN1293" s="189"/>
      <c r="AO1293" s="189"/>
      <c r="AP1293" s="189"/>
      <c r="AQ1293" s="189"/>
      <c r="AR1293" s="189"/>
      <c r="AS1293" s="189"/>
      <c r="AT1293" s="189"/>
      <c r="AU1293" s="189"/>
      <c r="AV1293" s="189"/>
      <c r="AW1293" s="189"/>
      <c r="AX1293" s="189"/>
    </row>
    <row r="1294" ht="15.75" customHeight="1">
      <c r="A1294" s="189"/>
      <c r="B1294" s="189"/>
      <c r="C1294" s="190"/>
      <c r="D1294" s="190"/>
      <c r="E1294" s="190"/>
      <c r="F1294" s="190"/>
      <c r="G1294" s="189"/>
      <c r="H1294" s="189"/>
      <c r="I1294" s="189"/>
      <c r="J1294" s="189"/>
      <c r="K1294" s="189"/>
      <c r="L1294" s="189"/>
      <c r="M1294" s="189"/>
      <c r="N1294" s="189"/>
      <c r="O1294" s="189"/>
      <c r="P1294" s="291"/>
      <c r="Q1294" s="189"/>
      <c r="R1294" s="189"/>
      <c r="S1294" s="189"/>
      <c r="T1294" s="189"/>
      <c r="U1294" s="189"/>
      <c r="V1294" s="189"/>
      <c r="W1294" s="189"/>
      <c r="X1294" s="189"/>
      <c r="Y1294" s="189"/>
      <c r="Z1294" s="189"/>
      <c r="AA1294" s="189"/>
      <c r="AB1294" s="189"/>
      <c r="AC1294" s="189"/>
      <c r="AD1294" s="189"/>
      <c r="AE1294" s="189"/>
      <c r="AF1294" s="189"/>
      <c r="AG1294" s="189"/>
      <c r="AH1294" s="189"/>
      <c r="AI1294" s="189"/>
      <c r="AJ1294" s="189"/>
      <c r="AK1294" s="189"/>
      <c r="AL1294" s="189"/>
      <c r="AM1294" s="189"/>
      <c r="AN1294" s="189"/>
      <c r="AO1294" s="189"/>
      <c r="AP1294" s="189"/>
      <c r="AQ1294" s="189"/>
      <c r="AR1294" s="189"/>
      <c r="AS1294" s="189"/>
      <c r="AT1294" s="189"/>
      <c r="AU1294" s="189"/>
      <c r="AV1294" s="189"/>
      <c r="AW1294" s="189"/>
      <c r="AX1294" s="189"/>
    </row>
    <row r="1295" ht="15.75" customHeight="1">
      <c r="A1295" s="189"/>
      <c r="B1295" s="189"/>
      <c r="C1295" s="190"/>
      <c r="D1295" s="190"/>
      <c r="E1295" s="190"/>
      <c r="F1295" s="190"/>
      <c r="G1295" s="189"/>
      <c r="H1295" s="189"/>
      <c r="I1295" s="189"/>
      <c r="J1295" s="189"/>
      <c r="K1295" s="189"/>
      <c r="L1295" s="189"/>
      <c r="M1295" s="189"/>
      <c r="N1295" s="189"/>
      <c r="O1295" s="189"/>
      <c r="P1295" s="291"/>
      <c r="Q1295" s="189"/>
      <c r="R1295" s="189"/>
      <c r="S1295" s="189"/>
      <c r="T1295" s="189"/>
      <c r="U1295" s="189"/>
      <c r="V1295" s="189"/>
      <c r="W1295" s="189"/>
      <c r="X1295" s="189"/>
      <c r="Y1295" s="189"/>
      <c r="Z1295" s="189"/>
      <c r="AA1295" s="189"/>
      <c r="AB1295" s="189"/>
      <c r="AC1295" s="189"/>
      <c r="AD1295" s="189"/>
      <c r="AE1295" s="189"/>
      <c r="AF1295" s="189"/>
      <c r="AG1295" s="189"/>
      <c r="AH1295" s="189"/>
      <c r="AI1295" s="189"/>
      <c r="AJ1295" s="189"/>
      <c r="AK1295" s="189"/>
      <c r="AL1295" s="189"/>
      <c r="AM1295" s="189"/>
      <c r="AN1295" s="189"/>
      <c r="AO1295" s="189"/>
      <c r="AP1295" s="189"/>
      <c r="AQ1295" s="189"/>
      <c r="AR1295" s="189"/>
      <c r="AS1295" s="189"/>
      <c r="AT1295" s="189"/>
      <c r="AU1295" s="189"/>
      <c r="AV1295" s="189"/>
      <c r="AW1295" s="189"/>
      <c r="AX1295" s="189"/>
    </row>
    <row r="1296" ht="15.75" customHeight="1">
      <c r="A1296" s="189"/>
      <c r="B1296" s="189"/>
      <c r="C1296" s="190"/>
      <c r="D1296" s="190"/>
      <c r="E1296" s="190"/>
      <c r="F1296" s="190"/>
      <c r="G1296" s="189"/>
      <c r="H1296" s="189"/>
      <c r="I1296" s="189"/>
      <c r="J1296" s="189"/>
      <c r="K1296" s="189"/>
      <c r="L1296" s="189"/>
      <c r="M1296" s="189"/>
      <c r="N1296" s="189"/>
      <c r="O1296" s="189"/>
      <c r="P1296" s="291"/>
      <c r="Q1296" s="189"/>
      <c r="R1296" s="189"/>
      <c r="S1296" s="189"/>
      <c r="T1296" s="189"/>
      <c r="U1296" s="189"/>
      <c r="V1296" s="189"/>
      <c r="W1296" s="189"/>
      <c r="X1296" s="189"/>
      <c r="Y1296" s="189"/>
      <c r="Z1296" s="189"/>
      <c r="AA1296" s="189"/>
      <c r="AB1296" s="189"/>
      <c r="AC1296" s="189"/>
      <c r="AD1296" s="189"/>
      <c r="AE1296" s="189"/>
      <c r="AF1296" s="189"/>
      <c r="AG1296" s="189"/>
      <c r="AH1296" s="189"/>
      <c r="AI1296" s="189"/>
      <c r="AJ1296" s="189"/>
      <c r="AK1296" s="189"/>
      <c r="AL1296" s="189"/>
      <c r="AM1296" s="189"/>
      <c r="AN1296" s="189"/>
      <c r="AO1296" s="189"/>
      <c r="AP1296" s="189"/>
      <c r="AQ1296" s="189"/>
      <c r="AR1296" s="189"/>
      <c r="AS1296" s="189"/>
      <c r="AT1296" s="189"/>
      <c r="AU1296" s="189"/>
      <c r="AV1296" s="189"/>
      <c r="AW1296" s="189"/>
      <c r="AX1296" s="189"/>
    </row>
    <row r="1297" ht="15.75" customHeight="1">
      <c r="A1297" s="189"/>
      <c r="B1297" s="189"/>
      <c r="C1297" s="190"/>
      <c r="D1297" s="190"/>
      <c r="E1297" s="190"/>
      <c r="F1297" s="190"/>
      <c r="G1297" s="189"/>
      <c r="H1297" s="189"/>
      <c r="I1297" s="189"/>
      <c r="J1297" s="189"/>
      <c r="K1297" s="189"/>
      <c r="L1297" s="189"/>
      <c r="M1297" s="189"/>
      <c r="N1297" s="189"/>
      <c r="O1297" s="189"/>
      <c r="P1297" s="291"/>
      <c r="Q1297" s="189"/>
      <c r="R1297" s="189"/>
      <c r="S1297" s="189"/>
      <c r="T1297" s="189"/>
      <c r="U1297" s="189"/>
      <c r="V1297" s="189"/>
      <c r="W1297" s="189"/>
      <c r="X1297" s="189"/>
      <c r="Y1297" s="189"/>
      <c r="Z1297" s="189"/>
      <c r="AA1297" s="189"/>
      <c r="AB1297" s="189"/>
      <c r="AC1297" s="189"/>
      <c r="AD1297" s="189"/>
      <c r="AE1297" s="189"/>
      <c r="AF1297" s="189"/>
      <c r="AG1297" s="189"/>
      <c r="AH1297" s="189"/>
      <c r="AI1297" s="189"/>
      <c r="AJ1297" s="189"/>
      <c r="AK1297" s="189"/>
      <c r="AL1297" s="189"/>
      <c r="AM1297" s="189"/>
      <c r="AN1297" s="189"/>
      <c r="AO1297" s="189"/>
      <c r="AP1297" s="189"/>
      <c r="AQ1297" s="189"/>
      <c r="AR1297" s="189"/>
      <c r="AS1297" s="189"/>
      <c r="AT1297" s="189"/>
      <c r="AU1297" s="189"/>
      <c r="AV1297" s="189"/>
      <c r="AW1297" s="189"/>
      <c r="AX1297" s="189"/>
    </row>
    <row r="1298" ht="15.75" customHeight="1">
      <c r="A1298" s="189"/>
      <c r="B1298" s="189"/>
      <c r="C1298" s="190"/>
      <c r="D1298" s="190"/>
      <c r="E1298" s="190"/>
      <c r="F1298" s="190"/>
      <c r="G1298" s="189"/>
      <c r="H1298" s="189"/>
      <c r="I1298" s="189"/>
      <c r="J1298" s="189"/>
      <c r="K1298" s="189"/>
      <c r="L1298" s="189"/>
      <c r="M1298" s="189"/>
      <c r="N1298" s="189"/>
      <c r="O1298" s="189"/>
      <c r="P1298" s="291"/>
      <c r="Q1298" s="189"/>
      <c r="R1298" s="189"/>
      <c r="S1298" s="189"/>
      <c r="T1298" s="189"/>
      <c r="U1298" s="189"/>
      <c r="V1298" s="189"/>
      <c r="W1298" s="189"/>
      <c r="X1298" s="189"/>
      <c r="Y1298" s="189"/>
      <c r="Z1298" s="189"/>
      <c r="AA1298" s="189"/>
      <c r="AB1298" s="189"/>
      <c r="AC1298" s="189"/>
      <c r="AD1298" s="189"/>
      <c r="AE1298" s="189"/>
      <c r="AF1298" s="189"/>
      <c r="AG1298" s="189"/>
      <c r="AH1298" s="189"/>
      <c r="AI1298" s="189"/>
      <c r="AJ1298" s="189"/>
      <c r="AK1298" s="189"/>
      <c r="AL1298" s="189"/>
      <c r="AM1298" s="189"/>
      <c r="AN1298" s="189"/>
      <c r="AO1298" s="189"/>
      <c r="AP1298" s="189"/>
      <c r="AQ1298" s="189"/>
      <c r="AR1298" s="189"/>
      <c r="AS1298" s="189"/>
      <c r="AT1298" s="189"/>
      <c r="AU1298" s="189"/>
      <c r="AV1298" s="189"/>
      <c r="AW1298" s="189"/>
      <c r="AX1298" s="189"/>
    </row>
    <row r="1299" ht="15.75" customHeight="1">
      <c r="A1299" s="189"/>
      <c r="B1299" s="189"/>
      <c r="C1299" s="190"/>
      <c r="D1299" s="190"/>
      <c r="E1299" s="190"/>
      <c r="F1299" s="190"/>
      <c r="G1299" s="189"/>
      <c r="H1299" s="189"/>
      <c r="I1299" s="189"/>
      <c r="J1299" s="189"/>
      <c r="K1299" s="189"/>
      <c r="L1299" s="189"/>
      <c r="M1299" s="189"/>
      <c r="N1299" s="189"/>
      <c r="O1299" s="189"/>
      <c r="P1299" s="291"/>
      <c r="Q1299" s="189"/>
      <c r="R1299" s="189"/>
      <c r="S1299" s="189"/>
      <c r="T1299" s="189"/>
      <c r="U1299" s="189"/>
      <c r="V1299" s="189"/>
      <c r="W1299" s="189"/>
      <c r="X1299" s="189"/>
      <c r="Y1299" s="189"/>
      <c r="Z1299" s="189"/>
      <c r="AA1299" s="189"/>
      <c r="AB1299" s="189"/>
      <c r="AC1299" s="189"/>
      <c r="AD1299" s="189"/>
      <c r="AE1299" s="189"/>
      <c r="AF1299" s="189"/>
      <c r="AG1299" s="189"/>
      <c r="AH1299" s="189"/>
      <c r="AI1299" s="189"/>
      <c r="AJ1299" s="189"/>
      <c r="AK1299" s="189"/>
      <c r="AL1299" s="189"/>
      <c r="AM1299" s="189"/>
      <c r="AN1299" s="189"/>
      <c r="AO1299" s="189"/>
      <c r="AP1299" s="189"/>
      <c r="AQ1299" s="189"/>
      <c r="AR1299" s="189"/>
      <c r="AS1299" s="189"/>
      <c r="AT1299" s="189"/>
      <c r="AU1299" s="189"/>
      <c r="AV1299" s="189"/>
      <c r="AW1299" s="189"/>
      <c r="AX1299" s="189"/>
    </row>
    <row r="1300" ht="15.75" customHeight="1">
      <c r="A1300" s="189"/>
      <c r="B1300" s="189"/>
      <c r="C1300" s="190"/>
      <c r="D1300" s="190"/>
      <c r="E1300" s="190"/>
      <c r="F1300" s="190"/>
      <c r="G1300" s="189"/>
      <c r="H1300" s="189"/>
      <c r="I1300" s="189"/>
      <c r="J1300" s="189"/>
      <c r="K1300" s="189"/>
      <c r="L1300" s="189"/>
      <c r="M1300" s="189"/>
      <c r="N1300" s="189"/>
      <c r="O1300" s="189"/>
      <c r="P1300" s="291"/>
      <c r="Q1300" s="189"/>
      <c r="R1300" s="189"/>
      <c r="S1300" s="189"/>
      <c r="T1300" s="189"/>
      <c r="U1300" s="189"/>
      <c r="V1300" s="189"/>
      <c r="W1300" s="189"/>
      <c r="X1300" s="189"/>
      <c r="Y1300" s="189"/>
      <c r="Z1300" s="189"/>
      <c r="AA1300" s="189"/>
      <c r="AB1300" s="189"/>
      <c r="AC1300" s="189"/>
      <c r="AD1300" s="189"/>
      <c r="AE1300" s="189"/>
      <c r="AF1300" s="189"/>
      <c r="AG1300" s="189"/>
      <c r="AH1300" s="189"/>
      <c r="AI1300" s="189"/>
      <c r="AJ1300" s="189"/>
      <c r="AK1300" s="189"/>
      <c r="AL1300" s="189"/>
      <c r="AM1300" s="189"/>
      <c r="AN1300" s="189"/>
      <c r="AO1300" s="189"/>
      <c r="AP1300" s="189"/>
      <c r="AQ1300" s="189"/>
      <c r="AR1300" s="189"/>
      <c r="AS1300" s="189"/>
      <c r="AT1300" s="189"/>
      <c r="AU1300" s="189"/>
      <c r="AV1300" s="189"/>
      <c r="AW1300" s="189"/>
      <c r="AX1300" s="189"/>
    </row>
    <row r="1301" ht="15.75" customHeight="1">
      <c r="A1301" s="189"/>
      <c r="B1301" s="189"/>
      <c r="C1301" s="190"/>
      <c r="D1301" s="190"/>
      <c r="E1301" s="190"/>
      <c r="F1301" s="190"/>
      <c r="G1301" s="189"/>
      <c r="H1301" s="189"/>
      <c r="I1301" s="189"/>
      <c r="J1301" s="189"/>
      <c r="K1301" s="189"/>
      <c r="L1301" s="189"/>
      <c r="M1301" s="189"/>
      <c r="N1301" s="189"/>
      <c r="O1301" s="189"/>
      <c r="P1301" s="291"/>
      <c r="Q1301" s="189"/>
      <c r="R1301" s="189"/>
      <c r="S1301" s="189"/>
      <c r="T1301" s="189"/>
      <c r="U1301" s="189"/>
      <c r="V1301" s="189"/>
      <c r="W1301" s="189"/>
      <c r="X1301" s="189"/>
      <c r="Y1301" s="189"/>
      <c r="Z1301" s="189"/>
      <c r="AA1301" s="189"/>
      <c r="AB1301" s="189"/>
      <c r="AC1301" s="189"/>
      <c r="AD1301" s="189"/>
      <c r="AE1301" s="189"/>
      <c r="AF1301" s="189"/>
      <c r="AG1301" s="189"/>
      <c r="AH1301" s="189"/>
      <c r="AI1301" s="189"/>
      <c r="AJ1301" s="189"/>
      <c r="AK1301" s="189"/>
      <c r="AL1301" s="189"/>
      <c r="AM1301" s="189"/>
      <c r="AN1301" s="189"/>
      <c r="AO1301" s="189"/>
      <c r="AP1301" s="189"/>
      <c r="AQ1301" s="189"/>
      <c r="AR1301" s="189"/>
      <c r="AS1301" s="189"/>
      <c r="AT1301" s="189"/>
      <c r="AU1301" s="189"/>
      <c r="AV1301" s="189"/>
      <c r="AW1301" s="189"/>
      <c r="AX1301" s="189"/>
    </row>
    <row r="1302" ht="15.75" customHeight="1">
      <c r="A1302" s="189"/>
      <c r="B1302" s="189"/>
      <c r="C1302" s="190"/>
      <c r="D1302" s="190"/>
      <c r="E1302" s="190"/>
      <c r="F1302" s="190"/>
      <c r="G1302" s="189"/>
      <c r="H1302" s="189"/>
      <c r="I1302" s="189"/>
      <c r="J1302" s="189"/>
      <c r="K1302" s="189"/>
      <c r="L1302" s="189"/>
      <c r="M1302" s="189"/>
      <c r="N1302" s="189"/>
      <c r="O1302" s="189"/>
      <c r="P1302" s="291"/>
      <c r="Q1302" s="189"/>
      <c r="R1302" s="189"/>
      <c r="S1302" s="189"/>
      <c r="T1302" s="189"/>
      <c r="U1302" s="189"/>
      <c r="V1302" s="189"/>
      <c r="W1302" s="189"/>
      <c r="X1302" s="189"/>
      <c r="Y1302" s="189"/>
      <c r="Z1302" s="189"/>
      <c r="AA1302" s="189"/>
      <c r="AB1302" s="189"/>
      <c r="AC1302" s="189"/>
      <c r="AD1302" s="189"/>
      <c r="AE1302" s="189"/>
      <c r="AF1302" s="189"/>
      <c r="AG1302" s="189"/>
      <c r="AH1302" s="189"/>
      <c r="AI1302" s="189"/>
      <c r="AJ1302" s="189"/>
      <c r="AK1302" s="189"/>
      <c r="AL1302" s="189"/>
      <c r="AM1302" s="189"/>
      <c r="AN1302" s="189"/>
      <c r="AO1302" s="189"/>
      <c r="AP1302" s="189"/>
      <c r="AQ1302" s="189"/>
      <c r="AR1302" s="189"/>
      <c r="AS1302" s="189"/>
      <c r="AT1302" s="189"/>
      <c r="AU1302" s="189"/>
      <c r="AV1302" s="189"/>
      <c r="AW1302" s="189"/>
      <c r="AX1302" s="189"/>
    </row>
    <row r="1303" ht="15.75" customHeight="1">
      <c r="A1303" s="189"/>
      <c r="B1303" s="189"/>
      <c r="C1303" s="190"/>
      <c r="D1303" s="190"/>
      <c r="E1303" s="190"/>
      <c r="F1303" s="190"/>
      <c r="G1303" s="189"/>
      <c r="H1303" s="189"/>
      <c r="I1303" s="189"/>
      <c r="J1303" s="189"/>
      <c r="K1303" s="189"/>
      <c r="L1303" s="189"/>
      <c r="M1303" s="189"/>
      <c r="N1303" s="189"/>
      <c r="O1303" s="189"/>
      <c r="P1303" s="291"/>
      <c r="Q1303" s="189"/>
      <c r="R1303" s="189"/>
      <c r="S1303" s="189"/>
      <c r="T1303" s="189"/>
      <c r="U1303" s="189"/>
      <c r="V1303" s="189"/>
      <c r="W1303" s="189"/>
      <c r="X1303" s="189"/>
      <c r="Y1303" s="189"/>
      <c r="Z1303" s="189"/>
      <c r="AA1303" s="189"/>
      <c r="AB1303" s="189"/>
      <c r="AC1303" s="189"/>
      <c r="AD1303" s="189"/>
      <c r="AE1303" s="189"/>
      <c r="AF1303" s="189"/>
      <c r="AG1303" s="189"/>
      <c r="AH1303" s="189"/>
      <c r="AI1303" s="189"/>
      <c r="AJ1303" s="189"/>
      <c r="AK1303" s="189"/>
      <c r="AL1303" s="189"/>
      <c r="AM1303" s="189"/>
      <c r="AN1303" s="189"/>
      <c r="AO1303" s="189"/>
      <c r="AP1303" s="189"/>
      <c r="AQ1303" s="189"/>
      <c r="AR1303" s="189"/>
      <c r="AS1303" s="189"/>
      <c r="AT1303" s="189"/>
      <c r="AU1303" s="189"/>
      <c r="AV1303" s="189"/>
      <c r="AW1303" s="189"/>
      <c r="AX1303" s="189"/>
    </row>
    <row r="1304" ht="15.75" customHeight="1">
      <c r="A1304" s="189"/>
      <c r="B1304" s="189"/>
      <c r="C1304" s="190"/>
      <c r="D1304" s="190"/>
      <c r="E1304" s="190"/>
      <c r="F1304" s="190"/>
      <c r="G1304" s="189"/>
      <c r="H1304" s="189"/>
      <c r="I1304" s="189"/>
      <c r="J1304" s="189"/>
      <c r="K1304" s="189"/>
      <c r="L1304" s="189"/>
      <c r="M1304" s="189"/>
      <c r="N1304" s="189"/>
      <c r="O1304" s="189"/>
      <c r="P1304" s="291"/>
      <c r="Q1304" s="189"/>
      <c r="R1304" s="189"/>
      <c r="S1304" s="189"/>
      <c r="T1304" s="189"/>
      <c r="U1304" s="189"/>
      <c r="V1304" s="189"/>
      <c r="W1304" s="189"/>
      <c r="X1304" s="189"/>
      <c r="Y1304" s="189"/>
      <c r="Z1304" s="189"/>
      <c r="AA1304" s="189"/>
      <c r="AB1304" s="189"/>
      <c r="AC1304" s="189"/>
      <c r="AD1304" s="189"/>
      <c r="AE1304" s="189"/>
      <c r="AF1304" s="189"/>
      <c r="AG1304" s="189"/>
      <c r="AH1304" s="189"/>
      <c r="AI1304" s="189"/>
      <c r="AJ1304" s="189"/>
      <c r="AK1304" s="189"/>
      <c r="AL1304" s="189"/>
      <c r="AM1304" s="189"/>
      <c r="AN1304" s="189"/>
      <c r="AO1304" s="189"/>
      <c r="AP1304" s="189"/>
      <c r="AQ1304" s="189"/>
      <c r="AR1304" s="189"/>
      <c r="AS1304" s="189"/>
      <c r="AT1304" s="189"/>
      <c r="AU1304" s="189"/>
      <c r="AV1304" s="189"/>
      <c r="AW1304" s="189"/>
      <c r="AX1304" s="189"/>
    </row>
    <row r="1305" ht="15.75" customHeight="1">
      <c r="A1305" s="189"/>
      <c r="B1305" s="189"/>
      <c r="C1305" s="190"/>
      <c r="D1305" s="190"/>
      <c r="E1305" s="190"/>
      <c r="F1305" s="190"/>
      <c r="G1305" s="189"/>
      <c r="H1305" s="189"/>
      <c r="I1305" s="189"/>
      <c r="J1305" s="189"/>
      <c r="K1305" s="189"/>
      <c r="L1305" s="189"/>
      <c r="M1305" s="189"/>
      <c r="N1305" s="189"/>
      <c r="O1305" s="189"/>
      <c r="P1305" s="291"/>
      <c r="Q1305" s="189"/>
      <c r="R1305" s="189"/>
      <c r="S1305" s="189"/>
      <c r="T1305" s="189"/>
      <c r="U1305" s="189"/>
      <c r="V1305" s="189"/>
      <c r="W1305" s="189"/>
      <c r="X1305" s="189"/>
      <c r="Y1305" s="189"/>
      <c r="Z1305" s="189"/>
      <c r="AA1305" s="189"/>
      <c r="AB1305" s="189"/>
      <c r="AC1305" s="189"/>
      <c r="AD1305" s="189"/>
      <c r="AE1305" s="189"/>
      <c r="AF1305" s="189"/>
      <c r="AG1305" s="189"/>
      <c r="AH1305" s="189"/>
      <c r="AI1305" s="189"/>
      <c r="AJ1305" s="189"/>
      <c r="AK1305" s="189"/>
      <c r="AL1305" s="189"/>
      <c r="AM1305" s="189"/>
      <c r="AN1305" s="189"/>
      <c r="AO1305" s="189"/>
      <c r="AP1305" s="189"/>
      <c r="AQ1305" s="189"/>
      <c r="AR1305" s="189"/>
      <c r="AS1305" s="189"/>
      <c r="AT1305" s="189"/>
      <c r="AU1305" s="189"/>
      <c r="AV1305" s="189"/>
      <c r="AW1305" s="189"/>
      <c r="AX1305" s="189"/>
    </row>
    <row r="1306" ht="15.75" customHeight="1">
      <c r="A1306" s="189"/>
      <c r="B1306" s="189"/>
      <c r="C1306" s="190"/>
      <c r="D1306" s="190"/>
      <c r="E1306" s="190"/>
      <c r="F1306" s="190"/>
      <c r="G1306" s="189"/>
      <c r="H1306" s="189"/>
      <c r="I1306" s="189"/>
      <c r="J1306" s="189"/>
      <c r="K1306" s="189"/>
      <c r="L1306" s="189"/>
      <c r="M1306" s="189"/>
      <c r="N1306" s="189"/>
      <c r="O1306" s="189"/>
      <c r="P1306" s="291"/>
      <c r="Q1306" s="189"/>
      <c r="R1306" s="189"/>
      <c r="S1306" s="189"/>
      <c r="T1306" s="189"/>
      <c r="U1306" s="189"/>
      <c r="V1306" s="189"/>
      <c r="W1306" s="189"/>
      <c r="X1306" s="189"/>
      <c r="Y1306" s="189"/>
      <c r="Z1306" s="189"/>
      <c r="AA1306" s="189"/>
      <c r="AB1306" s="189"/>
      <c r="AC1306" s="189"/>
      <c r="AD1306" s="189"/>
      <c r="AE1306" s="189"/>
      <c r="AF1306" s="189"/>
      <c r="AG1306" s="189"/>
      <c r="AH1306" s="189"/>
      <c r="AI1306" s="189"/>
      <c r="AJ1306" s="189"/>
      <c r="AK1306" s="189"/>
      <c r="AL1306" s="189"/>
      <c r="AM1306" s="189"/>
      <c r="AN1306" s="189"/>
      <c r="AO1306" s="189"/>
      <c r="AP1306" s="189"/>
      <c r="AQ1306" s="189"/>
      <c r="AR1306" s="189"/>
      <c r="AS1306" s="189"/>
      <c r="AT1306" s="189"/>
      <c r="AU1306" s="189"/>
      <c r="AV1306" s="189"/>
      <c r="AW1306" s="189"/>
      <c r="AX1306" s="189"/>
    </row>
    <row r="1307" ht="15.75" customHeight="1">
      <c r="A1307" s="189"/>
      <c r="B1307" s="189"/>
      <c r="C1307" s="190"/>
      <c r="D1307" s="190"/>
      <c r="E1307" s="190"/>
      <c r="F1307" s="190"/>
      <c r="G1307" s="189"/>
      <c r="H1307" s="189"/>
      <c r="I1307" s="189"/>
      <c r="J1307" s="189"/>
      <c r="K1307" s="189"/>
      <c r="L1307" s="189"/>
      <c r="M1307" s="189"/>
      <c r="N1307" s="189"/>
      <c r="O1307" s="189"/>
      <c r="P1307" s="291"/>
      <c r="Q1307" s="189"/>
      <c r="R1307" s="189"/>
      <c r="S1307" s="189"/>
      <c r="T1307" s="189"/>
      <c r="U1307" s="189"/>
      <c r="V1307" s="189"/>
      <c r="W1307" s="189"/>
      <c r="X1307" s="189"/>
      <c r="Y1307" s="189"/>
      <c r="Z1307" s="189"/>
      <c r="AA1307" s="189"/>
      <c r="AB1307" s="189"/>
      <c r="AC1307" s="189"/>
      <c r="AD1307" s="189"/>
      <c r="AE1307" s="189"/>
      <c r="AF1307" s="189"/>
      <c r="AG1307" s="189"/>
      <c r="AH1307" s="189"/>
      <c r="AI1307" s="189"/>
      <c r="AJ1307" s="189"/>
      <c r="AK1307" s="189"/>
      <c r="AL1307" s="189"/>
      <c r="AM1307" s="189"/>
      <c r="AN1307" s="189"/>
      <c r="AO1307" s="189"/>
      <c r="AP1307" s="189"/>
      <c r="AQ1307" s="189"/>
      <c r="AR1307" s="189"/>
      <c r="AS1307" s="189"/>
      <c r="AT1307" s="189"/>
      <c r="AU1307" s="189"/>
      <c r="AV1307" s="189"/>
      <c r="AW1307" s="189"/>
      <c r="AX1307" s="189"/>
    </row>
    <row r="1308" ht="15.75" customHeight="1">
      <c r="A1308" s="189"/>
      <c r="B1308" s="189"/>
      <c r="C1308" s="190"/>
      <c r="D1308" s="190"/>
      <c r="E1308" s="190"/>
      <c r="F1308" s="190"/>
      <c r="G1308" s="189"/>
      <c r="H1308" s="189"/>
      <c r="I1308" s="189"/>
      <c r="J1308" s="189"/>
      <c r="K1308" s="189"/>
      <c r="L1308" s="189"/>
      <c r="M1308" s="189"/>
      <c r="N1308" s="189"/>
      <c r="O1308" s="189"/>
      <c r="P1308" s="291"/>
      <c r="Q1308" s="189"/>
      <c r="R1308" s="189"/>
      <c r="S1308" s="189"/>
      <c r="T1308" s="189"/>
      <c r="U1308" s="189"/>
      <c r="V1308" s="189"/>
      <c r="W1308" s="189"/>
      <c r="X1308" s="189"/>
      <c r="Y1308" s="189"/>
      <c r="Z1308" s="189"/>
      <c r="AA1308" s="189"/>
      <c r="AB1308" s="189"/>
      <c r="AC1308" s="189"/>
      <c r="AD1308" s="189"/>
      <c r="AE1308" s="189"/>
      <c r="AF1308" s="189"/>
      <c r="AG1308" s="189"/>
      <c r="AH1308" s="189"/>
      <c r="AI1308" s="189"/>
      <c r="AJ1308" s="189"/>
      <c r="AK1308" s="189"/>
      <c r="AL1308" s="189"/>
      <c r="AM1308" s="189"/>
      <c r="AN1308" s="189"/>
      <c r="AO1308" s="189"/>
      <c r="AP1308" s="189"/>
      <c r="AQ1308" s="189"/>
      <c r="AR1308" s="189"/>
      <c r="AS1308" s="189"/>
      <c r="AT1308" s="189"/>
      <c r="AU1308" s="189"/>
      <c r="AV1308" s="189"/>
      <c r="AW1308" s="189"/>
      <c r="AX1308" s="189"/>
    </row>
    <row r="1309" ht="15.75" customHeight="1">
      <c r="A1309" s="189"/>
      <c r="B1309" s="189"/>
      <c r="C1309" s="190"/>
      <c r="D1309" s="190"/>
      <c r="E1309" s="190"/>
      <c r="F1309" s="190"/>
      <c r="G1309" s="189"/>
      <c r="H1309" s="189"/>
      <c r="I1309" s="189"/>
      <c r="J1309" s="189"/>
      <c r="K1309" s="189"/>
      <c r="L1309" s="189"/>
      <c r="M1309" s="189"/>
      <c r="N1309" s="189"/>
      <c r="O1309" s="189"/>
      <c r="P1309" s="291"/>
      <c r="Q1309" s="189"/>
      <c r="R1309" s="189"/>
      <c r="S1309" s="189"/>
      <c r="T1309" s="189"/>
      <c r="U1309" s="189"/>
      <c r="V1309" s="189"/>
      <c r="W1309" s="189"/>
      <c r="X1309" s="189"/>
      <c r="Y1309" s="189"/>
      <c r="Z1309" s="189"/>
      <c r="AA1309" s="189"/>
      <c r="AB1309" s="189"/>
      <c r="AC1309" s="189"/>
      <c r="AD1309" s="189"/>
      <c r="AE1309" s="189"/>
      <c r="AF1309" s="189"/>
      <c r="AG1309" s="189"/>
      <c r="AH1309" s="189"/>
      <c r="AI1309" s="189"/>
      <c r="AJ1309" s="189"/>
      <c r="AK1309" s="189"/>
      <c r="AL1309" s="189"/>
      <c r="AM1309" s="189"/>
      <c r="AN1309" s="189"/>
      <c r="AO1309" s="189"/>
      <c r="AP1309" s="189"/>
      <c r="AQ1309" s="189"/>
      <c r="AR1309" s="189"/>
      <c r="AS1309" s="189"/>
      <c r="AT1309" s="189"/>
      <c r="AU1309" s="189"/>
      <c r="AV1309" s="189"/>
      <c r="AW1309" s="189"/>
      <c r="AX1309" s="189"/>
    </row>
    <row r="1310" ht="15.75" customHeight="1">
      <c r="A1310" s="189"/>
      <c r="B1310" s="189"/>
      <c r="C1310" s="190"/>
      <c r="D1310" s="190"/>
      <c r="E1310" s="190"/>
      <c r="F1310" s="190"/>
      <c r="G1310" s="189"/>
      <c r="H1310" s="189"/>
      <c r="I1310" s="189"/>
      <c r="J1310" s="189"/>
      <c r="K1310" s="189"/>
      <c r="L1310" s="189"/>
      <c r="M1310" s="189"/>
      <c r="N1310" s="189"/>
      <c r="O1310" s="189"/>
      <c r="P1310" s="291"/>
      <c r="Q1310" s="189"/>
      <c r="R1310" s="189"/>
      <c r="S1310" s="189"/>
      <c r="T1310" s="189"/>
      <c r="U1310" s="189"/>
      <c r="V1310" s="189"/>
      <c r="W1310" s="189"/>
      <c r="X1310" s="189"/>
      <c r="Y1310" s="189"/>
      <c r="Z1310" s="189"/>
      <c r="AA1310" s="189"/>
      <c r="AB1310" s="189"/>
      <c r="AC1310" s="189"/>
      <c r="AD1310" s="189"/>
      <c r="AE1310" s="189"/>
      <c r="AF1310" s="189"/>
      <c r="AG1310" s="189"/>
      <c r="AH1310" s="189"/>
      <c r="AI1310" s="189"/>
      <c r="AJ1310" s="189"/>
      <c r="AK1310" s="189"/>
      <c r="AL1310" s="189"/>
      <c r="AM1310" s="189"/>
      <c r="AN1310" s="189"/>
      <c r="AO1310" s="189"/>
      <c r="AP1310" s="189"/>
      <c r="AQ1310" s="189"/>
      <c r="AR1310" s="189"/>
      <c r="AS1310" s="189"/>
      <c r="AT1310" s="189"/>
      <c r="AU1310" s="189"/>
      <c r="AV1310" s="189"/>
      <c r="AW1310" s="189"/>
      <c r="AX1310" s="189"/>
    </row>
    <row r="1311" ht="15.75" customHeight="1">
      <c r="A1311" s="189"/>
      <c r="B1311" s="189"/>
      <c r="C1311" s="190"/>
      <c r="D1311" s="190"/>
      <c r="E1311" s="190"/>
      <c r="F1311" s="190"/>
      <c r="G1311" s="189"/>
      <c r="H1311" s="189"/>
      <c r="I1311" s="189"/>
      <c r="J1311" s="189"/>
      <c r="K1311" s="189"/>
      <c r="L1311" s="189"/>
      <c r="M1311" s="189"/>
      <c r="N1311" s="189"/>
      <c r="O1311" s="189"/>
      <c r="P1311" s="291"/>
      <c r="Q1311" s="189"/>
      <c r="R1311" s="189"/>
      <c r="S1311" s="189"/>
      <c r="T1311" s="189"/>
      <c r="U1311" s="189"/>
      <c r="V1311" s="189"/>
      <c r="W1311" s="189"/>
      <c r="X1311" s="189"/>
      <c r="Y1311" s="189"/>
      <c r="Z1311" s="189"/>
      <c r="AA1311" s="189"/>
      <c r="AB1311" s="189"/>
      <c r="AC1311" s="189"/>
      <c r="AD1311" s="189"/>
      <c r="AE1311" s="189"/>
      <c r="AF1311" s="189"/>
      <c r="AG1311" s="189"/>
      <c r="AH1311" s="189"/>
      <c r="AI1311" s="189"/>
      <c r="AJ1311" s="189"/>
      <c r="AK1311" s="189"/>
      <c r="AL1311" s="189"/>
      <c r="AM1311" s="189"/>
      <c r="AN1311" s="189"/>
      <c r="AO1311" s="189"/>
      <c r="AP1311" s="189"/>
      <c r="AQ1311" s="189"/>
      <c r="AR1311" s="189"/>
      <c r="AS1311" s="189"/>
      <c r="AT1311" s="189"/>
      <c r="AU1311" s="189"/>
      <c r="AV1311" s="189"/>
      <c r="AW1311" s="189"/>
      <c r="AX1311" s="189"/>
    </row>
    <row r="1312" ht="15.75" customHeight="1">
      <c r="A1312" s="189"/>
      <c r="B1312" s="189"/>
      <c r="C1312" s="190"/>
      <c r="D1312" s="190"/>
      <c r="E1312" s="190"/>
      <c r="F1312" s="190"/>
      <c r="G1312" s="189"/>
      <c r="H1312" s="189"/>
      <c r="I1312" s="189"/>
      <c r="J1312" s="189"/>
      <c r="K1312" s="189"/>
      <c r="L1312" s="189"/>
      <c r="M1312" s="189"/>
      <c r="N1312" s="189"/>
      <c r="O1312" s="189"/>
      <c r="P1312" s="291"/>
      <c r="Q1312" s="189"/>
      <c r="R1312" s="189"/>
      <c r="S1312" s="189"/>
      <c r="T1312" s="189"/>
      <c r="U1312" s="189"/>
      <c r="V1312" s="189"/>
      <c r="W1312" s="189"/>
      <c r="X1312" s="189"/>
      <c r="Y1312" s="189"/>
      <c r="Z1312" s="189"/>
      <c r="AA1312" s="189"/>
      <c r="AB1312" s="189"/>
      <c r="AC1312" s="189"/>
      <c r="AD1312" s="189"/>
      <c r="AE1312" s="189"/>
      <c r="AF1312" s="189"/>
      <c r="AG1312" s="189"/>
      <c r="AH1312" s="189"/>
      <c r="AI1312" s="189"/>
      <c r="AJ1312" s="189"/>
      <c r="AK1312" s="189"/>
      <c r="AL1312" s="189"/>
      <c r="AM1312" s="189"/>
      <c r="AN1312" s="189"/>
      <c r="AO1312" s="189"/>
      <c r="AP1312" s="189"/>
      <c r="AQ1312" s="189"/>
      <c r="AR1312" s="189"/>
      <c r="AS1312" s="189"/>
      <c r="AT1312" s="189"/>
      <c r="AU1312" s="189"/>
      <c r="AV1312" s="189"/>
      <c r="AW1312" s="189"/>
      <c r="AX1312" s="189"/>
    </row>
    <row r="1313" ht="15.75" customHeight="1">
      <c r="A1313" s="189"/>
      <c r="B1313" s="189"/>
      <c r="C1313" s="190"/>
      <c r="D1313" s="190"/>
      <c r="E1313" s="190"/>
      <c r="F1313" s="190"/>
      <c r="G1313" s="189"/>
      <c r="H1313" s="189"/>
      <c r="I1313" s="189"/>
      <c r="J1313" s="189"/>
      <c r="K1313" s="189"/>
      <c r="L1313" s="189"/>
      <c r="M1313" s="189"/>
      <c r="N1313" s="189"/>
      <c r="O1313" s="189"/>
      <c r="P1313" s="291"/>
      <c r="Q1313" s="189"/>
      <c r="R1313" s="189"/>
      <c r="S1313" s="189"/>
      <c r="T1313" s="189"/>
      <c r="U1313" s="189"/>
      <c r="V1313" s="189"/>
      <c r="W1313" s="189"/>
      <c r="X1313" s="189"/>
      <c r="Y1313" s="189"/>
      <c r="Z1313" s="189"/>
      <c r="AA1313" s="189"/>
      <c r="AB1313" s="189"/>
      <c r="AC1313" s="189"/>
      <c r="AD1313" s="189"/>
      <c r="AE1313" s="189"/>
      <c r="AF1313" s="189"/>
      <c r="AG1313" s="189"/>
      <c r="AH1313" s="189"/>
      <c r="AI1313" s="189"/>
      <c r="AJ1313" s="189"/>
      <c r="AK1313" s="189"/>
      <c r="AL1313" s="189"/>
      <c r="AM1313" s="189"/>
      <c r="AN1313" s="189"/>
      <c r="AO1313" s="189"/>
      <c r="AP1313" s="189"/>
      <c r="AQ1313" s="189"/>
      <c r="AR1313" s="189"/>
      <c r="AS1313" s="189"/>
      <c r="AT1313" s="189"/>
      <c r="AU1313" s="189"/>
      <c r="AV1313" s="189"/>
      <c r="AW1313" s="189"/>
      <c r="AX1313" s="189"/>
    </row>
    <row r="1314" ht="15.75" customHeight="1">
      <c r="A1314" s="189"/>
      <c r="B1314" s="189"/>
      <c r="C1314" s="190"/>
      <c r="D1314" s="190"/>
      <c r="E1314" s="190"/>
      <c r="F1314" s="190"/>
      <c r="G1314" s="189"/>
      <c r="H1314" s="189"/>
      <c r="I1314" s="189"/>
      <c r="J1314" s="189"/>
      <c r="K1314" s="189"/>
      <c r="L1314" s="189"/>
      <c r="M1314" s="189"/>
      <c r="N1314" s="189"/>
      <c r="O1314" s="189"/>
      <c r="P1314" s="291"/>
      <c r="Q1314" s="189"/>
      <c r="R1314" s="189"/>
      <c r="S1314" s="189"/>
      <c r="T1314" s="189"/>
      <c r="U1314" s="189"/>
      <c r="V1314" s="189"/>
      <c r="W1314" s="189"/>
      <c r="X1314" s="189"/>
      <c r="Y1314" s="189"/>
      <c r="Z1314" s="189"/>
      <c r="AA1314" s="189"/>
      <c r="AB1314" s="189"/>
      <c r="AC1314" s="189"/>
      <c r="AD1314" s="189"/>
      <c r="AE1314" s="189"/>
      <c r="AF1314" s="189"/>
      <c r="AG1314" s="189"/>
      <c r="AH1314" s="189"/>
      <c r="AI1314" s="189"/>
      <c r="AJ1314" s="189"/>
      <c r="AK1314" s="189"/>
      <c r="AL1314" s="189"/>
      <c r="AM1314" s="189"/>
      <c r="AN1314" s="189"/>
      <c r="AO1314" s="189"/>
      <c r="AP1314" s="189"/>
      <c r="AQ1314" s="189"/>
      <c r="AR1314" s="189"/>
      <c r="AS1314" s="189"/>
      <c r="AT1314" s="189"/>
      <c r="AU1314" s="189"/>
      <c r="AV1314" s="189"/>
      <c r="AW1314" s="189"/>
      <c r="AX1314" s="189"/>
    </row>
    <row r="1315" ht="15.75" customHeight="1">
      <c r="A1315" s="189"/>
      <c r="B1315" s="189"/>
      <c r="C1315" s="190"/>
      <c r="D1315" s="190"/>
      <c r="E1315" s="190"/>
      <c r="F1315" s="190"/>
      <c r="G1315" s="189"/>
      <c r="H1315" s="189"/>
      <c r="I1315" s="189"/>
      <c r="J1315" s="189"/>
      <c r="K1315" s="189"/>
      <c r="L1315" s="189"/>
      <c r="M1315" s="189"/>
      <c r="N1315" s="189"/>
      <c r="O1315" s="189"/>
      <c r="P1315" s="291"/>
      <c r="Q1315" s="189"/>
      <c r="R1315" s="189"/>
      <c r="S1315" s="189"/>
      <c r="T1315" s="189"/>
      <c r="U1315" s="189"/>
      <c r="V1315" s="189"/>
      <c r="W1315" s="189"/>
      <c r="X1315" s="189"/>
      <c r="Y1315" s="189"/>
      <c r="Z1315" s="189"/>
      <c r="AA1315" s="189"/>
      <c r="AB1315" s="189"/>
      <c r="AC1315" s="189"/>
      <c r="AD1315" s="189"/>
      <c r="AE1315" s="189"/>
      <c r="AF1315" s="189"/>
      <c r="AG1315" s="189"/>
      <c r="AH1315" s="189"/>
      <c r="AI1315" s="189"/>
      <c r="AJ1315" s="189"/>
      <c r="AK1315" s="189"/>
      <c r="AL1315" s="189"/>
      <c r="AM1315" s="189"/>
      <c r="AN1315" s="189"/>
      <c r="AO1315" s="189"/>
      <c r="AP1315" s="189"/>
      <c r="AQ1315" s="189"/>
      <c r="AR1315" s="189"/>
      <c r="AS1315" s="189"/>
      <c r="AT1315" s="189"/>
      <c r="AU1315" s="189"/>
      <c r="AV1315" s="189"/>
      <c r="AW1315" s="189"/>
      <c r="AX1315" s="189"/>
    </row>
    <row r="1316" ht="15.75" customHeight="1">
      <c r="A1316" s="189"/>
      <c r="B1316" s="189"/>
      <c r="C1316" s="190"/>
      <c r="D1316" s="190"/>
      <c r="E1316" s="190"/>
      <c r="F1316" s="190"/>
      <c r="G1316" s="189"/>
      <c r="H1316" s="189"/>
      <c r="I1316" s="189"/>
      <c r="J1316" s="189"/>
      <c r="K1316" s="189"/>
      <c r="L1316" s="189"/>
      <c r="M1316" s="189"/>
      <c r="N1316" s="189"/>
      <c r="O1316" s="189"/>
      <c r="P1316" s="291"/>
      <c r="Q1316" s="189"/>
      <c r="R1316" s="189"/>
      <c r="S1316" s="189"/>
      <c r="T1316" s="189"/>
      <c r="U1316" s="189"/>
      <c r="V1316" s="189"/>
      <c r="W1316" s="189"/>
      <c r="X1316" s="189"/>
      <c r="Y1316" s="189"/>
      <c r="Z1316" s="189"/>
      <c r="AA1316" s="189"/>
      <c r="AB1316" s="189"/>
      <c r="AC1316" s="189"/>
      <c r="AD1316" s="189"/>
      <c r="AE1316" s="189"/>
      <c r="AF1316" s="189"/>
      <c r="AG1316" s="189"/>
      <c r="AH1316" s="189"/>
      <c r="AI1316" s="189"/>
      <c r="AJ1316" s="189"/>
      <c r="AK1316" s="189"/>
      <c r="AL1316" s="189"/>
      <c r="AM1316" s="189"/>
      <c r="AN1316" s="189"/>
      <c r="AO1316" s="189"/>
      <c r="AP1316" s="189"/>
      <c r="AQ1316" s="189"/>
      <c r="AR1316" s="189"/>
      <c r="AS1316" s="189"/>
      <c r="AT1316" s="189"/>
      <c r="AU1316" s="189"/>
      <c r="AV1316" s="189"/>
      <c r="AW1316" s="189"/>
      <c r="AX1316" s="189"/>
    </row>
    <row r="1317" ht="15.75" customHeight="1">
      <c r="A1317" s="189"/>
      <c r="B1317" s="189"/>
      <c r="C1317" s="190"/>
      <c r="D1317" s="190"/>
      <c r="E1317" s="190"/>
      <c r="F1317" s="190"/>
      <c r="G1317" s="189"/>
      <c r="H1317" s="189"/>
      <c r="I1317" s="189"/>
      <c r="J1317" s="189"/>
      <c r="K1317" s="189"/>
      <c r="L1317" s="189"/>
      <c r="M1317" s="189"/>
      <c r="N1317" s="189"/>
      <c r="O1317" s="189"/>
      <c r="P1317" s="291"/>
      <c r="Q1317" s="189"/>
      <c r="R1317" s="189"/>
      <c r="S1317" s="189"/>
      <c r="T1317" s="189"/>
      <c r="U1317" s="189"/>
      <c r="V1317" s="189"/>
      <c r="W1317" s="189"/>
      <c r="X1317" s="189"/>
      <c r="Y1317" s="189"/>
      <c r="Z1317" s="189"/>
      <c r="AA1317" s="189"/>
      <c r="AB1317" s="189"/>
      <c r="AC1317" s="189"/>
      <c r="AD1317" s="189"/>
      <c r="AE1317" s="189"/>
      <c r="AF1317" s="189"/>
      <c r="AG1317" s="189"/>
      <c r="AH1317" s="189"/>
      <c r="AI1317" s="189"/>
      <c r="AJ1317" s="189"/>
      <c r="AK1317" s="189"/>
      <c r="AL1317" s="189"/>
      <c r="AM1317" s="189"/>
      <c r="AN1317" s="189"/>
      <c r="AO1317" s="189"/>
      <c r="AP1317" s="189"/>
      <c r="AQ1317" s="189"/>
      <c r="AR1317" s="189"/>
      <c r="AS1317" s="189"/>
      <c r="AT1317" s="189"/>
      <c r="AU1317" s="189"/>
      <c r="AV1317" s="189"/>
      <c r="AW1317" s="189"/>
      <c r="AX1317" s="189"/>
    </row>
    <row r="1318" ht="15.75" customHeight="1">
      <c r="A1318" s="189"/>
      <c r="B1318" s="189"/>
      <c r="C1318" s="190"/>
      <c r="D1318" s="190"/>
      <c r="E1318" s="190"/>
      <c r="F1318" s="190"/>
      <c r="G1318" s="189"/>
      <c r="H1318" s="189"/>
      <c r="I1318" s="189"/>
      <c r="J1318" s="189"/>
      <c r="K1318" s="189"/>
      <c r="L1318" s="189"/>
      <c r="M1318" s="189"/>
      <c r="N1318" s="189"/>
      <c r="O1318" s="189"/>
      <c r="P1318" s="291"/>
      <c r="Q1318" s="189"/>
      <c r="R1318" s="189"/>
      <c r="S1318" s="189"/>
      <c r="T1318" s="189"/>
      <c r="U1318" s="189"/>
      <c r="V1318" s="189"/>
      <c r="W1318" s="189"/>
      <c r="X1318" s="189"/>
      <c r="Y1318" s="189"/>
      <c r="Z1318" s="189"/>
      <c r="AA1318" s="189"/>
      <c r="AB1318" s="189"/>
      <c r="AC1318" s="189"/>
      <c r="AD1318" s="189"/>
      <c r="AE1318" s="189"/>
      <c r="AF1318" s="189"/>
      <c r="AG1318" s="189"/>
      <c r="AH1318" s="189"/>
      <c r="AI1318" s="189"/>
      <c r="AJ1318" s="189"/>
      <c r="AK1318" s="189"/>
      <c r="AL1318" s="189"/>
      <c r="AM1318" s="189"/>
      <c r="AN1318" s="189"/>
      <c r="AO1318" s="189"/>
      <c r="AP1318" s="189"/>
      <c r="AQ1318" s="189"/>
      <c r="AR1318" s="189"/>
      <c r="AS1318" s="189"/>
      <c r="AT1318" s="189"/>
      <c r="AU1318" s="189"/>
      <c r="AV1318" s="189"/>
      <c r="AW1318" s="189"/>
      <c r="AX1318" s="189"/>
    </row>
    <row r="1319" ht="15.75" customHeight="1">
      <c r="A1319" s="189"/>
      <c r="B1319" s="189"/>
      <c r="C1319" s="190"/>
      <c r="D1319" s="190"/>
      <c r="E1319" s="190"/>
      <c r="F1319" s="190"/>
      <c r="G1319" s="189"/>
      <c r="H1319" s="189"/>
      <c r="I1319" s="189"/>
      <c r="J1319" s="189"/>
      <c r="K1319" s="189"/>
      <c r="L1319" s="189"/>
      <c r="M1319" s="189"/>
      <c r="N1319" s="189"/>
      <c r="O1319" s="189"/>
      <c r="P1319" s="291"/>
      <c r="Q1319" s="189"/>
      <c r="R1319" s="189"/>
      <c r="S1319" s="189"/>
      <c r="T1319" s="189"/>
      <c r="U1319" s="189"/>
      <c r="V1319" s="189"/>
      <c r="W1319" s="189"/>
      <c r="X1319" s="189"/>
      <c r="Y1319" s="189"/>
      <c r="Z1319" s="189"/>
      <c r="AA1319" s="189"/>
      <c r="AB1319" s="189"/>
      <c r="AC1319" s="189"/>
      <c r="AD1319" s="189"/>
      <c r="AE1319" s="189"/>
      <c r="AF1319" s="189"/>
      <c r="AG1319" s="189"/>
      <c r="AH1319" s="189"/>
      <c r="AI1319" s="189"/>
      <c r="AJ1319" s="189"/>
      <c r="AK1319" s="189"/>
      <c r="AL1319" s="189"/>
      <c r="AM1319" s="189"/>
      <c r="AN1319" s="189"/>
      <c r="AO1319" s="189"/>
      <c r="AP1319" s="189"/>
      <c r="AQ1319" s="189"/>
      <c r="AR1319" s="189"/>
      <c r="AS1319" s="189"/>
      <c r="AT1319" s="189"/>
      <c r="AU1319" s="189"/>
      <c r="AV1319" s="189"/>
      <c r="AW1319" s="189"/>
      <c r="AX1319" s="189"/>
    </row>
    <row r="1320" ht="15.75" customHeight="1">
      <c r="A1320" s="189"/>
      <c r="B1320" s="189"/>
      <c r="C1320" s="190"/>
      <c r="D1320" s="190"/>
      <c r="E1320" s="190"/>
      <c r="F1320" s="190"/>
      <c r="G1320" s="189"/>
      <c r="H1320" s="189"/>
      <c r="I1320" s="189"/>
      <c r="J1320" s="189"/>
      <c r="K1320" s="189"/>
      <c r="L1320" s="189"/>
      <c r="M1320" s="189"/>
      <c r="N1320" s="189"/>
      <c r="O1320" s="189"/>
      <c r="P1320" s="291"/>
      <c r="Q1320" s="189"/>
      <c r="R1320" s="189"/>
      <c r="S1320" s="189"/>
      <c r="T1320" s="189"/>
      <c r="U1320" s="189"/>
      <c r="V1320" s="189"/>
      <c r="W1320" s="189"/>
      <c r="X1320" s="189"/>
      <c r="Y1320" s="189"/>
      <c r="Z1320" s="189"/>
      <c r="AA1320" s="189"/>
      <c r="AB1320" s="189"/>
      <c r="AC1320" s="189"/>
      <c r="AD1320" s="189"/>
      <c r="AE1320" s="189"/>
      <c r="AF1320" s="189"/>
      <c r="AG1320" s="189"/>
      <c r="AH1320" s="189"/>
      <c r="AI1320" s="189"/>
      <c r="AJ1320" s="189"/>
      <c r="AK1320" s="189"/>
      <c r="AL1320" s="189"/>
      <c r="AM1320" s="189"/>
      <c r="AN1320" s="189"/>
      <c r="AO1320" s="189"/>
      <c r="AP1320" s="189"/>
      <c r="AQ1320" s="189"/>
      <c r="AR1320" s="189"/>
      <c r="AS1320" s="189"/>
      <c r="AT1320" s="189"/>
      <c r="AU1320" s="189"/>
      <c r="AV1320" s="189"/>
      <c r="AW1320" s="189"/>
      <c r="AX1320" s="189"/>
    </row>
    <row r="1321" ht="15.75" customHeight="1">
      <c r="A1321" s="189"/>
      <c r="B1321" s="189"/>
      <c r="C1321" s="190"/>
      <c r="D1321" s="190"/>
      <c r="E1321" s="190"/>
      <c r="F1321" s="190"/>
      <c r="G1321" s="189"/>
      <c r="H1321" s="189"/>
      <c r="I1321" s="189"/>
      <c r="J1321" s="189"/>
      <c r="K1321" s="189"/>
      <c r="L1321" s="189"/>
      <c r="M1321" s="189"/>
      <c r="N1321" s="189"/>
      <c r="O1321" s="189"/>
      <c r="P1321" s="291"/>
      <c r="Q1321" s="189"/>
      <c r="R1321" s="189"/>
      <c r="S1321" s="189"/>
      <c r="T1321" s="189"/>
      <c r="U1321" s="189"/>
      <c r="V1321" s="189"/>
      <c r="W1321" s="189"/>
      <c r="X1321" s="189"/>
      <c r="Y1321" s="189"/>
      <c r="Z1321" s="189"/>
      <c r="AA1321" s="189"/>
      <c r="AB1321" s="189"/>
      <c r="AC1321" s="189"/>
      <c r="AD1321" s="189"/>
      <c r="AE1321" s="189"/>
      <c r="AF1321" s="189"/>
      <c r="AG1321" s="189"/>
      <c r="AH1321" s="189"/>
      <c r="AI1321" s="189"/>
      <c r="AJ1321" s="189"/>
      <c r="AK1321" s="189"/>
      <c r="AL1321" s="189"/>
      <c r="AM1321" s="189"/>
      <c r="AN1321" s="189"/>
      <c r="AO1321" s="189"/>
      <c r="AP1321" s="189"/>
      <c r="AQ1321" s="189"/>
      <c r="AR1321" s="189"/>
      <c r="AS1321" s="189"/>
      <c r="AT1321" s="189"/>
      <c r="AU1321" s="189"/>
      <c r="AV1321" s="189"/>
      <c r="AW1321" s="189"/>
      <c r="AX1321" s="189"/>
    </row>
    <row r="1322" ht="15.75" customHeight="1">
      <c r="A1322" s="189"/>
      <c r="B1322" s="189"/>
      <c r="C1322" s="190"/>
      <c r="D1322" s="190"/>
      <c r="E1322" s="190"/>
      <c r="F1322" s="190"/>
      <c r="G1322" s="189"/>
      <c r="H1322" s="189"/>
      <c r="I1322" s="189"/>
      <c r="J1322" s="189"/>
      <c r="K1322" s="189"/>
      <c r="L1322" s="189"/>
      <c r="M1322" s="189"/>
      <c r="N1322" s="189"/>
      <c r="O1322" s="189"/>
      <c r="P1322" s="291"/>
      <c r="Q1322" s="189"/>
      <c r="R1322" s="189"/>
      <c r="S1322" s="189"/>
      <c r="T1322" s="189"/>
      <c r="U1322" s="189"/>
      <c r="V1322" s="189"/>
      <c r="W1322" s="189"/>
      <c r="X1322" s="189"/>
      <c r="Y1322" s="189"/>
      <c r="Z1322" s="189"/>
      <c r="AA1322" s="189"/>
      <c r="AB1322" s="189"/>
      <c r="AC1322" s="189"/>
      <c r="AD1322" s="189"/>
      <c r="AE1322" s="189"/>
      <c r="AF1322" s="189"/>
      <c r="AG1322" s="189"/>
      <c r="AH1322" s="189"/>
      <c r="AI1322" s="189"/>
      <c r="AJ1322" s="189"/>
      <c r="AK1322" s="189"/>
      <c r="AL1322" s="189"/>
      <c r="AM1322" s="189"/>
      <c r="AN1322" s="189"/>
      <c r="AO1322" s="189"/>
      <c r="AP1322" s="189"/>
      <c r="AQ1322" s="189"/>
      <c r="AR1322" s="189"/>
      <c r="AS1322" s="189"/>
      <c r="AT1322" s="189"/>
      <c r="AU1322" s="189"/>
      <c r="AV1322" s="189"/>
      <c r="AW1322" s="189"/>
      <c r="AX1322" s="189"/>
    </row>
    <row r="1323" ht="15.75" customHeight="1">
      <c r="A1323" s="189"/>
      <c r="B1323" s="189"/>
      <c r="C1323" s="190"/>
      <c r="D1323" s="190"/>
      <c r="E1323" s="190"/>
      <c r="F1323" s="190"/>
      <c r="G1323" s="189"/>
      <c r="H1323" s="189"/>
      <c r="I1323" s="189"/>
      <c r="J1323" s="189"/>
      <c r="K1323" s="189"/>
      <c r="L1323" s="189"/>
      <c r="M1323" s="189"/>
      <c r="N1323" s="189"/>
      <c r="O1323" s="189"/>
      <c r="P1323" s="291"/>
      <c r="Q1323" s="189"/>
      <c r="R1323" s="189"/>
      <c r="S1323" s="189"/>
      <c r="T1323" s="189"/>
      <c r="U1323" s="189"/>
      <c r="V1323" s="189"/>
      <c r="W1323" s="189"/>
      <c r="X1323" s="189"/>
      <c r="Y1323" s="189"/>
      <c r="Z1323" s="189"/>
      <c r="AA1323" s="189"/>
      <c r="AB1323" s="189"/>
      <c r="AC1323" s="189"/>
      <c r="AD1323" s="189"/>
      <c r="AE1323" s="189"/>
      <c r="AF1323" s="189"/>
      <c r="AG1323" s="189"/>
      <c r="AH1323" s="189"/>
      <c r="AI1323" s="189"/>
      <c r="AJ1323" s="189"/>
      <c r="AK1323" s="189"/>
      <c r="AL1323" s="189"/>
      <c r="AM1323" s="189"/>
      <c r="AN1323" s="189"/>
      <c r="AO1323" s="189"/>
      <c r="AP1323" s="189"/>
      <c r="AQ1323" s="189"/>
      <c r="AR1323" s="189"/>
      <c r="AS1323" s="189"/>
      <c r="AT1323" s="189"/>
      <c r="AU1323" s="189"/>
      <c r="AV1323" s="189"/>
      <c r="AW1323" s="189"/>
      <c r="AX1323" s="189"/>
    </row>
    <row r="1324" ht="15.75" customHeight="1">
      <c r="A1324" s="189"/>
      <c r="B1324" s="189"/>
      <c r="C1324" s="190"/>
      <c r="D1324" s="190"/>
      <c r="E1324" s="190"/>
      <c r="F1324" s="190"/>
      <c r="G1324" s="189"/>
      <c r="H1324" s="189"/>
      <c r="I1324" s="189"/>
      <c r="J1324" s="189"/>
      <c r="K1324" s="189"/>
      <c r="L1324" s="189"/>
      <c r="M1324" s="189"/>
      <c r="N1324" s="189"/>
      <c r="O1324" s="189"/>
      <c r="P1324" s="291"/>
      <c r="Q1324" s="189"/>
      <c r="R1324" s="189"/>
      <c r="S1324" s="189"/>
      <c r="T1324" s="189"/>
      <c r="U1324" s="189"/>
      <c r="V1324" s="189"/>
      <c r="W1324" s="189"/>
      <c r="X1324" s="189"/>
      <c r="Y1324" s="189"/>
      <c r="Z1324" s="189"/>
      <c r="AA1324" s="189"/>
      <c r="AB1324" s="189"/>
      <c r="AC1324" s="189"/>
      <c r="AD1324" s="189"/>
      <c r="AE1324" s="189"/>
      <c r="AF1324" s="189"/>
      <c r="AG1324" s="189"/>
      <c r="AH1324" s="189"/>
      <c r="AI1324" s="189"/>
      <c r="AJ1324" s="189"/>
      <c r="AK1324" s="189"/>
      <c r="AL1324" s="189"/>
      <c r="AM1324" s="189"/>
      <c r="AN1324" s="189"/>
      <c r="AO1324" s="189"/>
      <c r="AP1324" s="189"/>
      <c r="AQ1324" s="189"/>
      <c r="AR1324" s="189"/>
      <c r="AS1324" s="189"/>
      <c r="AT1324" s="189"/>
      <c r="AU1324" s="189"/>
      <c r="AV1324" s="189"/>
      <c r="AW1324" s="189"/>
      <c r="AX1324" s="189"/>
    </row>
    <row r="1325" ht="15.75" customHeight="1">
      <c r="A1325" s="189"/>
      <c r="B1325" s="189"/>
      <c r="C1325" s="190"/>
      <c r="D1325" s="190"/>
      <c r="E1325" s="190"/>
      <c r="F1325" s="190"/>
      <c r="G1325" s="189"/>
      <c r="H1325" s="189"/>
      <c r="I1325" s="189"/>
      <c r="J1325" s="189"/>
      <c r="K1325" s="189"/>
      <c r="L1325" s="189"/>
      <c r="M1325" s="189"/>
      <c r="N1325" s="189"/>
      <c r="O1325" s="189"/>
      <c r="P1325" s="291"/>
      <c r="Q1325" s="189"/>
      <c r="R1325" s="189"/>
      <c r="S1325" s="189"/>
      <c r="T1325" s="189"/>
      <c r="U1325" s="189"/>
      <c r="V1325" s="189"/>
      <c r="W1325" s="189"/>
      <c r="X1325" s="189"/>
      <c r="Y1325" s="189"/>
      <c r="Z1325" s="189"/>
      <c r="AA1325" s="189"/>
      <c r="AB1325" s="189"/>
      <c r="AC1325" s="189"/>
      <c r="AD1325" s="189"/>
      <c r="AE1325" s="189"/>
      <c r="AF1325" s="189"/>
      <c r="AG1325" s="189"/>
      <c r="AH1325" s="189"/>
      <c r="AI1325" s="189"/>
      <c r="AJ1325" s="189"/>
      <c r="AK1325" s="189"/>
      <c r="AL1325" s="189"/>
      <c r="AM1325" s="189"/>
      <c r="AN1325" s="189"/>
      <c r="AO1325" s="189"/>
      <c r="AP1325" s="189"/>
      <c r="AQ1325" s="189"/>
      <c r="AR1325" s="189"/>
      <c r="AS1325" s="189"/>
      <c r="AT1325" s="189"/>
      <c r="AU1325" s="189"/>
      <c r="AV1325" s="189"/>
      <c r="AW1325" s="189"/>
      <c r="AX1325" s="189"/>
    </row>
    <row r="1326" ht="15.75" customHeight="1">
      <c r="A1326" s="189"/>
      <c r="B1326" s="189"/>
      <c r="C1326" s="190"/>
      <c r="D1326" s="190"/>
      <c r="E1326" s="190"/>
      <c r="F1326" s="190"/>
      <c r="G1326" s="189"/>
      <c r="H1326" s="189"/>
      <c r="I1326" s="189"/>
      <c r="J1326" s="189"/>
      <c r="K1326" s="189"/>
      <c r="L1326" s="189"/>
      <c r="M1326" s="189"/>
      <c r="N1326" s="189"/>
      <c r="O1326" s="189"/>
      <c r="P1326" s="291"/>
      <c r="Q1326" s="189"/>
      <c r="R1326" s="189"/>
      <c r="S1326" s="189"/>
      <c r="T1326" s="189"/>
      <c r="U1326" s="189"/>
      <c r="V1326" s="189"/>
      <c r="W1326" s="189"/>
      <c r="X1326" s="189"/>
      <c r="Y1326" s="189"/>
      <c r="Z1326" s="189"/>
      <c r="AA1326" s="189"/>
      <c r="AB1326" s="189"/>
      <c r="AC1326" s="189"/>
      <c r="AD1326" s="189"/>
      <c r="AE1326" s="189"/>
      <c r="AF1326" s="189"/>
      <c r="AG1326" s="189"/>
      <c r="AH1326" s="189"/>
      <c r="AI1326" s="189"/>
      <c r="AJ1326" s="189"/>
      <c r="AK1326" s="189"/>
      <c r="AL1326" s="189"/>
      <c r="AM1326" s="189"/>
      <c r="AN1326" s="189"/>
      <c r="AO1326" s="189"/>
      <c r="AP1326" s="189"/>
      <c r="AQ1326" s="189"/>
      <c r="AR1326" s="189"/>
      <c r="AS1326" s="189"/>
      <c r="AT1326" s="189"/>
      <c r="AU1326" s="189"/>
      <c r="AV1326" s="189"/>
      <c r="AW1326" s="189"/>
      <c r="AX1326" s="189"/>
    </row>
    <row r="1327" ht="15.75" customHeight="1">
      <c r="A1327" s="189"/>
      <c r="B1327" s="189"/>
      <c r="C1327" s="190"/>
      <c r="D1327" s="190"/>
      <c r="E1327" s="190"/>
      <c r="F1327" s="190"/>
      <c r="G1327" s="189"/>
      <c r="H1327" s="189"/>
      <c r="I1327" s="189"/>
      <c r="J1327" s="189"/>
      <c r="K1327" s="189"/>
      <c r="L1327" s="189"/>
      <c r="M1327" s="189"/>
      <c r="N1327" s="189"/>
      <c r="O1327" s="189"/>
      <c r="P1327" s="291"/>
      <c r="Q1327" s="189"/>
      <c r="R1327" s="189"/>
      <c r="S1327" s="189"/>
      <c r="T1327" s="189"/>
      <c r="U1327" s="189"/>
      <c r="V1327" s="189"/>
      <c r="W1327" s="189"/>
      <c r="X1327" s="189"/>
      <c r="Y1327" s="189"/>
      <c r="Z1327" s="189"/>
      <c r="AA1327" s="189"/>
      <c r="AB1327" s="189"/>
      <c r="AC1327" s="189"/>
      <c r="AD1327" s="189"/>
      <c r="AE1327" s="189"/>
      <c r="AF1327" s="189"/>
      <c r="AG1327" s="189"/>
      <c r="AH1327" s="189"/>
      <c r="AI1327" s="189"/>
      <c r="AJ1327" s="189"/>
      <c r="AK1327" s="189"/>
      <c r="AL1327" s="189"/>
      <c r="AM1327" s="189"/>
      <c r="AN1327" s="189"/>
      <c r="AO1327" s="189"/>
      <c r="AP1327" s="189"/>
      <c r="AQ1327" s="189"/>
      <c r="AR1327" s="189"/>
      <c r="AS1327" s="189"/>
      <c r="AT1327" s="189"/>
      <c r="AU1327" s="189"/>
      <c r="AV1327" s="189"/>
      <c r="AW1327" s="189"/>
      <c r="AX1327" s="189"/>
    </row>
    <row r="1328" ht="15.75" customHeight="1">
      <c r="A1328" s="189"/>
      <c r="B1328" s="189"/>
      <c r="C1328" s="190"/>
      <c r="D1328" s="190"/>
      <c r="E1328" s="190"/>
      <c r="F1328" s="190"/>
      <c r="G1328" s="189"/>
      <c r="H1328" s="189"/>
      <c r="I1328" s="189"/>
      <c r="J1328" s="189"/>
      <c r="K1328" s="189"/>
      <c r="L1328" s="189"/>
      <c r="M1328" s="189"/>
      <c r="N1328" s="189"/>
      <c r="O1328" s="189"/>
      <c r="P1328" s="291"/>
      <c r="Q1328" s="189"/>
      <c r="R1328" s="189"/>
      <c r="S1328" s="189"/>
      <c r="T1328" s="189"/>
      <c r="U1328" s="189"/>
      <c r="V1328" s="189"/>
      <c r="W1328" s="189"/>
      <c r="X1328" s="189"/>
      <c r="Y1328" s="189"/>
      <c r="Z1328" s="189"/>
      <c r="AA1328" s="189"/>
      <c r="AB1328" s="189"/>
      <c r="AC1328" s="189"/>
      <c r="AD1328" s="189"/>
      <c r="AE1328" s="189"/>
      <c r="AF1328" s="189"/>
      <c r="AG1328" s="189"/>
      <c r="AH1328" s="189"/>
      <c r="AI1328" s="189"/>
      <c r="AJ1328" s="189"/>
      <c r="AK1328" s="189"/>
      <c r="AL1328" s="189"/>
      <c r="AM1328" s="189"/>
      <c r="AN1328" s="189"/>
      <c r="AO1328" s="189"/>
      <c r="AP1328" s="189"/>
      <c r="AQ1328" s="189"/>
      <c r="AR1328" s="189"/>
      <c r="AS1328" s="189"/>
      <c r="AT1328" s="189"/>
      <c r="AU1328" s="189"/>
      <c r="AV1328" s="189"/>
      <c r="AW1328" s="189"/>
      <c r="AX1328" s="189"/>
    </row>
    <row r="1329" ht="15.75" customHeight="1">
      <c r="A1329" s="189"/>
      <c r="B1329" s="189"/>
      <c r="C1329" s="190"/>
      <c r="D1329" s="190"/>
      <c r="E1329" s="190"/>
      <c r="F1329" s="190"/>
      <c r="G1329" s="189"/>
      <c r="H1329" s="189"/>
      <c r="I1329" s="189"/>
      <c r="J1329" s="189"/>
      <c r="K1329" s="189"/>
      <c r="L1329" s="189"/>
      <c r="M1329" s="189"/>
      <c r="N1329" s="189"/>
      <c r="O1329" s="189"/>
      <c r="P1329" s="291"/>
      <c r="Q1329" s="189"/>
      <c r="R1329" s="189"/>
      <c r="S1329" s="189"/>
      <c r="T1329" s="189"/>
      <c r="U1329" s="189"/>
      <c r="V1329" s="189"/>
      <c r="W1329" s="189"/>
      <c r="X1329" s="189"/>
      <c r="Y1329" s="189"/>
      <c r="Z1329" s="189"/>
      <c r="AA1329" s="189"/>
      <c r="AB1329" s="189"/>
      <c r="AC1329" s="189"/>
      <c r="AD1329" s="189"/>
      <c r="AE1329" s="189"/>
      <c r="AF1329" s="189"/>
      <c r="AG1329" s="189"/>
      <c r="AH1329" s="189"/>
      <c r="AI1329" s="189"/>
      <c r="AJ1329" s="189"/>
      <c r="AK1329" s="189"/>
      <c r="AL1329" s="189"/>
      <c r="AM1329" s="189"/>
      <c r="AN1329" s="189"/>
      <c r="AO1329" s="189"/>
      <c r="AP1329" s="189"/>
      <c r="AQ1329" s="189"/>
      <c r="AR1329" s="189"/>
      <c r="AS1329" s="189"/>
      <c r="AT1329" s="189"/>
      <c r="AU1329" s="189"/>
      <c r="AV1329" s="189"/>
      <c r="AW1329" s="189"/>
      <c r="AX1329" s="189"/>
    </row>
    <row r="1330" ht="15.75" customHeight="1">
      <c r="A1330" s="189"/>
      <c r="B1330" s="189"/>
      <c r="C1330" s="190"/>
      <c r="D1330" s="190"/>
      <c r="E1330" s="190"/>
      <c r="F1330" s="190"/>
      <c r="G1330" s="189"/>
      <c r="H1330" s="189"/>
      <c r="I1330" s="189"/>
      <c r="J1330" s="189"/>
      <c r="K1330" s="189"/>
      <c r="L1330" s="189"/>
      <c r="M1330" s="189"/>
      <c r="N1330" s="189"/>
      <c r="O1330" s="189"/>
      <c r="P1330" s="291"/>
      <c r="Q1330" s="189"/>
      <c r="R1330" s="189"/>
      <c r="S1330" s="189"/>
      <c r="T1330" s="189"/>
      <c r="U1330" s="189"/>
      <c r="V1330" s="189"/>
      <c r="W1330" s="189"/>
      <c r="X1330" s="189"/>
      <c r="Y1330" s="189"/>
      <c r="Z1330" s="189"/>
      <c r="AA1330" s="189"/>
      <c r="AB1330" s="189"/>
      <c r="AC1330" s="189"/>
      <c r="AD1330" s="189"/>
      <c r="AE1330" s="189"/>
      <c r="AF1330" s="189"/>
      <c r="AG1330" s="189"/>
      <c r="AH1330" s="189"/>
      <c r="AI1330" s="189"/>
      <c r="AJ1330" s="189"/>
      <c r="AK1330" s="189"/>
      <c r="AL1330" s="189"/>
      <c r="AM1330" s="189"/>
      <c r="AN1330" s="189"/>
      <c r="AO1330" s="189"/>
      <c r="AP1330" s="189"/>
      <c r="AQ1330" s="189"/>
      <c r="AR1330" s="189"/>
      <c r="AS1330" s="189"/>
      <c r="AT1330" s="189"/>
      <c r="AU1330" s="189"/>
      <c r="AV1330" s="189"/>
      <c r="AW1330" s="189"/>
      <c r="AX1330" s="189"/>
    </row>
    <row r="1331" ht="15.75" customHeight="1">
      <c r="A1331" s="189"/>
      <c r="B1331" s="189"/>
      <c r="C1331" s="190"/>
      <c r="D1331" s="190"/>
      <c r="E1331" s="190"/>
      <c r="F1331" s="190"/>
      <c r="G1331" s="189"/>
      <c r="H1331" s="189"/>
      <c r="I1331" s="189"/>
      <c r="J1331" s="189"/>
      <c r="K1331" s="189"/>
      <c r="L1331" s="189"/>
      <c r="M1331" s="189"/>
      <c r="N1331" s="189"/>
      <c r="O1331" s="189"/>
      <c r="P1331" s="291"/>
      <c r="Q1331" s="189"/>
      <c r="R1331" s="189"/>
      <c r="S1331" s="189"/>
      <c r="T1331" s="189"/>
      <c r="U1331" s="189"/>
      <c r="V1331" s="189"/>
      <c r="W1331" s="189"/>
      <c r="X1331" s="189"/>
      <c r="Y1331" s="189"/>
      <c r="Z1331" s="189"/>
      <c r="AA1331" s="189"/>
      <c r="AB1331" s="189"/>
      <c r="AC1331" s="189"/>
      <c r="AD1331" s="189"/>
      <c r="AE1331" s="189"/>
      <c r="AF1331" s="189"/>
      <c r="AG1331" s="189"/>
      <c r="AH1331" s="189"/>
      <c r="AI1331" s="189"/>
      <c r="AJ1331" s="189"/>
      <c r="AK1331" s="189"/>
      <c r="AL1331" s="189"/>
      <c r="AM1331" s="189"/>
      <c r="AN1331" s="189"/>
      <c r="AO1331" s="189"/>
      <c r="AP1331" s="189"/>
      <c r="AQ1331" s="189"/>
      <c r="AR1331" s="189"/>
      <c r="AS1331" s="189"/>
      <c r="AT1331" s="189"/>
      <c r="AU1331" s="189"/>
      <c r="AV1331" s="189"/>
      <c r="AW1331" s="189"/>
      <c r="AX1331" s="189"/>
    </row>
    <row r="1332" ht="15.75" customHeight="1">
      <c r="A1332" s="189"/>
      <c r="B1332" s="189"/>
      <c r="C1332" s="190"/>
      <c r="D1332" s="190"/>
      <c r="E1332" s="190"/>
      <c r="F1332" s="190"/>
      <c r="G1332" s="189"/>
      <c r="H1332" s="189"/>
      <c r="I1332" s="189"/>
      <c r="J1332" s="189"/>
      <c r="K1332" s="189"/>
      <c r="L1332" s="189"/>
      <c r="M1332" s="189"/>
      <c r="N1332" s="189"/>
      <c r="O1332" s="189"/>
      <c r="P1332" s="291"/>
      <c r="Q1332" s="189"/>
      <c r="R1332" s="189"/>
      <c r="S1332" s="189"/>
      <c r="T1332" s="189"/>
      <c r="U1332" s="189"/>
      <c r="V1332" s="189"/>
      <c r="W1332" s="189"/>
      <c r="X1332" s="189"/>
      <c r="Y1332" s="189"/>
      <c r="Z1332" s="189"/>
      <c r="AA1332" s="189"/>
      <c r="AB1332" s="189"/>
      <c r="AC1332" s="189"/>
      <c r="AD1332" s="189"/>
      <c r="AE1332" s="189"/>
      <c r="AF1332" s="189"/>
      <c r="AG1332" s="189"/>
      <c r="AH1332" s="189"/>
      <c r="AI1332" s="189"/>
      <c r="AJ1332" s="189"/>
      <c r="AK1332" s="189"/>
      <c r="AL1332" s="189"/>
      <c r="AM1332" s="189"/>
      <c r="AN1332" s="189"/>
      <c r="AO1332" s="189"/>
      <c r="AP1332" s="189"/>
      <c r="AQ1332" s="189"/>
      <c r="AR1332" s="189"/>
      <c r="AS1332" s="189"/>
      <c r="AT1332" s="189"/>
      <c r="AU1332" s="189"/>
      <c r="AV1332" s="189"/>
      <c r="AW1332" s="189"/>
      <c r="AX1332" s="189"/>
    </row>
    <row r="1333" ht="15.75" customHeight="1">
      <c r="A1333" s="189"/>
      <c r="B1333" s="189"/>
      <c r="C1333" s="190"/>
      <c r="D1333" s="190"/>
      <c r="E1333" s="190"/>
      <c r="F1333" s="190"/>
      <c r="G1333" s="189"/>
      <c r="H1333" s="189"/>
      <c r="I1333" s="189"/>
      <c r="J1333" s="189"/>
      <c r="K1333" s="189"/>
      <c r="L1333" s="189"/>
      <c r="M1333" s="189"/>
      <c r="N1333" s="189"/>
      <c r="O1333" s="189"/>
      <c r="P1333" s="291"/>
      <c r="Q1333" s="189"/>
      <c r="R1333" s="189"/>
      <c r="S1333" s="189"/>
      <c r="T1333" s="189"/>
      <c r="U1333" s="189"/>
      <c r="V1333" s="189"/>
      <c r="W1333" s="189"/>
      <c r="X1333" s="189"/>
      <c r="Y1333" s="189"/>
      <c r="Z1333" s="189"/>
      <c r="AA1333" s="189"/>
      <c r="AB1333" s="189"/>
      <c r="AC1333" s="189"/>
      <c r="AD1333" s="189"/>
      <c r="AE1333" s="189"/>
      <c r="AF1333" s="189"/>
      <c r="AG1333" s="189"/>
      <c r="AH1333" s="189"/>
      <c r="AI1333" s="189"/>
      <c r="AJ1333" s="189"/>
      <c r="AK1333" s="189"/>
      <c r="AL1333" s="189"/>
      <c r="AM1333" s="189"/>
      <c r="AN1333" s="189"/>
      <c r="AO1333" s="189"/>
      <c r="AP1333" s="189"/>
      <c r="AQ1333" s="189"/>
      <c r="AR1333" s="189"/>
      <c r="AS1333" s="189"/>
      <c r="AT1333" s="189"/>
      <c r="AU1333" s="189"/>
      <c r="AV1333" s="189"/>
      <c r="AW1333" s="189"/>
      <c r="AX1333" s="189"/>
    </row>
    <row r="1334" ht="15.75" customHeight="1">
      <c r="A1334" s="189"/>
      <c r="B1334" s="189"/>
      <c r="C1334" s="190"/>
      <c r="D1334" s="190"/>
      <c r="E1334" s="190"/>
      <c r="F1334" s="190"/>
      <c r="G1334" s="189"/>
      <c r="H1334" s="189"/>
      <c r="I1334" s="189"/>
      <c r="J1334" s="189"/>
      <c r="K1334" s="189"/>
      <c r="L1334" s="189"/>
      <c r="M1334" s="189"/>
      <c r="N1334" s="189"/>
      <c r="O1334" s="189"/>
      <c r="P1334" s="291"/>
      <c r="Q1334" s="189"/>
      <c r="R1334" s="189"/>
      <c r="S1334" s="189"/>
      <c r="T1334" s="189"/>
      <c r="U1334" s="189"/>
      <c r="V1334" s="189"/>
      <c r="W1334" s="189"/>
      <c r="X1334" s="189"/>
      <c r="Y1334" s="189"/>
      <c r="Z1334" s="189"/>
      <c r="AA1334" s="189"/>
      <c r="AB1334" s="189"/>
      <c r="AC1334" s="189"/>
      <c r="AD1334" s="189"/>
      <c r="AE1334" s="189"/>
      <c r="AF1334" s="189"/>
      <c r="AG1334" s="189"/>
      <c r="AH1334" s="189"/>
      <c r="AI1334" s="189"/>
      <c r="AJ1334" s="189"/>
      <c r="AK1334" s="189"/>
      <c r="AL1334" s="189"/>
      <c r="AM1334" s="189"/>
      <c r="AN1334" s="189"/>
      <c r="AO1334" s="189"/>
      <c r="AP1334" s="189"/>
      <c r="AQ1334" s="189"/>
      <c r="AR1334" s="189"/>
      <c r="AS1334" s="189"/>
      <c r="AT1334" s="189"/>
      <c r="AU1334" s="189"/>
      <c r="AV1334" s="189"/>
      <c r="AW1334" s="189"/>
      <c r="AX1334" s="189"/>
    </row>
    <row r="1335" ht="15.75" customHeight="1">
      <c r="A1335" s="189"/>
      <c r="B1335" s="189"/>
      <c r="C1335" s="190"/>
      <c r="D1335" s="190"/>
      <c r="E1335" s="190"/>
      <c r="F1335" s="190"/>
      <c r="G1335" s="189"/>
      <c r="H1335" s="189"/>
      <c r="I1335" s="189"/>
      <c r="J1335" s="189"/>
      <c r="K1335" s="189"/>
      <c r="L1335" s="189"/>
      <c r="M1335" s="189"/>
      <c r="N1335" s="189"/>
      <c r="O1335" s="189"/>
      <c r="P1335" s="291"/>
      <c r="Q1335" s="189"/>
      <c r="R1335" s="189"/>
      <c r="S1335" s="189"/>
      <c r="T1335" s="189"/>
      <c r="U1335" s="189"/>
      <c r="V1335" s="189"/>
      <c r="W1335" s="189"/>
      <c r="X1335" s="189"/>
      <c r="Y1335" s="189"/>
      <c r="Z1335" s="189"/>
      <c r="AA1335" s="189"/>
      <c r="AB1335" s="189"/>
      <c r="AC1335" s="189"/>
      <c r="AD1335" s="189"/>
      <c r="AE1335" s="189"/>
      <c r="AF1335" s="189"/>
      <c r="AG1335" s="189"/>
      <c r="AH1335" s="189"/>
      <c r="AI1335" s="189"/>
      <c r="AJ1335" s="189"/>
      <c r="AK1335" s="189"/>
      <c r="AL1335" s="189"/>
      <c r="AM1335" s="189"/>
      <c r="AN1335" s="189"/>
      <c r="AO1335" s="189"/>
      <c r="AP1335" s="189"/>
      <c r="AQ1335" s="189"/>
      <c r="AR1335" s="189"/>
      <c r="AS1335" s="189"/>
      <c r="AT1335" s="189"/>
      <c r="AU1335" s="189"/>
      <c r="AV1335" s="189"/>
      <c r="AW1335" s="189"/>
      <c r="AX1335" s="189"/>
    </row>
    <row r="1336" ht="15.75" customHeight="1">
      <c r="A1336" s="189"/>
      <c r="B1336" s="189"/>
      <c r="C1336" s="190"/>
      <c r="D1336" s="190"/>
      <c r="E1336" s="190"/>
      <c r="F1336" s="190"/>
      <c r="G1336" s="189"/>
      <c r="H1336" s="189"/>
      <c r="I1336" s="189"/>
      <c r="J1336" s="189"/>
      <c r="K1336" s="189"/>
      <c r="L1336" s="189"/>
      <c r="M1336" s="189"/>
      <c r="N1336" s="189"/>
      <c r="O1336" s="189"/>
      <c r="P1336" s="291"/>
      <c r="Q1336" s="189"/>
      <c r="R1336" s="189"/>
      <c r="S1336" s="189"/>
      <c r="T1336" s="189"/>
      <c r="U1336" s="189"/>
      <c r="V1336" s="189"/>
      <c r="W1336" s="189"/>
      <c r="X1336" s="189"/>
      <c r="Y1336" s="189"/>
      <c r="Z1336" s="189"/>
      <c r="AA1336" s="189"/>
      <c r="AB1336" s="189"/>
      <c r="AC1336" s="189"/>
      <c r="AD1336" s="189"/>
      <c r="AE1336" s="189"/>
      <c r="AF1336" s="189"/>
      <c r="AG1336" s="189"/>
      <c r="AH1336" s="189"/>
      <c r="AI1336" s="189"/>
      <c r="AJ1336" s="189"/>
      <c r="AK1336" s="189"/>
      <c r="AL1336" s="189"/>
      <c r="AM1336" s="189"/>
      <c r="AN1336" s="189"/>
      <c r="AO1336" s="189"/>
      <c r="AP1336" s="189"/>
      <c r="AQ1336" s="189"/>
      <c r="AR1336" s="189"/>
      <c r="AS1336" s="189"/>
      <c r="AT1336" s="189"/>
      <c r="AU1336" s="189"/>
      <c r="AV1336" s="189"/>
      <c r="AW1336" s="189"/>
      <c r="AX1336" s="189"/>
    </row>
    <row r="1337" ht="15.75" customHeight="1">
      <c r="A1337" s="189"/>
      <c r="B1337" s="189"/>
      <c r="C1337" s="190"/>
      <c r="D1337" s="190"/>
      <c r="E1337" s="190"/>
      <c r="F1337" s="190"/>
      <c r="G1337" s="189"/>
      <c r="H1337" s="189"/>
      <c r="I1337" s="189"/>
      <c r="J1337" s="189"/>
      <c r="K1337" s="189"/>
      <c r="L1337" s="189"/>
      <c r="M1337" s="189"/>
      <c r="N1337" s="189"/>
      <c r="O1337" s="189"/>
      <c r="P1337" s="291"/>
      <c r="Q1337" s="189"/>
      <c r="R1337" s="189"/>
      <c r="S1337" s="189"/>
      <c r="T1337" s="189"/>
      <c r="U1337" s="189"/>
      <c r="V1337" s="189"/>
      <c r="W1337" s="189"/>
      <c r="X1337" s="189"/>
      <c r="Y1337" s="189"/>
      <c r="Z1337" s="189"/>
      <c r="AA1337" s="189"/>
      <c r="AB1337" s="189"/>
      <c r="AC1337" s="189"/>
      <c r="AD1337" s="189"/>
      <c r="AE1337" s="189"/>
      <c r="AF1337" s="189"/>
      <c r="AG1337" s="189"/>
      <c r="AH1337" s="189"/>
      <c r="AI1337" s="189"/>
      <c r="AJ1337" s="189"/>
      <c r="AK1337" s="189"/>
      <c r="AL1337" s="189"/>
      <c r="AM1337" s="189"/>
      <c r="AN1337" s="189"/>
      <c r="AO1337" s="189"/>
      <c r="AP1337" s="189"/>
      <c r="AQ1337" s="189"/>
      <c r="AR1337" s="189"/>
      <c r="AS1337" s="189"/>
      <c r="AT1337" s="189"/>
      <c r="AU1337" s="189"/>
      <c r="AV1337" s="189"/>
      <c r="AW1337" s="189"/>
      <c r="AX1337" s="189"/>
    </row>
    <row r="1338" ht="15.75" customHeight="1">
      <c r="A1338" s="189"/>
      <c r="B1338" s="189"/>
      <c r="C1338" s="190"/>
      <c r="D1338" s="190"/>
      <c r="E1338" s="190"/>
      <c r="F1338" s="190"/>
      <c r="G1338" s="189"/>
      <c r="H1338" s="189"/>
      <c r="I1338" s="189"/>
      <c r="J1338" s="189"/>
      <c r="K1338" s="189"/>
      <c r="L1338" s="189"/>
      <c r="M1338" s="189"/>
      <c r="N1338" s="189"/>
      <c r="O1338" s="189"/>
      <c r="P1338" s="291"/>
      <c r="Q1338" s="189"/>
      <c r="R1338" s="189"/>
      <c r="S1338" s="189"/>
      <c r="T1338" s="189"/>
      <c r="U1338" s="189"/>
      <c r="V1338" s="189"/>
      <c r="W1338" s="189"/>
      <c r="X1338" s="189"/>
      <c r="Y1338" s="189"/>
      <c r="Z1338" s="189"/>
      <c r="AA1338" s="189"/>
      <c r="AB1338" s="189"/>
      <c r="AC1338" s="189"/>
      <c r="AD1338" s="189"/>
      <c r="AE1338" s="189"/>
      <c r="AF1338" s="189"/>
      <c r="AG1338" s="189"/>
      <c r="AH1338" s="189"/>
      <c r="AI1338" s="189"/>
      <c r="AJ1338" s="189"/>
      <c r="AK1338" s="189"/>
      <c r="AL1338" s="189"/>
      <c r="AM1338" s="189"/>
      <c r="AN1338" s="189"/>
      <c r="AO1338" s="189"/>
      <c r="AP1338" s="189"/>
      <c r="AQ1338" s="189"/>
      <c r="AR1338" s="189"/>
      <c r="AS1338" s="189"/>
      <c r="AT1338" s="189"/>
      <c r="AU1338" s="189"/>
      <c r="AV1338" s="189"/>
      <c r="AW1338" s="189"/>
      <c r="AX1338" s="189"/>
    </row>
    <row r="1339" ht="15.75" customHeight="1">
      <c r="A1339" s="189"/>
      <c r="B1339" s="189"/>
      <c r="C1339" s="190"/>
      <c r="D1339" s="190"/>
      <c r="E1339" s="190"/>
      <c r="F1339" s="190"/>
      <c r="G1339" s="189"/>
      <c r="H1339" s="189"/>
      <c r="I1339" s="189"/>
      <c r="J1339" s="189"/>
      <c r="K1339" s="189"/>
      <c r="L1339" s="189"/>
      <c r="M1339" s="189"/>
      <c r="N1339" s="189"/>
      <c r="O1339" s="189"/>
      <c r="P1339" s="291"/>
      <c r="Q1339" s="189"/>
      <c r="R1339" s="189"/>
      <c r="S1339" s="189"/>
      <c r="T1339" s="189"/>
      <c r="U1339" s="189"/>
      <c r="V1339" s="189"/>
      <c r="W1339" s="189"/>
      <c r="X1339" s="189"/>
      <c r="Y1339" s="189"/>
      <c r="Z1339" s="189"/>
      <c r="AA1339" s="189"/>
      <c r="AB1339" s="189"/>
      <c r="AC1339" s="189"/>
      <c r="AD1339" s="189"/>
      <c r="AE1339" s="189"/>
      <c r="AF1339" s="189"/>
      <c r="AG1339" s="189"/>
      <c r="AH1339" s="189"/>
      <c r="AI1339" s="189"/>
      <c r="AJ1339" s="189"/>
      <c r="AK1339" s="189"/>
      <c r="AL1339" s="189"/>
      <c r="AM1339" s="189"/>
      <c r="AN1339" s="189"/>
      <c r="AO1339" s="189"/>
      <c r="AP1339" s="189"/>
      <c r="AQ1339" s="189"/>
      <c r="AR1339" s="189"/>
      <c r="AS1339" s="189"/>
      <c r="AT1339" s="189"/>
      <c r="AU1339" s="189"/>
      <c r="AV1339" s="189"/>
      <c r="AW1339" s="189"/>
      <c r="AX1339" s="189"/>
    </row>
    <row r="1340" ht="15.75" customHeight="1">
      <c r="A1340" s="189"/>
      <c r="B1340" s="189"/>
      <c r="C1340" s="190"/>
      <c r="D1340" s="190"/>
      <c r="E1340" s="190"/>
      <c r="F1340" s="190"/>
      <c r="G1340" s="189"/>
      <c r="H1340" s="189"/>
      <c r="I1340" s="189"/>
      <c r="J1340" s="189"/>
      <c r="K1340" s="189"/>
      <c r="L1340" s="189"/>
      <c r="M1340" s="189"/>
      <c r="N1340" s="189"/>
      <c r="O1340" s="189"/>
      <c r="P1340" s="291"/>
      <c r="Q1340" s="189"/>
      <c r="R1340" s="189"/>
      <c r="S1340" s="189"/>
      <c r="T1340" s="189"/>
      <c r="U1340" s="189"/>
      <c r="V1340" s="189"/>
      <c r="W1340" s="189"/>
      <c r="X1340" s="189"/>
      <c r="Y1340" s="189"/>
      <c r="Z1340" s="189"/>
      <c r="AA1340" s="189"/>
      <c r="AB1340" s="189"/>
      <c r="AC1340" s="189"/>
      <c r="AD1340" s="189"/>
      <c r="AE1340" s="189"/>
      <c r="AF1340" s="189"/>
      <c r="AG1340" s="189"/>
      <c r="AH1340" s="189"/>
      <c r="AI1340" s="189"/>
      <c r="AJ1340" s="189"/>
      <c r="AK1340" s="189"/>
      <c r="AL1340" s="189"/>
      <c r="AM1340" s="189"/>
      <c r="AN1340" s="189"/>
      <c r="AO1340" s="189"/>
      <c r="AP1340" s="189"/>
      <c r="AQ1340" s="189"/>
      <c r="AR1340" s="189"/>
      <c r="AS1340" s="189"/>
      <c r="AT1340" s="189"/>
      <c r="AU1340" s="189"/>
      <c r="AV1340" s="189"/>
      <c r="AW1340" s="189"/>
      <c r="AX1340" s="189"/>
    </row>
    <row r="1341" ht="15.75" customHeight="1">
      <c r="A1341" s="189"/>
      <c r="B1341" s="189"/>
      <c r="C1341" s="190"/>
      <c r="D1341" s="190"/>
      <c r="E1341" s="190"/>
      <c r="F1341" s="190"/>
      <c r="G1341" s="189"/>
      <c r="H1341" s="189"/>
      <c r="I1341" s="189"/>
      <c r="J1341" s="189"/>
      <c r="K1341" s="189"/>
      <c r="L1341" s="189"/>
      <c r="M1341" s="189"/>
      <c r="N1341" s="189"/>
      <c r="O1341" s="189"/>
      <c r="P1341" s="291"/>
      <c r="Q1341" s="189"/>
      <c r="R1341" s="189"/>
      <c r="S1341" s="189"/>
      <c r="T1341" s="189"/>
      <c r="U1341" s="189"/>
      <c r="V1341" s="189"/>
      <c r="W1341" s="189"/>
      <c r="X1341" s="189"/>
      <c r="Y1341" s="189"/>
      <c r="Z1341" s="189"/>
      <c r="AA1341" s="189"/>
      <c r="AB1341" s="189"/>
      <c r="AC1341" s="189"/>
      <c r="AD1341" s="189"/>
      <c r="AE1341" s="189"/>
      <c r="AF1341" s="189"/>
      <c r="AG1341" s="189"/>
      <c r="AH1341" s="189"/>
      <c r="AI1341" s="189"/>
      <c r="AJ1341" s="189"/>
      <c r="AK1341" s="189"/>
      <c r="AL1341" s="189"/>
      <c r="AM1341" s="189"/>
      <c r="AN1341" s="189"/>
      <c r="AO1341" s="189"/>
      <c r="AP1341" s="189"/>
      <c r="AQ1341" s="189"/>
      <c r="AR1341" s="189"/>
      <c r="AS1341" s="189"/>
      <c r="AT1341" s="189"/>
      <c r="AU1341" s="189"/>
      <c r="AV1341" s="189"/>
      <c r="AW1341" s="189"/>
      <c r="AX1341" s="189"/>
    </row>
    <row r="1342" ht="15.75" customHeight="1">
      <c r="A1342" s="189"/>
      <c r="B1342" s="189"/>
      <c r="C1342" s="190"/>
      <c r="D1342" s="190"/>
      <c r="E1342" s="190"/>
      <c r="F1342" s="190"/>
      <c r="G1342" s="189"/>
      <c r="H1342" s="189"/>
      <c r="I1342" s="189"/>
      <c r="J1342" s="189"/>
      <c r="K1342" s="189"/>
      <c r="L1342" s="189"/>
      <c r="M1342" s="189"/>
      <c r="N1342" s="189"/>
      <c r="O1342" s="189"/>
      <c r="P1342" s="291"/>
      <c r="Q1342" s="189"/>
      <c r="R1342" s="189"/>
      <c r="S1342" s="189"/>
      <c r="T1342" s="189"/>
      <c r="U1342" s="189"/>
      <c r="V1342" s="189"/>
      <c r="W1342" s="189"/>
      <c r="X1342" s="189"/>
      <c r="Y1342" s="189"/>
      <c r="Z1342" s="189"/>
      <c r="AA1342" s="189"/>
      <c r="AB1342" s="189"/>
      <c r="AC1342" s="189"/>
      <c r="AD1342" s="189"/>
      <c r="AE1342" s="189"/>
      <c r="AF1342" s="189"/>
      <c r="AG1342" s="189"/>
      <c r="AH1342" s="189"/>
      <c r="AI1342" s="189"/>
      <c r="AJ1342" s="189"/>
      <c r="AK1342" s="189"/>
      <c r="AL1342" s="189"/>
      <c r="AM1342" s="189"/>
      <c r="AN1342" s="189"/>
      <c r="AO1342" s="189"/>
      <c r="AP1342" s="189"/>
      <c r="AQ1342" s="189"/>
      <c r="AR1342" s="189"/>
      <c r="AS1342" s="189"/>
      <c r="AT1342" s="189"/>
      <c r="AU1342" s="189"/>
      <c r="AV1342" s="189"/>
      <c r="AW1342" s="189"/>
      <c r="AX1342" s="189"/>
    </row>
    <row r="1343" ht="15.75" customHeight="1">
      <c r="A1343" s="189"/>
      <c r="B1343" s="189"/>
      <c r="C1343" s="190"/>
      <c r="D1343" s="190"/>
      <c r="E1343" s="190"/>
      <c r="F1343" s="190"/>
      <c r="G1343" s="189"/>
      <c r="H1343" s="189"/>
      <c r="I1343" s="189"/>
      <c r="J1343" s="189"/>
      <c r="K1343" s="189"/>
      <c r="L1343" s="189"/>
      <c r="M1343" s="189"/>
      <c r="N1343" s="189"/>
      <c r="O1343" s="189"/>
      <c r="P1343" s="291"/>
      <c r="Q1343" s="189"/>
      <c r="R1343" s="189"/>
      <c r="S1343" s="189"/>
      <c r="T1343" s="189"/>
      <c r="U1343" s="189"/>
      <c r="V1343" s="189"/>
      <c r="W1343" s="189"/>
      <c r="X1343" s="189"/>
      <c r="Y1343" s="189"/>
      <c r="Z1343" s="189"/>
      <c r="AA1343" s="189"/>
      <c r="AB1343" s="189"/>
      <c r="AC1343" s="189"/>
      <c r="AD1343" s="189"/>
      <c r="AE1343" s="189"/>
      <c r="AF1343" s="189"/>
      <c r="AG1343" s="189"/>
      <c r="AH1343" s="189"/>
      <c r="AI1343" s="189"/>
      <c r="AJ1343" s="189"/>
      <c r="AK1343" s="189"/>
      <c r="AL1343" s="189"/>
      <c r="AM1343" s="189"/>
      <c r="AN1343" s="189"/>
      <c r="AO1343" s="189"/>
      <c r="AP1343" s="189"/>
      <c r="AQ1343" s="189"/>
      <c r="AR1343" s="189"/>
      <c r="AS1343" s="189"/>
      <c r="AT1343" s="189"/>
      <c r="AU1343" s="189"/>
      <c r="AV1343" s="189"/>
      <c r="AW1343" s="189"/>
      <c r="AX1343" s="189"/>
    </row>
    <row r="1344" ht="15.75" customHeight="1">
      <c r="A1344" s="189"/>
      <c r="B1344" s="189"/>
      <c r="C1344" s="190"/>
      <c r="D1344" s="190"/>
      <c r="E1344" s="190"/>
      <c r="F1344" s="190"/>
      <c r="G1344" s="189"/>
      <c r="H1344" s="189"/>
      <c r="I1344" s="189"/>
      <c r="J1344" s="189"/>
      <c r="K1344" s="189"/>
      <c r="L1344" s="189"/>
      <c r="M1344" s="189"/>
      <c r="N1344" s="189"/>
      <c r="O1344" s="189"/>
      <c r="P1344" s="291"/>
      <c r="Q1344" s="189"/>
      <c r="R1344" s="189"/>
      <c r="S1344" s="189"/>
      <c r="T1344" s="189"/>
      <c r="U1344" s="189"/>
      <c r="V1344" s="189"/>
      <c r="W1344" s="189"/>
      <c r="X1344" s="189"/>
      <c r="Y1344" s="189"/>
      <c r="Z1344" s="189"/>
      <c r="AA1344" s="189"/>
      <c r="AB1344" s="189"/>
      <c r="AC1344" s="189"/>
      <c r="AD1344" s="189"/>
      <c r="AE1344" s="189"/>
      <c r="AF1344" s="189"/>
      <c r="AG1344" s="189"/>
      <c r="AH1344" s="189"/>
      <c r="AI1344" s="189"/>
      <c r="AJ1344" s="189"/>
      <c r="AK1344" s="189"/>
      <c r="AL1344" s="189"/>
      <c r="AM1344" s="189"/>
      <c r="AN1344" s="189"/>
      <c r="AO1344" s="189"/>
      <c r="AP1344" s="189"/>
      <c r="AQ1344" s="189"/>
      <c r="AR1344" s="189"/>
      <c r="AS1344" s="189"/>
      <c r="AT1344" s="189"/>
      <c r="AU1344" s="189"/>
      <c r="AV1344" s="189"/>
      <c r="AW1344" s="189"/>
      <c r="AX1344" s="189"/>
    </row>
    <row r="1345" ht="15.75" customHeight="1">
      <c r="A1345" s="189"/>
      <c r="B1345" s="189"/>
      <c r="C1345" s="190"/>
      <c r="D1345" s="190"/>
      <c r="E1345" s="190"/>
      <c r="F1345" s="190"/>
      <c r="G1345" s="189"/>
      <c r="H1345" s="189"/>
      <c r="I1345" s="189"/>
      <c r="J1345" s="189"/>
      <c r="K1345" s="189"/>
      <c r="L1345" s="189"/>
      <c r="M1345" s="189"/>
      <c r="N1345" s="189"/>
      <c r="O1345" s="189"/>
      <c r="P1345" s="291"/>
      <c r="Q1345" s="189"/>
      <c r="R1345" s="189"/>
      <c r="S1345" s="189"/>
      <c r="T1345" s="189"/>
      <c r="U1345" s="189"/>
      <c r="V1345" s="189"/>
      <c r="W1345" s="189"/>
      <c r="X1345" s="189"/>
      <c r="Y1345" s="189"/>
      <c r="Z1345" s="189"/>
      <c r="AA1345" s="189"/>
      <c r="AB1345" s="189"/>
      <c r="AC1345" s="189"/>
      <c r="AD1345" s="189"/>
      <c r="AE1345" s="189"/>
      <c r="AF1345" s="189"/>
      <c r="AG1345" s="189"/>
      <c r="AH1345" s="189"/>
      <c r="AI1345" s="189"/>
      <c r="AJ1345" s="189"/>
      <c r="AK1345" s="189"/>
      <c r="AL1345" s="189"/>
      <c r="AM1345" s="189"/>
      <c r="AN1345" s="189"/>
      <c r="AO1345" s="189"/>
      <c r="AP1345" s="189"/>
      <c r="AQ1345" s="189"/>
      <c r="AR1345" s="189"/>
      <c r="AS1345" s="189"/>
      <c r="AT1345" s="189"/>
      <c r="AU1345" s="189"/>
      <c r="AV1345" s="189"/>
      <c r="AW1345" s="189"/>
      <c r="AX1345" s="189"/>
    </row>
    <row r="1346" ht="15.75" customHeight="1">
      <c r="A1346" s="189"/>
      <c r="B1346" s="189"/>
      <c r="C1346" s="190"/>
      <c r="D1346" s="190"/>
      <c r="E1346" s="190"/>
      <c r="F1346" s="190"/>
      <c r="G1346" s="189"/>
      <c r="H1346" s="189"/>
      <c r="I1346" s="189"/>
      <c r="J1346" s="189"/>
      <c r="K1346" s="189"/>
      <c r="L1346" s="189"/>
      <c r="M1346" s="189"/>
      <c r="N1346" s="189"/>
      <c r="O1346" s="189"/>
      <c r="P1346" s="291"/>
      <c r="Q1346" s="189"/>
      <c r="R1346" s="189"/>
      <c r="S1346" s="189"/>
      <c r="T1346" s="189"/>
      <c r="U1346" s="189"/>
      <c r="V1346" s="189"/>
      <c r="W1346" s="189"/>
      <c r="X1346" s="189"/>
      <c r="Y1346" s="189"/>
      <c r="Z1346" s="189"/>
      <c r="AA1346" s="189"/>
      <c r="AB1346" s="189"/>
      <c r="AC1346" s="189"/>
      <c r="AD1346" s="189"/>
      <c r="AE1346" s="189"/>
      <c r="AF1346" s="189"/>
      <c r="AG1346" s="189"/>
      <c r="AH1346" s="189"/>
      <c r="AI1346" s="189"/>
      <c r="AJ1346" s="189"/>
      <c r="AK1346" s="189"/>
      <c r="AL1346" s="189"/>
      <c r="AM1346" s="189"/>
      <c r="AN1346" s="189"/>
      <c r="AO1346" s="189"/>
      <c r="AP1346" s="189"/>
      <c r="AQ1346" s="189"/>
      <c r="AR1346" s="189"/>
      <c r="AS1346" s="189"/>
      <c r="AT1346" s="189"/>
      <c r="AU1346" s="189"/>
      <c r="AV1346" s="189"/>
      <c r="AW1346" s="189"/>
      <c r="AX1346" s="189"/>
    </row>
    <row r="1347" ht="15.75" customHeight="1">
      <c r="A1347" s="189"/>
      <c r="B1347" s="189"/>
      <c r="C1347" s="190"/>
      <c r="D1347" s="190"/>
      <c r="E1347" s="190"/>
      <c r="F1347" s="190"/>
      <c r="G1347" s="189"/>
      <c r="H1347" s="189"/>
      <c r="I1347" s="189"/>
      <c r="J1347" s="189"/>
      <c r="K1347" s="189"/>
      <c r="L1347" s="189"/>
      <c r="M1347" s="189"/>
      <c r="N1347" s="189"/>
      <c r="O1347" s="189"/>
      <c r="P1347" s="291"/>
      <c r="Q1347" s="189"/>
      <c r="R1347" s="189"/>
      <c r="S1347" s="189"/>
      <c r="T1347" s="189"/>
      <c r="U1347" s="189"/>
      <c r="V1347" s="189"/>
      <c r="W1347" s="189"/>
      <c r="X1347" s="189"/>
      <c r="Y1347" s="189"/>
      <c r="Z1347" s="189"/>
      <c r="AA1347" s="189"/>
      <c r="AB1347" s="189"/>
      <c r="AC1347" s="189"/>
      <c r="AD1347" s="189"/>
      <c r="AE1347" s="189"/>
      <c r="AF1347" s="189"/>
      <c r="AG1347" s="189"/>
      <c r="AH1347" s="189"/>
      <c r="AI1347" s="189"/>
      <c r="AJ1347" s="189"/>
      <c r="AK1347" s="189"/>
      <c r="AL1347" s="189"/>
      <c r="AM1347" s="189"/>
      <c r="AN1347" s="189"/>
      <c r="AO1347" s="189"/>
      <c r="AP1347" s="189"/>
      <c r="AQ1347" s="189"/>
      <c r="AR1347" s="189"/>
      <c r="AS1347" s="189"/>
      <c r="AT1347" s="189"/>
      <c r="AU1347" s="189"/>
      <c r="AV1347" s="189"/>
      <c r="AW1347" s="189"/>
      <c r="AX1347" s="189"/>
    </row>
    <row r="1348" ht="15.75" customHeight="1">
      <c r="A1348" s="189"/>
      <c r="B1348" s="189"/>
      <c r="C1348" s="190"/>
      <c r="D1348" s="190"/>
      <c r="E1348" s="190"/>
      <c r="F1348" s="190"/>
      <c r="G1348" s="189"/>
      <c r="H1348" s="189"/>
      <c r="I1348" s="189"/>
      <c r="J1348" s="189"/>
      <c r="K1348" s="189"/>
      <c r="L1348" s="189"/>
      <c r="M1348" s="189"/>
      <c r="N1348" s="189"/>
      <c r="O1348" s="189"/>
      <c r="P1348" s="291"/>
      <c r="Q1348" s="189"/>
      <c r="R1348" s="189"/>
      <c r="S1348" s="189"/>
      <c r="T1348" s="189"/>
      <c r="U1348" s="189"/>
      <c r="V1348" s="189"/>
      <c r="W1348" s="189"/>
      <c r="X1348" s="189"/>
      <c r="Y1348" s="189"/>
      <c r="Z1348" s="189"/>
      <c r="AA1348" s="189"/>
      <c r="AB1348" s="189"/>
      <c r="AC1348" s="189"/>
      <c r="AD1348" s="189"/>
      <c r="AE1348" s="189"/>
      <c r="AF1348" s="189"/>
      <c r="AG1348" s="189"/>
      <c r="AH1348" s="189"/>
      <c r="AI1348" s="189"/>
      <c r="AJ1348" s="189"/>
      <c r="AK1348" s="189"/>
      <c r="AL1348" s="189"/>
      <c r="AM1348" s="189"/>
      <c r="AN1348" s="189"/>
      <c r="AO1348" s="189"/>
      <c r="AP1348" s="189"/>
      <c r="AQ1348" s="189"/>
      <c r="AR1348" s="189"/>
      <c r="AS1348" s="189"/>
      <c r="AT1348" s="189"/>
      <c r="AU1348" s="189"/>
      <c r="AV1348" s="189"/>
      <c r="AW1348" s="189"/>
      <c r="AX1348" s="189"/>
    </row>
    <row r="1349" ht="15.75" customHeight="1">
      <c r="A1349" s="189"/>
      <c r="B1349" s="189"/>
      <c r="C1349" s="190"/>
      <c r="D1349" s="190"/>
      <c r="E1349" s="190"/>
      <c r="F1349" s="190"/>
      <c r="G1349" s="189"/>
      <c r="H1349" s="189"/>
      <c r="I1349" s="189"/>
      <c r="J1349" s="189"/>
      <c r="K1349" s="189"/>
      <c r="L1349" s="189"/>
      <c r="M1349" s="189"/>
      <c r="N1349" s="189"/>
      <c r="O1349" s="189"/>
      <c r="P1349" s="291"/>
      <c r="Q1349" s="189"/>
      <c r="R1349" s="189"/>
      <c r="S1349" s="189"/>
      <c r="T1349" s="189"/>
      <c r="U1349" s="189"/>
      <c r="V1349" s="189"/>
      <c r="W1349" s="189"/>
      <c r="X1349" s="189"/>
      <c r="Y1349" s="189"/>
      <c r="Z1349" s="189"/>
      <c r="AA1349" s="189"/>
      <c r="AB1349" s="189"/>
      <c r="AC1349" s="189"/>
      <c r="AD1349" s="189"/>
      <c r="AE1349" s="189"/>
      <c r="AF1349" s="189"/>
      <c r="AG1349" s="189"/>
      <c r="AH1349" s="189"/>
      <c r="AI1349" s="189"/>
      <c r="AJ1349" s="189"/>
      <c r="AK1349" s="189"/>
      <c r="AL1349" s="189"/>
      <c r="AM1349" s="189"/>
      <c r="AN1349" s="189"/>
      <c r="AO1349" s="189"/>
      <c r="AP1349" s="189"/>
      <c r="AQ1349" s="189"/>
      <c r="AR1349" s="189"/>
      <c r="AS1349" s="189"/>
      <c r="AT1349" s="189"/>
      <c r="AU1349" s="189"/>
      <c r="AV1349" s="189"/>
      <c r="AW1349" s="189"/>
      <c r="AX1349" s="189"/>
    </row>
    <row r="1350" ht="15.75" customHeight="1">
      <c r="A1350" s="189"/>
      <c r="B1350" s="189"/>
      <c r="C1350" s="190"/>
      <c r="D1350" s="190"/>
      <c r="E1350" s="190"/>
      <c r="F1350" s="190"/>
      <c r="G1350" s="189"/>
      <c r="H1350" s="189"/>
      <c r="I1350" s="189"/>
      <c r="J1350" s="189"/>
      <c r="K1350" s="189"/>
      <c r="L1350" s="189"/>
      <c r="M1350" s="189"/>
      <c r="N1350" s="189"/>
      <c r="O1350" s="189"/>
      <c r="P1350" s="291"/>
      <c r="Q1350" s="189"/>
      <c r="R1350" s="189"/>
      <c r="S1350" s="189"/>
      <c r="T1350" s="189"/>
      <c r="U1350" s="189"/>
      <c r="V1350" s="189"/>
      <c r="W1350" s="189"/>
      <c r="X1350" s="189"/>
      <c r="Y1350" s="189"/>
      <c r="Z1350" s="189"/>
      <c r="AA1350" s="189"/>
      <c r="AB1350" s="189"/>
      <c r="AC1350" s="189"/>
      <c r="AD1350" s="189"/>
      <c r="AE1350" s="189"/>
      <c r="AF1350" s="189"/>
      <c r="AG1350" s="189"/>
      <c r="AH1350" s="189"/>
      <c r="AI1350" s="189"/>
      <c r="AJ1350" s="189"/>
      <c r="AK1350" s="189"/>
      <c r="AL1350" s="189"/>
      <c r="AM1350" s="189"/>
      <c r="AN1350" s="189"/>
      <c r="AO1350" s="189"/>
      <c r="AP1350" s="189"/>
      <c r="AQ1350" s="189"/>
      <c r="AR1350" s="189"/>
      <c r="AS1350" s="189"/>
      <c r="AT1350" s="189"/>
      <c r="AU1350" s="189"/>
      <c r="AV1350" s="189"/>
      <c r="AW1350" s="189"/>
      <c r="AX1350" s="189"/>
    </row>
    <row r="1351" ht="15.75" customHeight="1">
      <c r="A1351" s="189"/>
      <c r="B1351" s="189"/>
      <c r="C1351" s="190"/>
      <c r="D1351" s="190"/>
      <c r="E1351" s="190"/>
      <c r="F1351" s="190"/>
      <c r="G1351" s="189"/>
      <c r="H1351" s="189"/>
      <c r="I1351" s="189"/>
      <c r="J1351" s="189"/>
      <c r="K1351" s="189"/>
      <c r="L1351" s="189"/>
      <c r="M1351" s="189"/>
      <c r="N1351" s="189"/>
      <c r="O1351" s="189"/>
      <c r="P1351" s="291"/>
      <c r="Q1351" s="189"/>
      <c r="R1351" s="189"/>
      <c r="S1351" s="189"/>
      <c r="T1351" s="189"/>
      <c r="U1351" s="189"/>
      <c r="V1351" s="189"/>
      <c r="W1351" s="189"/>
      <c r="X1351" s="189"/>
      <c r="Y1351" s="189"/>
      <c r="Z1351" s="189"/>
      <c r="AA1351" s="189"/>
      <c r="AB1351" s="189"/>
      <c r="AC1351" s="189"/>
      <c r="AD1351" s="189"/>
      <c r="AE1351" s="189"/>
      <c r="AF1351" s="189"/>
      <c r="AG1351" s="189"/>
      <c r="AH1351" s="189"/>
      <c r="AI1351" s="189"/>
      <c r="AJ1351" s="189"/>
      <c r="AK1351" s="189"/>
      <c r="AL1351" s="189"/>
      <c r="AM1351" s="189"/>
      <c r="AN1351" s="189"/>
      <c r="AO1351" s="189"/>
      <c r="AP1351" s="189"/>
      <c r="AQ1351" s="189"/>
      <c r="AR1351" s="189"/>
      <c r="AS1351" s="189"/>
      <c r="AT1351" s="189"/>
      <c r="AU1351" s="189"/>
      <c r="AV1351" s="189"/>
      <c r="AW1351" s="189"/>
      <c r="AX1351" s="189"/>
    </row>
    <row r="1352" ht="15.75" customHeight="1">
      <c r="A1352" s="189"/>
      <c r="B1352" s="189"/>
      <c r="C1352" s="190"/>
      <c r="D1352" s="190"/>
      <c r="E1352" s="190"/>
      <c r="F1352" s="190"/>
      <c r="G1352" s="189"/>
      <c r="H1352" s="189"/>
      <c r="I1352" s="189"/>
      <c r="J1352" s="189"/>
      <c r="K1352" s="189"/>
      <c r="L1352" s="189"/>
      <c r="M1352" s="189"/>
      <c r="N1352" s="189"/>
      <c r="O1352" s="189"/>
      <c r="P1352" s="291"/>
      <c r="Q1352" s="189"/>
      <c r="R1352" s="189"/>
      <c r="S1352" s="189"/>
      <c r="T1352" s="189"/>
      <c r="U1352" s="189"/>
      <c r="V1352" s="189"/>
      <c r="W1352" s="189"/>
      <c r="X1352" s="189"/>
      <c r="Y1352" s="189"/>
      <c r="Z1352" s="189"/>
      <c r="AA1352" s="189"/>
      <c r="AB1352" s="189"/>
      <c r="AC1352" s="189"/>
      <c r="AD1352" s="189"/>
      <c r="AE1352" s="189"/>
      <c r="AF1352" s="189"/>
      <c r="AG1352" s="189"/>
      <c r="AH1352" s="189"/>
      <c r="AI1352" s="189"/>
      <c r="AJ1352" s="189"/>
      <c r="AK1352" s="189"/>
      <c r="AL1352" s="189"/>
      <c r="AM1352" s="189"/>
      <c r="AN1352" s="189"/>
      <c r="AO1352" s="189"/>
      <c r="AP1352" s="189"/>
      <c r="AQ1352" s="189"/>
      <c r="AR1352" s="189"/>
      <c r="AS1352" s="189"/>
      <c r="AT1352" s="189"/>
      <c r="AU1352" s="189"/>
      <c r="AV1352" s="189"/>
      <c r="AW1352" s="189"/>
      <c r="AX1352" s="189"/>
    </row>
    <row r="1353" ht="15.75" customHeight="1">
      <c r="A1353" s="189"/>
      <c r="B1353" s="189"/>
      <c r="C1353" s="190"/>
      <c r="D1353" s="190"/>
      <c r="E1353" s="190"/>
      <c r="F1353" s="190"/>
      <c r="G1353" s="189"/>
      <c r="H1353" s="189"/>
      <c r="I1353" s="189"/>
      <c r="J1353" s="189"/>
      <c r="K1353" s="189"/>
      <c r="L1353" s="189"/>
      <c r="M1353" s="189"/>
      <c r="N1353" s="189"/>
      <c r="O1353" s="189"/>
      <c r="P1353" s="291"/>
      <c r="Q1353" s="189"/>
      <c r="R1353" s="189"/>
      <c r="S1353" s="189"/>
      <c r="T1353" s="189"/>
      <c r="U1353" s="189"/>
      <c r="V1353" s="189"/>
      <c r="W1353" s="189"/>
      <c r="X1353" s="189"/>
      <c r="Y1353" s="189"/>
      <c r="Z1353" s="189"/>
      <c r="AA1353" s="189"/>
      <c r="AB1353" s="189"/>
      <c r="AC1353" s="189"/>
      <c r="AD1353" s="189"/>
      <c r="AE1353" s="189"/>
      <c r="AF1353" s="189"/>
      <c r="AG1353" s="189"/>
      <c r="AH1353" s="189"/>
      <c r="AI1353" s="189"/>
      <c r="AJ1353" s="189"/>
      <c r="AK1353" s="189"/>
      <c r="AL1353" s="189"/>
      <c r="AM1353" s="189"/>
      <c r="AN1353" s="189"/>
      <c r="AO1353" s="189"/>
      <c r="AP1353" s="189"/>
      <c r="AQ1353" s="189"/>
      <c r="AR1353" s="189"/>
      <c r="AS1353" s="189"/>
      <c r="AT1353" s="189"/>
      <c r="AU1353" s="189"/>
      <c r="AV1353" s="189"/>
      <c r="AW1353" s="189"/>
      <c r="AX1353" s="189"/>
    </row>
    <row r="1354" ht="15.75" customHeight="1">
      <c r="A1354" s="189"/>
      <c r="B1354" s="189"/>
      <c r="C1354" s="190"/>
      <c r="D1354" s="190"/>
      <c r="E1354" s="190"/>
      <c r="F1354" s="190"/>
      <c r="G1354" s="189"/>
      <c r="H1354" s="189"/>
      <c r="I1354" s="189"/>
      <c r="J1354" s="189"/>
      <c r="K1354" s="189"/>
      <c r="L1354" s="189"/>
      <c r="M1354" s="189"/>
      <c r="N1354" s="189"/>
      <c r="O1354" s="189"/>
      <c r="P1354" s="291"/>
      <c r="Q1354" s="189"/>
      <c r="R1354" s="189"/>
      <c r="S1354" s="189"/>
      <c r="T1354" s="189"/>
      <c r="U1354" s="189"/>
      <c r="V1354" s="189"/>
      <c r="W1354" s="189"/>
      <c r="X1354" s="189"/>
      <c r="Y1354" s="189"/>
      <c r="Z1354" s="189"/>
      <c r="AA1354" s="189"/>
      <c r="AB1354" s="189"/>
      <c r="AC1354" s="189"/>
      <c r="AD1354" s="189"/>
      <c r="AE1354" s="189"/>
      <c r="AF1354" s="189"/>
      <c r="AG1354" s="189"/>
      <c r="AH1354" s="189"/>
      <c r="AI1354" s="189"/>
      <c r="AJ1354" s="189"/>
      <c r="AK1354" s="189"/>
      <c r="AL1354" s="189"/>
      <c r="AM1354" s="189"/>
      <c r="AN1354" s="189"/>
      <c r="AO1354" s="189"/>
      <c r="AP1354" s="189"/>
      <c r="AQ1354" s="189"/>
      <c r="AR1354" s="189"/>
      <c r="AS1354" s="189"/>
      <c r="AT1354" s="189"/>
      <c r="AU1354" s="189"/>
      <c r="AV1354" s="189"/>
      <c r="AW1354" s="189"/>
      <c r="AX1354" s="189"/>
    </row>
    <row r="1355" ht="15.75" customHeight="1">
      <c r="A1355" s="189"/>
      <c r="B1355" s="189"/>
      <c r="C1355" s="190"/>
      <c r="D1355" s="190"/>
      <c r="E1355" s="190"/>
      <c r="F1355" s="190"/>
      <c r="G1355" s="189"/>
      <c r="H1355" s="189"/>
      <c r="I1355" s="189"/>
      <c r="J1355" s="189"/>
      <c r="K1355" s="189"/>
      <c r="L1355" s="189"/>
      <c r="M1355" s="189"/>
      <c r="N1355" s="189"/>
      <c r="O1355" s="189"/>
      <c r="P1355" s="291"/>
      <c r="Q1355" s="189"/>
      <c r="R1355" s="189"/>
      <c r="S1355" s="189"/>
      <c r="T1355" s="189"/>
      <c r="U1355" s="189"/>
      <c r="V1355" s="189"/>
      <c r="W1355" s="189"/>
      <c r="X1355" s="189"/>
      <c r="Y1355" s="189"/>
      <c r="Z1355" s="189"/>
      <c r="AA1355" s="189"/>
      <c r="AB1355" s="189"/>
      <c r="AC1355" s="189"/>
      <c r="AD1355" s="189"/>
      <c r="AE1355" s="189"/>
      <c r="AF1355" s="189"/>
      <c r="AG1355" s="189"/>
      <c r="AH1355" s="189"/>
      <c r="AI1355" s="189"/>
      <c r="AJ1355" s="189"/>
      <c r="AK1355" s="189"/>
      <c r="AL1355" s="189"/>
      <c r="AM1355" s="189"/>
      <c r="AN1355" s="189"/>
      <c r="AO1355" s="189"/>
      <c r="AP1355" s="189"/>
      <c r="AQ1355" s="189"/>
      <c r="AR1355" s="189"/>
      <c r="AS1355" s="189"/>
      <c r="AT1355" s="189"/>
      <c r="AU1355" s="189"/>
      <c r="AV1355" s="189"/>
      <c r="AW1355" s="189"/>
      <c r="AX1355" s="189"/>
    </row>
    <row r="1356" ht="15.75" customHeight="1">
      <c r="A1356" s="189"/>
      <c r="B1356" s="189"/>
      <c r="C1356" s="190"/>
      <c r="D1356" s="190"/>
      <c r="E1356" s="190"/>
      <c r="F1356" s="190"/>
      <c r="G1356" s="189"/>
      <c r="H1356" s="189"/>
      <c r="I1356" s="189"/>
      <c r="J1356" s="189"/>
      <c r="K1356" s="189"/>
      <c r="L1356" s="189"/>
      <c r="M1356" s="189"/>
      <c r="N1356" s="189"/>
      <c r="O1356" s="189"/>
      <c r="P1356" s="291"/>
      <c r="Q1356" s="189"/>
      <c r="R1356" s="189"/>
      <c r="S1356" s="189"/>
      <c r="T1356" s="189"/>
      <c r="U1356" s="189"/>
      <c r="V1356" s="189"/>
      <c r="W1356" s="189"/>
      <c r="X1356" s="189"/>
      <c r="Y1356" s="189"/>
      <c r="Z1356" s="189"/>
      <c r="AA1356" s="189"/>
      <c r="AB1356" s="189"/>
      <c r="AC1356" s="189"/>
      <c r="AD1356" s="189"/>
      <c r="AE1356" s="189"/>
      <c r="AF1356" s="189"/>
      <c r="AG1356" s="189"/>
      <c r="AH1356" s="189"/>
      <c r="AI1356" s="189"/>
      <c r="AJ1356" s="189"/>
      <c r="AK1356" s="189"/>
      <c r="AL1356" s="189"/>
      <c r="AM1356" s="189"/>
      <c r="AN1356" s="189"/>
      <c r="AO1356" s="189"/>
      <c r="AP1356" s="189"/>
      <c r="AQ1356" s="189"/>
      <c r="AR1356" s="189"/>
      <c r="AS1356" s="189"/>
      <c r="AT1356" s="189"/>
      <c r="AU1356" s="189"/>
      <c r="AV1356" s="189"/>
      <c r="AW1356" s="189"/>
      <c r="AX1356" s="189"/>
    </row>
    <row r="1357" ht="15.75" customHeight="1">
      <c r="A1357" s="189"/>
      <c r="B1357" s="189"/>
      <c r="C1357" s="190"/>
      <c r="D1357" s="190"/>
      <c r="E1357" s="190"/>
      <c r="F1357" s="190"/>
      <c r="G1357" s="189"/>
      <c r="H1357" s="189"/>
      <c r="I1357" s="189"/>
      <c r="J1357" s="189"/>
      <c r="K1357" s="189"/>
      <c r="L1357" s="189"/>
      <c r="M1357" s="189"/>
      <c r="N1357" s="189"/>
      <c r="O1357" s="189"/>
      <c r="P1357" s="291"/>
      <c r="Q1357" s="189"/>
      <c r="R1357" s="189"/>
      <c r="S1357" s="189"/>
      <c r="T1357" s="189"/>
      <c r="U1357" s="189"/>
      <c r="V1357" s="189"/>
      <c r="W1357" s="189"/>
      <c r="X1357" s="189"/>
      <c r="Y1357" s="189"/>
      <c r="Z1357" s="189"/>
      <c r="AA1357" s="189"/>
      <c r="AB1357" s="189"/>
      <c r="AC1357" s="189"/>
      <c r="AD1357" s="189"/>
      <c r="AE1357" s="189"/>
      <c r="AF1357" s="189"/>
      <c r="AG1357" s="189"/>
      <c r="AH1357" s="189"/>
      <c r="AI1357" s="189"/>
      <c r="AJ1357" s="189"/>
      <c r="AK1357" s="189"/>
      <c r="AL1357" s="189"/>
      <c r="AM1357" s="189"/>
      <c r="AN1357" s="189"/>
      <c r="AO1357" s="189"/>
      <c r="AP1357" s="189"/>
      <c r="AQ1357" s="189"/>
      <c r="AR1357" s="189"/>
      <c r="AS1357" s="189"/>
      <c r="AT1357" s="189"/>
      <c r="AU1357" s="189"/>
      <c r="AV1357" s="189"/>
      <c r="AW1357" s="189"/>
      <c r="AX1357" s="189"/>
    </row>
    <row r="1358" ht="15.75" customHeight="1">
      <c r="A1358" s="189"/>
      <c r="B1358" s="189"/>
      <c r="C1358" s="190"/>
      <c r="D1358" s="190"/>
      <c r="E1358" s="190"/>
      <c r="F1358" s="190"/>
      <c r="G1358" s="189"/>
      <c r="H1358" s="189"/>
      <c r="I1358" s="189"/>
      <c r="J1358" s="189"/>
      <c r="K1358" s="189"/>
      <c r="L1358" s="189"/>
      <c r="M1358" s="189"/>
      <c r="N1358" s="189"/>
      <c r="O1358" s="189"/>
      <c r="P1358" s="291"/>
      <c r="Q1358" s="189"/>
      <c r="R1358" s="189"/>
      <c r="S1358" s="189"/>
      <c r="T1358" s="189"/>
      <c r="U1358" s="189"/>
      <c r="V1358" s="189"/>
      <c r="W1358" s="189"/>
      <c r="X1358" s="189"/>
      <c r="Y1358" s="189"/>
      <c r="Z1358" s="189"/>
      <c r="AA1358" s="189"/>
      <c r="AB1358" s="189"/>
      <c r="AC1358" s="189"/>
      <c r="AD1358" s="189"/>
      <c r="AE1358" s="189"/>
      <c r="AF1358" s="189"/>
      <c r="AG1358" s="189"/>
      <c r="AH1358" s="189"/>
      <c r="AI1358" s="189"/>
      <c r="AJ1358" s="189"/>
      <c r="AK1358" s="189"/>
      <c r="AL1358" s="189"/>
      <c r="AM1358" s="189"/>
      <c r="AN1358" s="189"/>
      <c r="AO1358" s="189"/>
      <c r="AP1358" s="189"/>
      <c r="AQ1358" s="189"/>
      <c r="AR1358" s="189"/>
      <c r="AS1358" s="189"/>
      <c r="AT1358" s="189"/>
      <c r="AU1358" s="189"/>
      <c r="AV1358" s="189"/>
      <c r="AW1358" s="189"/>
      <c r="AX1358" s="189"/>
    </row>
    <row r="1359" ht="15.75" customHeight="1">
      <c r="A1359" s="189"/>
      <c r="B1359" s="189"/>
      <c r="C1359" s="190"/>
      <c r="D1359" s="190"/>
      <c r="E1359" s="190"/>
      <c r="F1359" s="190"/>
      <c r="G1359" s="189"/>
      <c r="H1359" s="189"/>
      <c r="I1359" s="189"/>
      <c r="J1359" s="189"/>
      <c r="K1359" s="189"/>
      <c r="L1359" s="189"/>
      <c r="M1359" s="189"/>
      <c r="N1359" s="189"/>
      <c r="O1359" s="189"/>
      <c r="P1359" s="291"/>
      <c r="Q1359" s="189"/>
      <c r="R1359" s="189"/>
      <c r="S1359" s="189"/>
      <c r="T1359" s="189"/>
      <c r="U1359" s="189"/>
      <c r="V1359" s="189"/>
      <c r="W1359" s="189"/>
      <c r="X1359" s="189"/>
      <c r="Y1359" s="189"/>
      <c r="Z1359" s="189"/>
      <c r="AA1359" s="189"/>
      <c r="AB1359" s="189"/>
      <c r="AC1359" s="189"/>
      <c r="AD1359" s="189"/>
      <c r="AE1359" s="189"/>
      <c r="AF1359" s="189"/>
      <c r="AG1359" s="189"/>
      <c r="AH1359" s="189"/>
      <c r="AI1359" s="189"/>
      <c r="AJ1359" s="189"/>
      <c r="AK1359" s="189"/>
      <c r="AL1359" s="189"/>
      <c r="AM1359" s="189"/>
      <c r="AN1359" s="189"/>
      <c r="AO1359" s="189"/>
      <c r="AP1359" s="189"/>
      <c r="AQ1359" s="189"/>
      <c r="AR1359" s="189"/>
      <c r="AS1359" s="189"/>
      <c r="AT1359" s="189"/>
      <c r="AU1359" s="189"/>
      <c r="AV1359" s="189"/>
      <c r="AW1359" s="189"/>
      <c r="AX1359" s="189"/>
    </row>
    <row r="1360" ht="15.75" customHeight="1">
      <c r="A1360" s="189"/>
      <c r="B1360" s="189"/>
      <c r="C1360" s="190"/>
      <c r="D1360" s="190"/>
      <c r="E1360" s="190"/>
      <c r="F1360" s="190"/>
      <c r="G1360" s="189"/>
      <c r="H1360" s="189"/>
      <c r="I1360" s="189"/>
      <c r="J1360" s="189"/>
      <c r="K1360" s="189"/>
      <c r="L1360" s="189"/>
      <c r="M1360" s="189"/>
      <c r="N1360" s="189"/>
      <c r="O1360" s="189"/>
      <c r="P1360" s="291"/>
      <c r="Q1360" s="189"/>
      <c r="R1360" s="189"/>
      <c r="S1360" s="189"/>
      <c r="T1360" s="189"/>
      <c r="U1360" s="189"/>
      <c r="V1360" s="189"/>
      <c r="W1360" s="189"/>
      <c r="X1360" s="189"/>
      <c r="Y1360" s="189"/>
      <c r="Z1360" s="189"/>
      <c r="AA1360" s="189"/>
      <c r="AB1360" s="189"/>
      <c r="AC1360" s="189"/>
      <c r="AD1360" s="189"/>
      <c r="AE1360" s="189"/>
      <c r="AF1360" s="189"/>
      <c r="AG1360" s="189"/>
      <c r="AH1360" s="189"/>
      <c r="AI1360" s="189"/>
      <c r="AJ1360" s="189"/>
      <c r="AK1360" s="189"/>
      <c r="AL1360" s="189"/>
      <c r="AM1360" s="189"/>
      <c r="AN1360" s="189"/>
      <c r="AO1360" s="189"/>
      <c r="AP1360" s="189"/>
      <c r="AQ1360" s="189"/>
      <c r="AR1360" s="189"/>
      <c r="AS1360" s="189"/>
      <c r="AT1360" s="189"/>
      <c r="AU1360" s="189"/>
      <c r="AV1360" s="189"/>
      <c r="AW1360" s="189"/>
      <c r="AX1360" s="189"/>
    </row>
    <row r="1361" ht="15.75" customHeight="1">
      <c r="A1361" s="189"/>
      <c r="B1361" s="189"/>
      <c r="C1361" s="190"/>
      <c r="D1361" s="190"/>
      <c r="E1361" s="190"/>
      <c r="F1361" s="190"/>
      <c r="G1361" s="189"/>
      <c r="H1361" s="189"/>
      <c r="I1361" s="189"/>
      <c r="J1361" s="189"/>
      <c r="K1361" s="189"/>
      <c r="L1361" s="189"/>
      <c r="M1361" s="189"/>
      <c r="N1361" s="189"/>
      <c r="O1361" s="189"/>
      <c r="P1361" s="291"/>
      <c r="Q1361" s="189"/>
      <c r="R1361" s="189"/>
      <c r="S1361" s="189"/>
      <c r="T1361" s="189"/>
      <c r="U1361" s="189"/>
      <c r="V1361" s="189"/>
      <c r="W1361" s="189"/>
      <c r="X1361" s="189"/>
      <c r="Y1361" s="189"/>
      <c r="Z1361" s="189"/>
      <c r="AA1361" s="189"/>
      <c r="AB1361" s="189"/>
      <c r="AC1361" s="189"/>
      <c r="AD1361" s="189"/>
      <c r="AE1361" s="189"/>
      <c r="AF1361" s="189"/>
      <c r="AG1361" s="189"/>
      <c r="AH1361" s="189"/>
      <c r="AI1361" s="189"/>
      <c r="AJ1361" s="189"/>
      <c r="AK1361" s="189"/>
      <c r="AL1361" s="189"/>
      <c r="AM1361" s="189"/>
      <c r="AN1361" s="189"/>
      <c r="AO1361" s="189"/>
      <c r="AP1361" s="189"/>
      <c r="AQ1361" s="189"/>
      <c r="AR1361" s="189"/>
      <c r="AS1361" s="189"/>
      <c r="AT1361" s="189"/>
      <c r="AU1361" s="189"/>
      <c r="AV1361" s="189"/>
      <c r="AW1361" s="189"/>
      <c r="AX1361" s="189"/>
    </row>
    <row r="1362" ht="15.75" customHeight="1">
      <c r="A1362" s="189"/>
      <c r="B1362" s="189"/>
      <c r="C1362" s="190"/>
      <c r="D1362" s="190"/>
      <c r="E1362" s="190"/>
      <c r="F1362" s="190"/>
      <c r="G1362" s="189"/>
      <c r="H1362" s="189"/>
      <c r="I1362" s="189"/>
      <c r="J1362" s="189"/>
      <c r="K1362" s="189"/>
      <c r="L1362" s="189"/>
      <c r="M1362" s="189"/>
      <c r="N1362" s="189"/>
      <c r="O1362" s="189"/>
      <c r="P1362" s="291"/>
      <c r="Q1362" s="189"/>
      <c r="R1362" s="189"/>
      <c r="S1362" s="189"/>
      <c r="T1362" s="189"/>
      <c r="U1362" s="189"/>
      <c r="V1362" s="189"/>
      <c r="W1362" s="189"/>
      <c r="X1362" s="189"/>
      <c r="Y1362" s="189"/>
      <c r="Z1362" s="189"/>
      <c r="AA1362" s="189"/>
      <c r="AB1362" s="189"/>
      <c r="AC1362" s="189"/>
      <c r="AD1362" s="189"/>
      <c r="AE1362" s="189"/>
      <c r="AF1362" s="189"/>
      <c r="AG1362" s="189"/>
      <c r="AH1362" s="189"/>
      <c r="AI1362" s="189"/>
      <c r="AJ1362" s="189"/>
      <c r="AK1362" s="189"/>
      <c r="AL1362" s="189"/>
      <c r="AM1362" s="189"/>
      <c r="AN1362" s="189"/>
      <c r="AO1362" s="189"/>
      <c r="AP1362" s="189"/>
      <c r="AQ1362" s="189"/>
      <c r="AR1362" s="189"/>
      <c r="AS1362" s="189"/>
      <c r="AT1362" s="189"/>
      <c r="AU1362" s="189"/>
      <c r="AV1362" s="189"/>
      <c r="AW1362" s="189"/>
      <c r="AX1362" s="189"/>
    </row>
    <row r="1363" ht="15.75" customHeight="1">
      <c r="A1363" s="189"/>
      <c r="B1363" s="189"/>
      <c r="C1363" s="190"/>
      <c r="D1363" s="190"/>
      <c r="E1363" s="190"/>
      <c r="F1363" s="190"/>
      <c r="G1363" s="189"/>
      <c r="H1363" s="189"/>
      <c r="I1363" s="189"/>
      <c r="J1363" s="189"/>
      <c r="K1363" s="189"/>
      <c r="L1363" s="189"/>
      <c r="M1363" s="189"/>
      <c r="N1363" s="189"/>
      <c r="O1363" s="189"/>
      <c r="P1363" s="291"/>
      <c r="Q1363" s="189"/>
      <c r="R1363" s="189"/>
      <c r="S1363" s="189"/>
      <c r="T1363" s="189"/>
      <c r="U1363" s="189"/>
      <c r="V1363" s="189"/>
      <c r="W1363" s="189"/>
      <c r="X1363" s="189"/>
      <c r="Y1363" s="189"/>
      <c r="Z1363" s="189"/>
      <c r="AA1363" s="189"/>
      <c r="AB1363" s="189"/>
      <c r="AC1363" s="189"/>
      <c r="AD1363" s="189"/>
      <c r="AE1363" s="189"/>
      <c r="AF1363" s="189"/>
      <c r="AG1363" s="189"/>
      <c r="AH1363" s="189"/>
      <c r="AI1363" s="189"/>
      <c r="AJ1363" s="189"/>
      <c r="AK1363" s="189"/>
      <c r="AL1363" s="189"/>
      <c r="AM1363" s="189"/>
      <c r="AN1363" s="189"/>
      <c r="AO1363" s="189"/>
      <c r="AP1363" s="189"/>
      <c r="AQ1363" s="189"/>
      <c r="AR1363" s="189"/>
      <c r="AS1363" s="189"/>
      <c r="AT1363" s="189"/>
      <c r="AU1363" s="189"/>
      <c r="AV1363" s="189"/>
      <c r="AW1363" s="189"/>
      <c r="AX1363" s="189"/>
    </row>
    <row r="1364" ht="15.75" customHeight="1">
      <c r="A1364" s="189"/>
      <c r="B1364" s="189"/>
      <c r="C1364" s="190"/>
      <c r="D1364" s="190"/>
      <c r="E1364" s="190"/>
      <c r="F1364" s="190"/>
      <c r="G1364" s="189"/>
      <c r="H1364" s="189"/>
      <c r="I1364" s="189"/>
      <c r="J1364" s="189"/>
      <c r="K1364" s="189"/>
      <c r="L1364" s="189"/>
      <c r="M1364" s="189"/>
      <c r="N1364" s="189"/>
      <c r="O1364" s="189"/>
      <c r="P1364" s="291"/>
      <c r="Q1364" s="189"/>
      <c r="R1364" s="189"/>
      <c r="S1364" s="189"/>
      <c r="T1364" s="189"/>
      <c r="U1364" s="189"/>
      <c r="V1364" s="189"/>
      <c r="W1364" s="189"/>
      <c r="X1364" s="189"/>
      <c r="Y1364" s="189"/>
      <c r="Z1364" s="189"/>
      <c r="AA1364" s="189"/>
      <c r="AB1364" s="189"/>
      <c r="AC1364" s="189"/>
      <c r="AD1364" s="189"/>
      <c r="AE1364" s="189"/>
      <c r="AF1364" s="189"/>
      <c r="AG1364" s="189"/>
      <c r="AH1364" s="189"/>
      <c r="AI1364" s="189"/>
      <c r="AJ1364" s="189"/>
      <c r="AK1364" s="189"/>
      <c r="AL1364" s="189"/>
      <c r="AM1364" s="189"/>
      <c r="AN1364" s="189"/>
      <c r="AO1364" s="189"/>
      <c r="AP1364" s="189"/>
      <c r="AQ1364" s="189"/>
      <c r="AR1364" s="189"/>
      <c r="AS1364" s="189"/>
      <c r="AT1364" s="189"/>
      <c r="AU1364" s="189"/>
      <c r="AV1364" s="189"/>
      <c r="AW1364" s="189"/>
      <c r="AX1364" s="189"/>
    </row>
    <row r="1365" ht="15.75" customHeight="1">
      <c r="A1365" s="189"/>
      <c r="B1365" s="189"/>
      <c r="C1365" s="190"/>
      <c r="D1365" s="190"/>
      <c r="E1365" s="190"/>
      <c r="F1365" s="190"/>
      <c r="G1365" s="189"/>
      <c r="H1365" s="189"/>
      <c r="I1365" s="189"/>
      <c r="J1365" s="189"/>
      <c r="K1365" s="189"/>
      <c r="L1365" s="189"/>
      <c r="M1365" s="189"/>
      <c r="N1365" s="189"/>
      <c r="O1365" s="189"/>
      <c r="P1365" s="291"/>
      <c r="Q1365" s="189"/>
      <c r="R1365" s="189"/>
      <c r="S1365" s="189"/>
      <c r="T1365" s="189"/>
      <c r="U1365" s="189"/>
      <c r="V1365" s="189"/>
      <c r="W1365" s="189"/>
      <c r="X1365" s="189"/>
      <c r="Y1365" s="189"/>
      <c r="Z1365" s="189"/>
      <c r="AA1365" s="189"/>
      <c r="AB1365" s="189"/>
      <c r="AC1365" s="189"/>
      <c r="AD1365" s="189"/>
      <c r="AE1365" s="189"/>
      <c r="AF1365" s="189"/>
      <c r="AG1365" s="189"/>
      <c r="AH1365" s="189"/>
      <c r="AI1365" s="189"/>
      <c r="AJ1365" s="189"/>
      <c r="AK1365" s="189"/>
      <c r="AL1365" s="189"/>
      <c r="AM1365" s="189"/>
      <c r="AN1365" s="189"/>
      <c r="AO1365" s="189"/>
      <c r="AP1365" s="189"/>
      <c r="AQ1365" s="189"/>
      <c r="AR1365" s="189"/>
      <c r="AS1365" s="189"/>
      <c r="AT1365" s="189"/>
      <c r="AU1365" s="189"/>
      <c r="AV1365" s="189"/>
      <c r="AW1365" s="189"/>
      <c r="AX1365" s="189"/>
    </row>
    <row r="1366" ht="15.75" customHeight="1">
      <c r="A1366" s="189"/>
      <c r="B1366" s="189"/>
      <c r="C1366" s="190"/>
      <c r="D1366" s="190"/>
      <c r="E1366" s="190"/>
      <c r="F1366" s="190"/>
      <c r="G1366" s="189"/>
      <c r="H1366" s="189"/>
      <c r="I1366" s="189"/>
      <c r="J1366" s="189"/>
      <c r="K1366" s="189"/>
      <c r="L1366" s="189"/>
      <c r="M1366" s="189"/>
      <c r="N1366" s="189"/>
      <c r="O1366" s="189"/>
      <c r="P1366" s="291"/>
      <c r="Q1366" s="189"/>
      <c r="R1366" s="189"/>
      <c r="S1366" s="189"/>
      <c r="T1366" s="189"/>
      <c r="U1366" s="189"/>
      <c r="V1366" s="189"/>
      <c r="W1366" s="189"/>
      <c r="X1366" s="189"/>
      <c r="Y1366" s="189"/>
      <c r="Z1366" s="189"/>
      <c r="AA1366" s="189"/>
      <c r="AB1366" s="189"/>
      <c r="AC1366" s="189"/>
      <c r="AD1366" s="189"/>
      <c r="AE1366" s="189"/>
      <c r="AF1366" s="189"/>
      <c r="AG1366" s="189"/>
      <c r="AH1366" s="189"/>
      <c r="AI1366" s="189"/>
      <c r="AJ1366" s="189"/>
      <c r="AK1366" s="189"/>
      <c r="AL1366" s="189"/>
      <c r="AM1366" s="189"/>
      <c r="AN1366" s="189"/>
      <c r="AO1366" s="189"/>
      <c r="AP1366" s="189"/>
      <c r="AQ1366" s="189"/>
      <c r="AR1366" s="189"/>
      <c r="AS1366" s="189"/>
      <c r="AT1366" s="189"/>
      <c r="AU1366" s="189"/>
      <c r="AV1366" s="189"/>
      <c r="AW1366" s="189"/>
      <c r="AX1366" s="189"/>
    </row>
    <row r="1367" ht="15.75" customHeight="1">
      <c r="A1367" s="189"/>
      <c r="B1367" s="189"/>
      <c r="C1367" s="190"/>
      <c r="D1367" s="190"/>
      <c r="E1367" s="190"/>
      <c r="F1367" s="190"/>
      <c r="G1367" s="189"/>
      <c r="H1367" s="189"/>
      <c r="I1367" s="189"/>
      <c r="J1367" s="189"/>
      <c r="K1367" s="189"/>
      <c r="L1367" s="189"/>
      <c r="M1367" s="189"/>
      <c r="N1367" s="189"/>
      <c r="O1367" s="189"/>
      <c r="P1367" s="291"/>
      <c r="Q1367" s="189"/>
      <c r="R1367" s="189"/>
      <c r="S1367" s="189"/>
      <c r="T1367" s="189"/>
      <c r="U1367" s="189"/>
      <c r="V1367" s="189"/>
      <c r="W1367" s="189"/>
      <c r="X1367" s="189"/>
      <c r="Y1367" s="189"/>
      <c r="Z1367" s="189"/>
      <c r="AA1367" s="189"/>
      <c r="AB1367" s="189"/>
      <c r="AC1367" s="189"/>
      <c r="AD1367" s="189"/>
      <c r="AE1367" s="189"/>
      <c r="AF1367" s="189"/>
      <c r="AG1367" s="189"/>
      <c r="AH1367" s="189"/>
      <c r="AI1367" s="189"/>
      <c r="AJ1367" s="189"/>
      <c r="AK1367" s="189"/>
      <c r="AL1367" s="189"/>
      <c r="AM1367" s="189"/>
      <c r="AN1367" s="189"/>
      <c r="AO1367" s="189"/>
      <c r="AP1367" s="189"/>
      <c r="AQ1367" s="189"/>
      <c r="AR1367" s="189"/>
      <c r="AS1367" s="189"/>
      <c r="AT1367" s="189"/>
      <c r="AU1367" s="189"/>
      <c r="AV1367" s="189"/>
      <c r="AW1367" s="189"/>
      <c r="AX1367" s="189"/>
    </row>
    <row r="1368" ht="15.75" customHeight="1">
      <c r="A1368" s="189"/>
      <c r="B1368" s="189"/>
      <c r="C1368" s="190"/>
      <c r="D1368" s="190"/>
      <c r="E1368" s="190"/>
      <c r="F1368" s="190"/>
      <c r="G1368" s="189"/>
      <c r="H1368" s="189"/>
      <c r="I1368" s="189"/>
      <c r="J1368" s="189"/>
      <c r="K1368" s="189"/>
      <c r="L1368" s="189"/>
      <c r="M1368" s="189"/>
      <c r="N1368" s="189"/>
      <c r="O1368" s="189"/>
      <c r="P1368" s="291"/>
      <c r="Q1368" s="189"/>
      <c r="R1368" s="189"/>
      <c r="S1368" s="189"/>
      <c r="T1368" s="189"/>
      <c r="U1368" s="189"/>
      <c r="V1368" s="189"/>
      <c r="W1368" s="189"/>
      <c r="X1368" s="189"/>
      <c r="Y1368" s="189"/>
      <c r="Z1368" s="189"/>
      <c r="AA1368" s="189"/>
      <c r="AB1368" s="189"/>
      <c r="AC1368" s="189"/>
      <c r="AD1368" s="189"/>
      <c r="AE1368" s="189"/>
      <c r="AF1368" s="189"/>
      <c r="AG1368" s="189"/>
      <c r="AH1368" s="189"/>
      <c r="AI1368" s="189"/>
      <c r="AJ1368" s="189"/>
      <c r="AK1368" s="189"/>
      <c r="AL1368" s="189"/>
      <c r="AM1368" s="189"/>
      <c r="AN1368" s="189"/>
      <c r="AO1368" s="189"/>
      <c r="AP1368" s="189"/>
      <c r="AQ1368" s="189"/>
      <c r="AR1368" s="189"/>
      <c r="AS1368" s="189"/>
      <c r="AT1368" s="189"/>
      <c r="AU1368" s="189"/>
      <c r="AV1368" s="189"/>
      <c r="AW1368" s="189"/>
      <c r="AX1368" s="189"/>
    </row>
    <row r="1369" ht="15.75" customHeight="1">
      <c r="A1369" s="189"/>
      <c r="B1369" s="189"/>
      <c r="C1369" s="190"/>
      <c r="D1369" s="190"/>
      <c r="E1369" s="190"/>
      <c r="F1369" s="190"/>
      <c r="G1369" s="189"/>
      <c r="H1369" s="189"/>
      <c r="I1369" s="189"/>
      <c r="J1369" s="189"/>
      <c r="K1369" s="189"/>
      <c r="L1369" s="189"/>
      <c r="M1369" s="189"/>
      <c r="N1369" s="189"/>
      <c r="O1369" s="189"/>
      <c r="P1369" s="291"/>
      <c r="Q1369" s="189"/>
      <c r="R1369" s="189"/>
      <c r="S1369" s="189"/>
      <c r="T1369" s="189"/>
      <c r="U1369" s="189"/>
      <c r="V1369" s="189"/>
      <c r="W1369" s="189"/>
      <c r="X1369" s="189"/>
      <c r="Y1369" s="189"/>
      <c r="Z1369" s="189"/>
      <c r="AA1369" s="189"/>
      <c r="AB1369" s="189"/>
      <c r="AC1369" s="189"/>
      <c r="AD1369" s="189"/>
      <c r="AE1369" s="189"/>
      <c r="AF1369" s="189"/>
      <c r="AG1369" s="189"/>
      <c r="AH1369" s="189"/>
      <c r="AI1369" s="189"/>
      <c r="AJ1369" s="189"/>
      <c r="AK1369" s="189"/>
      <c r="AL1369" s="189"/>
      <c r="AM1369" s="189"/>
      <c r="AN1369" s="189"/>
      <c r="AO1369" s="189"/>
      <c r="AP1369" s="189"/>
      <c r="AQ1369" s="189"/>
      <c r="AR1369" s="189"/>
      <c r="AS1369" s="189"/>
      <c r="AT1369" s="189"/>
      <c r="AU1369" s="189"/>
      <c r="AV1369" s="189"/>
      <c r="AW1369" s="189"/>
      <c r="AX1369" s="189"/>
    </row>
    <row r="1370" ht="15.75" customHeight="1">
      <c r="A1370" s="189"/>
      <c r="B1370" s="189"/>
      <c r="C1370" s="190"/>
      <c r="D1370" s="190"/>
      <c r="E1370" s="190"/>
      <c r="F1370" s="190"/>
      <c r="G1370" s="189"/>
      <c r="H1370" s="189"/>
      <c r="I1370" s="189"/>
      <c r="J1370" s="189"/>
      <c r="K1370" s="189"/>
      <c r="L1370" s="189"/>
      <c r="M1370" s="189"/>
      <c r="N1370" s="189"/>
      <c r="O1370" s="189"/>
      <c r="P1370" s="291"/>
      <c r="Q1370" s="189"/>
      <c r="R1370" s="189"/>
      <c r="S1370" s="189"/>
      <c r="T1370" s="189"/>
      <c r="U1370" s="189"/>
      <c r="V1370" s="189"/>
      <c r="W1370" s="189"/>
      <c r="X1370" s="189"/>
      <c r="Y1370" s="189"/>
      <c r="Z1370" s="189"/>
      <c r="AA1370" s="189"/>
      <c r="AB1370" s="189"/>
      <c r="AC1370" s="189"/>
      <c r="AD1370" s="189"/>
      <c r="AE1370" s="189"/>
      <c r="AF1370" s="189"/>
      <c r="AG1370" s="189"/>
      <c r="AH1370" s="189"/>
      <c r="AI1370" s="189"/>
      <c r="AJ1370" s="189"/>
      <c r="AK1370" s="189"/>
      <c r="AL1370" s="189"/>
      <c r="AM1370" s="189"/>
      <c r="AN1370" s="189"/>
      <c r="AO1370" s="189"/>
      <c r="AP1370" s="189"/>
      <c r="AQ1370" s="189"/>
      <c r="AR1370" s="189"/>
      <c r="AS1370" s="189"/>
      <c r="AT1370" s="189"/>
      <c r="AU1370" s="189"/>
      <c r="AV1370" s="189"/>
      <c r="AW1370" s="189"/>
      <c r="AX1370" s="189"/>
    </row>
    <row r="1371" ht="15.75" customHeight="1">
      <c r="A1371" s="189"/>
      <c r="B1371" s="189"/>
      <c r="C1371" s="190"/>
      <c r="D1371" s="190"/>
      <c r="E1371" s="190"/>
      <c r="F1371" s="190"/>
      <c r="G1371" s="189"/>
      <c r="H1371" s="189"/>
      <c r="I1371" s="189"/>
      <c r="J1371" s="189"/>
      <c r="K1371" s="189"/>
      <c r="L1371" s="189"/>
      <c r="M1371" s="189"/>
      <c r="N1371" s="189"/>
      <c r="O1371" s="189"/>
      <c r="P1371" s="291"/>
      <c r="Q1371" s="189"/>
      <c r="R1371" s="189"/>
      <c r="S1371" s="189"/>
      <c r="T1371" s="189"/>
      <c r="U1371" s="189"/>
      <c r="V1371" s="189"/>
      <c r="W1371" s="189"/>
      <c r="X1371" s="189"/>
      <c r="Y1371" s="189"/>
      <c r="Z1371" s="189"/>
      <c r="AA1371" s="189"/>
      <c r="AB1371" s="189"/>
      <c r="AC1371" s="189"/>
      <c r="AD1371" s="189"/>
      <c r="AE1371" s="189"/>
      <c r="AF1371" s="189"/>
      <c r="AG1371" s="189"/>
      <c r="AH1371" s="189"/>
      <c r="AI1371" s="189"/>
      <c r="AJ1371" s="189"/>
      <c r="AK1371" s="189"/>
      <c r="AL1371" s="189"/>
      <c r="AM1371" s="189"/>
      <c r="AN1371" s="189"/>
      <c r="AO1371" s="189"/>
      <c r="AP1371" s="189"/>
      <c r="AQ1371" s="189"/>
      <c r="AR1371" s="189"/>
      <c r="AS1371" s="189"/>
      <c r="AT1371" s="189"/>
      <c r="AU1371" s="189"/>
      <c r="AV1371" s="189"/>
      <c r="AW1371" s="189"/>
      <c r="AX1371" s="189"/>
    </row>
    <row r="1372" ht="15.75" customHeight="1">
      <c r="A1372" s="189"/>
      <c r="B1372" s="189"/>
      <c r="C1372" s="190"/>
      <c r="D1372" s="190"/>
      <c r="E1372" s="190"/>
      <c r="F1372" s="190"/>
      <c r="G1372" s="189"/>
      <c r="H1372" s="189"/>
      <c r="I1372" s="189"/>
      <c r="J1372" s="189"/>
      <c r="K1372" s="189"/>
      <c r="L1372" s="189"/>
      <c r="M1372" s="189"/>
      <c r="N1372" s="189"/>
      <c r="O1372" s="189"/>
      <c r="P1372" s="291"/>
      <c r="Q1372" s="189"/>
      <c r="R1372" s="189"/>
      <c r="S1372" s="189"/>
      <c r="T1372" s="189"/>
      <c r="U1372" s="189"/>
      <c r="V1372" s="189"/>
      <c r="W1372" s="189"/>
      <c r="X1372" s="189"/>
      <c r="Y1372" s="189"/>
      <c r="Z1372" s="189"/>
      <c r="AA1372" s="189"/>
      <c r="AB1372" s="189"/>
      <c r="AC1372" s="189"/>
      <c r="AD1372" s="189"/>
      <c r="AE1372" s="189"/>
      <c r="AF1372" s="189"/>
      <c r="AG1372" s="189"/>
      <c r="AH1372" s="189"/>
      <c r="AI1372" s="189"/>
      <c r="AJ1372" s="189"/>
      <c r="AK1372" s="189"/>
      <c r="AL1372" s="189"/>
      <c r="AM1372" s="189"/>
      <c r="AN1372" s="189"/>
      <c r="AO1372" s="189"/>
      <c r="AP1372" s="189"/>
      <c r="AQ1372" s="189"/>
      <c r="AR1372" s="189"/>
      <c r="AS1372" s="189"/>
      <c r="AT1372" s="189"/>
      <c r="AU1372" s="189"/>
      <c r="AV1372" s="189"/>
      <c r="AW1372" s="189"/>
      <c r="AX1372" s="189"/>
    </row>
    <row r="1373" ht="15.75" customHeight="1">
      <c r="A1373" s="189"/>
      <c r="B1373" s="189"/>
      <c r="C1373" s="190"/>
      <c r="D1373" s="190"/>
      <c r="E1373" s="190"/>
      <c r="F1373" s="190"/>
      <c r="G1373" s="189"/>
      <c r="H1373" s="189"/>
      <c r="I1373" s="189"/>
      <c r="J1373" s="189"/>
      <c r="K1373" s="189"/>
      <c r="L1373" s="189"/>
      <c r="M1373" s="189"/>
      <c r="N1373" s="189"/>
      <c r="O1373" s="189"/>
      <c r="P1373" s="291"/>
      <c r="Q1373" s="189"/>
      <c r="R1373" s="189"/>
      <c r="S1373" s="189"/>
      <c r="T1373" s="189"/>
      <c r="U1373" s="189"/>
      <c r="V1373" s="189"/>
      <c r="W1373" s="189"/>
      <c r="X1373" s="189"/>
      <c r="Y1373" s="189"/>
      <c r="Z1373" s="189"/>
      <c r="AA1373" s="189"/>
      <c r="AB1373" s="189"/>
      <c r="AC1373" s="189"/>
      <c r="AD1373" s="189"/>
      <c r="AE1373" s="189"/>
      <c r="AF1373" s="189"/>
      <c r="AG1373" s="189"/>
      <c r="AH1373" s="189"/>
      <c r="AI1373" s="189"/>
      <c r="AJ1373" s="189"/>
      <c r="AK1373" s="189"/>
      <c r="AL1373" s="189"/>
      <c r="AM1373" s="189"/>
      <c r="AN1373" s="189"/>
      <c r="AO1373" s="189"/>
      <c r="AP1373" s="189"/>
      <c r="AQ1373" s="189"/>
      <c r="AR1373" s="189"/>
      <c r="AS1373" s="189"/>
      <c r="AT1373" s="189"/>
      <c r="AU1373" s="189"/>
      <c r="AV1373" s="189"/>
      <c r="AW1373" s="189"/>
      <c r="AX1373" s="189"/>
    </row>
    <row r="1374" ht="15.75" customHeight="1">
      <c r="A1374" s="189"/>
      <c r="B1374" s="189"/>
      <c r="C1374" s="190"/>
      <c r="D1374" s="190"/>
      <c r="E1374" s="190"/>
      <c r="F1374" s="190"/>
      <c r="G1374" s="189"/>
      <c r="H1374" s="189"/>
      <c r="I1374" s="189"/>
      <c r="J1374" s="189"/>
      <c r="K1374" s="189"/>
      <c r="L1374" s="189"/>
      <c r="M1374" s="189"/>
      <c r="N1374" s="189"/>
      <c r="O1374" s="189"/>
      <c r="P1374" s="291"/>
      <c r="Q1374" s="189"/>
      <c r="R1374" s="189"/>
      <c r="S1374" s="189"/>
      <c r="T1374" s="189"/>
      <c r="U1374" s="189"/>
      <c r="V1374" s="189"/>
      <c r="W1374" s="189"/>
      <c r="X1374" s="189"/>
      <c r="Y1374" s="189"/>
      <c r="Z1374" s="189"/>
      <c r="AA1374" s="189"/>
      <c r="AB1374" s="189"/>
      <c r="AC1374" s="189"/>
      <c r="AD1374" s="189"/>
      <c r="AE1374" s="189"/>
      <c r="AF1374" s="189"/>
      <c r="AG1374" s="189"/>
      <c r="AH1374" s="189"/>
      <c r="AI1374" s="189"/>
      <c r="AJ1374" s="189"/>
      <c r="AK1374" s="189"/>
      <c r="AL1374" s="189"/>
      <c r="AM1374" s="189"/>
      <c r="AN1374" s="189"/>
      <c r="AO1374" s="189"/>
      <c r="AP1374" s="189"/>
      <c r="AQ1374" s="189"/>
      <c r="AR1374" s="189"/>
      <c r="AS1374" s="189"/>
      <c r="AT1374" s="189"/>
      <c r="AU1374" s="189"/>
      <c r="AV1374" s="189"/>
      <c r="AW1374" s="189"/>
      <c r="AX1374" s="189"/>
    </row>
    <row r="1375" ht="15.75" customHeight="1">
      <c r="A1375" s="189"/>
      <c r="B1375" s="189"/>
      <c r="C1375" s="190"/>
      <c r="D1375" s="190"/>
      <c r="E1375" s="190"/>
      <c r="F1375" s="190"/>
      <c r="G1375" s="189"/>
      <c r="H1375" s="189"/>
      <c r="I1375" s="189"/>
      <c r="J1375" s="189"/>
      <c r="K1375" s="189"/>
      <c r="L1375" s="189"/>
      <c r="M1375" s="189"/>
      <c r="N1375" s="189"/>
      <c r="O1375" s="189"/>
      <c r="P1375" s="291"/>
      <c r="Q1375" s="189"/>
      <c r="R1375" s="189"/>
      <c r="S1375" s="189"/>
      <c r="T1375" s="189"/>
      <c r="U1375" s="189"/>
      <c r="V1375" s="189"/>
      <c r="W1375" s="189"/>
      <c r="X1375" s="189"/>
      <c r="Y1375" s="189"/>
      <c r="Z1375" s="189"/>
      <c r="AA1375" s="189"/>
      <c r="AB1375" s="189"/>
      <c r="AC1375" s="189"/>
      <c r="AD1375" s="189"/>
      <c r="AE1375" s="189"/>
      <c r="AF1375" s="189"/>
      <c r="AG1375" s="189"/>
      <c r="AH1375" s="189"/>
      <c r="AI1375" s="189"/>
      <c r="AJ1375" s="189"/>
      <c r="AK1375" s="189"/>
      <c r="AL1375" s="189"/>
      <c r="AM1375" s="189"/>
      <c r="AN1375" s="189"/>
      <c r="AO1375" s="189"/>
      <c r="AP1375" s="189"/>
      <c r="AQ1375" s="189"/>
      <c r="AR1375" s="189"/>
      <c r="AS1375" s="189"/>
      <c r="AT1375" s="189"/>
      <c r="AU1375" s="189"/>
      <c r="AV1375" s="189"/>
      <c r="AW1375" s="189"/>
      <c r="AX1375" s="189"/>
    </row>
    <row r="1376" ht="15.75" customHeight="1">
      <c r="A1376" s="189"/>
      <c r="B1376" s="189"/>
      <c r="C1376" s="190"/>
      <c r="D1376" s="190"/>
      <c r="E1376" s="190"/>
      <c r="F1376" s="190"/>
      <c r="G1376" s="189"/>
      <c r="H1376" s="189"/>
      <c r="I1376" s="189"/>
      <c r="J1376" s="189"/>
      <c r="K1376" s="189"/>
      <c r="L1376" s="189"/>
      <c r="M1376" s="189"/>
      <c r="N1376" s="189"/>
      <c r="O1376" s="189"/>
      <c r="P1376" s="291"/>
      <c r="Q1376" s="189"/>
      <c r="R1376" s="189"/>
      <c r="S1376" s="189"/>
      <c r="T1376" s="189"/>
      <c r="U1376" s="189"/>
      <c r="V1376" s="189"/>
      <c r="W1376" s="189"/>
      <c r="X1376" s="189"/>
      <c r="Y1376" s="189"/>
      <c r="Z1376" s="189"/>
      <c r="AA1376" s="189"/>
      <c r="AB1376" s="189"/>
      <c r="AC1376" s="189"/>
      <c r="AD1376" s="189"/>
      <c r="AE1376" s="189"/>
      <c r="AF1376" s="189"/>
      <c r="AG1376" s="189"/>
      <c r="AH1376" s="189"/>
      <c r="AI1376" s="189"/>
      <c r="AJ1376" s="189"/>
      <c r="AK1376" s="189"/>
      <c r="AL1376" s="189"/>
      <c r="AM1376" s="189"/>
      <c r="AN1376" s="189"/>
      <c r="AO1376" s="189"/>
      <c r="AP1376" s="189"/>
      <c r="AQ1376" s="189"/>
      <c r="AR1376" s="189"/>
      <c r="AS1376" s="189"/>
      <c r="AT1376" s="189"/>
      <c r="AU1376" s="189"/>
      <c r="AV1376" s="189"/>
      <c r="AW1376" s="189"/>
      <c r="AX1376" s="189"/>
    </row>
    <row r="1377" ht="15.75" customHeight="1">
      <c r="A1377" s="189"/>
      <c r="B1377" s="189"/>
      <c r="C1377" s="190"/>
      <c r="D1377" s="190"/>
      <c r="E1377" s="190"/>
      <c r="F1377" s="190"/>
      <c r="G1377" s="189"/>
      <c r="H1377" s="189"/>
      <c r="I1377" s="189"/>
      <c r="J1377" s="189"/>
      <c r="K1377" s="189"/>
      <c r="L1377" s="189"/>
      <c r="M1377" s="189"/>
      <c r="N1377" s="189"/>
      <c r="O1377" s="189"/>
      <c r="P1377" s="291"/>
      <c r="Q1377" s="189"/>
      <c r="R1377" s="189"/>
      <c r="S1377" s="189"/>
      <c r="T1377" s="189"/>
      <c r="U1377" s="189"/>
      <c r="V1377" s="189"/>
      <c r="W1377" s="189"/>
      <c r="X1377" s="189"/>
      <c r="Y1377" s="189"/>
      <c r="Z1377" s="189"/>
      <c r="AA1377" s="189"/>
      <c r="AB1377" s="189"/>
      <c r="AC1377" s="189"/>
      <c r="AD1377" s="189"/>
      <c r="AE1377" s="189"/>
      <c r="AF1377" s="189"/>
      <c r="AG1377" s="189"/>
      <c r="AH1377" s="189"/>
      <c r="AI1377" s="189"/>
      <c r="AJ1377" s="189"/>
      <c r="AK1377" s="189"/>
      <c r="AL1377" s="189"/>
      <c r="AM1377" s="189"/>
      <c r="AN1377" s="189"/>
      <c r="AO1377" s="189"/>
      <c r="AP1377" s="189"/>
      <c r="AQ1377" s="189"/>
      <c r="AR1377" s="189"/>
      <c r="AS1377" s="189"/>
      <c r="AT1377" s="189"/>
      <c r="AU1377" s="189"/>
      <c r="AV1377" s="189"/>
      <c r="AW1377" s="189"/>
      <c r="AX1377" s="189"/>
    </row>
    <row r="1378" ht="15.75" customHeight="1">
      <c r="A1378" s="189"/>
      <c r="B1378" s="189"/>
      <c r="C1378" s="190"/>
      <c r="D1378" s="190"/>
      <c r="E1378" s="190"/>
      <c r="F1378" s="190"/>
      <c r="G1378" s="189"/>
      <c r="H1378" s="189"/>
      <c r="I1378" s="189"/>
      <c r="J1378" s="189"/>
      <c r="K1378" s="189"/>
      <c r="L1378" s="189"/>
      <c r="M1378" s="189"/>
      <c r="N1378" s="189"/>
      <c r="O1378" s="189"/>
      <c r="P1378" s="291"/>
      <c r="Q1378" s="189"/>
      <c r="R1378" s="189"/>
      <c r="S1378" s="189"/>
      <c r="T1378" s="189"/>
      <c r="U1378" s="189"/>
      <c r="V1378" s="189"/>
      <c r="W1378" s="189"/>
      <c r="X1378" s="189"/>
      <c r="Y1378" s="189"/>
      <c r="Z1378" s="189"/>
      <c r="AA1378" s="189"/>
      <c r="AB1378" s="189"/>
      <c r="AC1378" s="189"/>
      <c r="AD1378" s="189"/>
      <c r="AE1378" s="189"/>
      <c r="AF1378" s="189"/>
      <c r="AG1378" s="189"/>
      <c r="AH1378" s="189"/>
      <c r="AI1378" s="189"/>
      <c r="AJ1378" s="189"/>
      <c r="AK1378" s="189"/>
      <c r="AL1378" s="189"/>
      <c r="AM1378" s="189"/>
      <c r="AN1378" s="189"/>
      <c r="AO1378" s="189"/>
      <c r="AP1378" s="189"/>
      <c r="AQ1378" s="189"/>
      <c r="AR1378" s="189"/>
      <c r="AS1378" s="189"/>
      <c r="AT1378" s="189"/>
      <c r="AU1378" s="189"/>
      <c r="AV1378" s="189"/>
      <c r="AW1378" s="189"/>
      <c r="AX1378" s="189"/>
    </row>
    <row r="1379" ht="15.75" customHeight="1">
      <c r="A1379" s="189"/>
      <c r="B1379" s="189"/>
      <c r="C1379" s="190"/>
      <c r="D1379" s="190"/>
      <c r="E1379" s="190"/>
      <c r="F1379" s="190"/>
      <c r="G1379" s="189"/>
      <c r="H1379" s="189"/>
      <c r="I1379" s="189"/>
      <c r="J1379" s="189"/>
      <c r="K1379" s="189"/>
      <c r="L1379" s="189"/>
      <c r="M1379" s="189"/>
      <c r="N1379" s="189"/>
      <c r="O1379" s="189"/>
      <c r="P1379" s="291"/>
      <c r="Q1379" s="189"/>
      <c r="R1379" s="189"/>
      <c r="S1379" s="189"/>
      <c r="T1379" s="189"/>
      <c r="U1379" s="189"/>
      <c r="V1379" s="189"/>
      <c r="W1379" s="189"/>
      <c r="X1379" s="189"/>
      <c r="Y1379" s="189"/>
      <c r="Z1379" s="189"/>
      <c r="AA1379" s="189"/>
      <c r="AB1379" s="189"/>
      <c r="AC1379" s="189"/>
      <c r="AD1379" s="189"/>
      <c r="AE1379" s="189"/>
      <c r="AF1379" s="189"/>
      <c r="AG1379" s="189"/>
      <c r="AH1379" s="189"/>
      <c r="AI1379" s="189"/>
      <c r="AJ1379" s="189"/>
      <c r="AK1379" s="189"/>
      <c r="AL1379" s="189"/>
      <c r="AM1379" s="189"/>
      <c r="AN1379" s="189"/>
      <c r="AO1379" s="189"/>
      <c r="AP1379" s="189"/>
      <c r="AQ1379" s="189"/>
      <c r="AR1379" s="189"/>
      <c r="AS1379" s="189"/>
      <c r="AT1379" s="189"/>
      <c r="AU1379" s="189"/>
      <c r="AV1379" s="189"/>
      <c r="AW1379" s="189"/>
      <c r="AX1379" s="189"/>
    </row>
    <row r="1380" ht="15.75" customHeight="1">
      <c r="A1380" s="189"/>
      <c r="B1380" s="189"/>
      <c r="C1380" s="190"/>
      <c r="D1380" s="190"/>
      <c r="E1380" s="190"/>
      <c r="F1380" s="190"/>
      <c r="G1380" s="189"/>
      <c r="H1380" s="189"/>
      <c r="I1380" s="189"/>
      <c r="J1380" s="189"/>
      <c r="K1380" s="189"/>
      <c r="L1380" s="189"/>
      <c r="M1380" s="189"/>
      <c r="N1380" s="189"/>
      <c r="O1380" s="189"/>
      <c r="P1380" s="291"/>
      <c r="Q1380" s="189"/>
      <c r="R1380" s="189"/>
      <c r="S1380" s="189"/>
      <c r="T1380" s="189"/>
      <c r="U1380" s="189"/>
      <c r="V1380" s="189"/>
      <c r="W1380" s="189"/>
      <c r="X1380" s="189"/>
      <c r="Y1380" s="189"/>
      <c r="Z1380" s="189"/>
      <c r="AA1380" s="189"/>
      <c r="AB1380" s="189"/>
      <c r="AC1380" s="189"/>
      <c r="AD1380" s="189"/>
      <c r="AE1380" s="189"/>
      <c r="AF1380" s="189"/>
      <c r="AG1380" s="189"/>
      <c r="AH1380" s="189"/>
      <c r="AI1380" s="189"/>
      <c r="AJ1380" s="189"/>
      <c r="AK1380" s="189"/>
      <c r="AL1380" s="189"/>
      <c r="AM1380" s="189"/>
      <c r="AN1380" s="189"/>
      <c r="AO1380" s="189"/>
      <c r="AP1380" s="189"/>
      <c r="AQ1380" s="189"/>
      <c r="AR1380" s="189"/>
      <c r="AS1380" s="189"/>
      <c r="AT1380" s="189"/>
      <c r="AU1380" s="189"/>
      <c r="AV1380" s="189"/>
      <c r="AW1380" s="189"/>
      <c r="AX1380" s="189"/>
    </row>
    <row r="1381" ht="15.75" customHeight="1">
      <c r="A1381" s="189"/>
      <c r="B1381" s="189"/>
      <c r="C1381" s="190"/>
      <c r="D1381" s="190"/>
      <c r="E1381" s="190"/>
      <c r="F1381" s="190"/>
      <c r="G1381" s="189"/>
      <c r="H1381" s="189"/>
      <c r="I1381" s="189"/>
      <c r="J1381" s="189"/>
      <c r="K1381" s="189"/>
      <c r="L1381" s="189"/>
      <c r="M1381" s="189"/>
      <c r="N1381" s="189"/>
      <c r="O1381" s="189"/>
      <c r="P1381" s="291"/>
      <c r="Q1381" s="189"/>
      <c r="R1381" s="189"/>
      <c r="S1381" s="189"/>
      <c r="T1381" s="189"/>
      <c r="U1381" s="189"/>
      <c r="V1381" s="189"/>
      <c r="W1381" s="189"/>
      <c r="X1381" s="189"/>
      <c r="Y1381" s="189"/>
      <c r="Z1381" s="189"/>
      <c r="AA1381" s="189"/>
      <c r="AB1381" s="189"/>
      <c r="AC1381" s="189"/>
      <c r="AD1381" s="189"/>
      <c r="AE1381" s="189"/>
      <c r="AF1381" s="189"/>
      <c r="AG1381" s="189"/>
      <c r="AH1381" s="189"/>
      <c r="AI1381" s="189"/>
      <c r="AJ1381" s="189"/>
      <c r="AK1381" s="189"/>
      <c r="AL1381" s="189"/>
      <c r="AM1381" s="189"/>
      <c r="AN1381" s="189"/>
      <c r="AO1381" s="189"/>
      <c r="AP1381" s="189"/>
      <c r="AQ1381" s="189"/>
      <c r="AR1381" s="189"/>
      <c r="AS1381" s="189"/>
      <c r="AT1381" s="189"/>
      <c r="AU1381" s="189"/>
      <c r="AV1381" s="189"/>
      <c r="AW1381" s="189"/>
      <c r="AX1381" s="189"/>
    </row>
    <row r="1382" ht="15.75" customHeight="1">
      <c r="A1382" s="189"/>
      <c r="B1382" s="189"/>
      <c r="C1382" s="190"/>
      <c r="D1382" s="190"/>
      <c r="E1382" s="190"/>
      <c r="F1382" s="190"/>
      <c r="G1382" s="189"/>
      <c r="H1382" s="189"/>
      <c r="I1382" s="189"/>
      <c r="J1382" s="189"/>
      <c r="K1382" s="189"/>
      <c r="L1382" s="189"/>
      <c r="M1382" s="189"/>
      <c r="N1382" s="189"/>
      <c r="O1382" s="189"/>
      <c r="P1382" s="291"/>
      <c r="Q1382" s="189"/>
      <c r="R1382" s="189"/>
      <c r="S1382" s="189"/>
      <c r="T1382" s="189"/>
      <c r="U1382" s="189"/>
      <c r="V1382" s="189"/>
      <c r="W1382" s="189"/>
      <c r="X1382" s="189"/>
      <c r="Y1382" s="189"/>
      <c r="Z1382" s="189"/>
      <c r="AA1382" s="189"/>
      <c r="AB1382" s="189"/>
      <c r="AC1382" s="189"/>
      <c r="AD1382" s="189"/>
      <c r="AE1382" s="189"/>
      <c r="AF1382" s="189"/>
      <c r="AG1382" s="189"/>
      <c r="AH1382" s="189"/>
      <c r="AI1382" s="189"/>
      <c r="AJ1382" s="189"/>
      <c r="AK1382" s="189"/>
      <c r="AL1382" s="189"/>
      <c r="AM1382" s="189"/>
      <c r="AN1382" s="189"/>
      <c r="AO1382" s="189"/>
      <c r="AP1382" s="189"/>
      <c r="AQ1382" s="189"/>
      <c r="AR1382" s="189"/>
      <c r="AS1382" s="189"/>
      <c r="AT1382" s="189"/>
      <c r="AU1382" s="189"/>
      <c r="AV1382" s="189"/>
      <c r="AW1382" s="189"/>
      <c r="AX1382" s="189"/>
    </row>
    <row r="1383" ht="15.75" customHeight="1">
      <c r="A1383" s="189"/>
      <c r="B1383" s="189"/>
      <c r="C1383" s="190"/>
      <c r="D1383" s="190"/>
      <c r="E1383" s="190"/>
      <c r="F1383" s="190"/>
      <c r="G1383" s="189"/>
      <c r="H1383" s="189"/>
      <c r="I1383" s="189"/>
      <c r="J1383" s="189"/>
      <c r="K1383" s="189"/>
      <c r="L1383" s="189"/>
      <c r="M1383" s="189"/>
      <c r="N1383" s="189"/>
      <c r="O1383" s="189"/>
      <c r="P1383" s="291"/>
      <c r="Q1383" s="189"/>
      <c r="R1383" s="189"/>
      <c r="S1383" s="189"/>
      <c r="T1383" s="189"/>
      <c r="U1383" s="189"/>
      <c r="V1383" s="189"/>
      <c r="W1383" s="189"/>
      <c r="X1383" s="189"/>
      <c r="Y1383" s="189"/>
      <c r="Z1383" s="189"/>
      <c r="AA1383" s="189"/>
      <c r="AB1383" s="189"/>
      <c r="AC1383" s="189"/>
      <c r="AD1383" s="189"/>
      <c r="AE1383" s="189"/>
      <c r="AF1383" s="189"/>
      <c r="AG1383" s="189"/>
      <c r="AH1383" s="189"/>
      <c r="AI1383" s="189"/>
      <c r="AJ1383" s="189"/>
      <c r="AK1383" s="189"/>
      <c r="AL1383" s="189"/>
      <c r="AM1383" s="189"/>
      <c r="AN1383" s="189"/>
      <c r="AO1383" s="189"/>
      <c r="AP1383" s="189"/>
      <c r="AQ1383" s="189"/>
      <c r="AR1383" s="189"/>
      <c r="AS1383" s="189"/>
      <c r="AT1383" s="189"/>
      <c r="AU1383" s="189"/>
      <c r="AV1383" s="189"/>
      <c r="AW1383" s="189"/>
      <c r="AX1383" s="189"/>
    </row>
    <row r="1384" ht="15.75" customHeight="1">
      <c r="A1384" s="189"/>
      <c r="B1384" s="189"/>
      <c r="C1384" s="190"/>
      <c r="D1384" s="190"/>
      <c r="E1384" s="190"/>
      <c r="F1384" s="190"/>
      <c r="G1384" s="189"/>
      <c r="H1384" s="189"/>
      <c r="I1384" s="189"/>
      <c r="J1384" s="189"/>
      <c r="K1384" s="189"/>
      <c r="L1384" s="189"/>
      <c r="M1384" s="189"/>
      <c r="N1384" s="189"/>
      <c r="O1384" s="189"/>
      <c r="P1384" s="291"/>
      <c r="Q1384" s="189"/>
      <c r="R1384" s="189"/>
      <c r="S1384" s="189"/>
      <c r="T1384" s="189"/>
      <c r="U1384" s="189"/>
      <c r="V1384" s="189"/>
      <c r="W1384" s="189"/>
      <c r="X1384" s="189"/>
      <c r="Y1384" s="189"/>
      <c r="Z1384" s="189"/>
      <c r="AA1384" s="189"/>
      <c r="AB1384" s="189"/>
      <c r="AC1384" s="189"/>
      <c r="AD1384" s="189"/>
      <c r="AE1384" s="189"/>
      <c r="AF1384" s="189"/>
      <c r="AG1384" s="189"/>
      <c r="AH1384" s="189"/>
      <c r="AI1384" s="189"/>
      <c r="AJ1384" s="189"/>
      <c r="AK1384" s="189"/>
      <c r="AL1384" s="189"/>
      <c r="AM1384" s="189"/>
      <c r="AN1384" s="189"/>
      <c r="AO1384" s="189"/>
      <c r="AP1384" s="189"/>
      <c r="AQ1384" s="189"/>
      <c r="AR1384" s="189"/>
      <c r="AS1384" s="189"/>
      <c r="AT1384" s="189"/>
      <c r="AU1384" s="189"/>
      <c r="AV1384" s="189"/>
      <c r="AW1384" s="189"/>
      <c r="AX1384" s="189"/>
    </row>
    <row r="1385" ht="15.75" customHeight="1">
      <c r="A1385" s="189"/>
      <c r="B1385" s="189"/>
      <c r="C1385" s="190"/>
      <c r="D1385" s="190"/>
      <c r="E1385" s="190"/>
      <c r="F1385" s="190"/>
      <c r="G1385" s="189"/>
      <c r="H1385" s="189"/>
      <c r="I1385" s="189"/>
      <c r="J1385" s="189"/>
      <c r="K1385" s="189"/>
      <c r="L1385" s="189"/>
      <c r="M1385" s="189"/>
      <c r="N1385" s="189"/>
      <c r="O1385" s="189"/>
      <c r="P1385" s="291"/>
      <c r="Q1385" s="189"/>
      <c r="R1385" s="189"/>
      <c r="S1385" s="189"/>
      <c r="T1385" s="189"/>
      <c r="U1385" s="189"/>
      <c r="V1385" s="189"/>
      <c r="W1385" s="189"/>
      <c r="X1385" s="189"/>
      <c r="Y1385" s="189"/>
      <c r="Z1385" s="189"/>
      <c r="AA1385" s="189"/>
      <c r="AB1385" s="189"/>
      <c r="AC1385" s="189"/>
      <c r="AD1385" s="189"/>
      <c r="AE1385" s="189"/>
      <c r="AF1385" s="189"/>
      <c r="AG1385" s="189"/>
      <c r="AH1385" s="189"/>
      <c r="AI1385" s="189"/>
      <c r="AJ1385" s="189"/>
      <c r="AK1385" s="189"/>
      <c r="AL1385" s="189"/>
      <c r="AM1385" s="189"/>
      <c r="AN1385" s="189"/>
      <c r="AO1385" s="189"/>
      <c r="AP1385" s="189"/>
      <c r="AQ1385" s="189"/>
      <c r="AR1385" s="189"/>
      <c r="AS1385" s="189"/>
      <c r="AT1385" s="189"/>
      <c r="AU1385" s="189"/>
      <c r="AV1385" s="189"/>
      <c r="AW1385" s="189"/>
      <c r="AX1385" s="189"/>
    </row>
    <row r="1386" ht="15.75" customHeight="1">
      <c r="A1386" s="189"/>
      <c r="B1386" s="189"/>
      <c r="C1386" s="190"/>
      <c r="D1386" s="190"/>
      <c r="E1386" s="190"/>
      <c r="F1386" s="190"/>
      <c r="G1386" s="189"/>
      <c r="H1386" s="189"/>
      <c r="I1386" s="189"/>
      <c r="J1386" s="189"/>
      <c r="K1386" s="189"/>
      <c r="L1386" s="189"/>
      <c r="M1386" s="189"/>
      <c r="N1386" s="189"/>
      <c r="O1386" s="189"/>
      <c r="P1386" s="291"/>
      <c r="Q1386" s="189"/>
      <c r="R1386" s="189"/>
      <c r="S1386" s="189"/>
      <c r="T1386" s="189"/>
      <c r="U1386" s="189"/>
      <c r="V1386" s="189"/>
      <c r="W1386" s="189"/>
      <c r="X1386" s="189"/>
      <c r="Y1386" s="189"/>
      <c r="Z1386" s="189"/>
      <c r="AA1386" s="189"/>
      <c r="AB1386" s="189"/>
      <c r="AC1386" s="189"/>
      <c r="AD1386" s="189"/>
      <c r="AE1386" s="189"/>
      <c r="AF1386" s="189"/>
      <c r="AG1386" s="189"/>
      <c r="AH1386" s="189"/>
      <c r="AI1386" s="189"/>
      <c r="AJ1386" s="189"/>
      <c r="AK1386" s="189"/>
      <c r="AL1386" s="189"/>
      <c r="AM1386" s="189"/>
      <c r="AN1386" s="189"/>
      <c r="AO1386" s="189"/>
      <c r="AP1386" s="189"/>
      <c r="AQ1386" s="189"/>
      <c r="AR1386" s="189"/>
      <c r="AS1386" s="189"/>
      <c r="AT1386" s="189"/>
      <c r="AU1386" s="189"/>
      <c r="AV1386" s="189"/>
      <c r="AW1386" s="189"/>
      <c r="AX1386" s="189"/>
    </row>
    <row r="1387" ht="15.75" customHeight="1">
      <c r="A1387" s="189"/>
      <c r="B1387" s="189"/>
      <c r="C1387" s="190"/>
      <c r="D1387" s="190"/>
      <c r="E1387" s="190"/>
      <c r="F1387" s="190"/>
      <c r="G1387" s="189"/>
      <c r="H1387" s="189"/>
      <c r="I1387" s="189"/>
      <c r="J1387" s="189"/>
      <c r="K1387" s="189"/>
      <c r="L1387" s="189"/>
      <c r="M1387" s="189"/>
      <c r="N1387" s="189"/>
      <c r="O1387" s="189"/>
      <c r="P1387" s="291"/>
      <c r="Q1387" s="189"/>
      <c r="R1387" s="189"/>
      <c r="S1387" s="189"/>
      <c r="T1387" s="189"/>
      <c r="U1387" s="189"/>
      <c r="V1387" s="189"/>
      <c r="W1387" s="189"/>
      <c r="X1387" s="189"/>
      <c r="Y1387" s="189"/>
      <c r="Z1387" s="189"/>
      <c r="AA1387" s="189"/>
      <c r="AB1387" s="189"/>
      <c r="AC1387" s="189"/>
      <c r="AD1387" s="189"/>
      <c r="AE1387" s="189"/>
      <c r="AF1387" s="189"/>
      <c r="AG1387" s="189"/>
      <c r="AH1387" s="189"/>
      <c r="AI1387" s="189"/>
      <c r="AJ1387" s="189"/>
      <c r="AK1387" s="189"/>
      <c r="AL1387" s="189"/>
      <c r="AM1387" s="189"/>
      <c r="AN1387" s="189"/>
      <c r="AO1387" s="189"/>
      <c r="AP1387" s="189"/>
      <c r="AQ1387" s="189"/>
      <c r="AR1387" s="189"/>
      <c r="AS1387" s="189"/>
      <c r="AT1387" s="189"/>
      <c r="AU1387" s="189"/>
      <c r="AV1387" s="189"/>
      <c r="AW1387" s="189"/>
      <c r="AX1387" s="189"/>
    </row>
    <row r="1388" ht="15.75" customHeight="1">
      <c r="A1388" s="189"/>
      <c r="B1388" s="189"/>
      <c r="C1388" s="190"/>
      <c r="D1388" s="190"/>
      <c r="E1388" s="190"/>
      <c r="F1388" s="190"/>
      <c r="G1388" s="189"/>
      <c r="H1388" s="189"/>
      <c r="I1388" s="189"/>
      <c r="J1388" s="189"/>
      <c r="K1388" s="189"/>
      <c r="L1388" s="189"/>
      <c r="M1388" s="189"/>
      <c r="N1388" s="189"/>
      <c r="O1388" s="189"/>
      <c r="P1388" s="291"/>
      <c r="Q1388" s="189"/>
      <c r="R1388" s="189"/>
      <c r="S1388" s="189"/>
      <c r="T1388" s="189"/>
      <c r="U1388" s="189"/>
      <c r="V1388" s="189"/>
      <c r="W1388" s="189"/>
      <c r="X1388" s="189"/>
      <c r="Y1388" s="189"/>
      <c r="Z1388" s="189"/>
      <c r="AA1388" s="189"/>
      <c r="AB1388" s="189"/>
      <c r="AC1388" s="189"/>
      <c r="AD1388" s="189"/>
      <c r="AE1388" s="189"/>
      <c r="AF1388" s="189"/>
      <c r="AG1388" s="189"/>
      <c r="AH1388" s="189"/>
      <c r="AI1388" s="189"/>
      <c r="AJ1388" s="189"/>
      <c r="AK1388" s="189"/>
      <c r="AL1388" s="189"/>
      <c r="AM1388" s="189"/>
      <c r="AN1388" s="189"/>
      <c r="AO1388" s="189"/>
      <c r="AP1388" s="189"/>
      <c r="AQ1388" s="189"/>
      <c r="AR1388" s="189"/>
      <c r="AS1388" s="189"/>
      <c r="AT1388" s="189"/>
      <c r="AU1388" s="189"/>
      <c r="AV1388" s="189"/>
      <c r="AW1388" s="189"/>
      <c r="AX1388" s="189"/>
    </row>
    <row r="1389" ht="15.75" customHeight="1">
      <c r="A1389" s="189"/>
      <c r="B1389" s="189"/>
      <c r="C1389" s="190"/>
      <c r="D1389" s="190"/>
      <c r="E1389" s="190"/>
      <c r="F1389" s="190"/>
      <c r="G1389" s="189"/>
      <c r="H1389" s="189"/>
      <c r="I1389" s="189"/>
      <c r="J1389" s="189"/>
      <c r="K1389" s="189"/>
      <c r="L1389" s="189"/>
      <c r="M1389" s="189"/>
      <c r="N1389" s="189"/>
      <c r="O1389" s="189"/>
      <c r="P1389" s="291"/>
      <c r="Q1389" s="189"/>
      <c r="R1389" s="189"/>
      <c r="S1389" s="189"/>
      <c r="T1389" s="189"/>
      <c r="U1389" s="189"/>
      <c r="V1389" s="189"/>
      <c r="W1389" s="189"/>
      <c r="X1389" s="189"/>
      <c r="Y1389" s="189"/>
      <c r="Z1389" s="189"/>
      <c r="AA1389" s="189"/>
      <c r="AB1389" s="189"/>
      <c r="AC1389" s="189"/>
      <c r="AD1389" s="189"/>
      <c r="AE1389" s="189"/>
      <c r="AF1389" s="189"/>
      <c r="AG1389" s="189"/>
      <c r="AH1389" s="189"/>
      <c r="AI1389" s="189"/>
      <c r="AJ1389" s="189"/>
      <c r="AK1389" s="189"/>
      <c r="AL1389" s="189"/>
      <c r="AM1389" s="189"/>
      <c r="AN1389" s="189"/>
      <c r="AO1389" s="189"/>
      <c r="AP1389" s="189"/>
      <c r="AQ1389" s="189"/>
      <c r="AR1389" s="189"/>
      <c r="AS1389" s="189"/>
      <c r="AT1389" s="189"/>
      <c r="AU1389" s="189"/>
      <c r="AV1389" s="189"/>
      <c r="AW1389" s="189"/>
      <c r="AX1389" s="189"/>
    </row>
    <row r="1390" ht="15.75" customHeight="1">
      <c r="A1390" s="189"/>
      <c r="B1390" s="189"/>
      <c r="C1390" s="190"/>
      <c r="D1390" s="190"/>
      <c r="E1390" s="190"/>
      <c r="F1390" s="190"/>
      <c r="G1390" s="189"/>
      <c r="H1390" s="189"/>
      <c r="I1390" s="189"/>
      <c r="J1390" s="189"/>
      <c r="K1390" s="189"/>
      <c r="L1390" s="189"/>
      <c r="M1390" s="189"/>
      <c r="N1390" s="189"/>
      <c r="O1390" s="189"/>
      <c r="P1390" s="291"/>
      <c r="Q1390" s="189"/>
      <c r="R1390" s="189"/>
      <c r="S1390" s="189"/>
      <c r="T1390" s="189"/>
      <c r="U1390" s="189"/>
      <c r="V1390" s="189"/>
      <c r="W1390" s="189"/>
      <c r="X1390" s="189"/>
      <c r="Y1390" s="189"/>
      <c r="Z1390" s="189"/>
      <c r="AA1390" s="189"/>
      <c r="AB1390" s="189"/>
      <c r="AC1390" s="189"/>
      <c r="AD1390" s="189"/>
      <c r="AE1390" s="189"/>
      <c r="AF1390" s="189"/>
      <c r="AG1390" s="189"/>
      <c r="AH1390" s="189"/>
      <c r="AI1390" s="189"/>
      <c r="AJ1390" s="189"/>
      <c r="AK1390" s="189"/>
      <c r="AL1390" s="189"/>
      <c r="AM1390" s="189"/>
      <c r="AN1390" s="189"/>
      <c r="AO1390" s="189"/>
      <c r="AP1390" s="189"/>
      <c r="AQ1390" s="189"/>
      <c r="AR1390" s="189"/>
      <c r="AS1390" s="189"/>
      <c r="AT1390" s="189"/>
      <c r="AU1390" s="189"/>
      <c r="AV1390" s="189"/>
      <c r="AW1390" s="189"/>
      <c r="AX1390" s="189"/>
    </row>
    <row r="1391" ht="15.75" customHeight="1">
      <c r="A1391" s="189"/>
      <c r="B1391" s="189"/>
      <c r="C1391" s="190"/>
      <c r="D1391" s="190"/>
      <c r="E1391" s="190"/>
      <c r="F1391" s="190"/>
      <c r="G1391" s="189"/>
      <c r="H1391" s="189"/>
      <c r="I1391" s="189"/>
      <c r="J1391" s="189"/>
      <c r="K1391" s="189"/>
      <c r="L1391" s="189"/>
      <c r="M1391" s="189"/>
      <c r="N1391" s="189"/>
      <c r="O1391" s="189"/>
      <c r="P1391" s="291"/>
      <c r="Q1391" s="189"/>
      <c r="R1391" s="189"/>
      <c r="S1391" s="189"/>
      <c r="T1391" s="189"/>
      <c r="U1391" s="189"/>
      <c r="V1391" s="189"/>
      <c r="W1391" s="189"/>
      <c r="X1391" s="189"/>
      <c r="Y1391" s="189"/>
      <c r="Z1391" s="189"/>
      <c r="AA1391" s="189"/>
      <c r="AB1391" s="189"/>
      <c r="AC1391" s="189"/>
      <c r="AD1391" s="189"/>
      <c r="AE1391" s="189"/>
      <c r="AF1391" s="189"/>
      <c r="AG1391" s="189"/>
      <c r="AH1391" s="189"/>
      <c r="AI1391" s="189"/>
      <c r="AJ1391" s="189"/>
      <c r="AK1391" s="189"/>
      <c r="AL1391" s="189"/>
      <c r="AM1391" s="189"/>
      <c r="AN1391" s="189"/>
      <c r="AO1391" s="189"/>
      <c r="AP1391" s="189"/>
      <c r="AQ1391" s="189"/>
      <c r="AR1391" s="189"/>
      <c r="AS1391" s="189"/>
      <c r="AT1391" s="189"/>
      <c r="AU1391" s="189"/>
      <c r="AV1391" s="189"/>
      <c r="AW1391" s="189"/>
      <c r="AX1391" s="189"/>
    </row>
    <row r="1392" ht="15.75" customHeight="1">
      <c r="A1392" s="189"/>
      <c r="B1392" s="189"/>
      <c r="C1392" s="190"/>
      <c r="D1392" s="190"/>
      <c r="E1392" s="190"/>
      <c r="F1392" s="190"/>
      <c r="G1392" s="189"/>
      <c r="H1392" s="189"/>
      <c r="I1392" s="189"/>
      <c r="J1392" s="189"/>
      <c r="K1392" s="189"/>
      <c r="L1392" s="189"/>
      <c r="M1392" s="189"/>
      <c r="N1392" s="189"/>
      <c r="O1392" s="189"/>
      <c r="P1392" s="291"/>
      <c r="Q1392" s="189"/>
      <c r="R1392" s="189"/>
      <c r="S1392" s="189"/>
      <c r="T1392" s="189"/>
      <c r="U1392" s="189"/>
      <c r="V1392" s="189"/>
      <c r="W1392" s="189"/>
      <c r="X1392" s="189"/>
      <c r="Y1392" s="189"/>
      <c r="Z1392" s="189"/>
      <c r="AA1392" s="189"/>
      <c r="AB1392" s="189"/>
      <c r="AC1392" s="189"/>
      <c r="AD1392" s="189"/>
      <c r="AE1392" s="189"/>
      <c r="AF1392" s="189"/>
      <c r="AG1392" s="189"/>
      <c r="AH1392" s="189"/>
      <c r="AI1392" s="189"/>
      <c r="AJ1392" s="189"/>
      <c r="AK1392" s="189"/>
      <c r="AL1392" s="189"/>
      <c r="AM1392" s="189"/>
      <c r="AN1392" s="189"/>
      <c r="AO1392" s="189"/>
      <c r="AP1392" s="189"/>
      <c r="AQ1392" s="189"/>
      <c r="AR1392" s="189"/>
      <c r="AS1392" s="189"/>
      <c r="AT1392" s="189"/>
      <c r="AU1392" s="189"/>
      <c r="AV1392" s="189"/>
      <c r="AW1392" s="189"/>
      <c r="AX1392" s="189"/>
    </row>
    <row r="1393" ht="15.75" customHeight="1">
      <c r="A1393" s="189"/>
      <c r="B1393" s="189"/>
      <c r="C1393" s="190"/>
      <c r="D1393" s="190"/>
      <c r="E1393" s="190"/>
      <c r="F1393" s="190"/>
      <c r="G1393" s="189"/>
      <c r="H1393" s="189"/>
      <c r="I1393" s="189"/>
      <c r="J1393" s="189"/>
      <c r="K1393" s="189"/>
      <c r="L1393" s="189"/>
      <c r="M1393" s="189"/>
      <c r="N1393" s="189"/>
      <c r="O1393" s="189"/>
      <c r="P1393" s="291"/>
      <c r="Q1393" s="189"/>
      <c r="R1393" s="189"/>
      <c r="S1393" s="189"/>
      <c r="T1393" s="189"/>
      <c r="U1393" s="189"/>
      <c r="V1393" s="189"/>
      <c r="W1393" s="189"/>
      <c r="X1393" s="189"/>
      <c r="Y1393" s="189"/>
      <c r="Z1393" s="189"/>
      <c r="AA1393" s="189"/>
      <c r="AB1393" s="189"/>
      <c r="AC1393" s="189"/>
      <c r="AD1393" s="189"/>
      <c r="AE1393" s="189"/>
      <c r="AF1393" s="189"/>
      <c r="AG1393" s="189"/>
      <c r="AH1393" s="189"/>
      <c r="AI1393" s="189"/>
      <c r="AJ1393" s="189"/>
      <c r="AK1393" s="189"/>
      <c r="AL1393" s="189"/>
      <c r="AM1393" s="189"/>
      <c r="AN1393" s="189"/>
      <c r="AO1393" s="189"/>
      <c r="AP1393" s="189"/>
      <c r="AQ1393" s="189"/>
      <c r="AR1393" s="189"/>
      <c r="AS1393" s="189"/>
      <c r="AT1393" s="189"/>
      <c r="AU1393" s="189"/>
      <c r="AV1393" s="189"/>
      <c r="AW1393" s="189"/>
      <c r="AX1393" s="189"/>
    </row>
    <row r="1394" ht="15.75" customHeight="1">
      <c r="A1394" s="189"/>
      <c r="B1394" s="189"/>
      <c r="C1394" s="190"/>
      <c r="D1394" s="190"/>
      <c r="E1394" s="190"/>
      <c r="F1394" s="190"/>
      <c r="G1394" s="189"/>
      <c r="H1394" s="189"/>
      <c r="I1394" s="189"/>
      <c r="J1394" s="189"/>
      <c r="K1394" s="189"/>
      <c r="L1394" s="189"/>
      <c r="M1394" s="189"/>
      <c r="N1394" s="189"/>
      <c r="O1394" s="189"/>
      <c r="P1394" s="291"/>
      <c r="Q1394" s="189"/>
      <c r="R1394" s="189"/>
      <c r="S1394" s="189"/>
      <c r="T1394" s="189"/>
      <c r="U1394" s="189"/>
      <c r="V1394" s="189"/>
      <c r="W1394" s="189"/>
      <c r="X1394" s="189"/>
      <c r="Y1394" s="189"/>
      <c r="Z1394" s="189"/>
      <c r="AA1394" s="189"/>
      <c r="AB1394" s="189"/>
      <c r="AC1394" s="189"/>
      <c r="AD1394" s="189"/>
      <c r="AE1394" s="189"/>
      <c r="AF1394" s="189"/>
      <c r="AG1394" s="189"/>
      <c r="AH1394" s="189"/>
      <c r="AI1394" s="189"/>
      <c r="AJ1394" s="189"/>
      <c r="AK1394" s="189"/>
      <c r="AL1394" s="189"/>
      <c r="AM1394" s="189"/>
      <c r="AN1394" s="189"/>
      <c r="AO1394" s="189"/>
      <c r="AP1394" s="189"/>
      <c r="AQ1394" s="189"/>
      <c r="AR1394" s="189"/>
      <c r="AS1394" s="189"/>
      <c r="AT1394" s="189"/>
      <c r="AU1394" s="189"/>
      <c r="AV1394" s="189"/>
      <c r="AW1394" s="189"/>
      <c r="AX1394" s="189"/>
    </row>
    <row r="1395" ht="15.75" customHeight="1">
      <c r="A1395" s="189"/>
      <c r="B1395" s="189"/>
      <c r="C1395" s="190"/>
      <c r="D1395" s="190"/>
      <c r="E1395" s="190"/>
      <c r="F1395" s="190"/>
      <c r="G1395" s="189"/>
      <c r="H1395" s="189"/>
      <c r="I1395" s="189"/>
      <c r="J1395" s="189"/>
      <c r="K1395" s="189"/>
      <c r="L1395" s="189"/>
      <c r="M1395" s="189"/>
      <c r="N1395" s="189"/>
      <c r="O1395" s="189"/>
      <c r="P1395" s="291"/>
      <c r="Q1395" s="189"/>
      <c r="R1395" s="189"/>
      <c r="S1395" s="189"/>
      <c r="T1395" s="189"/>
      <c r="U1395" s="189"/>
      <c r="V1395" s="189"/>
      <c r="W1395" s="189"/>
      <c r="X1395" s="189"/>
      <c r="Y1395" s="189"/>
      <c r="Z1395" s="189"/>
      <c r="AA1395" s="189"/>
      <c r="AB1395" s="189"/>
      <c r="AC1395" s="189"/>
      <c r="AD1395" s="189"/>
      <c r="AE1395" s="189"/>
      <c r="AF1395" s="189"/>
      <c r="AG1395" s="189"/>
      <c r="AH1395" s="189"/>
      <c r="AI1395" s="189"/>
      <c r="AJ1395" s="189"/>
      <c r="AK1395" s="189"/>
      <c r="AL1395" s="189"/>
      <c r="AM1395" s="189"/>
      <c r="AN1395" s="189"/>
      <c r="AO1395" s="189"/>
      <c r="AP1395" s="189"/>
      <c r="AQ1395" s="189"/>
      <c r="AR1395" s="189"/>
      <c r="AS1395" s="189"/>
      <c r="AT1395" s="189"/>
      <c r="AU1395" s="189"/>
      <c r="AV1395" s="189"/>
      <c r="AW1395" s="189"/>
      <c r="AX1395" s="189"/>
    </row>
    <row r="1396" ht="15.75" customHeight="1">
      <c r="A1396" s="189"/>
      <c r="B1396" s="189"/>
      <c r="C1396" s="190"/>
      <c r="D1396" s="190"/>
      <c r="E1396" s="190"/>
      <c r="F1396" s="190"/>
      <c r="G1396" s="189"/>
      <c r="H1396" s="189"/>
      <c r="I1396" s="189"/>
      <c r="J1396" s="189"/>
      <c r="K1396" s="189"/>
      <c r="L1396" s="189"/>
      <c r="M1396" s="189"/>
      <c r="N1396" s="189"/>
      <c r="O1396" s="189"/>
      <c r="P1396" s="291"/>
      <c r="Q1396" s="189"/>
      <c r="R1396" s="189"/>
      <c r="S1396" s="189"/>
      <c r="T1396" s="189"/>
      <c r="U1396" s="189"/>
      <c r="V1396" s="189"/>
      <c r="W1396" s="189"/>
      <c r="X1396" s="189"/>
      <c r="Y1396" s="189"/>
      <c r="Z1396" s="189"/>
      <c r="AA1396" s="189"/>
      <c r="AB1396" s="189"/>
      <c r="AC1396" s="189"/>
      <c r="AD1396" s="189"/>
      <c r="AE1396" s="189"/>
      <c r="AF1396" s="189"/>
      <c r="AG1396" s="189"/>
      <c r="AH1396" s="189"/>
      <c r="AI1396" s="189"/>
      <c r="AJ1396" s="189"/>
      <c r="AK1396" s="189"/>
      <c r="AL1396" s="189"/>
      <c r="AM1396" s="189"/>
      <c r="AN1396" s="189"/>
      <c r="AO1396" s="189"/>
      <c r="AP1396" s="189"/>
      <c r="AQ1396" s="189"/>
      <c r="AR1396" s="189"/>
      <c r="AS1396" s="189"/>
      <c r="AT1396" s="189"/>
      <c r="AU1396" s="189"/>
      <c r="AV1396" s="189"/>
      <c r="AW1396" s="189"/>
      <c r="AX1396" s="189"/>
    </row>
    <row r="1397" ht="15.75" customHeight="1">
      <c r="A1397" s="189"/>
      <c r="B1397" s="189"/>
      <c r="C1397" s="190"/>
      <c r="D1397" s="190"/>
      <c r="E1397" s="190"/>
      <c r="F1397" s="190"/>
      <c r="G1397" s="189"/>
      <c r="H1397" s="189"/>
      <c r="I1397" s="189"/>
      <c r="J1397" s="189"/>
      <c r="K1397" s="189"/>
      <c r="L1397" s="189"/>
      <c r="M1397" s="189"/>
      <c r="N1397" s="189"/>
      <c r="O1397" s="189"/>
      <c r="P1397" s="291"/>
      <c r="Q1397" s="189"/>
      <c r="R1397" s="189"/>
      <c r="S1397" s="189"/>
      <c r="T1397" s="189"/>
      <c r="U1397" s="189"/>
      <c r="V1397" s="189"/>
      <c r="W1397" s="189"/>
      <c r="X1397" s="189"/>
      <c r="Y1397" s="189"/>
      <c r="Z1397" s="189"/>
      <c r="AA1397" s="189"/>
      <c r="AB1397" s="189"/>
      <c r="AC1397" s="189"/>
      <c r="AD1397" s="189"/>
      <c r="AE1397" s="189"/>
      <c r="AF1397" s="189"/>
      <c r="AG1397" s="189"/>
      <c r="AH1397" s="189"/>
      <c r="AI1397" s="189"/>
      <c r="AJ1397" s="189"/>
      <c r="AK1397" s="189"/>
      <c r="AL1397" s="189"/>
      <c r="AM1397" s="189"/>
      <c r="AN1397" s="189"/>
      <c r="AO1397" s="189"/>
      <c r="AP1397" s="189"/>
      <c r="AQ1397" s="189"/>
      <c r="AR1397" s="189"/>
      <c r="AS1397" s="189"/>
      <c r="AT1397" s="189"/>
      <c r="AU1397" s="189"/>
      <c r="AV1397" s="189"/>
      <c r="AW1397" s="189"/>
      <c r="AX1397" s="189"/>
    </row>
    <row r="1398" ht="15.75" customHeight="1">
      <c r="A1398" s="189"/>
      <c r="B1398" s="189"/>
      <c r="C1398" s="190"/>
      <c r="D1398" s="190"/>
      <c r="E1398" s="190"/>
      <c r="F1398" s="190"/>
      <c r="G1398" s="189"/>
      <c r="H1398" s="189"/>
      <c r="I1398" s="189"/>
      <c r="J1398" s="189"/>
      <c r="K1398" s="189"/>
      <c r="L1398" s="189"/>
      <c r="M1398" s="189"/>
      <c r="N1398" s="189"/>
      <c r="O1398" s="189"/>
      <c r="P1398" s="291"/>
      <c r="Q1398" s="189"/>
      <c r="R1398" s="189"/>
      <c r="S1398" s="189"/>
      <c r="T1398" s="189"/>
      <c r="U1398" s="189"/>
      <c r="V1398" s="189"/>
      <c r="W1398" s="189"/>
      <c r="X1398" s="189"/>
      <c r="Y1398" s="189"/>
      <c r="Z1398" s="189"/>
      <c r="AA1398" s="189"/>
      <c r="AB1398" s="189"/>
      <c r="AC1398" s="189"/>
      <c r="AD1398" s="189"/>
      <c r="AE1398" s="189"/>
      <c r="AF1398" s="189"/>
      <c r="AG1398" s="189"/>
      <c r="AH1398" s="189"/>
      <c r="AI1398" s="189"/>
      <c r="AJ1398" s="189"/>
      <c r="AK1398" s="189"/>
      <c r="AL1398" s="189"/>
      <c r="AM1398" s="189"/>
      <c r="AN1398" s="189"/>
      <c r="AO1398" s="189"/>
      <c r="AP1398" s="189"/>
      <c r="AQ1398" s="189"/>
      <c r="AR1398" s="189"/>
      <c r="AS1398" s="189"/>
      <c r="AT1398" s="189"/>
      <c r="AU1398" s="189"/>
      <c r="AV1398" s="189"/>
      <c r="AW1398" s="189"/>
      <c r="AX1398" s="189"/>
    </row>
    <row r="1399" ht="15.75" customHeight="1">
      <c r="A1399" s="189"/>
      <c r="B1399" s="189"/>
      <c r="C1399" s="190"/>
      <c r="D1399" s="190"/>
      <c r="E1399" s="190"/>
      <c r="F1399" s="190"/>
      <c r="G1399" s="189"/>
      <c r="H1399" s="189"/>
      <c r="I1399" s="189"/>
      <c r="J1399" s="189"/>
      <c r="K1399" s="189"/>
      <c r="L1399" s="189"/>
      <c r="M1399" s="189"/>
      <c r="N1399" s="189"/>
      <c r="O1399" s="189"/>
      <c r="P1399" s="291"/>
      <c r="Q1399" s="189"/>
      <c r="R1399" s="189"/>
      <c r="S1399" s="189"/>
      <c r="T1399" s="189"/>
      <c r="U1399" s="189"/>
      <c r="V1399" s="189"/>
      <c r="W1399" s="189"/>
      <c r="X1399" s="189"/>
      <c r="Y1399" s="189"/>
      <c r="Z1399" s="189"/>
      <c r="AA1399" s="189"/>
      <c r="AB1399" s="189"/>
      <c r="AC1399" s="189"/>
      <c r="AD1399" s="189"/>
      <c r="AE1399" s="189"/>
      <c r="AF1399" s="189"/>
      <c r="AG1399" s="189"/>
      <c r="AH1399" s="189"/>
      <c r="AI1399" s="189"/>
      <c r="AJ1399" s="189"/>
      <c r="AK1399" s="189"/>
      <c r="AL1399" s="189"/>
      <c r="AM1399" s="189"/>
      <c r="AN1399" s="189"/>
      <c r="AO1399" s="189"/>
      <c r="AP1399" s="189"/>
      <c r="AQ1399" s="189"/>
      <c r="AR1399" s="189"/>
      <c r="AS1399" s="189"/>
      <c r="AT1399" s="189"/>
      <c r="AU1399" s="189"/>
      <c r="AV1399" s="189"/>
      <c r="AW1399" s="189"/>
      <c r="AX1399" s="189"/>
    </row>
    <row r="1400" ht="15.75" customHeight="1">
      <c r="A1400" s="189"/>
      <c r="B1400" s="189"/>
      <c r="C1400" s="190"/>
      <c r="D1400" s="190"/>
      <c r="E1400" s="190"/>
      <c r="F1400" s="190"/>
      <c r="G1400" s="189"/>
      <c r="H1400" s="189"/>
      <c r="I1400" s="189"/>
      <c r="J1400" s="189"/>
      <c r="K1400" s="189"/>
      <c r="L1400" s="189"/>
      <c r="M1400" s="189"/>
      <c r="N1400" s="189"/>
      <c r="O1400" s="189"/>
      <c r="P1400" s="291"/>
      <c r="Q1400" s="189"/>
      <c r="R1400" s="189"/>
      <c r="S1400" s="189"/>
      <c r="T1400" s="189"/>
      <c r="U1400" s="189"/>
      <c r="V1400" s="189"/>
      <c r="W1400" s="189"/>
      <c r="X1400" s="189"/>
      <c r="Y1400" s="189"/>
      <c r="Z1400" s="189"/>
      <c r="AA1400" s="189"/>
      <c r="AB1400" s="189"/>
      <c r="AC1400" s="189"/>
      <c r="AD1400" s="189"/>
      <c r="AE1400" s="189"/>
      <c r="AF1400" s="189"/>
      <c r="AG1400" s="189"/>
      <c r="AH1400" s="189"/>
      <c r="AI1400" s="189"/>
      <c r="AJ1400" s="189"/>
      <c r="AK1400" s="189"/>
      <c r="AL1400" s="189"/>
      <c r="AM1400" s="189"/>
      <c r="AN1400" s="189"/>
      <c r="AO1400" s="189"/>
      <c r="AP1400" s="189"/>
      <c r="AQ1400" s="189"/>
      <c r="AR1400" s="189"/>
      <c r="AS1400" s="189"/>
      <c r="AT1400" s="189"/>
      <c r="AU1400" s="189"/>
      <c r="AV1400" s="189"/>
      <c r="AW1400" s="189"/>
      <c r="AX1400" s="189"/>
    </row>
    <row r="1401" ht="15.75" customHeight="1">
      <c r="A1401" s="189"/>
      <c r="B1401" s="189"/>
      <c r="C1401" s="190"/>
      <c r="D1401" s="190"/>
      <c r="E1401" s="190"/>
      <c r="F1401" s="190"/>
      <c r="G1401" s="189"/>
      <c r="H1401" s="189"/>
      <c r="I1401" s="189"/>
      <c r="J1401" s="189"/>
      <c r="K1401" s="189"/>
      <c r="L1401" s="189"/>
      <c r="M1401" s="189"/>
      <c r="N1401" s="189"/>
      <c r="O1401" s="189"/>
      <c r="P1401" s="291"/>
      <c r="Q1401" s="189"/>
      <c r="R1401" s="189"/>
      <c r="S1401" s="189"/>
      <c r="T1401" s="189"/>
      <c r="U1401" s="189"/>
      <c r="V1401" s="189"/>
      <c r="W1401" s="189"/>
      <c r="X1401" s="189"/>
      <c r="Y1401" s="189"/>
      <c r="Z1401" s="189"/>
      <c r="AA1401" s="189"/>
      <c r="AB1401" s="189"/>
      <c r="AC1401" s="189"/>
      <c r="AD1401" s="189"/>
      <c r="AE1401" s="189"/>
      <c r="AF1401" s="189"/>
      <c r="AG1401" s="189"/>
      <c r="AH1401" s="189"/>
      <c r="AI1401" s="189"/>
      <c r="AJ1401" s="189"/>
      <c r="AK1401" s="189"/>
      <c r="AL1401" s="189"/>
      <c r="AM1401" s="189"/>
      <c r="AN1401" s="189"/>
      <c r="AO1401" s="189"/>
      <c r="AP1401" s="189"/>
      <c r="AQ1401" s="189"/>
      <c r="AR1401" s="189"/>
      <c r="AS1401" s="189"/>
      <c r="AT1401" s="189"/>
      <c r="AU1401" s="189"/>
      <c r="AV1401" s="189"/>
      <c r="AW1401" s="189"/>
      <c r="AX1401" s="189"/>
    </row>
    <row r="1402" ht="15.75" customHeight="1">
      <c r="A1402" s="189"/>
      <c r="B1402" s="189"/>
      <c r="C1402" s="190"/>
      <c r="D1402" s="190"/>
      <c r="E1402" s="190"/>
      <c r="F1402" s="190"/>
      <c r="G1402" s="189"/>
      <c r="H1402" s="189"/>
      <c r="I1402" s="189"/>
      <c r="J1402" s="189"/>
      <c r="K1402" s="189"/>
      <c r="L1402" s="189"/>
      <c r="M1402" s="189"/>
      <c r="N1402" s="189"/>
      <c r="O1402" s="189"/>
      <c r="P1402" s="291"/>
      <c r="Q1402" s="189"/>
      <c r="R1402" s="189"/>
      <c r="S1402" s="189"/>
      <c r="T1402" s="189"/>
      <c r="U1402" s="189"/>
      <c r="V1402" s="189"/>
      <c r="W1402" s="189"/>
      <c r="X1402" s="189"/>
      <c r="Y1402" s="189"/>
      <c r="Z1402" s="189"/>
      <c r="AA1402" s="189"/>
      <c r="AB1402" s="189"/>
      <c r="AC1402" s="189"/>
      <c r="AD1402" s="189"/>
      <c r="AE1402" s="189"/>
      <c r="AF1402" s="189"/>
      <c r="AG1402" s="189"/>
      <c r="AH1402" s="189"/>
      <c r="AI1402" s="189"/>
      <c r="AJ1402" s="189"/>
      <c r="AK1402" s="189"/>
      <c r="AL1402" s="189"/>
      <c r="AM1402" s="189"/>
      <c r="AN1402" s="189"/>
      <c r="AO1402" s="189"/>
      <c r="AP1402" s="189"/>
      <c r="AQ1402" s="189"/>
      <c r="AR1402" s="189"/>
      <c r="AS1402" s="189"/>
      <c r="AT1402" s="189"/>
      <c r="AU1402" s="189"/>
      <c r="AV1402" s="189"/>
      <c r="AW1402" s="189"/>
      <c r="AX1402" s="189"/>
    </row>
  </sheetData>
  <autoFilter ref="$A$1:$A$1402"/>
  <conditionalFormatting sqref="L605">
    <cfRule type="expression" dxfId="10" priority="1" stopIfTrue="1">
      <formula>OR($A603="calculate", $A603="calculate_here")</formula>
    </cfRule>
  </conditionalFormatting>
  <conditionalFormatting sqref="B1:C1402 D1:F1402 G1:H1 J1:J287 M1:O1402 P1 G171:H920 K259 K288 J289:J1402 K296 T307 T613 I621 K621:L621 Q621:S621 Y685 P701:P706">
    <cfRule type="expression" dxfId="0" priority="2" stopIfTrue="1">
      <formula>$A1="begin group"</formula>
    </cfRule>
  </conditionalFormatting>
  <conditionalFormatting sqref="B1:C1402 D1:F1402 G1:H1 M1:O1402 P1 U1:U654 G171:H920 K259 K296 T307 T613 I621:L621 Q621:S621 Y621 U656:U1402 Y685 P701:P706">
    <cfRule type="expression" dxfId="1" priority="3" stopIfTrue="1">
      <formula>$A1="begin repeat"</formula>
    </cfRule>
  </conditionalFormatting>
  <conditionalFormatting sqref="B1:F1402 G1:H1 J1:J287 G171:H920 K288 J289:J1402 T307 T613 I621 K621:L621 N621 Y685">
    <cfRule type="expression" dxfId="31" priority="4" stopIfTrue="1">
      <formula>$A1="enumerator"</formula>
    </cfRule>
  </conditionalFormatting>
  <conditionalFormatting sqref="B1:F1402 G1:H1 J1:J287 G171:H920 K288 J289:J1402 T307 T613 I621 K621:L621 N621 Y685">
    <cfRule type="expression" dxfId="2" priority="5" stopIfTrue="1">
      <formula>$A1="text"</formula>
    </cfRule>
  </conditionalFormatting>
  <conditionalFormatting sqref="B1:F1402 G1:H1 K1:K287 L1:L604 G171:H920 K289:K1402 T307 L606:L1402 T613 I621:J621 O621:P621 Y685">
    <cfRule type="expression" dxfId="3" priority="6" stopIfTrue="1">
      <formula>$A1="integer"</formula>
    </cfRule>
  </conditionalFormatting>
  <conditionalFormatting sqref="B1:F1402 G1:H1 K1:K287 L1:L604 G171:H920 K289:K1402 T307 L606:L1402 T613 I621:J621 O621:P621 Y685">
    <cfRule type="expression" dxfId="4" priority="7" stopIfTrue="1">
      <formula>$A1="decimal"</formula>
    </cfRule>
  </conditionalFormatting>
  <conditionalFormatting sqref="B1:C1402 D1:F1402 G1:H1 J1:J287 G171:H920 K288 J289:J1402 T307 T613 I621 K621:L621 N621 Y685">
    <cfRule type="expression" dxfId="5" priority="8" stopIfTrue="1">
      <formula>OR(AND(LEFT($A1, 16)="select_multiple ", LEN($A1)&gt;16, NOT(ISNUMBER(SEARCH(" ", $A1, 17)))), AND(LEFT($A1, 11)="select_one ", LEN($A1)&gt;11, NOT(ISNUMBER(SEARCH(" ", $A1, 12)))))</formula>
    </cfRule>
  </conditionalFormatting>
  <conditionalFormatting sqref="B1:B1402 C1:H1 J1:J287 K288 J289:J1402 T307 C533:E533 T613 F621 N621 Y685 C823:C825">
    <cfRule type="expression" dxfId="6" priority="9" stopIfTrue="1">
      <formula>OR($A1="audio audit", $A1="text audit", $A1="speed violations count", $A1="speed violations list", $A1="speed violations audit")</formula>
    </cfRule>
  </conditionalFormatting>
  <conditionalFormatting sqref="B1:C1402 D1:F1402 G1:H1 G171:H920 T307 T613 I621:L621 Y685">
    <cfRule type="expression" dxfId="32" priority="10" stopIfTrue="1">
      <formula>$A1="file"</formula>
    </cfRule>
  </conditionalFormatting>
  <conditionalFormatting sqref="B1:C1402 D1:F1402 G1:H1 G171:H920 T307 T613 I621:L621 Y685">
    <cfRule type="expression" dxfId="7" priority="11" stopIfTrue="1">
      <formula>$A1="note"</formula>
    </cfRule>
  </conditionalFormatting>
  <conditionalFormatting sqref="B1:C1402 D1:F1402 G1:H1 G171:H920 T307 T613 I621:L621 Y685">
    <cfRule type="expression" dxfId="8" priority="12" stopIfTrue="1">
      <formula>$A1="barcode"</formula>
    </cfRule>
  </conditionalFormatting>
  <conditionalFormatting sqref="B1:C1402 D1:F1402 G1:H1 G171:H920 T307 T613 I621:L621 Y685">
    <cfRule type="expression" dxfId="9" priority="13" stopIfTrue="1">
      <formula>OR($A1="geopoint", $A1="geoshape", $A1="geotrace")</formula>
    </cfRule>
  </conditionalFormatting>
  <conditionalFormatting sqref="B1:B1402 C1:H1 T1:T602 A376 A402 A407 A421 C533:E533 T604:T654 F621 X621 U655 T656:T704 Y685 T706:T1402 C823:C825">
    <cfRule type="expression" dxfId="10" priority="14" stopIfTrue="1">
      <formula>OR($A1="calculate", $A1="calculate_here")</formula>
    </cfRule>
  </conditionalFormatting>
  <conditionalFormatting sqref="B1:C1402 D1:F1402 G1:H1 J1:J287 G171:H920 K288 J289:J1402 T307 T613 I621 K621:L621 N621 Y685">
    <cfRule type="expression" dxfId="11" priority="15" stopIfTrue="1">
      <formula>OR($A1="date", $A1="datetime", $A1="time")</formula>
    </cfRule>
  </conditionalFormatting>
  <conditionalFormatting sqref="B1:C1402 D1:F1402 G1:H1 J1:J287 G171:H920 K288 J289:J1402 T307 T613 I621 K621:L621 N621 Y685">
    <cfRule type="expression" dxfId="12" priority="16" stopIfTrue="1">
      <formula>$A1="image"</formula>
    </cfRule>
  </conditionalFormatting>
  <conditionalFormatting sqref="B1:C1402 D1:F1402 G1:H1 G171:H920 T307 T613 I621:L621 Y685">
    <cfRule type="expression" dxfId="13" priority="17" stopIfTrue="1">
      <formula>OR($A1="audio", $A1="video")</formula>
    </cfRule>
  </conditionalFormatting>
  <conditionalFormatting sqref="A1:AC1402 AD621:AG621">
    <cfRule type="expression" dxfId="33" priority="18" stopIfTrue="1">
      <formula>$A1="file"</formula>
    </cfRule>
  </conditionalFormatting>
  <conditionalFormatting sqref="A1:AC1402 AD621:AG621">
    <cfRule type="expression" dxfId="34" priority="19" stopIfTrue="1">
      <formula>$A1="enumerator"</formula>
    </cfRule>
  </conditionalFormatting>
  <conditionalFormatting sqref="A1:AC1402 AD621:AG621">
    <cfRule type="expression" dxfId="35" priority="20" stopIfTrue="1">
      <formula>OR(AND(LEFT($A1, 14)="sensor_stream ", LEN($A1)&gt;14, NOT(ISNUMBER(SEARCH(" ", $A1, 15)))), AND(LEFT($A1, 17)="sensor_statistic ", LEN($A1)&gt;17, NOT(ISNUMBER(SEARCH(" ", $A1, 18)))))</formula>
    </cfRule>
  </conditionalFormatting>
  <conditionalFormatting sqref="A1:AC1402 AD621:AG621">
    <cfRule type="expression" dxfId="14" priority="21" stopIfTrue="1">
      <formula>$A1="comments"</formula>
    </cfRule>
  </conditionalFormatting>
  <conditionalFormatting sqref="A1:AC1402 AD621:AG621">
    <cfRule type="expression" dxfId="15" priority="22" stopIfTrue="1">
      <formula>OR($A1="audio", $A1="video")</formula>
    </cfRule>
  </conditionalFormatting>
  <conditionalFormatting sqref="A1:AC1402 AD621:AG621">
    <cfRule type="expression" dxfId="16" priority="23" stopIfTrue="1">
      <formula>$A1="image"</formula>
    </cfRule>
  </conditionalFormatting>
  <conditionalFormatting sqref="A1:AC1402 AD621:AG621">
    <cfRule type="expression" dxfId="17" priority="24" stopIfTrue="1">
      <formula>OR($A1="date", $A1="datetime", $A1="time")</formula>
    </cfRule>
  </conditionalFormatting>
  <conditionalFormatting sqref="A1:AC1402 AD621:AG621">
    <cfRule type="expression" dxfId="18" priority="25" stopIfTrue="1">
      <formula>OR($A1="calculate", $A1="calculate_here")</formula>
    </cfRule>
  </conditionalFormatting>
  <conditionalFormatting sqref="A1:AC1402 AD621:AG621">
    <cfRule type="expression" dxfId="19" priority="26" stopIfTrue="1">
      <formula>$A1="note"</formula>
    </cfRule>
  </conditionalFormatting>
  <conditionalFormatting sqref="A1:AC1402 AD621:AG621">
    <cfRule type="expression" dxfId="20" priority="27" stopIfTrue="1">
      <formula>$A1="barcode"</formula>
    </cfRule>
  </conditionalFormatting>
  <conditionalFormatting sqref="A1:AC1402 AD621:AG621">
    <cfRule type="expression" dxfId="21" priority="28" stopIfTrue="1">
      <formula>OR($A1="geopoint", $A1="geoshape", $A1="geotrace")</formula>
    </cfRule>
  </conditionalFormatting>
  <conditionalFormatting sqref="A1:AC1402 AD621:AG621">
    <cfRule type="expression" dxfId="22" priority="29" stopIfTrue="1">
      <formula>OR($A1="audio audit", $A1="text audit", $A1="speed violations count", $A1="speed violations list", $A1="speed violations audit")</formula>
    </cfRule>
  </conditionalFormatting>
  <conditionalFormatting sqref="A1:AC1402 AD621:AG621">
    <cfRule type="expression" dxfId="23" priority="30" stopIfTrue="1">
      <formula>OR($A1="username", $A1="phonenumber", $A1="start", $A1="end", $A1="deviceid", $A1="subscriberid", $A1="simserial", $A1="caseid")</formula>
    </cfRule>
  </conditionalFormatting>
  <conditionalFormatting sqref="A1:AC1402 AD621:AG621">
    <cfRule type="expression" dxfId="24" priority="31" stopIfTrue="1">
      <formula>OR(AND(LEFT($A1, 16)="select_multiple ", LEN($A1)&gt;16, NOT(ISNUMBER(SEARCH(" ", $A1, 17)))), AND(LEFT($A1, 11)="select_one ", LEN($A1)&gt;11, NOT(ISNUMBER(SEARCH(" ", $A1, 12)))))</formula>
    </cfRule>
  </conditionalFormatting>
  <conditionalFormatting sqref="A1:AC1402 AD621:AG621">
    <cfRule type="expression" dxfId="25" priority="32" stopIfTrue="1">
      <formula>$A1="decimal"</formula>
    </cfRule>
  </conditionalFormatting>
  <conditionalFormatting sqref="A1:AC1402 AD621:AG621">
    <cfRule type="expression" dxfId="26" priority="33" stopIfTrue="1">
      <formula>$A1="integer"</formula>
    </cfRule>
  </conditionalFormatting>
  <conditionalFormatting sqref="A1:AC1402 AD621:AG621">
    <cfRule type="expression" dxfId="27" priority="34" stopIfTrue="1">
      <formula>$A1="text"</formula>
    </cfRule>
  </conditionalFormatting>
  <conditionalFormatting sqref="A1:AC1402 AD621:AG621">
    <cfRule type="expression" dxfId="28" priority="35" stopIfTrue="1">
      <formula>$A1="end repeat"</formula>
    </cfRule>
  </conditionalFormatting>
  <conditionalFormatting sqref="A1:AC1402 AD621:AG621">
    <cfRule type="expression" dxfId="28" priority="36" stopIfTrue="1">
      <formula>$A1="begin repeat"</formula>
    </cfRule>
  </conditionalFormatting>
  <conditionalFormatting sqref="A1:AC1402 AD621:AG621">
    <cfRule type="expression" dxfId="29" priority="37" stopIfTrue="1">
      <formula>$A1="end group"</formula>
    </cfRule>
  </conditionalFormatting>
  <conditionalFormatting sqref="A1:AC1402 AD621:AG621">
    <cfRule type="expression" dxfId="29" priority="38" stopIfTrue="1">
      <formula>$A1="begin group"</formula>
    </cfRule>
  </conditionalFormatting>
  <conditionalFormatting sqref="B1:B406 C1:H1 T307 B408:B1402 C533:E533 T613 F621 Y685 C823:C825">
    <cfRule type="expression" dxfId="30" priority="39" stopIfTrue="1">
      <formula>$A1="comments"</formula>
    </cfRule>
  </conditionalFormatting>
  <conditionalFormatting sqref="B1:B1402 C1:H1 J1:J287 K288 J289:J1402 T307 C533:E533 T613 F621 N621 Y685 C823:C825">
    <cfRule type="expression" dxfId="36" priority="40"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3" t="s">
        <v>4</v>
      </c>
      <c r="C1" s="6" t="s">
        <v>5</v>
      </c>
      <c r="D1" s="8" t="s">
        <v>6</v>
      </c>
      <c r="E1" s="8" t="s">
        <v>7</v>
      </c>
      <c r="F1" s="8" t="s">
        <v>8</v>
      </c>
      <c r="G1" s="3" t="s">
        <v>9</v>
      </c>
      <c r="H1" s="10" t="s">
        <v>10</v>
      </c>
      <c r="I1" s="13" t="s">
        <v>11</v>
      </c>
      <c r="J1" s="13" t="s">
        <v>15</v>
      </c>
      <c r="K1" s="15"/>
      <c r="L1" s="15"/>
      <c r="M1" s="15"/>
      <c r="N1" s="15"/>
      <c r="O1" s="15"/>
      <c r="P1" s="15"/>
      <c r="Q1" s="15"/>
      <c r="R1" s="15"/>
      <c r="S1" s="15"/>
      <c r="T1" s="15"/>
      <c r="U1" s="15"/>
      <c r="V1" s="15"/>
      <c r="W1" s="15"/>
      <c r="X1" s="15"/>
      <c r="Y1" s="15"/>
      <c r="Z1" s="15"/>
      <c r="AA1" s="15"/>
      <c r="AB1" s="15"/>
      <c r="AC1" s="15"/>
      <c r="AD1" s="15"/>
      <c r="AE1" s="15"/>
      <c r="AF1" s="15"/>
    </row>
    <row r="2" ht="15.75" customHeight="1">
      <c r="A2" s="21" t="s">
        <v>24</v>
      </c>
      <c r="B2" s="23">
        <v>1.0</v>
      </c>
      <c r="C2" s="25" t="s">
        <v>27</v>
      </c>
      <c r="D2" s="27" t="s">
        <v>31</v>
      </c>
      <c r="E2" s="27" t="s">
        <v>33</v>
      </c>
      <c r="F2" s="25"/>
      <c r="G2" s="25"/>
      <c r="H2" s="28"/>
      <c r="I2" s="28"/>
      <c r="J2" s="28"/>
      <c r="K2" s="28"/>
      <c r="L2" s="28"/>
      <c r="M2" s="28"/>
      <c r="N2" s="28"/>
      <c r="O2" s="28"/>
      <c r="P2" s="28"/>
      <c r="Q2" s="28"/>
      <c r="R2" s="28"/>
      <c r="S2" s="28"/>
      <c r="T2" s="28"/>
      <c r="U2" s="28"/>
      <c r="V2" s="28"/>
      <c r="W2" s="28"/>
      <c r="X2" s="28"/>
      <c r="Y2" s="28"/>
      <c r="Z2" s="28"/>
      <c r="AA2" s="28"/>
      <c r="AB2" s="28"/>
      <c r="AC2" s="28"/>
      <c r="AD2" s="28"/>
      <c r="AE2" s="28"/>
      <c r="AF2" s="28"/>
    </row>
    <row r="3" ht="15.75" customHeight="1">
      <c r="A3" s="30" t="s">
        <v>24</v>
      </c>
      <c r="B3" s="31">
        <v>0.0</v>
      </c>
      <c r="C3" s="32" t="s">
        <v>50</v>
      </c>
      <c r="D3" s="33" t="s">
        <v>51</v>
      </c>
      <c r="E3" s="33" t="s">
        <v>52</v>
      </c>
      <c r="F3" s="32"/>
      <c r="G3" s="32"/>
      <c r="H3" s="34"/>
      <c r="I3" s="34"/>
      <c r="J3" s="34"/>
      <c r="K3" s="34"/>
      <c r="L3" s="34"/>
      <c r="M3" s="34"/>
      <c r="N3" s="34"/>
      <c r="O3" s="34"/>
      <c r="P3" s="34"/>
      <c r="Q3" s="34"/>
      <c r="R3" s="34"/>
      <c r="S3" s="34"/>
      <c r="T3" s="34"/>
      <c r="U3" s="34"/>
      <c r="V3" s="34"/>
      <c r="W3" s="34"/>
      <c r="X3" s="34"/>
      <c r="Y3" s="34"/>
      <c r="Z3" s="34"/>
      <c r="AA3" s="34"/>
      <c r="AB3" s="34"/>
      <c r="AC3" s="34"/>
      <c r="AD3" s="34"/>
      <c r="AE3" s="34"/>
      <c r="AF3" s="34"/>
    </row>
    <row r="4" ht="15.75" customHeight="1">
      <c r="A4" s="30"/>
      <c r="B4" s="32"/>
      <c r="C4" s="32"/>
      <c r="D4" s="32"/>
      <c r="E4" s="32"/>
      <c r="F4" s="32"/>
      <c r="G4" s="32"/>
      <c r="H4" s="34"/>
      <c r="I4" s="34"/>
      <c r="J4" s="34"/>
      <c r="K4" s="34"/>
      <c r="L4" s="34"/>
      <c r="M4" s="34"/>
      <c r="N4" s="34"/>
      <c r="O4" s="34"/>
      <c r="P4" s="34"/>
      <c r="Q4" s="34"/>
      <c r="R4" s="34"/>
      <c r="S4" s="34"/>
      <c r="T4" s="34"/>
      <c r="U4" s="34"/>
      <c r="V4" s="34"/>
      <c r="W4" s="34"/>
      <c r="X4" s="34"/>
      <c r="Y4" s="34"/>
      <c r="Z4" s="34"/>
      <c r="AA4" s="34"/>
      <c r="AB4" s="34"/>
      <c r="AC4" s="34"/>
      <c r="AD4" s="34"/>
      <c r="AE4" s="34"/>
      <c r="AF4" s="34"/>
    </row>
    <row r="5" ht="15.75" customHeight="1">
      <c r="A5" s="46" t="s">
        <v>59</v>
      </c>
      <c r="B5" s="47">
        <v>3.0</v>
      </c>
      <c r="C5" s="49" t="s">
        <v>63</v>
      </c>
      <c r="D5" s="50" t="s">
        <v>64</v>
      </c>
      <c r="E5" s="50" t="s">
        <v>66</v>
      </c>
      <c r="F5" s="51"/>
      <c r="G5" s="52">
        <v>3.0</v>
      </c>
      <c r="H5" s="51"/>
      <c r="I5" s="51"/>
      <c r="J5" s="51"/>
      <c r="K5" s="51"/>
      <c r="L5" s="51"/>
      <c r="M5" s="51"/>
      <c r="N5" s="51"/>
      <c r="O5" s="51"/>
      <c r="P5" s="51"/>
      <c r="Q5" s="51"/>
      <c r="R5" s="51"/>
      <c r="S5" s="51"/>
      <c r="T5" s="51"/>
      <c r="U5" s="51"/>
      <c r="V5" s="51"/>
      <c r="W5" s="51"/>
      <c r="X5" s="51"/>
      <c r="Y5" s="51"/>
      <c r="Z5" s="51"/>
      <c r="AA5" s="51"/>
      <c r="AB5" s="51"/>
      <c r="AC5" s="51"/>
      <c r="AD5" s="51"/>
      <c r="AE5" s="51"/>
      <c r="AF5" s="51"/>
    </row>
    <row r="6" ht="15.75" customHeight="1">
      <c r="A6" s="21" t="s">
        <v>59</v>
      </c>
      <c r="B6" s="53">
        <v>5.0</v>
      </c>
      <c r="C6" s="54" t="s">
        <v>72</v>
      </c>
      <c r="D6" s="55" t="s">
        <v>73</v>
      </c>
      <c r="E6" s="55" t="s">
        <v>74</v>
      </c>
      <c r="F6" s="56"/>
      <c r="G6" s="58">
        <v>5.0</v>
      </c>
      <c r="H6" s="28"/>
      <c r="I6" s="28"/>
      <c r="J6" s="28"/>
      <c r="K6" s="28"/>
      <c r="L6" s="28"/>
      <c r="M6" s="28"/>
      <c r="N6" s="28"/>
      <c r="O6" s="28"/>
      <c r="P6" s="28"/>
      <c r="Q6" s="28"/>
      <c r="R6" s="28"/>
      <c r="S6" s="28"/>
      <c r="T6" s="28"/>
      <c r="U6" s="28"/>
      <c r="V6" s="28"/>
      <c r="W6" s="28"/>
      <c r="X6" s="28"/>
      <c r="Y6" s="28"/>
      <c r="Z6" s="28"/>
      <c r="AA6" s="28"/>
      <c r="AB6" s="28"/>
      <c r="AC6" s="28"/>
      <c r="AD6" s="28"/>
      <c r="AE6" s="28"/>
      <c r="AF6" s="28"/>
    </row>
    <row r="7" ht="15.75" customHeight="1">
      <c r="A7" s="21" t="s">
        <v>59</v>
      </c>
      <c r="B7" s="60">
        <v>7.0</v>
      </c>
      <c r="C7" s="58" t="s">
        <v>80</v>
      </c>
      <c r="D7" s="58" t="s">
        <v>81</v>
      </c>
      <c r="E7" s="58" t="s">
        <v>82</v>
      </c>
      <c r="G7" s="58">
        <v>7.0</v>
      </c>
      <c r="H7" s="28"/>
      <c r="I7" s="28"/>
      <c r="J7" s="28"/>
      <c r="K7" s="28"/>
      <c r="L7" s="28"/>
      <c r="M7" s="28"/>
      <c r="N7" s="28"/>
      <c r="O7" s="28"/>
      <c r="P7" s="28"/>
      <c r="Q7" s="28"/>
      <c r="R7" s="28"/>
      <c r="S7" s="28"/>
      <c r="T7" s="28"/>
      <c r="U7" s="28"/>
      <c r="V7" s="28"/>
      <c r="W7" s="28"/>
      <c r="X7" s="28"/>
      <c r="Y7" s="28"/>
      <c r="Z7" s="28"/>
      <c r="AA7" s="28"/>
      <c r="AB7" s="28"/>
      <c r="AC7" s="28"/>
      <c r="AD7" s="28"/>
      <c r="AE7" s="28"/>
      <c r="AF7" s="28"/>
    </row>
    <row r="8" ht="15.75" customHeight="1">
      <c r="A8" s="30"/>
      <c r="B8" s="32"/>
      <c r="C8" s="32"/>
      <c r="D8" s="32"/>
      <c r="E8" s="32"/>
      <c r="F8" s="32"/>
      <c r="G8" s="32"/>
      <c r="H8" s="34"/>
      <c r="I8" s="34"/>
      <c r="J8" s="34"/>
      <c r="K8" s="34"/>
      <c r="L8" s="34"/>
      <c r="M8" s="34"/>
      <c r="N8" s="34"/>
      <c r="O8" s="34"/>
      <c r="P8" s="34"/>
      <c r="Q8" s="34"/>
      <c r="R8" s="34"/>
      <c r="S8" s="34"/>
      <c r="T8" s="34"/>
      <c r="U8" s="34"/>
      <c r="V8" s="34"/>
      <c r="W8" s="34"/>
      <c r="X8" s="34"/>
      <c r="Y8" s="34"/>
      <c r="Z8" s="34"/>
      <c r="AA8" s="34"/>
      <c r="AB8" s="34"/>
      <c r="AC8" s="34"/>
      <c r="AD8" s="34"/>
      <c r="AE8" s="34"/>
      <c r="AF8" s="34"/>
    </row>
    <row r="9" ht="15.75" customHeight="1">
      <c r="A9" s="21" t="s">
        <v>97</v>
      </c>
      <c r="B9" s="23">
        <v>1.0</v>
      </c>
      <c r="C9" s="62" t="s">
        <v>27</v>
      </c>
      <c r="D9" s="63" t="s">
        <v>31</v>
      </c>
      <c r="E9" s="63" t="s">
        <v>33</v>
      </c>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ht="15.75" customHeight="1">
      <c r="A10" s="21" t="s">
        <v>97</v>
      </c>
      <c r="B10" s="23">
        <v>0.0</v>
      </c>
      <c r="C10" s="62" t="s">
        <v>50</v>
      </c>
      <c r="D10" s="63" t="s">
        <v>51</v>
      </c>
      <c r="E10" s="63" t="s">
        <v>108</v>
      </c>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ht="15.75" customHeight="1">
      <c r="A11" s="30" t="s">
        <v>97</v>
      </c>
      <c r="B11" s="31">
        <v>-999.0</v>
      </c>
      <c r="C11" s="63" t="s">
        <v>116</v>
      </c>
      <c r="D11" s="63" t="s">
        <v>117</v>
      </c>
      <c r="E11" s="63" t="s">
        <v>118</v>
      </c>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row>
    <row r="12" ht="15.75" customHeight="1">
      <c r="A12" s="30"/>
      <c r="B12" s="32"/>
      <c r="C12" s="32"/>
      <c r="D12" s="32"/>
      <c r="E12" s="32"/>
      <c r="F12" s="32"/>
      <c r="G12" s="32"/>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row>
    <row r="13" ht="15.75" customHeight="1">
      <c r="A13" s="73" t="s">
        <v>124</v>
      </c>
      <c r="B13" s="33" t="s">
        <v>125</v>
      </c>
      <c r="C13" s="33" t="s">
        <v>126</v>
      </c>
      <c r="D13" s="33" t="s">
        <v>126</v>
      </c>
      <c r="E13" s="33" t="s">
        <v>126</v>
      </c>
      <c r="F13" s="33"/>
      <c r="G13" s="33"/>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ht="15.75" customHeight="1">
      <c r="A14" s="73" t="s">
        <v>124</v>
      </c>
      <c r="B14" s="80">
        <v>-777.0</v>
      </c>
      <c r="C14" s="81" t="s">
        <v>132</v>
      </c>
      <c r="D14" s="81" t="s">
        <v>133</v>
      </c>
      <c r="E14" s="33" t="s">
        <v>134</v>
      </c>
      <c r="F14" s="33"/>
      <c r="G14" s="33"/>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row>
    <row r="15" ht="15.75" customHeight="1">
      <c r="A15" s="73"/>
      <c r="B15" s="33"/>
      <c r="C15" s="33"/>
      <c r="D15" s="33"/>
      <c r="E15" s="33"/>
      <c r="F15" s="33"/>
      <c r="G15" s="33"/>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row>
    <row r="16" ht="15.75" customHeight="1">
      <c r="A16" s="73" t="s">
        <v>144</v>
      </c>
      <c r="B16" s="33" t="s">
        <v>145</v>
      </c>
      <c r="C16" s="33" t="s">
        <v>146</v>
      </c>
      <c r="D16" s="33" t="s">
        <v>146</v>
      </c>
      <c r="E16" s="33" t="s">
        <v>146</v>
      </c>
      <c r="F16" s="33"/>
      <c r="G16" s="33"/>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row>
    <row r="17" ht="15.75" customHeight="1">
      <c r="A17" s="30"/>
      <c r="B17" s="32"/>
      <c r="C17" s="32"/>
      <c r="D17" s="32"/>
      <c r="E17" s="32"/>
      <c r="F17" s="32"/>
      <c r="G17" s="32"/>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row>
    <row r="18" ht="15.75" customHeight="1">
      <c r="A18" s="73" t="s">
        <v>155</v>
      </c>
      <c r="B18" s="33" t="s">
        <v>156</v>
      </c>
      <c r="C18" s="33" t="s">
        <v>157</v>
      </c>
      <c r="D18" s="33" t="s">
        <v>157</v>
      </c>
      <c r="E18" s="86" t="s">
        <v>157</v>
      </c>
      <c r="F18" s="32"/>
      <c r="G18" s="32"/>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row>
    <row r="19" ht="15.75" customHeight="1">
      <c r="A19" s="30"/>
      <c r="B19" s="32"/>
      <c r="C19" s="32"/>
      <c r="D19" s="32"/>
      <c r="E19" s="32"/>
      <c r="F19" s="32"/>
      <c r="G19" s="32"/>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row>
    <row r="20" ht="15.75" customHeight="1">
      <c r="A20" s="73" t="s">
        <v>162</v>
      </c>
      <c r="B20" s="33" t="s">
        <v>163</v>
      </c>
      <c r="C20" s="33" t="s">
        <v>164</v>
      </c>
      <c r="D20" s="33" t="s">
        <v>164</v>
      </c>
      <c r="E20" s="33" t="s">
        <v>164</v>
      </c>
      <c r="F20" s="32"/>
      <c r="G20" s="32"/>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row>
    <row r="22" ht="15.75" customHeight="1">
      <c r="A22" s="92" t="s">
        <v>169</v>
      </c>
      <c r="B22" s="93">
        <v>1.0</v>
      </c>
      <c r="C22" s="27" t="s">
        <v>171</v>
      </c>
      <c r="D22" s="27" t="s">
        <v>172</v>
      </c>
      <c r="E22" s="94" t="s">
        <v>172</v>
      </c>
      <c r="F22" s="25"/>
      <c r="G22" s="23">
        <v>1.0</v>
      </c>
      <c r="H22" s="95">
        <v>2.0</v>
      </c>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ht="15.75" customHeight="1">
      <c r="A23" s="92" t="s">
        <v>169</v>
      </c>
      <c r="B23" s="93">
        <v>2.0</v>
      </c>
      <c r="C23" s="27" t="s">
        <v>177</v>
      </c>
      <c r="D23" s="27" t="s">
        <v>178</v>
      </c>
      <c r="E23" s="94" t="s">
        <v>178</v>
      </c>
      <c r="F23" s="25"/>
      <c r="G23" s="25"/>
      <c r="H23" s="95">
        <v>2.0</v>
      </c>
      <c r="I23" s="95">
        <v>1.0</v>
      </c>
      <c r="J23" s="28"/>
      <c r="K23" s="28"/>
      <c r="L23" s="28"/>
      <c r="M23" s="28"/>
      <c r="N23" s="28"/>
      <c r="O23" s="28"/>
      <c r="P23" s="28"/>
      <c r="Q23" s="28"/>
      <c r="R23" s="28"/>
      <c r="S23" s="28"/>
      <c r="T23" s="28"/>
      <c r="U23" s="28"/>
      <c r="V23" s="28"/>
      <c r="W23" s="28"/>
      <c r="X23" s="28"/>
      <c r="Y23" s="28"/>
      <c r="Z23" s="28"/>
      <c r="AA23" s="28"/>
      <c r="AB23" s="28"/>
      <c r="AC23" s="28"/>
      <c r="AD23" s="28"/>
      <c r="AE23" s="28"/>
      <c r="AF23" s="28"/>
    </row>
    <row r="24" ht="15.75" customHeight="1">
      <c r="A24" s="92" t="s">
        <v>169</v>
      </c>
      <c r="B24" s="99">
        <v>3.0</v>
      </c>
      <c r="C24" s="100" t="s">
        <v>181</v>
      </c>
      <c r="D24" s="100" t="s">
        <v>181</v>
      </c>
      <c r="E24" s="100" t="s">
        <v>181</v>
      </c>
      <c r="F24" s="101"/>
      <c r="G24" s="101"/>
      <c r="H24" s="102">
        <v>2.0</v>
      </c>
      <c r="I24" s="28"/>
      <c r="J24" s="58">
        <v>1.0</v>
      </c>
      <c r="K24" s="28"/>
      <c r="L24" s="28"/>
      <c r="M24" s="28"/>
      <c r="N24" s="28"/>
      <c r="O24" s="28"/>
      <c r="P24" s="28"/>
      <c r="Q24" s="28"/>
      <c r="R24" s="28"/>
      <c r="S24" s="28"/>
      <c r="T24" s="28"/>
      <c r="U24" s="28"/>
      <c r="V24" s="28"/>
      <c r="W24" s="28"/>
      <c r="X24" s="28"/>
      <c r="Y24" s="28"/>
      <c r="Z24" s="28"/>
      <c r="AA24" s="28"/>
      <c r="AB24" s="28"/>
      <c r="AC24" s="28"/>
      <c r="AD24" s="28"/>
      <c r="AE24" s="28"/>
      <c r="AF24" s="28"/>
    </row>
    <row r="25" ht="15.75" customHeight="1">
      <c r="A25" s="73" t="s">
        <v>169</v>
      </c>
      <c r="B25" s="103">
        <v>0.0</v>
      </c>
      <c r="C25" s="33" t="s">
        <v>186</v>
      </c>
      <c r="D25" s="81" t="s">
        <v>188</v>
      </c>
      <c r="E25" s="33" t="s">
        <v>189</v>
      </c>
      <c r="F25" s="32"/>
      <c r="G25" s="32" t="s">
        <v>27</v>
      </c>
      <c r="H25" s="104">
        <v>2.0</v>
      </c>
      <c r="I25" s="34"/>
      <c r="J25" s="34"/>
      <c r="K25" s="34"/>
      <c r="L25" s="34"/>
      <c r="M25" s="34"/>
      <c r="N25" s="34"/>
      <c r="O25" s="34"/>
      <c r="P25" s="34"/>
      <c r="Q25" s="34"/>
      <c r="R25" s="34"/>
      <c r="S25" s="34"/>
      <c r="T25" s="34"/>
      <c r="U25" s="34"/>
      <c r="V25" s="34"/>
      <c r="W25" s="34"/>
      <c r="X25" s="34"/>
      <c r="Y25" s="34"/>
      <c r="Z25" s="34"/>
      <c r="AA25" s="34"/>
      <c r="AB25" s="34"/>
      <c r="AC25" s="34"/>
      <c r="AD25" s="34"/>
      <c r="AE25" s="34"/>
      <c r="AF25" s="34"/>
    </row>
    <row r="26" ht="15.75" customHeight="1">
      <c r="A26" s="107"/>
      <c r="B26" s="108"/>
      <c r="C26" s="107"/>
      <c r="D26" s="107"/>
      <c r="E26" s="107"/>
      <c r="F26" s="28"/>
      <c r="G26" s="28"/>
      <c r="H26" s="95"/>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ht="15.75" customHeight="1">
      <c r="A27" s="58" t="s">
        <v>195</v>
      </c>
      <c r="B27" s="102">
        <v>1.0</v>
      </c>
      <c r="C27" s="109" t="s">
        <v>196</v>
      </c>
      <c r="D27" s="109" t="s">
        <v>199</v>
      </c>
      <c r="E27" s="110" t="s">
        <v>200</v>
      </c>
      <c r="F27" s="28"/>
      <c r="G27" s="28"/>
      <c r="H27" s="95"/>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ht="15.75" customHeight="1">
      <c r="A28" s="58" t="s">
        <v>195</v>
      </c>
      <c r="B28" s="102">
        <v>2.0</v>
      </c>
      <c r="C28" s="109" t="s">
        <v>205</v>
      </c>
      <c r="D28" s="109" t="s">
        <v>206</v>
      </c>
      <c r="E28" s="112" t="s">
        <v>208</v>
      </c>
      <c r="F28" s="28"/>
      <c r="G28" s="58">
        <v>1.0</v>
      </c>
      <c r="H28" s="95"/>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ht="15.75" customHeight="1">
      <c r="A29" s="58"/>
      <c r="B29" s="102"/>
      <c r="C29" s="58"/>
      <c r="D29" s="58"/>
      <c r="E29" s="58"/>
      <c r="F29" s="28"/>
      <c r="G29" s="28"/>
      <c r="H29" s="95"/>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ht="15.75" customHeight="1">
      <c r="A30" s="58" t="s">
        <v>214</v>
      </c>
      <c r="B30" s="102" t="s">
        <v>216</v>
      </c>
      <c r="C30" s="58" t="s">
        <v>168</v>
      </c>
      <c r="D30" s="58" t="s">
        <v>168</v>
      </c>
      <c r="E30" s="58" t="s">
        <v>168</v>
      </c>
      <c r="F30" s="28"/>
      <c r="G30" s="28"/>
      <c r="H30" s="95"/>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ht="15.75" customHeight="1">
      <c r="A31" s="58"/>
      <c r="B31" s="102"/>
      <c r="C31" s="58"/>
      <c r="D31" s="58"/>
      <c r="E31" s="58"/>
      <c r="F31" s="28"/>
      <c r="G31" s="28"/>
      <c r="H31" s="95"/>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ht="15.75" customHeight="1">
      <c r="A32" s="114" t="s">
        <v>222</v>
      </c>
      <c r="B32" s="116">
        <v>1.0</v>
      </c>
      <c r="C32" s="117" t="s">
        <v>224</v>
      </c>
      <c r="D32" s="118" t="s">
        <v>225</v>
      </c>
      <c r="E32" s="118" t="s">
        <v>227</v>
      </c>
      <c r="F32" s="119"/>
      <c r="G32" s="119"/>
      <c r="H32" s="51"/>
      <c r="I32" s="51"/>
      <c r="J32" s="51"/>
      <c r="K32" s="51"/>
      <c r="L32" s="51"/>
      <c r="M32" s="51"/>
      <c r="N32" s="51"/>
      <c r="O32" s="51"/>
      <c r="P32" s="51"/>
      <c r="Q32" s="51"/>
      <c r="R32" s="51"/>
      <c r="S32" s="51"/>
      <c r="T32" s="51"/>
      <c r="U32" s="51"/>
      <c r="V32" s="51"/>
      <c r="W32" s="51"/>
      <c r="X32" s="51"/>
      <c r="Y32" s="51"/>
      <c r="Z32" s="51"/>
      <c r="AA32" s="51"/>
      <c r="AB32" s="51"/>
      <c r="AC32" s="51"/>
      <c r="AD32" s="51"/>
      <c r="AE32" s="28"/>
      <c r="AF32" s="28"/>
    </row>
    <row r="33" ht="15.75" customHeight="1">
      <c r="A33" s="73" t="s">
        <v>222</v>
      </c>
      <c r="B33" s="103">
        <v>0.0</v>
      </c>
      <c r="C33" s="121" t="s">
        <v>233</v>
      </c>
      <c r="D33" s="121" t="s">
        <v>234</v>
      </c>
      <c r="E33" s="121" t="s">
        <v>236</v>
      </c>
      <c r="F33" s="32"/>
      <c r="G33" s="32"/>
      <c r="H33" s="34"/>
      <c r="I33" s="34"/>
      <c r="J33" s="34"/>
      <c r="K33" s="34"/>
      <c r="L33" s="34"/>
      <c r="M33" s="34"/>
      <c r="N33" s="34"/>
      <c r="O33" s="34"/>
      <c r="P33" s="34"/>
      <c r="Q33" s="34"/>
      <c r="R33" s="34"/>
      <c r="S33" s="34"/>
      <c r="T33" s="34"/>
      <c r="U33" s="34"/>
      <c r="V33" s="34"/>
      <c r="W33" s="34"/>
      <c r="X33" s="34"/>
      <c r="Y33" s="34"/>
      <c r="Z33" s="34"/>
      <c r="AA33" s="34"/>
      <c r="AB33" s="34"/>
      <c r="AC33" s="34"/>
      <c r="AD33" s="34"/>
      <c r="AE33" s="28"/>
      <c r="AF33" s="28"/>
    </row>
    <row r="34" ht="15.75" customHeight="1">
      <c r="A34" s="58"/>
      <c r="B34" s="102"/>
      <c r="C34" s="58"/>
      <c r="D34" s="58"/>
      <c r="E34" s="58"/>
      <c r="F34" s="28"/>
      <c r="G34" s="28"/>
      <c r="H34" s="95"/>
      <c r="I34" s="28"/>
      <c r="J34" s="28"/>
      <c r="K34" s="28"/>
      <c r="L34" s="28"/>
      <c r="M34" s="28"/>
      <c r="N34" s="28"/>
      <c r="O34" s="28"/>
      <c r="P34" s="28"/>
      <c r="Q34" s="28"/>
      <c r="R34" s="28"/>
      <c r="S34" s="28"/>
      <c r="T34" s="28"/>
      <c r="U34" s="28"/>
      <c r="V34" s="28"/>
      <c r="W34" s="28"/>
      <c r="X34" s="28"/>
      <c r="Y34" s="28"/>
      <c r="Z34" s="28"/>
      <c r="AA34" s="28"/>
      <c r="AB34" s="28"/>
      <c r="AC34" s="28"/>
      <c r="AD34" s="28"/>
      <c r="AE34" s="28"/>
      <c r="AF34" s="28"/>
    </row>
    <row r="35" ht="15.75" customHeight="1">
      <c r="A35" s="114" t="s">
        <v>248</v>
      </c>
      <c r="B35" s="116">
        <v>1.0</v>
      </c>
      <c r="C35" s="123" t="s">
        <v>249</v>
      </c>
      <c r="D35" s="123" t="s">
        <v>251</v>
      </c>
      <c r="E35" s="123" t="s">
        <v>253</v>
      </c>
      <c r="F35" s="119"/>
      <c r="G35" s="119"/>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row>
    <row r="36" ht="15.75" customHeight="1">
      <c r="A36" s="92" t="s">
        <v>248</v>
      </c>
      <c r="B36" s="93">
        <v>2.0</v>
      </c>
      <c r="C36" s="27" t="s">
        <v>255</v>
      </c>
      <c r="D36" s="27" t="s">
        <v>257</v>
      </c>
      <c r="E36" s="27" t="s">
        <v>259</v>
      </c>
      <c r="F36" s="25"/>
      <c r="G36" s="25"/>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row>
    <row r="37" ht="15.75" customHeight="1">
      <c r="A37" s="92" t="s">
        <v>248</v>
      </c>
      <c r="B37" s="93">
        <v>3.0</v>
      </c>
      <c r="C37" s="27" t="s">
        <v>262</v>
      </c>
      <c r="D37" s="27" t="s">
        <v>263</v>
      </c>
      <c r="E37" s="27" t="s">
        <v>264</v>
      </c>
      <c r="F37" s="25"/>
      <c r="G37" s="25"/>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row>
    <row r="38" ht="15.75" customHeight="1">
      <c r="A38" s="92" t="s">
        <v>248</v>
      </c>
      <c r="B38" s="93">
        <v>4.0</v>
      </c>
      <c r="C38" s="27" t="s">
        <v>270</v>
      </c>
      <c r="D38" s="27" t="s">
        <v>271</v>
      </c>
      <c r="E38" s="27" t="s">
        <v>273</v>
      </c>
      <c r="F38" s="25"/>
      <c r="G38" s="25"/>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row>
    <row r="39" ht="15.75" customHeight="1">
      <c r="A39" s="92" t="s">
        <v>248</v>
      </c>
      <c r="B39" s="93">
        <v>5.0</v>
      </c>
      <c r="C39" s="27" t="s">
        <v>274</v>
      </c>
      <c r="D39" s="27" t="s">
        <v>275</v>
      </c>
      <c r="E39" s="27" t="s">
        <v>276</v>
      </c>
      <c r="F39" s="25"/>
      <c r="G39" s="25"/>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row>
    <row r="40" ht="15.75" customHeight="1">
      <c r="A40" s="92" t="s">
        <v>248</v>
      </c>
      <c r="B40" s="93">
        <v>6.0</v>
      </c>
      <c r="C40" s="27" t="s">
        <v>281</v>
      </c>
      <c r="D40" s="27" t="s">
        <v>282</v>
      </c>
      <c r="E40" s="94" t="s">
        <v>283</v>
      </c>
      <c r="F40" s="25"/>
      <c r="G40" s="25"/>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row>
    <row r="41" ht="15.75" customHeight="1">
      <c r="A41" s="92" t="s">
        <v>248</v>
      </c>
      <c r="B41" s="93">
        <v>7.0</v>
      </c>
      <c r="C41" s="27" t="s">
        <v>284</v>
      </c>
      <c r="D41" s="27" t="s">
        <v>284</v>
      </c>
      <c r="E41" s="27" t="s">
        <v>285</v>
      </c>
      <c r="F41" s="25"/>
      <c r="G41" s="25"/>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row>
    <row r="42" ht="15.75" customHeight="1">
      <c r="A42" s="92" t="s">
        <v>248</v>
      </c>
      <c r="B42" s="93">
        <v>8.0</v>
      </c>
      <c r="C42" s="27" t="s">
        <v>288</v>
      </c>
      <c r="D42" s="27" t="s">
        <v>289</v>
      </c>
      <c r="E42" s="27" t="s">
        <v>290</v>
      </c>
      <c r="F42" s="25"/>
      <c r="G42" s="25"/>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row>
    <row r="43" ht="15.75" customHeight="1">
      <c r="A43" s="92" t="s">
        <v>248</v>
      </c>
      <c r="B43" s="93">
        <v>9.0</v>
      </c>
      <c r="C43" s="27" t="s">
        <v>293</v>
      </c>
      <c r="D43" s="27" t="s">
        <v>294</v>
      </c>
      <c r="E43" s="94" t="s">
        <v>295</v>
      </c>
      <c r="F43" s="25"/>
      <c r="G43" s="25"/>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row>
    <row r="44" ht="15.75" customHeight="1">
      <c r="A44" s="92" t="s">
        <v>248</v>
      </c>
      <c r="B44" s="93">
        <v>10.0</v>
      </c>
      <c r="C44" s="27" t="s">
        <v>298</v>
      </c>
      <c r="D44" s="27" t="s">
        <v>299</v>
      </c>
      <c r="E44" s="27" t="s">
        <v>301</v>
      </c>
      <c r="F44" s="25"/>
      <c r="G44" s="25"/>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row>
    <row r="45" ht="15.75" customHeight="1">
      <c r="A45" s="92" t="s">
        <v>248</v>
      </c>
      <c r="B45" s="93">
        <v>11.0</v>
      </c>
      <c r="C45" s="27" t="s">
        <v>308</v>
      </c>
      <c r="D45" s="27" t="s">
        <v>310</v>
      </c>
      <c r="E45" s="27" t="s">
        <v>311</v>
      </c>
      <c r="F45" s="25"/>
      <c r="G45" s="25"/>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row>
    <row r="46" ht="15.75" customHeight="1">
      <c r="A46" s="92" t="s">
        <v>248</v>
      </c>
      <c r="B46" s="93">
        <v>13.0</v>
      </c>
      <c r="C46" s="27" t="s">
        <v>314</v>
      </c>
      <c r="D46" s="27" t="s">
        <v>316</v>
      </c>
      <c r="E46" s="27" t="s">
        <v>317</v>
      </c>
      <c r="F46" s="25"/>
      <c r="G46" s="25"/>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row>
    <row r="47" ht="15.75" customHeight="1">
      <c r="A47" s="92" t="s">
        <v>248</v>
      </c>
      <c r="B47" s="93">
        <v>14.0</v>
      </c>
      <c r="C47" s="27" t="s">
        <v>320</v>
      </c>
      <c r="D47" s="27" t="s">
        <v>321</v>
      </c>
      <c r="E47" s="27" t="s">
        <v>322</v>
      </c>
      <c r="F47" s="25"/>
      <c r="G47" s="25"/>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row>
    <row r="48" ht="15.75" customHeight="1">
      <c r="A48" s="73" t="s">
        <v>248</v>
      </c>
      <c r="B48" s="103">
        <v>-99.0</v>
      </c>
      <c r="C48" s="33" t="s">
        <v>326</v>
      </c>
      <c r="D48" s="33" t="s">
        <v>327</v>
      </c>
      <c r="E48" s="33" t="s">
        <v>328</v>
      </c>
      <c r="F48" s="32"/>
      <c r="G48" s="32"/>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row>
    <row r="49" ht="15.75" customHeight="1">
      <c r="A49" s="58"/>
      <c r="B49" s="102"/>
      <c r="C49" s="58"/>
      <c r="D49" s="58"/>
      <c r="E49" s="58"/>
      <c r="F49" s="28"/>
      <c r="G49" s="28"/>
      <c r="H49" s="95"/>
      <c r="I49" s="28"/>
      <c r="J49" s="28"/>
      <c r="K49" s="28"/>
      <c r="L49" s="28"/>
      <c r="M49" s="28"/>
      <c r="N49" s="28"/>
      <c r="O49" s="28"/>
      <c r="P49" s="28"/>
      <c r="Q49" s="28"/>
      <c r="R49" s="28"/>
      <c r="S49" s="28"/>
      <c r="T49" s="28"/>
      <c r="U49" s="28"/>
      <c r="V49" s="28"/>
      <c r="W49" s="28"/>
      <c r="X49" s="28"/>
      <c r="Y49" s="28"/>
      <c r="Z49" s="28"/>
      <c r="AA49" s="28"/>
      <c r="AB49" s="28"/>
      <c r="AC49" s="28"/>
      <c r="AD49" s="28"/>
      <c r="AE49" s="28"/>
      <c r="AF49" s="28"/>
    </row>
    <row r="50" ht="15.75" customHeight="1">
      <c r="A50" s="114" t="s">
        <v>332</v>
      </c>
      <c r="B50" s="116">
        <v>0.0</v>
      </c>
      <c r="C50" s="123" t="s">
        <v>333</v>
      </c>
      <c r="D50" s="123" t="s">
        <v>334</v>
      </c>
      <c r="E50" s="123" t="s">
        <v>335</v>
      </c>
      <c r="F50" s="119"/>
      <c r="G50" s="119"/>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row>
    <row r="51" ht="15.75" customHeight="1">
      <c r="A51" s="92" t="s">
        <v>332</v>
      </c>
      <c r="B51" s="93">
        <v>1.0</v>
      </c>
      <c r="C51" s="27" t="s">
        <v>338</v>
      </c>
      <c r="D51" s="27" t="s">
        <v>339</v>
      </c>
      <c r="E51" s="94" t="s">
        <v>341</v>
      </c>
      <c r="F51" s="25"/>
      <c r="G51" s="25"/>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row>
    <row r="52" ht="15.75" customHeight="1">
      <c r="A52" s="92" t="s">
        <v>332</v>
      </c>
      <c r="B52" s="93">
        <v>2.0</v>
      </c>
      <c r="C52" s="27" t="s">
        <v>344</v>
      </c>
      <c r="D52" s="27" t="s">
        <v>346</v>
      </c>
      <c r="E52" s="27" t="s">
        <v>347</v>
      </c>
      <c r="F52" s="25"/>
      <c r="G52" s="25"/>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row>
    <row r="53" ht="15.75" customHeight="1">
      <c r="A53" s="73" t="s">
        <v>332</v>
      </c>
      <c r="B53" s="103">
        <v>-999.0</v>
      </c>
      <c r="C53" s="33" t="s">
        <v>116</v>
      </c>
      <c r="D53" s="33" t="s">
        <v>117</v>
      </c>
      <c r="E53" s="33" t="s">
        <v>118</v>
      </c>
      <c r="F53" s="32"/>
      <c r="G53" s="32"/>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row>
    <row r="54" ht="15.75" customHeight="1">
      <c r="A54" s="58"/>
      <c r="B54" s="102"/>
      <c r="C54" s="58"/>
      <c r="D54" s="58"/>
      <c r="E54" s="58"/>
      <c r="F54" s="28"/>
      <c r="G54" s="28"/>
      <c r="H54" s="95"/>
      <c r="I54" s="28"/>
      <c r="J54" s="28"/>
      <c r="K54" s="28"/>
      <c r="L54" s="28"/>
      <c r="M54" s="28"/>
      <c r="N54" s="28"/>
      <c r="O54" s="28"/>
      <c r="P54" s="28"/>
      <c r="Q54" s="28"/>
      <c r="R54" s="28"/>
      <c r="S54" s="28"/>
      <c r="T54" s="28"/>
      <c r="U54" s="28"/>
      <c r="V54" s="28"/>
      <c r="W54" s="28"/>
      <c r="X54" s="28"/>
      <c r="Y54" s="28"/>
      <c r="Z54" s="28"/>
      <c r="AA54" s="28"/>
      <c r="AB54" s="28"/>
      <c r="AC54" s="28"/>
      <c r="AD54" s="28"/>
      <c r="AE54" s="28"/>
      <c r="AF54" s="28"/>
    </row>
    <row r="55" ht="15.75" customHeight="1">
      <c r="A55" s="114" t="s">
        <v>353</v>
      </c>
      <c r="B55" s="116">
        <v>1.0</v>
      </c>
      <c r="C55" s="117" t="s">
        <v>354</v>
      </c>
      <c r="D55" s="118" t="s">
        <v>355</v>
      </c>
      <c r="E55" s="118" t="s">
        <v>356</v>
      </c>
      <c r="F55" s="119"/>
      <c r="G55" s="119"/>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row>
    <row r="56" ht="15.75" customHeight="1">
      <c r="A56" s="92" t="s">
        <v>353</v>
      </c>
      <c r="B56" s="93">
        <v>2.0</v>
      </c>
      <c r="C56" s="157" t="s">
        <v>362</v>
      </c>
      <c r="D56" s="121" t="s">
        <v>363</v>
      </c>
      <c r="E56" s="121" t="s">
        <v>364</v>
      </c>
      <c r="F56" s="25"/>
      <c r="G56" s="25"/>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row>
    <row r="57" ht="15.75" customHeight="1">
      <c r="A57" s="92" t="s">
        <v>353</v>
      </c>
      <c r="B57" s="93">
        <v>3.0</v>
      </c>
      <c r="C57" s="157" t="s">
        <v>367</v>
      </c>
      <c r="D57" s="121" t="s">
        <v>367</v>
      </c>
      <c r="E57" s="121" t="s">
        <v>368</v>
      </c>
      <c r="F57" s="25"/>
      <c r="G57" s="25"/>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row>
    <row r="58" ht="15.75" customHeight="1">
      <c r="A58" s="92" t="s">
        <v>353</v>
      </c>
      <c r="B58" s="93">
        <v>4.0</v>
      </c>
      <c r="C58" s="107" t="s">
        <v>373</v>
      </c>
      <c r="D58" s="107" t="s">
        <v>374</v>
      </c>
      <c r="E58" s="158" t="s">
        <v>375</v>
      </c>
      <c r="F58" s="25"/>
      <c r="G58" s="25"/>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row>
    <row r="59" ht="15.75" customHeight="1">
      <c r="A59" s="92" t="s">
        <v>353</v>
      </c>
      <c r="B59" s="93">
        <v>5.0</v>
      </c>
      <c r="C59" s="107" t="s">
        <v>377</v>
      </c>
      <c r="D59" s="107" t="s">
        <v>378</v>
      </c>
      <c r="E59" s="158" t="s">
        <v>379</v>
      </c>
      <c r="F59" s="25"/>
      <c r="G59" s="25"/>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row>
    <row r="60" ht="15.75" customHeight="1">
      <c r="A60" s="92" t="s">
        <v>353</v>
      </c>
      <c r="B60" s="93">
        <v>6.0</v>
      </c>
      <c r="C60" s="107" t="s">
        <v>381</v>
      </c>
      <c r="D60" s="107" t="s">
        <v>382</v>
      </c>
      <c r="E60" s="158" t="s">
        <v>384</v>
      </c>
      <c r="F60" s="25"/>
      <c r="G60" s="25"/>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row>
    <row r="61" ht="15.75" customHeight="1">
      <c r="A61" s="92" t="s">
        <v>353</v>
      </c>
      <c r="B61" s="93">
        <v>7.0</v>
      </c>
      <c r="C61" s="107" t="s">
        <v>389</v>
      </c>
      <c r="D61" s="107" t="s">
        <v>390</v>
      </c>
      <c r="E61" s="158" t="s">
        <v>391</v>
      </c>
      <c r="F61" s="25"/>
      <c r="G61" s="25"/>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row>
    <row r="62" ht="15.75" customHeight="1">
      <c r="A62" s="92" t="s">
        <v>353</v>
      </c>
      <c r="B62" s="93">
        <v>8.0</v>
      </c>
      <c r="C62" s="107" t="s">
        <v>396</v>
      </c>
      <c r="D62" s="107" t="s">
        <v>397</v>
      </c>
      <c r="E62" s="158" t="s">
        <v>398</v>
      </c>
      <c r="F62" s="25"/>
      <c r="G62" s="25"/>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row>
    <row r="63" ht="15.75" customHeight="1">
      <c r="A63" s="73" t="s">
        <v>353</v>
      </c>
      <c r="B63" s="103">
        <v>-777.0</v>
      </c>
      <c r="C63" s="81" t="s">
        <v>132</v>
      </c>
      <c r="D63" s="81" t="s">
        <v>133</v>
      </c>
      <c r="E63" s="33" t="s">
        <v>134</v>
      </c>
      <c r="F63" s="32"/>
      <c r="G63" s="32"/>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row>
    <row r="64" ht="15.75" customHeight="1">
      <c r="A64" s="58"/>
      <c r="B64" s="102"/>
      <c r="C64" s="58"/>
      <c r="D64" s="58"/>
      <c r="E64" s="58"/>
      <c r="F64" s="28"/>
      <c r="G64" s="28"/>
      <c r="H64" s="95"/>
      <c r="I64" s="28"/>
      <c r="J64" s="28"/>
      <c r="K64" s="28"/>
      <c r="L64" s="28"/>
      <c r="M64" s="28"/>
      <c r="N64" s="28"/>
      <c r="O64" s="28"/>
      <c r="P64" s="28"/>
      <c r="Q64" s="28"/>
      <c r="R64" s="28"/>
      <c r="S64" s="28"/>
      <c r="T64" s="28"/>
      <c r="U64" s="28"/>
      <c r="V64" s="28"/>
      <c r="W64" s="28"/>
      <c r="X64" s="28"/>
      <c r="Y64" s="28"/>
      <c r="Z64" s="28"/>
      <c r="AA64" s="28"/>
      <c r="AB64" s="28"/>
      <c r="AC64" s="28"/>
      <c r="AD64" s="28"/>
      <c r="AE64" s="28"/>
      <c r="AF64" s="28"/>
    </row>
    <row r="65" ht="15.75" customHeight="1">
      <c r="A65" s="92" t="s">
        <v>408</v>
      </c>
      <c r="B65" s="92">
        <v>1.0</v>
      </c>
      <c r="C65" s="92" t="s">
        <v>409</v>
      </c>
      <c r="D65" s="92" t="s">
        <v>410</v>
      </c>
      <c r="E65" s="92" t="s">
        <v>411</v>
      </c>
      <c r="F65" s="119"/>
      <c r="G65" s="119"/>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row>
    <row r="66" ht="15.75" customHeight="1">
      <c r="A66" s="92" t="s">
        <v>408</v>
      </c>
      <c r="B66" s="92">
        <v>2.0</v>
      </c>
      <c r="C66" s="92" t="s">
        <v>418</v>
      </c>
      <c r="D66" s="92" t="s">
        <v>419</v>
      </c>
      <c r="E66" s="92" t="s">
        <v>420</v>
      </c>
      <c r="F66" s="25"/>
      <c r="G66" s="25"/>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row>
    <row r="67" ht="15.75" customHeight="1">
      <c r="A67" s="92" t="s">
        <v>408</v>
      </c>
      <c r="B67" s="92">
        <v>3.0</v>
      </c>
      <c r="C67" s="92" t="s">
        <v>422</v>
      </c>
      <c r="D67" s="92" t="s">
        <v>423</v>
      </c>
      <c r="E67" s="92" t="s">
        <v>425</v>
      </c>
      <c r="F67" s="32"/>
      <c r="G67" s="32"/>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row>
    <row r="68" ht="15.75" customHeight="1">
      <c r="A68" s="92"/>
      <c r="B68" s="92"/>
      <c r="C68" s="92"/>
      <c r="D68" s="92"/>
      <c r="E68" s="92"/>
      <c r="F68" s="28"/>
      <c r="G68" s="28"/>
      <c r="H68" s="95"/>
      <c r="I68" s="28"/>
      <c r="J68" s="28"/>
      <c r="K68" s="28"/>
      <c r="L68" s="28"/>
      <c r="M68" s="28"/>
      <c r="N68" s="28"/>
      <c r="O68" s="28"/>
      <c r="P68" s="28"/>
      <c r="Q68" s="28"/>
      <c r="R68" s="28"/>
      <c r="S68" s="28"/>
      <c r="T68" s="28"/>
      <c r="U68" s="28"/>
      <c r="V68" s="28"/>
      <c r="W68" s="28"/>
      <c r="X68" s="28"/>
      <c r="Y68" s="28"/>
      <c r="Z68" s="28"/>
      <c r="AA68" s="28"/>
      <c r="AB68" s="28"/>
      <c r="AC68" s="28"/>
      <c r="AD68" s="28"/>
      <c r="AE68" s="28"/>
      <c r="AF68" s="28"/>
    </row>
    <row r="69" ht="15.75" customHeight="1">
      <c r="A69" s="92" t="s">
        <v>433</v>
      </c>
      <c r="B69" s="92">
        <v>1.0</v>
      </c>
      <c r="C69" s="92" t="s">
        <v>434</v>
      </c>
      <c r="D69" s="92" t="s">
        <v>434</v>
      </c>
      <c r="E69" s="92" t="s">
        <v>435</v>
      </c>
      <c r="F69" s="119"/>
      <c r="G69" s="119"/>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row>
    <row r="70" ht="15.75" customHeight="1">
      <c r="A70" s="92" t="s">
        <v>433</v>
      </c>
      <c r="B70" s="92">
        <v>2.0</v>
      </c>
      <c r="C70" s="92" t="s">
        <v>443</v>
      </c>
      <c r="D70" s="92" t="s">
        <v>444</v>
      </c>
      <c r="E70" s="92" t="s">
        <v>446</v>
      </c>
      <c r="F70" s="25"/>
      <c r="G70" s="25"/>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row>
    <row r="71" ht="15.75" customHeight="1">
      <c r="A71" s="92" t="s">
        <v>433</v>
      </c>
      <c r="B71" s="92">
        <v>3.0</v>
      </c>
      <c r="C71" s="92" t="s">
        <v>451</v>
      </c>
      <c r="D71" s="92" t="s">
        <v>452</v>
      </c>
      <c r="E71" s="92" t="s">
        <v>453</v>
      </c>
      <c r="F71" s="32"/>
      <c r="G71" s="32"/>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row>
    <row r="72" ht="15.75" customHeight="1">
      <c r="A72" s="92"/>
      <c r="B72" s="92"/>
      <c r="C72" s="92"/>
      <c r="D72" s="92"/>
      <c r="E72" s="92"/>
      <c r="F72" s="32"/>
      <c r="G72" s="32"/>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row>
    <row r="73" ht="15.75" customHeight="1">
      <c r="A73" s="92" t="s">
        <v>459</v>
      </c>
      <c r="B73" s="92">
        <v>1.0</v>
      </c>
      <c r="C73" s="92" t="s">
        <v>461</v>
      </c>
      <c r="D73" s="92" t="s">
        <v>463</v>
      </c>
      <c r="E73" s="92" t="s">
        <v>464</v>
      </c>
      <c r="F73" s="25"/>
      <c r="G73" s="25"/>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row>
    <row r="74" ht="15.75" customHeight="1">
      <c r="A74" s="92" t="s">
        <v>459</v>
      </c>
      <c r="B74" s="92">
        <v>2.0</v>
      </c>
      <c r="C74" s="92" t="s">
        <v>468</v>
      </c>
      <c r="D74" s="92" t="s">
        <v>469</v>
      </c>
      <c r="E74" s="92" t="s">
        <v>470</v>
      </c>
      <c r="F74" s="25"/>
      <c r="G74" s="25"/>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row>
    <row r="75" ht="15.75" customHeight="1">
      <c r="A75" s="92" t="s">
        <v>459</v>
      </c>
      <c r="B75" s="92">
        <v>3.0</v>
      </c>
      <c r="C75" s="92" t="s">
        <v>473</v>
      </c>
      <c r="D75" s="92" t="s">
        <v>474</v>
      </c>
      <c r="E75" s="92" t="s">
        <v>475</v>
      </c>
      <c r="F75" s="32"/>
      <c r="G75" s="32"/>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row>
    <row r="76" ht="15.75" customHeight="1">
      <c r="A76" s="81"/>
      <c r="B76" s="81"/>
      <c r="C76" s="33"/>
      <c r="D76" s="33"/>
      <c r="E76" s="33"/>
      <c r="F76" s="32"/>
      <c r="G76" s="32"/>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row>
    <row r="77" ht="15.75" customHeight="1">
      <c r="A77" s="92" t="s">
        <v>480</v>
      </c>
      <c r="B77" s="92">
        <v>1.0</v>
      </c>
      <c r="C77" s="92" t="s">
        <v>482</v>
      </c>
      <c r="D77" s="92" t="s">
        <v>483</v>
      </c>
      <c r="E77" s="92" t="s">
        <v>484</v>
      </c>
      <c r="F77" s="25"/>
      <c r="G77" s="25"/>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row>
    <row r="78" ht="15.75" customHeight="1">
      <c r="A78" s="92" t="s">
        <v>480</v>
      </c>
      <c r="B78" s="92">
        <v>2.0</v>
      </c>
      <c r="C78" s="92" t="s">
        <v>488</v>
      </c>
      <c r="D78" s="92" t="s">
        <v>489</v>
      </c>
      <c r="E78" s="92" t="s">
        <v>490</v>
      </c>
      <c r="F78" s="25"/>
      <c r="G78" s="25"/>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row>
    <row r="79" ht="15.75" customHeight="1">
      <c r="A79" s="92" t="s">
        <v>480</v>
      </c>
      <c r="B79" s="92">
        <v>3.0</v>
      </c>
      <c r="C79" s="92" t="s">
        <v>494</v>
      </c>
      <c r="D79" s="92" t="s">
        <v>495</v>
      </c>
      <c r="E79" s="92" t="s">
        <v>496</v>
      </c>
      <c r="F79" s="25"/>
      <c r="G79" s="25"/>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row>
    <row r="80" ht="15.75" customHeight="1">
      <c r="A80" s="92" t="s">
        <v>480</v>
      </c>
      <c r="B80" s="92">
        <v>4.0</v>
      </c>
      <c r="C80" s="92" t="s">
        <v>498</v>
      </c>
      <c r="D80" s="92" t="s">
        <v>499</v>
      </c>
      <c r="E80" s="92" t="s">
        <v>500</v>
      </c>
      <c r="F80" s="32"/>
      <c r="G80" s="32"/>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row>
    <row r="81" ht="15.75" customHeight="1">
      <c r="A81" s="107"/>
      <c r="B81" s="107"/>
      <c r="C81" s="107"/>
      <c r="D81" s="107"/>
      <c r="E81" s="107"/>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row>
    <row r="82" ht="15.75" customHeight="1">
      <c r="A82" s="181" t="s">
        <v>507</v>
      </c>
      <c r="B82" s="182">
        <v>1.0</v>
      </c>
      <c r="C82" s="183" t="s">
        <v>508</v>
      </c>
      <c r="D82" s="183" t="s">
        <v>510</v>
      </c>
      <c r="E82" s="183" t="s">
        <v>511</v>
      </c>
      <c r="F82" s="184"/>
      <c r="G82" s="184"/>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row>
    <row r="83" ht="15.75" customHeight="1">
      <c r="A83" s="92" t="s">
        <v>507</v>
      </c>
      <c r="B83" s="93">
        <v>2.0</v>
      </c>
      <c r="C83" s="27" t="s">
        <v>514</v>
      </c>
      <c r="D83" s="27" t="s">
        <v>515</v>
      </c>
      <c r="E83" s="94" t="s">
        <v>516</v>
      </c>
      <c r="F83" s="25"/>
      <c r="G83" s="25"/>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row>
    <row r="84" ht="15.75" customHeight="1">
      <c r="A84" s="92" t="s">
        <v>507</v>
      </c>
      <c r="B84" s="93">
        <v>3.0</v>
      </c>
      <c r="C84" s="27" t="s">
        <v>518</v>
      </c>
      <c r="D84" s="27" t="s">
        <v>519</v>
      </c>
      <c r="E84" s="94" t="s">
        <v>520</v>
      </c>
      <c r="F84" s="25"/>
      <c r="G84" s="25"/>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row>
    <row r="85" ht="15.75" customHeight="1">
      <c r="A85" s="92" t="s">
        <v>507</v>
      </c>
      <c r="B85" s="93">
        <v>4.0</v>
      </c>
      <c r="C85" s="27" t="s">
        <v>523</v>
      </c>
      <c r="D85" s="27" t="s">
        <v>524</v>
      </c>
      <c r="E85" s="94" t="s">
        <v>526</v>
      </c>
      <c r="F85" s="185"/>
      <c r="G85" s="185"/>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row>
    <row r="86" ht="15.75" customHeight="1">
      <c r="A86" s="92" t="s">
        <v>507</v>
      </c>
      <c r="B86" s="93">
        <v>5.0</v>
      </c>
      <c r="C86" s="27" t="s">
        <v>528</v>
      </c>
      <c r="D86" s="27" t="s">
        <v>529</v>
      </c>
      <c r="E86" s="94" t="s">
        <v>530</v>
      </c>
      <c r="F86" s="185"/>
      <c r="G86" s="25"/>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row>
    <row r="87" ht="15.75" customHeight="1">
      <c r="A87" s="92" t="s">
        <v>507</v>
      </c>
      <c r="B87" s="93">
        <v>6.0</v>
      </c>
      <c r="C87" s="27" t="s">
        <v>532</v>
      </c>
      <c r="D87" s="27" t="s">
        <v>533</v>
      </c>
      <c r="E87" s="94" t="s">
        <v>533</v>
      </c>
      <c r="F87" s="185"/>
      <c r="G87" s="185"/>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row>
    <row r="88" ht="15.75" customHeight="1">
      <c r="A88" s="92" t="s">
        <v>507</v>
      </c>
      <c r="B88" s="93">
        <v>-777.0</v>
      </c>
      <c r="C88" s="27" t="s">
        <v>132</v>
      </c>
      <c r="D88" s="27" t="s">
        <v>133</v>
      </c>
      <c r="E88" s="27" t="s">
        <v>134</v>
      </c>
      <c r="F88" s="25"/>
      <c r="G88" s="25"/>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row>
    <row r="89" ht="15.75" customHeight="1">
      <c r="A89" s="92" t="s">
        <v>507</v>
      </c>
      <c r="B89" s="93">
        <v>0.0</v>
      </c>
      <c r="C89" s="27" t="s">
        <v>186</v>
      </c>
      <c r="D89" s="27" t="s">
        <v>188</v>
      </c>
      <c r="E89" s="27" t="s">
        <v>189</v>
      </c>
      <c r="F89" s="25"/>
      <c r="G89" s="25"/>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row>
    <row r="90" ht="15.75" customHeight="1">
      <c r="A90" s="107"/>
      <c r="B90" s="107"/>
      <c r="C90" s="107"/>
      <c r="D90" s="107"/>
      <c r="E90" s="107"/>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row>
    <row r="91" ht="15.75" customHeight="1">
      <c r="A91" s="114" t="s">
        <v>544</v>
      </c>
      <c r="B91" s="116">
        <v>0.0</v>
      </c>
      <c r="C91" s="123" t="s">
        <v>545</v>
      </c>
      <c r="D91" s="123" t="s">
        <v>546</v>
      </c>
      <c r="E91" s="123" t="s">
        <v>547</v>
      </c>
      <c r="F91" s="119"/>
      <c r="G91" s="119"/>
      <c r="H91" s="51"/>
      <c r="I91" s="51"/>
      <c r="J91" s="51"/>
      <c r="K91" s="51"/>
      <c r="L91" s="51"/>
      <c r="M91" s="51"/>
      <c r="N91" s="51"/>
      <c r="O91" s="51"/>
      <c r="P91" s="51"/>
      <c r="Q91" s="51"/>
      <c r="R91" s="51"/>
      <c r="S91" s="51"/>
      <c r="T91" s="51"/>
      <c r="U91" s="51"/>
      <c r="V91" s="51"/>
      <c r="W91" s="51"/>
      <c r="X91" s="51"/>
      <c r="Y91" s="51"/>
      <c r="Z91" s="51"/>
      <c r="AA91" s="51"/>
      <c r="AB91" s="28"/>
      <c r="AC91" s="28"/>
      <c r="AD91" s="28"/>
      <c r="AE91" s="28"/>
      <c r="AF91" s="28"/>
    </row>
    <row r="92" ht="15.75" customHeight="1">
      <c r="A92" s="92" t="s">
        <v>544</v>
      </c>
      <c r="B92" s="93">
        <v>1.0</v>
      </c>
      <c r="C92" s="27" t="s">
        <v>550</v>
      </c>
      <c r="D92" s="27" t="s">
        <v>551</v>
      </c>
      <c r="E92" s="27" t="s">
        <v>552</v>
      </c>
      <c r="F92" s="25"/>
      <c r="G92" s="25"/>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row>
    <row r="93" ht="15.75" customHeight="1">
      <c r="A93" s="92" t="s">
        <v>544</v>
      </c>
      <c r="B93" s="93">
        <v>2.0</v>
      </c>
      <c r="C93" s="27" t="s">
        <v>554</v>
      </c>
      <c r="D93" s="27" t="s">
        <v>555</v>
      </c>
      <c r="E93" s="94" t="s">
        <v>556</v>
      </c>
      <c r="F93" s="25"/>
      <c r="G93" s="25"/>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row>
    <row r="94" ht="15.75" customHeight="1">
      <c r="A94" s="73" t="s">
        <v>544</v>
      </c>
      <c r="B94" s="103">
        <v>3.0</v>
      </c>
      <c r="C94" s="33" t="s">
        <v>560</v>
      </c>
      <c r="D94" s="27" t="s">
        <v>561</v>
      </c>
      <c r="E94" s="27" t="s">
        <v>562</v>
      </c>
      <c r="F94" s="32"/>
      <c r="G94" s="32"/>
      <c r="H94" s="34"/>
      <c r="I94" s="34"/>
      <c r="J94" s="34"/>
      <c r="K94" s="34"/>
      <c r="L94" s="34"/>
      <c r="M94" s="34"/>
      <c r="N94" s="34"/>
      <c r="O94" s="34"/>
      <c r="P94" s="34"/>
      <c r="Q94" s="34"/>
      <c r="R94" s="34"/>
      <c r="S94" s="34"/>
      <c r="T94" s="34"/>
      <c r="U94" s="34"/>
      <c r="V94" s="34"/>
      <c r="W94" s="34"/>
      <c r="X94" s="34"/>
      <c r="Y94" s="34"/>
      <c r="Z94" s="34"/>
      <c r="AA94" s="34"/>
      <c r="AB94" s="28"/>
      <c r="AC94" s="28"/>
      <c r="AD94" s="28"/>
      <c r="AE94" s="28"/>
      <c r="AF94" s="28"/>
    </row>
    <row r="95" ht="15.75" customHeight="1">
      <c r="A95" s="107"/>
      <c r="B95" s="107"/>
      <c r="C95" s="107"/>
      <c r="D95" s="107"/>
      <c r="E95" s="107"/>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row>
    <row r="96" ht="15.75" customHeight="1">
      <c r="A96" s="114" t="s">
        <v>248</v>
      </c>
      <c r="B96" s="116">
        <v>1.0</v>
      </c>
      <c r="C96" s="123" t="s">
        <v>249</v>
      </c>
      <c r="D96" s="123" t="s">
        <v>251</v>
      </c>
      <c r="E96" s="123" t="s">
        <v>253</v>
      </c>
      <c r="F96" s="119"/>
      <c r="G96" s="119"/>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row>
    <row r="97" ht="15.75" customHeight="1">
      <c r="A97" s="92" t="s">
        <v>248</v>
      </c>
      <c r="B97" s="93">
        <v>2.0</v>
      </c>
      <c r="C97" s="27" t="s">
        <v>255</v>
      </c>
      <c r="D97" s="27" t="s">
        <v>257</v>
      </c>
      <c r="E97" s="94" t="s">
        <v>259</v>
      </c>
      <c r="F97" s="25"/>
      <c r="G97" s="25"/>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row>
    <row r="98" ht="15.75" customHeight="1">
      <c r="A98" s="92" t="s">
        <v>248</v>
      </c>
      <c r="B98" s="93">
        <v>3.0</v>
      </c>
      <c r="C98" s="27" t="s">
        <v>262</v>
      </c>
      <c r="D98" s="27" t="s">
        <v>263</v>
      </c>
      <c r="E98" s="27" t="s">
        <v>264</v>
      </c>
      <c r="F98" s="25"/>
      <c r="G98" s="25"/>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row>
    <row r="99" ht="15.75" customHeight="1">
      <c r="A99" s="92" t="s">
        <v>248</v>
      </c>
      <c r="B99" s="93">
        <v>4.0</v>
      </c>
      <c r="C99" s="27" t="s">
        <v>270</v>
      </c>
      <c r="D99" s="27" t="s">
        <v>271</v>
      </c>
      <c r="E99" s="27" t="s">
        <v>273</v>
      </c>
      <c r="F99" s="25"/>
      <c r="G99" s="25"/>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row>
    <row r="100" ht="15.75" customHeight="1">
      <c r="A100" s="92" t="s">
        <v>248</v>
      </c>
      <c r="B100" s="93">
        <v>5.0</v>
      </c>
      <c r="C100" s="27" t="s">
        <v>274</v>
      </c>
      <c r="D100" s="27" t="s">
        <v>275</v>
      </c>
      <c r="E100" s="94" t="s">
        <v>276</v>
      </c>
      <c r="F100" s="25"/>
      <c r="G100" s="25"/>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row>
    <row r="101" ht="15.75" customHeight="1">
      <c r="A101" s="92" t="s">
        <v>248</v>
      </c>
      <c r="B101" s="93">
        <v>6.0</v>
      </c>
      <c r="C101" s="27" t="s">
        <v>281</v>
      </c>
      <c r="D101" s="27" t="s">
        <v>282</v>
      </c>
      <c r="E101" s="94" t="s">
        <v>283</v>
      </c>
      <c r="F101" s="185"/>
      <c r="G101" s="25"/>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row>
    <row r="102" ht="15.75" customHeight="1">
      <c r="A102" s="92" t="s">
        <v>248</v>
      </c>
      <c r="B102" s="93">
        <v>7.0</v>
      </c>
      <c r="C102" s="27" t="s">
        <v>284</v>
      </c>
      <c r="D102" s="27" t="s">
        <v>284</v>
      </c>
      <c r="E102" s="27" t="s">
        <v>285</v>
      </c>
      <c r="F102" s="25"/>
      <c r="G102" s="25"/>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row>
    <row r="103" ht="15.75" customHeight="1">
      <c r="A103" s="92" t="s">
        <v>248</v>
      </c>
      <c r="B103" s="93">
        <v>8.0</v>
      </c>
      <c r="C103" s="27" t="s">
        <v>288</v>
      </c>
      <c r="D103" s="27" t="s">
        <v>289</v>
      </c>
      <c r="E103" s="94" t="s">
        <v>290</v>
      </c>
      <c r="F103" s="25"/>
      <c r="G103" s="25"/>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row>
    <row r="104" ht="15.75" customHeight="1">
      <c r="A104" s="92" t="s">
        <v>248</v>
      </c>
      <c r="B104" s="93">
        <v>9.0</v>
      </c>
      <c r="C104" s="27" t="s">
        <v>293</v>
      </c>
      <c r="D104" s="27" t="s">
        <v>294</v>
      </c>
      <c r="E104" s="94" t="s">
        <v>295</v>
      </c>
      <c r="F104" s="185"/>
      <c r="G104" s="25"/>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row>
    <row r="105" ht="15.75" customHeight="1">
      <c r="A105" s="92" t="s">
        <v>248</v>
      </c>
      <c r="B105" s="93">
        <v>10.0</v>
      </c>
      <c r="C105" s="27" t="s">
        <v>298</v>
      </c>
      <c r="D105" s="27" t="s">
        <v>299</v>
      </c>
      <c r="E105" s="94" t="s">
        <v>301</v>
      </c>
      <c r="F105" s="25"/>
      <c r="G105" s="25"/>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row>
    <row r="106" ht="15.75" customHeight="1">
      <c r="A106" s="92" t="s">
        <v>248</v>
      </c>
      <c r="B106" s="93">
        <v>11.0</v>
      </c>
      <c r="C106" s="27" t="s">
        <v>308</v>
      </c>
      <c r="D106" s="27" t="s">
        <v>310</v>
      </c>
      <c r="E106" s="27" t="s">
        <v>311</v>
      </c>
      <c r="F106" s="25"/>
      <c r="G106" s="25"/>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row>
    <row r="107" ht="15.75" customHeight="1">
      <c r="A107" s="92" t="s">
        <v>248</v>
      </c>
      <c r="B107" s="93">
        <v>13.0</v>
      </c>
      <c r="C107" s="27" t="s">
        <v>314</v>
      </c>
      <c r="D107" s="27" t="s">
        <v>316</v>
      </c>
      <c r="E107" s="94" t="s">
        <v>317</v>
      </c>
      <c r="F107" s="25"/>
      <c r="G107" s="25"/>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row>
    <row r="108" ht="15.75" customHeight="1">
      <c r="A108" s="92" t="s">
        <v>248</v>
      </c>
      <c r="B108" s="93">
        <v>14.0</v>
      </c>
      <c r="C108" s="27" t="s">
        <v>320</v>
      </c>
      <c r="D108" s="27" t="s">
        <v>321</v>
      </c>
      <c r="E108" s="27" t="s">
        <v>322</v>
      </c>
      <c r="F108" s="25"/>
      <c r="G108" s="25"/>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row>
    <row r="109" ht="15.75" customHeight="1">
      <c r="A109" s="73" t="s">
        <v>248</v>
      </c>
      <c r="B109" s="103">
        <v>-99.0</v>
      </c>
      <c r="C109" s="33" t="s">
        <v>326</v>
      </c>
      <c r="D109" s="33" t="s">
        <v>327</v>
      </c>
      <c r="E109" s="86" t="s">
        <v>328</v>
      </c>
      <c r="F109" s="32"/>
      <c r="G109" s="32"/>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row>
    <row r="110" ht="15.75" customHeight="1">
      <c r="A110" s="107"/>
      <c r="B110" s="108"/>
      <c r="C110" s="107"/>
      <c r="D110" s="107"/>
      <c r="E110" s="193"/>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row>
    <row r="111" ht="15.75" customHeight="1">
      <c r="A111" s="114" t="s">
        <v>604</v>
      </c>
      <c r="B111" s="116">
        <v>0.0</v>
      </c>
      <c r="C111" s="123" t="s">
        <v>186</v>
      </c>
      <c r="D111" s="123" t="s">
        <v>188</v>
      </c>
      <c r="E111" s="196" t="s">
        <v>606</v>
      </c>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row>
    <row r="112" ht="15.75" customHeight="1">
      <c r="A112" s="92" t="s">
        <v>604</v>
      </c>
      <c r="B112" s="93">
        <v>1.0</v>
      </c>
      <c r="C112" s="27" t="s">
        <v>612</v>
      </c>
      <c r="D112" s="27" t="s">
        <v>613</v>
      </c>
      <c r="E112" s="94" t="s">
        <v>614</v>
      </c>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row>
    <row r="113" ht="15.75" customHeight="1">
      <c r="A113" s="92" t="s">
        <v>604</v>
      </c>
      <c r="B113" s="93">
        <v>2.0</v>
      </c>
      <c r="C113" s="27" t="s">
        <v>620</v>
      </c>
      <c r="D113" s="27" t="s">
        <v>623</v>
      </c>
      <c r="E113" s="94" t="s">
        <v>625</v>
      </c>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row>
    <row r="114" ht="15.75" customHeight="1">
      <c r="A114" s="92" t="s">
        <v>604</v>
      </c>
      <c r="B114" s="93">
        <v>3.0</v>
      </c>
      <c r="C114" s="27" t="s">
        <v>635</v>
      </c>
      <c r="D114" s="27" t="s">
        <v>637</v>
      </c>
      <c r="E114" s="27" t="s">
        <v>640</v>
      </c>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row>
    <row r="115" ht="15.75" customHeight="1">
      <c r="A115" s="92" t="s">
        <v>604</v>
      </c>
      <c r="B115" s="93">
        <v>4.0</v>
      </c>
      <c r="C115" s="27" t="s">
        <v>649</v>
      </c>
      <c r="D115" s="27" t="s">
        <v>651</v>
      </c>
      <c r="E115" s="94" t="s">
        <v>652</v>
      </c>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row>
    <row r="116" ht="15.75" customHeight="1">
      <c r="A116" s="92" t="s">
        <v>604</v>
      </c>
      <c r="B116" s="93">
        <v>5.0</v>
      </c>
      <c r="C116" s="27" t="s">
        <v>661</v>
      </c>
      <c r="D116" s="27" t="s">
        <v>663</v>
      </c>
      <c r="E116" s="94" t="s">
        <v>668</v>
      </c>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row>
    <row r="117" ht="15.75" customHeight="1">
      <c r="A117" s="73" t="s">
        <v>604</v>
      </c>
      <c r="B117" s="103">
        <v>6.0</v>
      </c>
      <c r="C117" s="33" t="s">
        <v>674</v>
      </c>
      <c r="D117" s="33" t="s">
        <v>675</v>
      </c>
      <c r="E117" s="33" t="s">
        <v>676</v>
      </c>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row>
    <row r="118" ht="15.75" customHeight="1">
      <c r="A118" s="107"/>
      <c r="B118" s="108"/>
      <c r="C118" s="107"/>
      <c r="D118" s="107"/>
      <c r="E118" s="193"/>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row>
    <row r="119" ht="15.75" customHeight="1">
      <c r="A119" s="114" t="s">
        <v>682</v>
      </c>
      <c r="B119" s="116">
        <v>1.0</v>
      </c>
      <c r="C119" s="123" t="s">
        <v>683</v>
      </c>
      <c r="D119" s="123" t="s">
        <v>683</v>
      </c>
      <c r="E119" s="123" t="s">
        <v>683</v>
      </c>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row>
    <row r="120" ht="15.75" customHeight="1">
      <c r="A120" s="92" t="s">
        <v>682</v>
      </c>
      <c r="B120" s="93">
        <v>2.0</v>
      </c>
      <c r="C120" s="27" t="s">
        <v>689</v>
      </c>
      <c r="D120" s="27" t="s">
        <v>689</v>
      </c>
      <c r="E120" s="27" t="s">
        <v>689</v>
      </c>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row>
    <row r="121" ht="15.75" customHeight="1">
      <c r="A121" s="92" t="s">
        <v>682</v>
      </c>
      <c r="B121" s="93">
        <v>3.0</v>
      </c>
      <c r="C121" s="27" t="s">
        <v>696</v>
      </c>
      <c r="D121" s="27" t="s">
        <v>696</v>
      </c>
      <c r="E121" s="27" t="s">
        <v>696</v>
      </c>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row>
    <row r="122" ht="15.75" customHeight="1">
      <c r="A122" s="92" t="s">
        <v>682</v>
      </c>
      <c r="B122" s="93">
        <v>4.0</v>
      </c>
      <c r="C122" s="27" t="s">
        <v>701</v>
      </c>
      <c r="D122" s="27" t="s">
        <v>701</v>
      </c>
      <c r="E122" s="27" t="s">
        <v>701</v>
      </c>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row>
    <row r="123" ht="15.75" customHeight="1">
      <c r="A123" s="92" t="s">
        <v>682</v>
      </c>
      <c r="B123" s="93">
        <v>5.0</v>
      </c>
      <c r="C123" s="27" t="s">
        <v>703</v>
      </c>
      <c r="D123" s="27" t="s">
        <v>703</v>
      </c>
      <c r="E123" s="27" t="s">
        <v>703</v>
      </c>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row>
    <row r="124" ht="15.75" customHeight="1">
      <c r="A124" s="92" t="s">
        <v>682</v>
      </c>
      <c r="B124" s="93">
        <v>6.0</v>
      </c>
      <c r="C124" s="27" t="s">
        <v>705</v>
      </c>
      <c r="D124" s="27" t="s">
        <v>705</v>
      </c>
      <c r="E124" s="27" t="s">
        <v>705</v>
      </c>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row>
    <row r="125" ht="15.75" customHeight="1">
      <c r="A125" s="92" t="s">
        <v>682</v>
      </c>
      <c r="B125" s="93">
        <v>7.0</v>
      </c>
      <c r="C125" s="27" t="s">
        <v>707</v>
      </c>
      <c r="D125" s="27" t="s">
        <v>707</v>
      </c>
      <c r="E125" s="27" t="s">
        <v>707</v>
      </c>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row>
    <row r="126" ht="15.75" customHeight="1">
      <c r="A126" s="73" t="s">
        <v>682</v>
      </c>
      <c r="B126" s="103">
        <v>8.0</v>
      </c>
      <c r="C126" s="33" t="s">
        <v>712</v>
      </c>
      <c r="D126" s="33" t="s">
        <v>712</v>
      </c>
      <c r="E126" s="33" t="s">
        <v>712</v>
      </c>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row>
    <row r="127" ht="15.75" customHeight="1">
      <c r="A127" s="107"/>
      <c r="B127" s="108"/>
      <c r="C127" s="107"/>
      <c r="D127" s="107"/>
      <c r="E127" s="193"/>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row>
    <row r="128" ht="15.75" customHeight="1">
      <c r="A128" s="204" t="s">
        <v>722</v>
      </c>
      <c r="B128" s="205" t="s">
        <v>723</v>
      </c>
      <c r="C128" s="205" t="s">
        <v>725</v>
      </c>
      <c r="D128" s="205" t="s">
        <v>725</v>
      </c>
      <c r="E128" s="205" t="s">
        <v>725</v>
      </c>
      <c r="F128" s="206"/>
      <c r="G128" s="206"/>
      <c r="H128" s="207"/>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row>
    <row r="129" ht="15.75" customHeight="1">
      <c r="A129" s="204" t="s">
        <v>722</v>
      </c>
      <c r="B129" s="102">
        <v>-777.0</v>
      </c>
      <c r="C129" s="27" t="s">
        <v>132</v>
      </c>
      <c r="D129" s="27" t="s">
        <v>133</v>
      </c>
      <c r="E129" s="27" t="s">
        <v>733</v>
      </c>
      <c r="F129" s="28"/>
      <c r="G129" s="95"/>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row>
    <row r="130" ht="15.75" customHeight="1">
      <c r="A130" s="107"/>
      <c r="B130" s="108"/>
      <c r="C130" s="107"/>
      <c r="D130" s="107"/>
      <c r="E130" s="107"/>
      <c r="F130" s="28"/>
      <c r="G130" s="95"/>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row>
    <row r="131" ht="15.75" customHeight="1">
      <c r="A131" s="114" t="s">
        <v>747</v>
      </c>
      <c r="B131" s="116">
        <v>0.0</v>
      </c>
      <c r="C131" s="123" t="s">
        <v>186</v>
      </c>
      <c r="D131" s="123" t="s">
        <v>188</v>
      </c>
      <c r="E131" s="123" t="s">
        <v>189</v>
      </c>
      <c r="F131" s="119"/>
      <c r="G131" s="212">
        <v>1.0</v>
      </c>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row>
    <row r="132" ht="15.75" customHeight="1">
      <c r="A132" s="92" t="s">
        <v>747</v>
      </c>
      <c r="B132" s="93">
        <v>1.0</v>
      </c>
      <c r="C132" s="27" t="s">
        <v>754</v>
      </c>
      <c r="D132" s="27" t="s">
        <v>754</v>
      </c>
      <c r="E132" s="27" t="s">
        <v>756</v>
      </c>
      <c r="F132" s="25"/>
      <c r="G132" s="100">
        <v>2.0</v>
      </c>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row>
    <row r="133" ht="15.75" customHeight="1">
      <c r="A133" s="92" t="s">
        <v>747</v>
      </c>
      <c r="B133" s="93">
        <v>2.0</v>
      </c>
      <c r="C133" s="27" t="s">
        <v>758</v>
      </c>
      <c r="D133" s="27" t="s">
        <v>759</v>
      </c>
      <c r="E133" s="27" t="s">
        <v>760</v>
      </c>
      <c r="F133" s="25"/>
      <c r="G133" s="25"/>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row>
    <row r="134" ht="15.75" customHeight="1">
      <c r="A134" s="92" t="s">
        <v>747</v>
      </c>
      <c r="B134" s="93">
        <v>3.0</v>
      </c>
      <c r="C134" s="27" t="s">
        <v>764</v>
      </c>
      <c r="D134" s="27" t="s">
        <v>765</v>
      </c>
      <c r="E134" s="27" t="s">
        <v>764</v>
      </c>
      <c r="F134" s="25"/>
      <c r="G134" s="25"/>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row>
    <row r="135" ht="15.75" customHeight="1">
      <c r="A135" s="92" t="s">
        <v>747</v>
      </c>
      <c r="B135" s="93">
        <v>4.0</v>
      </c>
      <c r="C135" s="27" t="s">
        <v>769</v>
      </c>
      <c r="D135" s="27" t="s">
        <v>769</v>
      </c>
      <c r="E135" s="27" t="s">
        <v>769</v>
      </c>
      <c r="F135" s="25"/>
      <c r="G135" s="25"/>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row>
    <row r="136" ht="15.75" customHeight="1">
      <c r="A136" s="92" t="s">
        <v>747</v>
      </c>
      <c r="B136" s="93">
        <v>5.0</v>
      </c>
      <c r="C136" s="27" t="s">
        <v>772</v>
      </c>
      <c r="D136" s="27" t="s">
        <v>773</v>
      </c>
      <c r="E136" s="27" t="s">
        <v>774</v>
      </c>
      <c r="F136" s="25"/>
      <c r="G136" s="25"/>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row>
    <row r="137" ht="15.75" customHeight="1">
      <c r="A137" s="92" t="s">
        <v>747</v>
      </c>
      <c r="B137" s="93">
        <v>6.0</v>
      </c>
      <c r="C137" s="27" t="s">
        <v>779</v>
      </c>
      <c r="D137" s="27" t="s">
        <v>781</v>
      </c>
      <c r="E137" s="94" t="s">
        <v>782</v>
      </c>
      <c r="F137" s="25"/>
      <c r="G137" s="25"/>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row>
    <row r="138" ht="15.75" customHeight="1">
      <c r="A138" s="92" t="s">
        <v>747</v>
      </c>
      <c r="B138" s="93">
        <v>7.0</v>
      </c>
      <c r="C138" s="27" t="s">
        <v>785</v>
      </c>
      <c r="D138" s="27" t="s">
        <v>786</v>
      </c>
      <c r="E138" s="27" t="s">
        <v>785</v>
      </c>
      <c r="F138" s="25"/>
      <c r="G138" s="25"/>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row>
    <row r="139" ht="15.75" customHeight="1">
      <c r="A139" s="92" t="s">
        <v>747</v>
      </c>
      <c r="B139" s="93">
        <v>8.0</v>
      </c>
      <c r="C139" s="27" t="s">
        <v>789</v>
      </c>
      <c r="D139" s="27" t="s">
        <v>789</v>
      </c>
      <c r="E139" s="27" t="s">
        <v>789</v>
      </c>
      <c r="F139" s="25"/>
      <c r="G139" s="25"/>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row>
    <row r="140" ht="15.75" customHeight="1">
      <c r="A140" s="92" t="s">
        <v>747</v>
      </c>
      <c r="B140" s="93">
        <v>9.0</v>
      </c>
      <c r="C140" s="27" t="s">
        <v>800</v>
      </c>
      <c r="D140" s="27" t="s">
        <v>800</v>
      </c>
      <c r="E140" s="27" t="s">
        <v>800</v>
      </c>
      <c r="F140" s="25"/>
      <c r="G140" s="25"/>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row>
    <row r="141" ht="15.75" customHeight="1">
      <c r="A141" s="92" t="s">
        <v>747</v>
      </c>
      <c r="B141" s="93">
        <v>10.0</v>
      </c>
      <c r="C141" s="27" t="s">
        <v>810</v>
      </c>
      <c r="D141" s="27" t="s">
        <v>811</v>
      </c>
      <c r="E141" s="27" t="s">
        <v>812</v>
      </c>
      <c r="F141" s="25"/>
      <c r="G141" s="25"/>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row>
    <row r="142" ht="15.75" customHeight="1">
      <c r="A142" s="92" t="s">
        <v>747</v>
      </c>
      <c r="B142" s="93">
        <v>11.0</v>
      </c>
      <c r="C142" s="27" t="s">
        <v>818</v>
      </c>
      <c r="D142" s="27" t="s">
        <v>819</v>
      </c>
      <c r="E142" s="27" t="s">
        <v>818</v>
      </c>
      <c r="F142" s="25"/>
      <c r="G142" s="25"/>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row>
    <row r="143" ht="15.75" customHeight="1">
      <c r="A143" s="92" t="s">
        <v>747</v>
      </c>
      <c r="B143" s="93">
        <v>12.0</v>
      </c>
      <c r="C143" s="27" t="s">
        <v>826</v>
      </c>
      <c r="D143" s="27" t="s">
        <v>826</v>
      </c>
      <c r="E143" s="27" t="s">
        <v>826</v>
      </c>
      <c r="F143" s="25"/>
      <c r="G143" s="25"/>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row>
    <row r="144" ht="15.75" customHeight="1">
      <c r="A144" s="92" t="s">
        <v>747</v>
      </c>
      <c r="B144" s="93">
        <v>13.0</v>
      </c>
      <c r="C144" s="27" t="s">
        <v>834</v>
      </c>
      <c r="D144" s="27" t="s">
        <v>835</v>
      </c>
      <c r="E144" s="27" t="s">
        <v>834</v>
      </c>
      <c r="F144" s="25"/>
      <c r="G144" s="25"/>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row>
    <row r="145" ht="15.75" customHeight="1">
      <c r="A145" s="92" t="s">
        <v>747</v>
      </c>
      <c r="B145" s="93">
        <v>14.0</v>
      </c>
      <c r="C145" s="27" t="s">
        <v>840</v>
      </c>
      <c r="D145" s="27" t="s">
        <v>840</v>
      </c>
      <c r="E145" s="27" t="s">
        <v>840</v>
      </c>
      <c r="F145" s="25"/>
      <c r="G145" s="25"/>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row>
    <row r="146" ht="15.75" customHeight="1">
      <c r="A146" s="92" t="s">
        <v>747</v>
      </c>
      <c r="B146" s="93">
        <v>15.0</v>
      </c>
      <c r="C146" s="27" t="s">
        <v>852</v>
      </c>
      <c r="D146" s="27" t="s">
        <v>853</v>
      </c>
      <c r="E146" s="27" t="s">
        <v>852</v>
      </c>
      <c r="F146" s="25"/>
      <c r="G146" s="25"/>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row>
    <row r="147" ht="15.75" customHeight="1">
      <c r="A147" s="92" t="s">
        <v>747</v>
      </c>
      <c r="B147" s="93">
        <v>16.0</v>
      </c>
      <c r="C147" s="27" t="s">
        <v>859</v>
      </c>
      <c r="D147" s="27" t="s">
        <v>860</v>
      </c>
      <c r="E147" s="27" t="s">
        <v>859</v>
      </c>
      <c r="F147" s="25"/>
      <c r="G147" s="25"/>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row>
    <row r="148" ht="15.75" customHeight="1">
      <c r="A148" s="92" t="s">
        <v>747</v>
      </c>
      <c r="B148" s="93">
        <v>17.0</v>
      </c>
      <c r="C148" s="27" t="s">
        <v>864</v>
      </c>
      <c r="D148" s="27" t="s">
        <v>865</v>
      </c>
      <c r="E148" s="27" t="s">
        <v>867</v>
      </c>
      <c r="F148" s="25"/>
      <c r="G148" s="25"/>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row>
    <row r="149" ht="15.75" customHeight="1">
      <c r="A149" s="92" t="s">
        <v>747</v>
      </c>
      <c r="B149" s="93">
        <v>18.0</v>
      </c>
      <c r="C149" s="27" t="s">
        <v>875</v>
      </c>
      <c r="D149" s="27" t="s">
        <v>875</v>
      </c>
      <c r="E149" s="27" t="s">
        <v>877</v>
      </c>
      <c r="F149" s="25"/>
      <c r="G149" s="25"/>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row>
    <row r="150" ht="15.75" customHeight="1">
      <c r="A150" s="92" t="s">
        <v>747</v>
      </c>
      <c r="B150" s="93">
        <v>19.0</v>
      </c>
      <c r="C150" s="27" t="s">
        <v>881</v>
      </c>
      <c r="D150" s="27" t="s">
        <v>881</v>
      </c>
      <c r="E150" s="27" t="s">
        <v>883</v>
      </c>
      <c r="F150" s="25"/>
      <c r="G150" s="25"/>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row>
    <row r="151" ht="15.75" customHeight="1">
      <c r="A151" s="92" t="s">
        <v>747</v>
      </c>
      <c r="B151" s="93">
        <v>20.0</v>
      </c>
      <c r="C151" s="27" t="s">
        <v>889</v>
      </c>
      <c r="D151" s="27" t="s">
        <v>890</v>
      </c>
      <c r="E151" s="94" t="s">
        <v>891</v>
      </c>
      <c r="F151" s="25"/>
      <c r="G151" s="25"/>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row>
    <row r="152" ht="15.75" customHeight="1">
      <c r="A152" s="92" t="s">
        <v>747</v>
      </c>
      <c r="B152" s="93">
        <v>21.0</v>
      </c>
      <c r="C152" s="27" t="s">
        <v>899</v>
      </c>
      <c r="D152" s="27" t="s">
        <v>900</v>
      </c>
      <c r="E152" s="27" t="s">
        <v>901</v>
      </c>
      <c r="F152" s="25"/>
      <c r="G152" s="25"/>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row>
    <row r="153" ht="15.75" customHeight="1">
      <c r="A153" s="92" t="s">
        <v>747</v>
      </c>
      <c r="B153" s="93">
        <v>-777.0</v>
      </c>
      <c r="C153" s="27" t="s">
        <v>132</v>
      </c>
      <c r="D153" s="27" t="s">
        <v>133</v>
      </c>
      <c r="E153" s="27" t="s">
        <v>733</v>
      </c>
      <c r="F153" s="25"/>
      <c r="G153" s="25"/>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row>
    <row r="154" ht="15.75" customHeight="1">
      <c r="A154" s="73" t="s">
        <v>747</v>
      </c>
      <c r="B154" s="103">
        <v>-999.0</v>
      </c>
      <c r="C154" s="33" t="s">
        <v>116</v>
      </c>
      <c r="D154" s="33" t="s">
        <v>117</v>
      </c>
      <c r="E154" s="33" t="s">
        <v>118</v>
      </c>
      <c r="F154" s="32"/>
      <c r="G154" s="32"/>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row>
    <row r="155" ht="15.75" customHeight="1">
      <c r="A155" s="107"/>
      <c r="B155" s="108"/>
      <c r="C155" s="107"/>
      <c r="D155" s="107"/>
      <c r="E155" s="193"/>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row>
    <row r="156" ht="15.75" customHeight="1">
      <c r="A156" s="114" t="s">
        <v>933</v>
      </c>
      <c r="B156" s="116">
        <v>1.0</v>
      </c>
      <c r="C156" s="123" t="s">
        <v>935</v>
      </c>
      <c r="D156" s="123" t="s">
        <v>937</v>
      </c>
      <c r="E156" s="196" t="s">
        <v>939</v>
      </c>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row>
    <row r="157" ht="15.75" customHeight="1">
      <c r="A157" s="92" t="s">
        <v>933</v>
      </c>
      <c r="B157" s="93">
        <v>2.0</v>
      </c>
      <c r="C157" s="27" t="s">
        <v>950</v>
      </c>
      <c r="D157" s="27" t="s">
        <v>951</v>
      </c>
      <c r="E157" s="94" t="s">
        <v>952</v>
      </c>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row>
    <row r="158" ht="15.75" customHeight="1">
      <c r="A158" s="92" t="s">
        <v>933</v>
      </c>
      <c r="B158" s="93">
        <v>3.0</v>
      </c>
      <c r="C158" s="27" t="s">
        <v>962</v>
      </c>
      <c r="D158" s="27" t="s">
        <v>964</v>
      </c>
      <c r="E158" s="27" t="s">
        <v>965</v>
      </c>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row>
    <row r="159" ht="15.75" customHeight="1">
      <c r="A159" s="92" t="s">
        <v>933</v>
      </c>
      <c r="B159" s="93">
        <v>4.0</v>
      </c>
      <c r="C159" s="27" t="s">
        <v>973</v>
      </c>
      <c r="D159" s="27" t="s">
        <v>974</v>
      </c>
      <c r="E159" s="27" t="s">
        <v>975</v>
      </c>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row>
    <row r="160" ht="15.75" customHeight="1">
      <c r="A160" s="73" t="s">
        <v>933</v>
      </c>
      <c r="B160" s="103">
        <v>-777.0</v>
      </c>
      <c r="C160" s="33" t="s">
        <v>132</v>
      </c>
      <c r="D160" s="33" t="s">
        <v>133</v>
      </c>
      <c r="E160" s="33" t="s">
        <v>134</v>
      </c>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row>
    <row r="161" ht="15.75" customHeight="1">
      <c r="A161" s="107"/>
      <c r="B161" s="108"/>
      <c r="C161" s="107"/>
      <c r="D161" s="107"/>
      <c r="E161" s="193"/>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row>
    <row r="162" ht="15.75" customHeight="1">
      <c r="A162" s="114" t="s">
        <v>989</v>
      </c>
      <c r="B162" s="116">
        <v>1.0</v>
      </c>
      <c r="C162" s="123" t="s">
        <v>991</v>
      </c>
      <c r="D162" s="123" t="s">
        <v>992</v>
      </c>
      <c r="E162" s="196" t="s">
        <v>994</v>
      </c>
      <c r="F162" s="119"/>
      <c r="G162" s="119"/>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row>
    <row r="163" ht="15.75" customHeight="1">
      <c r="A163" s="92" t="s">
        <v>989</v>
      </c>
      <c r="B163" s="93">
        <v>2.0</v>
      </c>
      <c r="C163" s="27" t="s">
        <v>1010</v>
      </c>
      <c r="D163" s="27" t="s">
        <v>1012</v>
      </c>
      <c r="E163" s="27" t="s">
        <v>1013</v>
      </c>
      <c r="F163" s="25"/>
      <c r="G163" s="25"/>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row>
    <row r="164" ht="15.75" customHeight="1">
      <c r="A164" s="92" t="s">
        <v>989</v>
      </c>
      <c r="B164" s="93">
        <v>3.0</v>
      </c>
      <c r="C164" s="27" t="s">
        <v>1022</v>
      </c>
      <c r="D164" s="27" t="s">
        <v>1023</v>
      </c>
      <c r="E164" s="94" t="s">
        <v>1025</v>
      </c>
      <c r="F164" s="25"/>
      <c r="G164" s="25"/>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row>
    <row r="165" ht="15.75" customHeight="1">
      <c r="A165" s="92" t="s">
        <v>989</v>
      </c>
      <c r="B165" s="93">
        <v>4.0</v>
      </c>
      <c r="C165" s="27" t="s">
        <v>1032</v>
      </c>
      <c r="D165" s="27" t="s">
        <v>1033</v>
      </c>
      <c r="E165" s="94" t="s">
        <v>1034</v>
      </c>
      <c r="F165" s="25"/>
      <c r="G165" s="25"/>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row>
    <row r="166" ht="15.75" customHeight="1">
      <c r="A166" s="92" t="s">
        <v>989</v>
      </c>
      <c r="B166" s="93">
        <v>5.0</v>
      </c>
      <c r="C166" s="27" t="s">
        <v>1044</v>
      </c>
      <c r="D166" s="27" t="s">
        <v>1046</v>
      </c>
      <c r="E166" s="27" t="s">
        <v>1047</v>
      </c>
      <c r="F166" s="25"/>
      <c r="G166" s="25"/>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row>
    <row r="167" ht="15.75" customHeight="1">
      <c r="A167" s="92" t="s">
        <v>989</v>
      </c>
      <c r="B167" s="93">
        <v>6.0</v>
      </c>
      <c r="C167" s="27" t="s">
        <v>1054</v>
      </c>
      <c r="D167" s="27" t="s">
        <v>1056</v>
      </c>
      <c r="E167" s="27" t="s">
        <v>1058</v>
      </c>
      <c r="F167" s="25"/>
      <c r="G167" s="25"/>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row>
    <row r="168" ht="15.75" customHeight="1">
      <c r="A168" s="92" t="s">
        <v>989</v>
      </c>
      <c r="B168" s="93">
        <v>7.0</v>
      </c>
      <c r="C168" s="27" t="s">
        <v>1067</v>
      </c>
      <c r="D168" s="27" t="s">
        <v>1069</v>
      </c>
      <c r="E168" s="27" t="s">
        <v>1071</v>
      </c>
      <c r="F168" s="25"/>
      <c r="G168" s="25"/>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row>
    <row r="169" ht="15.75" customHeight="1">
      <c r="A169" s="92" t="s">
        <v>989</v>
      </c>
      <c r="B169" s="93">
        <v>8.0</v>
      </c>
      <c r="C169" s="27" t="s">
        <v>1077</v>
      </c>
      <c r="D169" s="27" t="s">
        <v>1079</v>
      </c>
      <c r="E169" s="94" t="s">
        <v>1081</v>
      </c>
      <c r="F169" s="25"/>
      <c r="G169" s="25"/>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row>
    <row r="170" ht="15.75" customHeight="1">
      <c r="A170" s="92" t="s">
        <v>989</v>
      </c>
      <c r="B170" s="93">
        <v>9.0</v>
      </c>
      <c r="C170" s="27" t="s">
        <v>1088</v>
      </c>
      <c r="D170" s="27" t="s">
        <v>1089</v>
      </c>
      <c r="E170" s="27" t="s">
        <v>1090</v>
      </c>
      <c r="F170" s="25"/>
      <c r="G170" s="25"/>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row>
    <row r="171" ht="15.75" customHeight="1">
      <c r="A171" s="73" t="s">
        <v>989</v>
      </c>
      <c r="B171" s="103">
        <v>-777.0</v>
      </c>
      <c r="C171" s="33" t="s">
        <v>132</v>
      </c>
      <c r="D171" s="33" t="s">
        <v>133</v>
      </c>
      <c r="E171" s="33" t="s">
        <v>134</v>
      </c>
      <c r="F171" s="32"/>
      <c r="G171" s="32"/>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row>
    <row r="172" ht="15.75" customHeight="1">
      <c r="A172" s="107"/>
      <c r="B172" s="108"/>
      <c r="C172" s="107"/>
      <c r="D172" s="107"/>
      <c r="E172" s="193"/>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row>
    <row r="173" ht="15.75" customHeight="1">
      <c r="A173" s="114" t="s">
        <v>1121</v>
      </c>
      <c r="B173" s="116">
        <v>1.0</v>
      </c>
      <c r="C173" s="123" t="s">
        <v>1125</v>
      </c>
      <c r="D173" s="123" t="s">
        <v>1126</v>
      </c>
      <c r="E173" s="196" t="s">
        <v>1128</v>
      </c>
      <c r="F173" s="119"/>
      <c r="G173" s="227"/>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row>
    <row r="174" ht="15.75" customHeight="1">
      <c r="A174" s="92" t="s">
        <v>1121</v>
      </c>
      <c r="B174" s="93">
        <v>2.0</v>
      </c>
      <c r="C174" s="27" t="s">
        <v>1137</v>
      </c>
      <c r="D174" s="27" t="s">
        <v>1140</v>
      </c>
      <c r="E174" s="94" t="s">
        <v>1142</v>
      </c>
      <c r="F174" s="185"/>
      <c r="G174" s="25"/>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row>
    <row r="175" ht="15.75" customHeight="1">
      <c r="A175" s="92" t="s">
        <v>1121</v>
      </c>
      <c r="B175" s="93">
        <v>3.0</v>
      </c>
      <c r="C175" s="27" t="s">
        <v>1150</v>
      </c>
      <c r="D175" s="27" t="s">
        <v>651</v>
      </c>
      <c r="E175" s="94" t="s">
        <v>1153</v>
      </c>
      <c r="F175" s="185"/>
      <c r="G175" s="25"/>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row>
    <row r="176" ht="15.75" customHeight="1">
      <c r="A176" s="73" t="s">
        <v>1121</v>
      </c>
      <c r="B176" s="103">
        <v>4.0</v>
      </c>
      <c r="C176" s="33" t="s">
        <v>1159</v>
      </c>
      <c r="D176" s="33" t="s">
        <v>1160</v>
      </c>
      <c r="E176" s="86" t="s">
        <v>1161</v>
      </c>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row>
    <row r="177" ht="15.75" customHeight="1">
      <c r="A177" s="107"/>
      <c r="B177" s="108"/>
      <c r="C177" s="107"/>
      <c r="D177" s="107"/>
      <c r="E177" s="193"/>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row>
    <row r="178" ht="15.75" customHeight="1">
      <c r="A178" s="114" t="s">
        <v>1181</v>
      </c>
      <c r="B178" s="116">
        <v>1.0</v>
      </c>
      <c r="C178" s="123" t="s">
        <v>1182</v>
      </c>
      <c r="D178" s="123" t="s">
        <v>1182</v>
      </c>
      <c r="E178" s="123" t="s">
        <v>1183</v>
      </c>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28"/>
      <c r="AF178" s="28"/>
    </row>
    <row r="179" ht="15.75" customHeight="1">
      <c r="A179" s="92" t="s">
        <v>1181</v>
      </c>
      <c r="B179" s="93">
        <v>2.0</v>
      </c>
      <c r="C179" s="27" t="s">
        <v>1192</v>
      </c>
      <c r="D179" s="27" t="s">
        <v>1194</v>
      </c>
      <c r="E179" s="27" t="s">
        <v>1197</v>
      </c>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row>
    <row r="180" ht="15.75" customHeight="1">
      <c r="A180" s="92" t="s">
        <v>1181</v>
      </c>
      <c r="B180" s="93">
        <v>3.0</v>
      </c>
      <c r="C180" s="27" t="s">
        <v>1205</v>
      </c>
      <c r="D180" s="27" t="s">
        <v>1205</v>
      </c>
      <c r="E180" s="27" t="s">
        <v>1208</v>
      </c>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row>
    <row r="181" ht="15.75" customHeight="1">
      <c r="A181" s="92" t="s">
        <v>1181</v>
      </c>
      <c r="B181" s="93">
        <v>4.0</v>
      </c>
      <c r="C181" s="27" t="s">
        <v>1218</v>
      </c>
      <c r="D181" s="27" t="s">
        <v>1220</v>
      </c>
      <c r="E181" s="27" t="s">
        <v>1221</v>
      </c>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row>
    <row r="182" ht="15.75" customHeight="1">
      <c r="A182" s="92" t="s">
        <v>1181</v>
      </c>
      <c r="B182" s="93">
        <v>5.0</v>
      </c>
      <c r="C182" s="27" t="s">
        <v>1231</v>
      </c>
      <c r="D182" s="27" t="s">
        <v>1232</v>
      </c>
      <c r="E182" s="27" t="s">
        <v>1233</v>
      </c>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row>
    <row r="183" ht="15.75" customHeight="1">
      <c r="A183" s="92" t="s">
        <v>1181</v>
      </c>
      <c r="B183" s="93">
        <v>6.0</v>
      </c>
      <c r="C183" s="27" t="s">
        <v>1245</v>
      </c>
      <c r="D183" s="27" t="s">
        <v>1246</v>
      </c>
      <c r="E183" s="27" t="s">
        <v>1247</v>
      </c>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row>
    <row r="184" ht="15.75" customHeight="1">
      <c r="A184" s="92" t="s">
        <v>1181</v>
      </c>
      <c r="B184" s="93">
        <v>7.0</v>
      </c>
      <c r="C184" s="27" t="s">
        <v>1181</v>
      </c>
      <c r="D184" s="27" t="s">
        <v>1259</v>
      </c>
      <c r="E184" s="27" t="s">
        <v>1260</v>
      </c>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row>
    <row r="185" ht="15.75" customHeight="1">
      <c r="A185" s="92" t="s">
        <v>1181</v>
      </c>
      <c r="B185" s="93">
        <v>8.0</v>
      </c>
      <c r="C185" s="27" t="s">
        <v>1269</v>
      </c>
      <c r="D185" s="27" t="s">
        <v>1271</v>
      </c>
      <c r="E185" s="27" t="s">
        <v>1269</v>
      </c>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row>
    <row r="186" ht="15.75" customHeight="1">
      <c r="A186" s="92" t="s">
        <v>1181</v>
      </c>
      <c r="B186" s="93">
        <v>9.0</v>
      </c>
      <c r="C186" s="27" t="s">
        <v>1280</v>
      </c>
      <c r="D186" s="27" t="s">
        <v>1282</v>
      </c>
      <c r="E186" s="27" t="s">
        <v>1285</v>
      </c>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row>
    <row r="187" ht="15.75" customHeight="1">
      <c r="A187" s="92" t="s">
        <v>1181</v>
      </c>
      <c r="B187" s="93">
        <v>10.0</v>
      </c>
      <c r="C187" s="27" t="s">
        <v>1292</v>
      </c>
      <c r="D187" s="27" t="s">
        <v>1293</v>
      </c>
      <c r="E187" s="27" t="s">
        <v>1294</v>
      </c>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row>
    <row r="188" ht="15.75" customHeight="1">
      <c r="A188" s="92" t="s">
        <v>1181</v>
      </c>
      <c r="B188" s="93">
        <v>11.0</v>
      </c>
      <c r="C188" s="27" t="s">
        <v>1306</v>
      </c>
      <c r="D188" s="27" t="s">
        <v>1307</v>
      </c>
      <c r="E188" s="27" t="s">
        <v>1308</v>
      </c>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row>
    <row r="189" ht="15.75" customHeight="1">
      <c r="A189" s="73" t="s">
        <v>1181</v>
      </c>
      <c r="B189" s="103">
        <v>-777.0</v>
      </c>
      <c r="C189" s="33" t="s">
        <v>1319</v>
      </c>
      <c r="D189" s="33" t="s">
        <v>1321</v>
      </c>
      <c r="E189" s="33" t="s">
        <v>1322</v>
      </c>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28"/>
      <c r="AF189" s="28"/>
    </row>
    <row r="190" ht="15.75" customHeight="1">
      <c r="A190" s="107"/>
      <c r="B190" s="108"/>
      <c r="C190" s="107"/>
      <c r="D190" s="107"/>
      <c r="E190" s="193"/>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row>
    <row r="191" ht="15.75" customHeight="1">
      <c r="A191" s="114" t="s">
        <v>1332</v>
      </c>
      <c r="B191" s="116">
        <v>0.0</v>
      </c>
      <c r="C191" s="123" t="s">
        <v>186</v>
      </c>
      <c r="D191" s="123" t="s">
        <v>188</v>
      </c>
      <c r="E191" s="123" t="s">
        <v>189</v>
      </c>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28"/>
      <c r="AF191" s="28"/>
    </row>
    <row r="192" ht="15.75" customHeight="1">
      <c r="A192" s="92" t="s">
        <v>1332</v>
      </c>
      <c r="B192" s="93">
        <v>1.0</v>
      </c>
      <c r="C192" s="27" t="s">
        <v>1342</v>
      </c>
      <c r="D192" s="27" t="s">
        <v>1345</v>
      </c>
      <c r="E192" s="27" t="s">
        <v>1346</v>
      </c>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row>
    <row r="193" ht="15.75" customHeight="1">
      <c r="A193" s="92" t="s">
        <v>1332</v>
      </c>
      <c r="B193" s="93">
        <v>2.0</v>
      </c>
      <c r="C193" s="27" t="s">
        <v>1353</v>
      </c>
      <c r="D193" s="27" t="s">
        <v>1356</v>
      </c>
      <c r="E193" s="27" t="s">
        <v>1357</v>
      </c>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row>
    <row r="194" ht="15.75" customHeight="1">
      <c r="A194" s="92" t="s">
        <v>1332</v>
      </c>
      <c r="B194" s="93">
        <v>3.0</v>
      </c>
      <c r="C194" s="27" t="s">
        <v>1363</v>
      </c>
      <c r="D194" s="27" t="s">
        <v>1364</v>
      </c>
      <c r="E194" s="27" t="s">
        <v>1365</v>
      </c>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row>
    <row r="195" ht="15.75" customHeight="1">
      <c r="A195" s="92" t="s">
        <v>1332</v>
      </c>
      <c r="B195" s="93">
        <v>4.0</v>
      </c>
      <c r="C195" s="27" t="s">
        <v>1374</v>
      </c>
      <c r="D195" s="27" t="s">
        <v>1375</v>
      </c>
      <c r="E195" s="27" t="s">
        <v>1376</v>
      </c>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row>
    <row r="196" ht="15.75" customHeight="1">
      <c r="A196" s="92" t="s">
        <v>1332</v>
      </c>
      <c r="B196" s="93">
        <v>5.0</v>
      </c>
      <c r="C196" s="27" t="s">
        <v>1381</v>
      </c>
      <c r="D196" s="27" t="s">
        <v>1382</v>
      </c>
      <c r="E196" s="27" t="s">
        <v>1383</v>
      </c>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row>
    <row r="197" ht="15.75" customHeight="1">
      <c r="A197" s="92" t="s">
        <v>1332</v>
      </c>
      <c r="B197" s="93">
        <v>6.0</v>
      </c>
      <c r="C197" s="27" t="s">
        <v>1389</v>
      </c>
      <c r="D197" s="27" t="s">
        <v>1391</v>
      </c>
      <c r="E197" s="27" t="s">
        <v>1393</v>
      </c>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row>
    <row r="198" ht="15.75" customHeight="1">
      <c r="A198" s="92" t="s">
        <v>1332</v>
      </c>
      <c r="B198" s="93">
        <v>7.0</v>
      </c>
      <c r="C198" s="27" t="s">
        <v>1402</v>
      </c>
      <c r="D198" s="27" t="s">
        <v>1402</v>
      </c>
      <c r="E198" s="27" t="s">
        <v>1403</v>
      </c>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row>
    <row r="199" ht="15.75" customHeight="1">
      <c r="A199" s="92" t="s">
        <v>1332</v>
      </c>
      <c r="B199" s="93">
        <v>8.0</v>
      </c>
      <c r="C199" s="27" t="s">
        <v>1410</v>
      </c>
      <c r="D199" s="27" t="s">
        <v>1411</v>
      </c>
      <c r="E199" s="27" t="s">
        <v>1413</v>
      </c>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row>
    <row r="200" ht="15.75" customHeight="1">
      <c r="A200" s="92" t="s">
        <v>1332</v>
      </c>
      <c r="B200" s="93">
        <v>9.0</v>
      </c>
      <c r="C200" s="27" t="s">
        <v>1425</v>
      </c>
      <c r="D200" s="27" t="s">
        <v>1425</v>
      </c>
      <c r="E200" s="27" t="s">
        <v>1426</v>
      </c>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row>
    <row r="201" ht="15.75" customHeight="1">
      <c r="A201" s="92" t="s">
        <v>1332</v>
      </c>
      <c r="B201" s="93">
        <v>10.0</v>
      </c>
      <c r="C201" s="27" t="s">
        <v>1439</v>
      </c>
      <c r="D201" s="27" t="s">
        <v>1439</v>
      </c>
      <c r="E201" s="27" t="s">
        <v>1441</v>
      </c>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row>
    <row r="202" ht="15.75" customHeight="1">
      <c r="A202" s="92" t="s">
        <v>1332</v>
      </c>
      <c r="B202" s="93">
        <v>11.0</v>
      </c>
      <c r="C202" s="27" t="s">
        <v>1452</v>
      </c>
      <c r="D202" s="27" t="s">
        <v>1453</v>
      </c>
      <c r="E202" s="27" t="s">
        <v>1455</v>
      </c>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row>
    <row r="203" ht="15.75" customHeight="1">
      <c r="A203" s="92" t="s">
        <v>1332</v>
      </c>
      <c r="B203" s="93">
        <v>12.0</v>
      </c>
      <c r="C203" s="27" t="s">
        <v>1469</v>
      </c>
      <c r="D203" s="27" t="s">
        <v>1471</v>
      </c>
      <c r="E203" s="27" t="s">
        <v>1473</v>
      </c>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row>
    <row r="204" ht="15.75" customHeight="1">
      <c r="A204" s="92" t="s">
        <v>1332</v>
      </c>
      <c r="B204" s="93">
        <v>13.0</v>
      </c>
      <c r="C204" s="27" t="s">
        <v>1485</v>
      </c>
      <c r="D204" s="27" t="s">
        <v>1487</v>
      </c>
      <c r="E204" s="27" t="s">
        <v>1489</v>
      </c>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row>
    <row r="205" ht="15.75" customHeight="1">
      <c r="A205" s="92" t="s">
        <v>1332</v>
      </c>
      <c r="B205" s="93">
        <v>14.0</v>
      </c>
      <c r="C205" s="27" t="s">
        <v>1510</v>
      </c>
      <c r="D205" s="27" t="s">
        <v>1512</v>
      </c>
      <c r="E205" s="27" t="s">
        <v>1514</v>
      </c>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row>
    <row r="206" ht="15.75" customHeight="1">
      <c r="A206" s="92" t="s">
        <v>1332</v>
      </c>
      <c r="B206" s="93">
        <v>15.0</v>
      </c>
      <c r="C206" s="27" t="s">
        <v>1529</v>
      </c>
      <c r="D206" s="27" t="s">
        <v>1531</v>
      </c>
      <c r="E206" s="27" t="s">
        <v>1534</v>
      </c>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row>
    <row r="207" ht="15.75" customHeight="1">
      <c r="A207" s="92" t="s">
        <v>1332</v>
      </c>
      <c r="B207" s="93">
        <v>16.0</v>
      </c>
      <c r="C207" s="27" t="s">
        <v>1546</v>
      </c>
      <c r="D207" s="27" t="s">
        <v>1548</v>
      </c>
      <c r="E207" s="27" t="s">
        <v>1549</v>
      </c>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row>
    <row r="208" ht="15.75" customHeight="1">
      <c r="A208" s="92" t="s">
        <v>1332</v>
      </c>
      <c r="B208" s="93">
        <v>17.0</v>
      </c>
      <c r="C208" s="27" t="s">
        <v>1557</v>
      </c>
      <c r="D208" s="27" t="s">
        <v>1558</v>
      </c>
      <c r="E208" s="27" t="s">
        <v>1559</v>
      </c>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row>
    <row r="209" ht="15.75" customHeight="1">
      <c r="A209" s="92" t="s">
        <v>1332</v>
      </c>
      <c r="B209" s="93">
        <v>18.0</v>
      </c>
      <c r="C209" s="27" t="s">
        <v>1573</v>
      </c>
      <c r="D209" s="27" t="s">
        <v>1574</v>
      </c>
      <c r="E209" s="27" t="s">
        <v>1575</v>
      </c>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row>
    <row r="210" ht="15.75" customHeight="1">
      <c r="A210" s="92" t="s">
        <v>1332</v>
      </c>
      <c r="B210" s="93">
        <v>19.0</v>
      </c>
      <c r="C210" s="27" t="s">
        <v>1585</v>
      </c>
      <c r="D210" s="27" t="s">
        <v>1586</v>
      </c>
      <c r="E210" s="27" t="s">
        <v>1587</v>
      </c>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row>
    <row r="211" ht="15.75" customHeight="1">
      <c r="A211" s="92" t="s">
        <v>1332</v>
      </c>
      <c r="B211" s="93">
        <v>20.0</v>
      </c>
      <c r="C211" s="27" t="s">
        <v>1606</v>
      </c>
      <c r="D211" s="27" t="s">
        <v>1607</v>
      </c>
      <c r="E211" s="27" t="s">
        <v>1608</v>
      </c>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row>
    <row r="212" ht="15.75" customHeight="1">
      <c r="A212" s="92" t="s">
        <v>1332</v>
      </c>
      <c r="B212" s="93">
        <v>21.0</v>
      </c>
      <c r="C212" s="27" t="s">
        <v>1624</v>
      </c>
      <c r="D212" s="27" t="s">
        <v>1627</v>
      </c>
      <c r="E212" s="27" t="s">
        <v>1628</v>
      </c>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row>
    <row r="213" ht="15.75" customHeight="1">
      <c r="A213" s="92" t="s">
        <v>1332</v>
      </c>
      <c r="B213" s="93">
        <v>22.0</v>
      </c>
      <c r="C213" s="27" t="s">
        <v>1637</v>
      </c>
      <c r="D213" s="27" t="s">
        <v>1638</v>
      </c>
      <c r="E213" s="27" t="s">
        <v>1639</v>
      </c>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row>
    <row r="214" ht="15.75" customHeight="1">
      <c r="A214" s="92" t="s">
        <v>1332</v>
      </c>
      <c r="B214" s="93">
        <v>23.0</v>
      </c>
      <c r="C214" s="27" t="s">
        <v>1652</v>
      </c>
      <c r="D214" s="27" t="s">
        <v>1653</v>
      </c>
      <c r="E214" s="27" t="s">
        <v>1655</v>
      </c>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row>
    <row r="215" ht="15.75" customHeight="1">
      <c r="A215" s="92" t="s">
        <v>1332</v>
      </c>
      <c r="B215" s="93">
        <v>24.0</v>
      </c>
      <c r="C215" s="27" t="s">
        <v>1662</v>
      </c>
      <c r="D215" s="27" t="s">
        <v>1663</v>
      </c>
      <c r="E215" s="27" t="s">
        <v>1664</v>
      </c>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row>
    <row r="216" ht="15.75" customHeight="1">
      <c r="A216" s="73" t="s">
        <v>1332</v>
      </c>
      <c r="B216" s="103">
        <v>-777.0</v>
      </c>
      <c r="C216" s="33" t="s">
        <v>132</v>
      </c>
      <c r="D216" s="33" t="s">
        <v>133</v>
      </c>
      <c r="E216" s="33" t="s">
        <v>134</v>
      </c>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28"/>
      <c r="AF216" s="28"/>
    </row>
    <row r="217" ht="15.75" customHeight="1">
      <c r="A217" s="107"/>
      <c r="B217" s="108"/>
      <c r="C217" s="107"/>
      <c r="D217" s="107"/>
      <c r="E217" s="193"/>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row>
    <row r="218" ht="15.75" customHeight="1">
      <c r="A218" s="114" t="s">
        <v>1690</v>
      </c>
      <c r="B218" s="116">
        <v>1.0</v>
      </c>
      <c r="C218" s="123" t="s">
        <v>1692</v>
      </c>
      <c r="D218" s="123" t="s">
        <v>1693</v>
      </c>
      <c r="E218" s="123" t="s">
        <v>1694</v>
      </c>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28"/>
      <c r="AF218" s="28"/>
    </row>
    <row r="219" ht="15.75" customHeight="1">
      <c r="A219" s="92" t="s">
        <v>1690</v>
      </c>
      <c r="B219" s="93">
        <v>2.0</v>
      </c>
      <c r="C219" s="27" t="s">
        <v>1706</v>
      </c>
      <c r="D219" s="27" t="s">
        <v>1707</v>
      </c>
      <c r="E219" s="27" t="s">
        <v>1708</v>
      </c>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row>
    <row r="220" ht="15.75" customHeight="1">
      <c r="A220" s="92" t="s">
        <v>1690</v>
      </c>
      <c r="B220" s="93">
        <v>3.0</v>
      </c>
      <c r="C220" s="27" t="s">
        <v>1716</v>
      </c>
      <c r="D220" s="27" t="s">
        <v>1716</v>
      </c>
      <c r="E220" s="27" t="s">
        <v>1717</v>
      </c>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row>
    <row r="221" ht="15.75" customHeight="1">
      <c r="A221" s="92" t="s">
        <v>1690</v>
      </c>
      <c r="B221" s="93">
        <v>4.0</v>
      </c>
      <c r="C221" s="27" t="s">
        <v>1726</v>
      </c>
      <c r="D221" s="27" t="s">
        <v>1727</v>
      </c>
      <c r="E221" s="27" t="s">
        <v>1728</v>
      </c>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row>
    <row r="222" ht="15.75" customHeight="1">
      <c r="A222" s="92" t="s">
        <v>1690</v>
      </c>
      <c r="B222" s="93">
        <v>5.0</v>
      </c>
      <c r="C222" s="27" t="s">
        <v>1735</v>
      </c>
      <c r="D222" s="27" t="s">
        <v>1736</v>
      </c>
      <c r="E222" s="27" t="s">
        <v>1737</v>
      </c>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row>
    <row r="223" ht="15.75" customHeight="1">
      <c r="A223" s="92" t="s">
        <v>1690</v>
      </c>
      <c r="B223" s="93">
        <v>6.0</v>
      </c>
      <c r="C223" s="27" t="s">
        <v>1744</v>
      </c>
      <c r="D223" s="27" t="s">
        <v>1746</v>
      </c>
      <c r="E223" s="27" t="s">
        <v>1748</v>
      </c>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row>
    <row r="224" ht="15.75" customHeight="1">
      <c r="A224" s="92" t="s">
        <v>1690</v>
      </c>
      <c r="B224" s="93">
        <v>7.0</v>
      </c>
      <c r="C224" s="27" t="s">
        <v>1757</v>
      </c>
      <c r="D224" s="27" t="s">
        <v>1759</v>
      </c>
      <c r="E224" s="27" t="s">
        <v>1761</v>
      </c>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row>
    <row r="225" ht="15.75" customHeight="1">
      <c r="A225" s="92" t="s">
        <v>1690</v>
      </c>
      <c r="B225" s="93">
        <v>8.0</v>
      </c>
      <c r="C225" s="27" t="s">
        <v>1773</v>
      </c>
      <c r="D225" s="27" t="s">
        <v>1774</v>
      </c>
      <c r="E225" s="27" t="s">
        <v>1775</v>
      </c>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row>
    <row r="226" ht="15.75" customHeight="1">
      <c r="A226" s="92" t="s">
        <v>1690</v>
      </c>
      <c r="B226" s="93">
        <v>9.0</v>
      </c>
      <c r="C226" s="27" t="s">
        <v>1786</v>
      </c>
      <c r="D226" s="27" t="s">
        <v>1787</v>
      </c>
      <c r="E226" s="27" t="s">
        <v>1788</v>
      </c>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row>
    <row r="227" ht="15.75" customHeight="1">
      <c r="A227" s="92" t="s">
        <v>1690</v>
      </c>
      <c r="B227" s="93">
        <v>10.0</v>
      </c>
      <c r="C227" s="27" t="s">
        <v>1800</v>
      </c>
      <c r="D227" s="27" t="s">
        <v>1802</v>
      </c>
      <c r="E227" s="27" t="s">
        <v>1803</v>
      </c>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row>
    <row r="228" ht="15.75" customHeight="1">
      <c r="A228" s="92" t="s">
        <v>1690</v>
      </c>
      <c r="B228" s="93">
        <v>11.0</v>
      </c>
      <c r="C228" s="27" t="s">
        <v>1819</v>
      </c>
      <c r="D228" s="27" t="s">
        <v>1820</v>
      </c>
      <c r="E228" s="27" t="s">
        <v>1821</v>
      </c>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row>
    <row r="229" ht="15.75" customHeight="1">
      <c r="A229" s="92" t="s">
        <v>1690</v>
      </c>
      <c r="B229" s="93">
        <v>12.0</v>
      </c>
      <c r="C229" s="27" t="s">
        <v>1829</v>
      </c>
      <c r="D229" s="27" t="s">
        <v>1830</v>
      </c>
      <c r="E229" s="27" t="s">
        <v>1832</v>
      </c>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row>
    <row r="230" ht="15.75" customHeight="1">
      <c r="A230" s="73" t="s">
        <v>1690</v>
      </c>
      <c r="B230" s="103">
        <v>0.0</v>
      </c>
      <c r="C230" s="33" t="s">
        <v>186</v>
      </c>
      <c r="D230" s="33" t="s">
        <v>188</v>
      </c>
      <c r="E230" s="33" t="s">
        <v>189</v>
      </c>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28"/>
      <c r="AF230" s="28"/>
    </row>
    <row r="231" ht="15.75" customHeight="1">
      <c r="A231" s="73"/>
      <c r="B231" s="33"/>
      <c r="C231" s="33"/>
      <c r="D231" s="33"/>
      <c r="E231" s="33"/>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28"/>
      <c r="AF231" s="28"/>
    </row>
    <row r="232" ht="15.75" customHeight="1">
      <c r="A232" s="92" t="s">
        <v>1861</v>
      </c>
      <c r="B232" s="93">
        <v>1.0</v>
      </c>
      <c r="C232" s="100" t="s">
        <v>1865</v>
      </c>
      <c r="D232" s="260" t="s">
        <v>1867</v>
      </c>
      <c r="E232" s="27" t="s">
        <v>1869</v>
      </c>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row>
    <row r="233" ht="15.75" customHeight="1">
      <c r="A233" s="92" t="s">
        <v>1861</v>
      </c>
      <c r="B233" s="93">
        <v>2.0</v>
      </c>
      <c r="C233" s="27" t="s">
        <v>1875</v>
      </c>
      <c r="D233" s="27" t="s">
        <v>1876</v>
      </c>
      <c r="E233" s="27" t="s">
        <v>1877</v>
      </c>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row>
    <row r="234" ht="15.75" customHeight="1">
      <c r="A234" s="92" t="s">
        <v>1861</v>
      </c>
      <c r="B234" s="93">
        <v>3.0</v>
      </c>
      <c r="C234" s="27" t="s">
        <v>1882</v>
      </c>
      <c r="D234" s="27" t="s">
        <v>1883</v>
      </c>
      <c r="E234" s="27" t="s">
        <v>1884</v>
      </c>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row>
    <row r="235" ht="15.75" customHeight="1">
      <c r="A235" s="92" t="s">
        <v>1861</v>
      </c>
      <c r="B235" s="93">
        <v>4.0</v>
      </c>
      <c r="C235" s="27" t="s">
        <v>1891</v>
      </c>
      <c r="D235" s="27" t="s">
        <v>1893</v>
      </c>
      <c r="E235" s="27" t="s">
        <v>1894</v>
      </c>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row>
    <row r="236" ht="15.75" customHeight="1">
      <c r="A236" s="92" t="s">
        <v>1861</v>
      </c>
      <c r="B236" s="93">
        <v>5.0</v>
      </c>
      <c r="C236" s="27" t="s">
        <v>1900</v>
      </c>
      <c r="D236" s="27" t="s">
        <v>1901</v>
      </c>
      <c r="E236" s="27" t="s">
        <v>1902</v>
      </c>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row>
    <row r="237" ht="15.75" customHeight="1">
      <c r="A237" s="92" t="s">
        <v>1861</v>
      </c>
      <c r="B237" s="93">
        <v>6.0</v>
      </c>
      <c r="C237" s="27" t="s">
        <v>1915</v>
      </c>
      <c r="D237" s="27" t="s">
        <v>1917</v>
      </c>
      <c r="E237" s="27" t="s">
        <v>1919</v>
      </c>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row>
    <row r="238" ht="15.75" customHeight="1">
      <c r="A238" s="92" t="s">
        <v>1861</v>
      </c>
      <c r="B238" s="93">
        <v>7.0</v>
      </c>
      <c r="C238" s="27" t="s">
        <v>1930</v>
      </c>
      <c r="D238" s="27" t="s">
        <v>1931</v>
      </c>
      <c r="E238" s="27" t="s">
        <v>1932</v>
      </c>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row>
    <row r="239" ht="15.75" customHeight="1">
      <c r="A239" s="73" t="s">
        <v>1861</v>
      </c>
      <c r="B239" s="103">
        <v>0.0</v>
      </c>
      <c r="C239" s="33" t="s">
        <v>186</v>
      </c>
      <c r="D239" s="33" t="s">
        <v>188</v>
      </c>
      <c r="E239" s="33" t="s">
        <v>189</v>
      </c>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28"/>
      <c r="AF239" s="28"/>
    </row>
    <row r="240" ht="15.75" customHeight="1">
      <c r="A240" s="107"/>
      <c r="B240" s="108"/>
      <c r="C240" s="107"/>
      <c r="D240" s="107"/>
      <c r="E240" s="193"/>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row>
    <row r="241" ht="15.75" customHeight="1">
      <c r="A241" s="114" t="s">
        <v>1973</v>
      </c>
      <c r="B241" s="116">
        <v>1.0</v>
      </c>
      <c r="C241" s="123" t="s">
        <v>1976</v>
      </c>
      <c r="D241" s="123" t="s">
        <v>1979</v>
      </c>
      <c r="E241" s="123" t="s">
        <v>1981</v>
      </c>
      <c r="F241" s="51"/>
      <c r="G241" s="52">
        <v>1.0</v>
      </c>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28"/>
      <c r="AF241" s="28"/>
    </row>
    <row r="242" ht="15.75" customHeight="1">
      <c r="A242" s="92" t="s">
        <v>1973</v>
      </c>
      <c r="B242" s="93">
        <v>2.0</v>
      </c>
      <c r="C242" s="27" t="s">
        <v>1995</v>
      </c>
      <c r="D242" s="27" t="s">
        <v>1997</v>
      </c>
      <c r="E242" s="27" t="s">
        <v>1999</v>
      </c>
      <c r="F242" s="28"/>
      <c r="G242" s="58">
        <v>1.0</v>
      </c>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row>
    <row r="243" ht="15.75" customHeight="1">
      <c r="A243" s="92" t="s">
        <v>1973</v>
      </c>
      <c r="B243" s="93">
        <v>3.0</v>
      </c>
      <c r="C243" s="27" t="s">
        <v>2004</v>
      </c>
      <c r="D243" s="27" t="s">
        <v>2005</v>
      </c>
      <c r="E243" s="27" t="s">
        <v>2006</v>
      </c>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row>
    <row r="244" ht="15.75" customHeight="1">
      <c r="A244" s="92" t="s">
        <v>1973</v>
      </c>
      <c r="B244" s="93">
        <v>4.0</v>
      </c>
      <c r="C244" s="27" t="s">
        <v>2016</v>
      </c>
      <c r="D244" s="27" t="s">
        <v>2017</v>
      </c>
      <c r="E244" s="27" t="s">
        <v>2018</v>
      </c>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row>
    <row r="245" ht="15.75" customHeight="1">
      <c r="A245" s="92" t="s">
        <v>1973</v>
      </c>
      <c r="B245" s="93">
        <v>5.0</v>
      </c>
      <c r="C245" s="27" t="s">
        <v>2026</v>
      </c>
      <c r="D245" s="27" t="s">
        <v>2030</v>
      </c>
      <c r="E245" s="27" t="s">
        <v>2032</v>
      </c>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row>
    <row r="246" ht="15.75" customHeight="1">
      <c r="A246" s="92" t="s">
        <v>1973</v>
      </c>
      <c r="B246" s="93">
        <v>6.0</v>
      </c>
      <c r="C246" s="27" t="s">
        <v>2043</v>
      </c>
      <c r="D246" s="27" t="s">
        <v>2044</v>
      </c>
      <c r="E246" s="27" t="s">
        <v>2045</v>
      </c>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row>
    <row r="247" ht="15.75" customHeight="1">
      <c r="A247" s="92" t="s">
        <v>1973</v>
      </c>
      <c r="B247" s="93">
        <v>7.0</v>
      </c>
      <c r="C247" s="27" t="s">
        <v>2053</v>
      </c>
      <c r="D247" s="27" t="s">
        <v>2054</v>
      </c>
      <c r="E247" s="27" t="s">
        <v>2055</v>
      </c>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row>
    <row r="248" ht="15.75" customHeight="1">
      <c r="A248" s="92" t="s">
        <v>1973</v>
      </c>
      <c r="B248" s="93">
        <v>8.0</v>
      </c>
      <c r="C248" s="27" t="s">
        <v>2063</v>
      </c>
      <c r="D248" s="27" t="s">
        <v>2063</v>
      </c>
      <c r="E248" s="27" t="s">
        <v>2064</v>
      </c>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row>
    <row r="249" ht="15.75" customHeight="1">
      <c r="A249" s="92" t="s">
        <v>1973</v>
      </c>
      <c r="B249" s="93">
        <v>9.0</v>
      </c>
      <c r="C249" s="27" t="s">
        <v>2073</v>
      </c>
      <c r="D249" s="27" t="s">
        <v>2074</v>
      </c>
      <c r="E249" s="27" t="s">
        <v>2075</v>
      </c>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row>
    <row r="250" ht="15.75" customHeight="1">
      <c r="A250" s="92" t="s">
        <v>1973</v>
      </c>
      <c r="B250" s="93">
        <v>10.0</v>
      </c>
      <c r="C250" s="27" t="s">
        <v>2083</v>
      </c>
      <c r="D250" s="27" t="s">
        <v>2084</v>
      </c>
      <c r="E250" s="27" t="s">
        <v>2085</v>
      </c>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row>
    <row r="251" ht="15.75" customHeight="1">
      <c r="A251" s="92" t="s">
        <v>1973</v>
      </c>
      <c r="B251" s="93">
        <v>11.0</v>
      </c>
      <c r="C251" s="27" t="s">
        <v>2090</v>
      </c>
      <c r="D251" s="27" t="s">
        <v>2091</v>
      </c>
      <c r="E251" s="27" t="s">
        <v>2093</v>
      </c>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row>
    <row r="252" ht="15.75" customHeight="1">
      <c r="A252" s="92" t="s">
        <v>1973</v>
      </c>
      <c r="B252" s="93">
        <v>12.0</v>
      </c>
      <c r="C252" s="27" t="s">
        <v>2101</v>
      </c>
      <c r="D252" s="27" t="s">
        <v>2103</v>
      </c>
      <c r="E252" s="27" t="s">
        <v>2105</v>
      </c>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row>
    <row r="253" ht="15.75" customHeight="1">
      <c r="A253" s="73" t="s">
        <v>1973</v>
      </c>
      <c r="B253" s="103">
        <v>-777.0</v>
      </c>
      <c r="C253" s="33" t="s">
        <v>132</v>
      </c>
      <c r="D253" s="33" t="s">
        <v>133</v>
      </c>
      <c r="E253" s="33" t="s">
        <v>2116</v>
      </c>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28"/>
      <c r="AF253" s="28"/>
    </row>
    <row r="254" ht="15.75" customHeight="1">
      <c r="A254" s="107"/>
      <c r="B254" s="108"/>
      <c r="C254" s="107"/>
      <c r="D254" s="107"/>
      <c r="E254" s="193"/>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row>
    <row r="255" ht="15.75" customHeight="1">
      <c r="A255" s="114" t="s">
        <v>2133</v>
      </c>
      <c r="B255" s="264">
        <v>0.0</v>
      </c>
      <c r="C255" s="265" t="s">
        <v>2135</v>
      </c>
      <c r="D255" s="266" t="s">
        <v>2138</v>
      </c>
      <c r="E255" s="266" t="s">
        <v>2141</v>
      </c>
      <c r="F255" s="267"/>
      <c r="G255" s="268">
        <v>0.0</v>
      </c>
      <c r="H255" s="267"/>
      <c r="I255" s="267"/>
      <c r="J255" s="267"/>
      <c r="K255" s="267"/>
      <c r="L255" s="267"/>
      <c r="M255" s="267"/>
      <c r="N255" s="267"/>
      <c r="O255" s="267"/>
      <c r="P255" s="267"/>
      <c r="Q255" s="267"/>
      <c r="R255" s="267"/>
      <c r="S255" s="267"/>
      <c r="T255" s="267"/>
      <c r="U255" s="267"/>
      <c r="V255" s="267"/>
      <c r="W255" s="267"/>
      <c r="X255" s="267"/>
      <c r="Y255" s="267"/>
      <c r="Z255" s="267"/>
      <c r="AA255" s="267"/>
      <c r="AB255" s="267"/>
      <c r="AC255" s="267"/>
      <c r="AD255" s="267"/>
      <c r="AE255" s="267"/>
      <c r="AF255" s="267"/>
    </row>
    <row r="256" ht="15.75" customHeight="1">
      <c r="A256" s="114" t="s">
        <v>2133</v>
      </c>
      <c r="B256" s="116">
        <v>1.0</v>
      </c>
      <c r="C256" s="123" t="s">
        <v>2155</v>
      </c>
      <c r="D256" s="123" t="s">
        <v>2158</v>
      </c>
      <c r="E256" s="196" t="s">
        <v>2161</v>
      </c>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28"/>
      <c r="AF256" s="28"/>
    </row>
    <row r="257" ht="15.75" customHeight="1">
      <c r="A257" s="92" t="s">
        <v>2133</v>
      </c>
      <c r="B257" s="93">
        <v>2.0</v>
      </c>
      <c r="C257" s="27" t="s">
        <v>2175</v>
      </c>
      <c r="D257" s="27" t="s">
        <v>2178</v>
      </c>
      <c r="E257" s="27" t="s">
        <v>2179</v>
      </c>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row>
    <row r="258" ht="15.75" customHeight="1">
      <c r="A258" s="92" t="s">
        <v>2133</v>
      </c>
      <c r="B258" s="93">
        <v>3.0</v>
      </c>
      <c r="C258" s="27" t="s">
        <v>2187</v>
      </c>
      <c r="D258" s="27" t="s">
        <v>2188</v>
      </c>
      <c r="E258" s="27" t="s">
        <v>2189</v>
      </c>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row>
    <row r="259" ht="15.75" customHeight="1">
      <c r="A259" s="92" t="s">
        <v>2133</v>
      </c>
      <c r="B259" s="93">
        <v>4.0</v>
      </c>
      <c r="C259" s="33" t="s">
        <v>2197</v>
      </c>
      <c r="D259" s="33" t="s">
        <v>2198</v>
      </c>
      <c r="E259" s="33" t="s">
        <v>2199</v>
      </c>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row>
    <row r="260" ht="15.75" customHeight="1">
      <c r="A260" s="92" t="s">
        <v>2133</v>
      </c>
      <c r="B260" s="93">
        <v>5.0</v>
      </c>
      <c r="C260" s="275" t="s">
        <v>2211</v>
      </c>
      <c r="D260" s="121" t="s">
        <v>2216</v>
      </c>
      <c r="E260" s="121" t="s">
        <v>2217</v>
      </c>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row>
    <row r="261" ht="15.75" customHeight="1">
      <c r="A261" s="92" t="s">
        <v>2133</v>
      </c>
      <c r="B261" s="93">
        <v>6.0</v>
      </c>
      <c r="C261" s="276" t="s">
        <v>2225</v>
      </c>
      <c r="D261" s="107" t="s">
        <v>2227</v>
      </c>
      <c r="E261" s="193" t="s">
        <v>2227</v>
      </c>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row>
    <row r="262" ht="15.75" customHeight="1">
      <c r="A262" s="73" t="s">
        <v>2133</v>
      </c>
      <c r="B262" s="103">
        <v>-777.0</v>
      </c>
      <c r="C262" s="33" t="s">
        <v>2243</v>
      </c>
      <c r="D262" s="33" t="s">
        <v>133</v>
      </c>
      <c r="E262" s="33" t="s">
        <v>2244</v>
      </c>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28"/>
      <c r="AF262" s="28"/>
    </row>
    <row r="263" ht="15.75" customHeight="1">
      <c r="A263" s="107"/>
      <c r="B263" s="108"/>
      <c r="C263" s="107"/>
      <c r="D263" s="107"/>
      <c r="E263" s="193"/>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row>
    <row r="264" ht="15.75" customHeight="1">
      <c r="A264" s="114" t="s">
        <v>2260</v>
      </c>
      <c r="B264" s="116">
        <v>1.0</v>
      </c>
      <c r="C264" s="123" t="s">
        <v>2261</v>
      </c>
      <c r="D264" s="123" t="s">
        <v>2262</v>
      </c>
      <c r="E264" s="196" t="s">
        <v>2263</v>
      </c>
      <c r="F264" s="227"/>
      <c r="G264" s="227"/>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row>
    <row r="265" ht="15.75" customHeight="1">
      <c r="A265" s="92" t="s">
        <v>2260</v>
      </c>
      <c r="B265" s="93">
        <v>2.0</v>
      </c>
      <c r="C265" s="27" t="s">
        <v>2175</v>
      </c>
      <c r="D265" s="27" t="s">
        <v>2178</v>
      </c>
      <c r="E265" s="94" t="s">
        <v>2275</v>
      </c>
      <c r="F265" s="185"/>
      <c r="G265" s="25"/>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row>
    <row r="266" ht="15.75" customHeight="1">
      <c r="A266" s="92" t="s">
        <v>2260</v>
      </c>
      <c r="B266" s="93">
        <v>3.0</v>
      </c>
      <c r="C266" s="27" t="s">
        <v>2187</v>
      </c>
      <c r="D266" s="27" t="s">
        <v>2188</v>
      </c>
      <c r="E266" s="94" t="s">
        <v>2285</v>
      </c>
      <c r="F266" s="25"/>
      <c r="G266" s="25"/>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row>
    <row r="267" ht="15.75" customHeight="1">
      <c r="A267" s="73" t="s">
        <v>2260</v>
      </c>
      <c r="B267" s="103">
        <v>-777.0</v>
      </c>
      <c r="C267" s="33" t="s">
        <v>2243</v>
      </c>
      <c r="D267" s="33" t="s">
        <v>133</v>
      </c>
      <c r="E267" s="86" t="s">
        <v>2244</v>
      </c>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row>
    <row r="268" ht="15.75" customHeight="1">
      <c r="A268" s="107"/>
      <c r="B268" s="108"/>
      <c r="C268" s="107"/>
      <c r="D268" s="107"/>
      <c r="E268" s="107"/>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row>
    <row r="269" ht="15.75" customHeight="1">
      <c r="A269" s="114" t="s">
        <v>2312</v>
      </c>
      <c r="B269" s="116">
        <v>0.0</v>
      </c>
      <c r="C269" s="123" t="s">
        <v>186</v>
      </c>
      <c r="D269" s="123" t="s">
        <v>188</v>
      </c>
      <c r="E269" s="123" t="s">
        <v>189</v>
      </c>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28"/>
      <c r="AF269" s="28"/>
    </row>
    <row r="270" ht="15.75" customHeight="1">
      <c r="A270" s="92" t="s">
        <v>2312</v>
      </c>
      <c r="B270" s="93">
        <v>1.0</v>
      </c>
      <c r="C270" s="27" t="s">
        <v>2329</v>
      </c>
      <c r="D270" s="27" t="s">
        <v>2332</v>
      </c>
      <c r="E270" s="27" t="s">
        <v>2333</v>
      </c>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row>
    <row r="271" ht="15.75" customHeight="1">
      <c r="A271" s="92" t="s">
        <v>2312</v>
      </c>
      <c r="B271" s="93">
        <v>2.0</v>
      </c>
      <c r="C271" s="27" t="s">
        <v>2358</v>
      </c>
      <c r="D271" s="27" t="s">
        <v>2360</v>
      </c>
      <c r="E271" s="94" t="s">
        <v>2361</v>
      </c>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row>
    <row r="272" ht="15.75" customHeight="1">
      <c r="A272" s="92" t="s">
        <v>2312</v>
      </c>
      <c r="B272" s="93">
        <v>3.0</v>
      </c>
      <c r="C272" s="27" t="s">
        <v>2378</v>
      </c>
      <c r="D272" s="27" t="s">
        <v>2380</v>
      </c>
      <c r="E272" s="27" t="s">
        <v>2381</v>
      </c>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row>
    <row r="273" ht="15.75" customHeight="1">
      <c r="A273" s="92" t="s">
        <v>2312</v>
      </c>
      <c r="B273" s="93">
        <v>4.0</v>
      </c>
      <c r="C273" s="27" t="s">
        <v>2393</v>
      </c>
      <c r="D273" s="27" t="s">
        <v>2394</v>
      </c>
      <c r="E273" s="94" t="s">
        <v>2395</v>
      </c>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row>
    <row r="274" ht="15.75" customHeight="1">
      <c r="A274" s="92" t="s">
        <v>2312</v>
      </c>
      <c r="B274" s="93">
        <v>5.0</v>
      </c>
      <c r="C274" s="27" t="s">
        <v>2402</v>
      </c>
      <c r="D274" s="27" t="s">
        <v>2403</v>
      </c>
      <c r="E274" s="27" t="s">
        <v>2404</v>
      </c>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row>
    <row r="275" ht="15.75" customHeight="1">
      <c r="A275" s="92" t="s">
        <v>2312</v>
      </c>
      <c r="B275" s="93">
        <v>6.0</v>
      </c>
      <c r="C275" s="27" t="s">
        <v>2411</v>
      </c>
      <c r="D275" s="27" t="s">
        <v>2412</v>
      </c>
      <c r="E275" s="27" t="s">
        <v>2413</v>
      </c>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row>
    <row r="276" ht="15.75" customHeight="1">
      <c r="A276" s="92" t="s">
        <v>2312</v>
      </c>
      <c r="B276" s="93">
        <v>7.0</v>
      </c>
      <c r="C276" s="27" t="s">
        <v>2414</v>
      </c>
      <c r="D276" s="27" t="s">
        <v>2415</v>
      </c>
      <c r="E276" s="27" t="s">
        <v>2418</v>
      </c>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row>
    <row r="277" ht="15.75" customHeight="1">
      <c r="A277" s="92" t="s">
        <v>2312</v>
      </c>
      <c r="B277" s="93">
        <v>8.0</v>
      </c>
      <c r="C277" s="27" t="s">
        <v>2421</v>
      </c>
      <c r="D277" s="27" t="s">
        <v>2422</v>
      </c>
      <c r="E277" s="94" t="s">
        <v>2423</v>
      </c>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row>
    <row r="278" ht="15.75" customHeight="1">
      <c r="A278" s="92" t="s">
        <v>2312</v>
      </c>
      <c r="B278" s="93">
        <v>9.0</v>
      </c>
      <c r="C278" s="27" t="s">
        <v>2425</v>
      </c>
      <c r="D278" s="27" t="s">
        <v>2428</v>
      </c>
      <c r="E278" s="27" t="s">
        <v>2430</v>
      </c>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row>
    <row r="279" ht="15.75" customHeight="1">
      <c r="A279" s="92" t="s">
        <v>2312</v>
      </c>
      <c r="B279" s="93">
        <v>10.0</v>
      </c>
      <c r="C279" s="27" t="s">
        <v>2439</v>
      </c>
      <c r="D279" s="27" t="s">
        <v>2440</v>
      </c>
      <c r="E279" s="27" t="s">
        <v>2441</v>
      </c>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row>
    <row r="280" ht="15.75" customHeight="1">
      <c r="A280" s="92" t="s">
        <v>2312</v>
      </c>
      <c r="B280" s="93">
        <v>11.0</v>
      </c>
      <c r="C280" s="27" t="s">
        <v>2450</v>
      </c>
      <c r="D280" s="27" t="s">
        <v>2451</v>
      </c>
      <c r="E280" s="94" t="s">
        <v>2453</v>
      </c>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row>
    <row r="281" ht="15.75" customHeight="1">
      <c r="A281" s="92" t="s">
        <v>2312</v>
      </c>
      <c r="B281" s="93">
        <v>12.0</v>
      </c>
      <c r="C281" s="27" t="s">
        <v>2466</v>
      </c>
      <c r="D281" s="27" t="s">
        <v>2468</v>
      </c>
      <c r="E281" s="94" t="s">
        <v>2470</v>
      </c>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row>
    <row r="282" ht="15.75" customHeight="1">
      <c r="A282" s="73" t="s">
        <v>2312</v>
      </c>
      <c r="B282" s="103">
        <v>-777.0</v>
      </c>
      <c r="C282" s="33" t="s">
        <v>132</v>
      </c>
      <c r="D282" s="33" t="s">
        <v>133</v>
      </c>
      <c r="E282" s="33" t="s">
        <v>2244</v>
      </c>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28"/>
      <c r="AF282" s="28"/>
    </row>
    <row r="283" ht="15.75" customHeight="1">
      <c r="A283" s="73"/>
      <c r="B283" s="33"/>
      <c r="C283" s="33"/>
      <c r="D283" s="33"/>
      <c r="E283" s="33"/>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28"/>
      <c r="AF283" s="28"/>
    </row>
    <row r="284" ht="15.75" customHeight="1">
      <c r="A284" s="92" t="s">
        <v>2507</v>
      </c>
      <c r="B284" s="93">
        <v>1.0</v>
      </c>
      <c r="C284" s="27" t="s">
        <v>2511</v>
      </c>
      <c r="D284" s="27" t="s">
        <v>2512</v>
      </c>
      <c r="E284" s="27" t="s">
        <v>2513</v>
      </c>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row>
    <row r="285" ht="15.75" customHeight="1">
      <c r="A285" s="92" t="s">
        <v>2507</v>
      </c>
      <c r="B285" s="93">
        <v>2.0</v>
      </c>
      <c r="C285" s="27" t="s">
        <v>2525</v>
      </c>
      <c r="D285" s="27" t="s">
        <v>2526</v>
      </c>
      <c r="E285" s="27" t="s">
        <v>2529</v>
      </c>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row>
    <row r="286" ht="15.75" customHeight="1">
      <c r="A286" s="92" t="s">
        <v>2507</v>
      </c>
      <c r="B286" s="93">
        <v>3.0</v>
      </c>
      <c r="C286" s="27" t="s">
        <v>2539</v>
      </c>
      <c r="D286" s="27" t="s">
        <v>2540</v>
      </c>
      <c r="E286" s="27" t="s">
        <v>2543</v>
      </c>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row>
    <row r="287" ht="15.75" customHeight="1">
      <c r="A287" s="92" t="s">
        <v>2507</v>
      </c>
      <c r="B287" s="93">
        <v>4.0</v>
      </c>
      <c r="C287" s="27" t="s">
        <v>2556</v>
      </c>
      <c r="D287" s="27" t="s">
        <v>2558</v>
      </c>
      <c r="E287" s="27" t="s">
        <v>2559</v>
      </c>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row>
    <row r="288" ht="15.75" customHeight="1">
      <c r="A288" s="92" t="s">
        <v>2507</v>
      </c>
      <c r="B288" s="93">
        <v>5.0</v>
      </c>
      <c r="C288" s="27" t="s">
        <v>2568</v>
      </c>
      <c r="D288" s="27" t="s">
        <v>2569</v>
      </c>
      <c r="E288" s="27" t="s">
        <v>2571</v>
      </c>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row>
    <row r="289" ht="15.75" customHeight="1">
      <c r="A289" s="73" t="s">
        <v>2507</v>
      </c>
      <c r="B289" s="103">
        <v>0.0</v>
      </c>
      <c r="C289" s="33" t="s">
        <v>186</v>
      </c>
      <c r="D289" s="33" t="s">
        <v>188</v>
      </c>
      <c r="E289" s="33" t="s">
        <v>189</v>
      </c>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28"/>
      <c r="AF289" s="28"/>
    </row>
    <row r="290" ht="15.75" customHeight="1">
      <c r="A290" s="73"/>
      <c r="B290" s="33"/>
      <c r="C290" s="33"/>
      <c r="D290" s="33"/>
      <c r="E290" s="33"/>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28"/>
      <c r="AF290" s="28"/>
    </row>
    <row r="291" ht="15.75" customHeight="1">
      <c r="A291" s="92" t="s">
        <v>2605</v>
      </c>
      <c r="B291" s="93">
        <v>1.0</v>
      </c>
      <c r="C291" s="27" t="s">
        <v>2606</v>
      </c>
      <c r="D291" s="27" t="s">
        <v>2607</v>
      </c>
      <c r="E291" s="27" t="s">
        <v>2608</v>
      </c>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row>
    <row r="292" ht="15.75" customHeight="1">
      <c r="A292" s="92" t="s">
        <v>2605</v>
      </c>
      <c r="B292" s="93">
        <v>2.0</v>
      </c>
      <c r="C292" s="27" t="s">
        <v>2618</v>
      </c>
      <c r="D292" s="27" t="s">
        <v>2619</v>
      </c>
      <c r="E292" s="27" t="s">
        <v>2620</v>
      </c>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row>
    <row r="293" ht="15.75" customHeight="1">
      <c r="A293" s="92" t="s">
        <v>2605</v>
      </c>
      <c r="B293" s="93">
        <v>3.0</v>
      </c>
      <c r="C293" s="27" t="s">
        <v>2629</v>
      </c>
      <c r="D293" s="27" t="s">
        <v>2630</v>
      </c>
      <c r="E293" s="94" t="s">
        <v>2631</v>
      </c>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row>
    <row r="294" ht="15.75" customHeight="1">
      <c r="A294" s="92" t="s">
        <v>2605</v>
      </c>
      <c r="B294" s="93">
        <v>4.0</v>
      </c>
      <c r="C294" s="27" t="s">
        <v>2637</v>
      </c>
      <c r="D294" s="27" t="s">
        <v>2638</v>
      </c>
      <c r="E294" s="27" t="s">
        <v>2639</v>
      </c>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row>
    <row r="295" ht="15.75" customHeight="1">
      <c r="A295" s="92" t="s">
        <v>2605</v>
      </c>
      <c r="B295" s="93">
        <v>5.0</v>
      </c>
      <c r="C295" s="27" t="s">
        <v>2644</v>
      </c>
      <c r="D295" s="27" t="s">
        <v>2645</v>
      </c>
      <c r="E295" s="27" t="s">
        <v>2646</v>
      </c>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row>
    <row r="296" ht="15.75" customHeight="1">
      <c r="A296" s="92" t="s">
        <v>2605</v>
      </c>
      <c r="B296" s="93">
        <v>6.0</v>
      </c>
      <c r="C296" s="27" t="s">
        <v>2649</v>
      </c>
      <c r="D296" s="27" t="s">
        <v>2650</v>
      </c>
      <c r="E296" s="27" t="s">
        <v>2651</v>
      </c>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row>
    <row r="297" ht="15.75" customHeight="1">
      <c r="A297" s="73" t="s">
        <v>2605</v>
      </c>
      <c r="B297" s="103">
        <v>0.0</v>
      </c>
      <c r="C297" s="33" t="s">
        <v>186</v>
      </c>
      <c r="D297" s="33" t="s">
        <v>188</v>
      </c>
      <c r="E297" s="33" t="s">
        <v>189</v>
      </c>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28"/>
      <c r="AF297" s="28"/>
    </row>
    <row r="298" ht="15.75" customHeight="1">
      <c r="A298" s="107"/>
      <c r="B298" s="108"/>
      <c r="C298" s="107"/>
      <c r="D298" s="107"/>
      <c r="E298" s="193"/>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row>
    <row r="299" ht="15.75" customHeight="1">
      <c r="A299" s="114" t="s">
        <v>2673</v>
      </c>
      <c r="B299" s="116">
        <v>0.0</v>
      </c>
      <c r="C299" s="123" t="s">
        <v>186</v>
      </c>
      <c r="D299" s="123" t="s">
        <v>188</v>
      </c>
      <c r="E299" s="123" t="s">
        <v>189</v>
      </c>
      <c r="F299" s="119"/>
      <c r="G299" s="119"/>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row>
    <row r="300" ht="15.75" customHeight="1">
      <c r="A300" s="92" t="s">
        <v>2673</v>
      </c>
      <c r="B300" s="93">
        <v>1.0</v>
      </c>
      <c r="C300" s="27" t="s">
        <v>2685</v>
      </c>
      <c r="D300" s="27" t="s">
        <v>2685</v>
      </c>
      <c r="E300" s="94" t="s">
        <v>2685</v>
      </c>
      <c r="F300" s="185"/>
      <c r="G300" s="25"/>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row>
    <row r="301" ht="15.75" customHeight="1">
      <c r="A301" s="92" t="s">
        <v>2673</v>
      </c>
      <c r="B301" s="93">
        <v>2.0</v>
      </c>
      <c r="C301" s="27" t="s">
        <v>2690</v>
      </c>
      <c r="D301" s="27" t="s">
        <v>2690</v>
      </c>
      <c r="E301" s="27" t="s">
        <v>2690</v>
      </c>
      <c r="F301" s="25"/>
      <c r="G301" s="25"/>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row>
    <row r="302" ht="15.75" customHeight="1">
      <c r="A302" s="92" t="s">
        <v>2673</v>
      </c>
      <c r="B302" s="93">
        <v>3.0</v>
      </c>
      <c r="C302" s="27" t="s">
        <v>2693</v>
      </c>
      <c r="D302" s="27" t="s">
        <v>2693</v>
      </c>
      <c r="E302" s="27" t="s">
        <v>2693</v>
      </c>
      <c r="F302" s="25"/>
      <c r="G302" s="25"/>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row>
    <row r="303" ht="15.75" customHeight="1">
      <c r="A303" s="92" t="s">
        <v>2673</v>
      </c>
      <c r="B303" s="93">
        <v>4.0</v>
      </c>
      <c r="C303" s="27" t="s">
        <v>2702</v>
      </c>
      <c r="D303" s="27" t="s">
        <v>2702</v>
      </c>
      <c r="E303" s="94" t="s">
        <v>2702</v>
      </c>
      <c r="F303" s="25"/>
      <c r="G303" s="25"/>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row>
    <row r="304" ht="15.75" customHeight="1">
      <c r="A304" s="92" t="s">
        <v>2673</v>
      </c>
      <c r="B304" s="93">
        <v>5.0</v>
      </c>
      <c r="C304" s="27" t="s">
        <v>2703</v>
      </c>
      <c r="D304" s="27" t="s">
        <v>2703</v>
      </c>
      <c r="E304" s="94" t="s">
        <v>2703</v>
      </c>
      <c r="F304" s="185"/>
      <c r="G304" s="185"/>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row>
    <row r="305" ht="15.75" customHeight="1">
      <c r="A305" s="73" t="s">
        <v>2673</v>
      </c>
      <c r="B305" s="103">
        <v>6.0</v>
      </c>
      <c r="C305" s="33" t="s">
        <v>2713</v>
      </c>
      <c r="D305" s="33" t="s">
        <v>2713</v>
      </c>
      <c r="E305" s="33" t="s">
        <v>2713</v>
      </c>
      <c r="F305" s="32"/>
      <c r="G305" s="32"/>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row>
    <row r="306" ht="15.75" customHeight="1">
      <c r="A306" s="73" t="s">
        <v>2673</v>
      </c>
      <c r="B306" s="103">
        <v>7.0</v>
      </c>
      <c r="C306" s="33" t="s">
        <v>2721</v>
      </c>
      <c r="D306" s="33" t="s">
        <v>2721</v>
      </c>
      <c r="E306" s="86" t="s">
        <v>2721</v>
      </c>
      <c r="F306" s="32"/>
      <c r="G306" s="32"/>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row>
    <row r="307" ht="15.75" customHeight="1">
      <c r="A307" s="92" t="s">
        <v>2673</v>
      </c>
      <c r="B307" s="93">
        <v>8.0</v>
      </c>
      <c r="C307" s="27" t="s">
        <v>2729</v>
      </c>
      <c r="D307" s="27" t="s">
        <v>2729</v>
      </c>
      <c r="E307" s="27" t="s">
        <v>2729</v>
      </c>
      <c r="F307" s="25"/>
      <c r="G307" s="25"/>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row>
    <row r="308" ht="15.75" customHeight="1">
      <c r="A308" s="92" t="s">
        <v>2673</v>
      </c>
      <c r="B308" s="93">
        <v>9.0</v>
      </c>
      <c r="C308" s="27" t="s">
        <v>2743</v>
      </c>
      <c r="D308" s="27" t="s">
        <v>2743</v>
      </c>
      <c r="E308" s="27" t="s">
        <v>2743</v>
      </c>
      <c r="F308" s="25"/>
      <c r="G308" s="25"/>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row>
    <row r="309" ht="15.75" customHeight="1">
      <c r="A309" s="92" t="s">
        <v>2673</v>
      </c>
      <c r="B309" s="93">
        <v>10.0</v>
      </c>
      <c r="C309" s="27" t="s">
        <v>2755</v>
      </c>
      <c r="D309" s="27" t="s">
        <v>2755</v>
      </c>
      <c r="E309" s="27" t="s">
        <v>2755</v>
      </c>
      <c r="F309" s="25"/>
      <c r="G309" s="25"/>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row>
    <row r="310" ht="15.75" customHeight="1">
      <c r="A310" s="92" t="s">
        <v>2673</v>
      </c>
      <c r="B310" s="93">
        <v>11.0</v>
      </c>
      <c r="C310" s="27" t="s">
        <v>2774</v>
      </c>
      <c r="D310" s="27" t="s">
        <v>2774</v>
      </c>
      <c r="E310" s="276" t="s">
        <v>2774</v>
      </c>
      <c r="F310" s="25"/>
      <c r="G310" s="25"/>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row>
    <row r="311" ht="15.75" customHeight="1">
      <c r="A311" s="92" t="s">
        <v>2673</v>
      </c>
      <c r="B311" s="93">
        <v>12.0</v>
      </c>
      <c r="C311" s="27" t="s">
        <v>2783</v>
      </c>
      <c r="D311" s="27" t="s">
        <v>2783</v>
      </c>
      <c r="E311" s="27" t="s">
        <v>2783</v>
      </c>
      <c r="F311" s="25"/>
      <c r="G311" s="25"/>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row>
    <row r="312" ht="15.75" customHeight="1">
      <c r="A312" s="73" t="s">
        <v>2673</v>
      </c>
      <c r="B312" s="103">
        <v>13.0</v>
      </c>
      <c r="C312" s="33" t="s">
        <v>2787</v>
      </c>
      <c r="D312" s="33" t="s">
        <v>2787</v>
      </c>
      <c r="E312" s="86" t="s">
        <v>2787</v>
      </c>
      <c r="F312" s="34"/>
      <c r="G312" s="32"/>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row>
    <row r="313" ht="15.75" customHeight="1">
      <c r="A313" s="73" t="s">
        <v>2673</v>
      </c>
      <c r="B313" s="103">
        <v>14.0</v>
      </c>
      <c r="C313" s="33" t="s">
        <v>2800</v>
      </c>
      <c r="D313" s="33" t="s">
        <v>2800</v>
      </c>
      <c r="E313" s="33" t="s">
        <v>2800</v>
      </c>
      <c r="F313" s="32"/>
      <c r="G313" s="32"/>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row>
    <row r="314" ht="15.75" customHeight="1">
      <c r="A314" s="92" t="s">
        <v>2673</v>
      </c>
      <c r="B314" s="93">
        <v>15.0</v>
      </c>
      <c r="C314" s="27" t="s">
        <v>2812</v>
      </c>
      <c r="D314" s="27" t="s">
        <v>2812</v>
      </c>
      <c r="E314" s="94" t="s">
        <v>2812</v>
      </c>
      <c r="F314" s="25"/>
      <c r="G314" s="25"/>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row>
    <row r="315" ht="15.75" customHeight="1">
      <c r="A315" s="92" t="s">
        <v>2673</v>
      </c>
      <c r="B315" s="93">
        <v>16.0</v>
      </c>
      <c r="C315" s="27" t="s">
        <v>2819</v>
      </c>
      <c r="D315" s="27" t="s">
        <v>2819</v>
      </c>
      <c r="E315" s="27" t="s">
        <v>2819</v>
      </c>
      <c r="F315" s="25"/>
      <c r="G315" s="25"/>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row>
    <row r="316" ht="15.75" customHeight="1">
      <c r="A316" s="92" t="s">
        <v>2673</v>
      </c>
      <c r="B316" s="93">
        <v>17.0</v>
      </c>
      <c r="C316" s="27" t="s">
        <v>2823</v>
      </c>
      <c r="D316" s="27" t="s">
        <v>2823</v>
      </c>
      <c r="E316" s="27" t="s">
        <v>2823</v>
      </c>
      <c r="F316" s="25"/>
      <c r="G316" s="25"/>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row>
    <row r="317" ht="15.75" customHeight="1">
      <c r="A317" s="92" t="s">
        <v>2673</v>
      </c>
      <c r="B317" s="93">
        <v>18.0</v>
      </c>
      <c r="C317" s="27" t="s">
        <v>2828</v>
      </c>
      <c r="D317" s="27" t="s">
        <v>2828</v>
      </c>
      <c r="E317" s="94" t="s">
        <v>2828</v>
      </c>
      <c r="F317" s="185"/>
      <c r="G317" s="185"/>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row>
    <row r="318" ht="15.75" customHeight="1">
      <c r="A318" s="73" t="s">
        <v>2673</v>
      </c>
      <c r="B318" s="103">
        <v>19.0</v>
      </c>
      <c r="C318" s="33" t="s">
        <v>2834</v>
      </c>
      <c r="D318" s="33" t="s">
        <v>2834</v>
      </c>
      <c r="E318" s="33" t="s">
        <v>2834</v>
      </c>
      <c r="F318" s="32"/>
      <c r="G318" s="32"/>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row>
    <row r="319" ht="15.75" customHeight="1">
      <c r="A319" s="73" t="s">
        <v>2673</v>
      </c>
      <c r="B319" s="103">
        <v>20.0</v>
      </c>
      <c r="C319" s="33" t="s">
        <v>2846</v>
      </c>
      <c r="D319" s="33" t="s">
        <v>2846</v>
      </c>
      <c r="E319" s="33" t="s">
        <v>2846</v>
      </c>
      <c r="F319" s="32"/>
      <c r="G319" s="32"/>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row>
    <row r="320" ht="15.75" customHeight="1">
      <c r="A320" s="92" t="s">
        <v>2673</v>
      </c>
      <c r="B320" s="93">
        <v>21.0</v>
      </c>
      <c r="C320" s="27" t="s">
        <v>2860</v>
      </c>
      <c r="D320" s="27" t="s">
        <v>2860</v>
      </c>
      <c r="E320" s="27" t="s">
        <v>2860</v>
      </c>
      <c r="F320" s="25"/>
      <c r="G320" s="25"/>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row>
    <row r="321" ht="15.75" customHeight="1">
      <c r="A321" s="92" t="s">
        <v>2673</v>
      </c>
      <c r="B321" s="93">
        <v>22.0</v>
      </c>
      <c r="C321" s="27" t="s">
        <v>2874</v>
      </c>
      <c r="D321" s="27" t="s">
        <v>2874</v>
      </c>
      <c r="E321" s="27" t="s">
        <v>2874</v>
      </c>
      <c r="F321" s="25"/>
      <c r="G321" s="25"/>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row>
    <row r="322" ht="15.75" customHeight="1">
      <c r="A322" s="92" t="s">
        <v>2673</v>
      </c>
      <c r="B322" s="93">
        <v>23.0</v>
      </c>
      <c r="C322" s="27" t="s">
        <v>2881</v>
      </c>
      <c r="D322" s="27" t="s">
        <v>2881</v>
      </c>
      <c r="E322" s="276" t="s">
        <v>2881</v>
      </c>
      <c r="F322" s="25"/>
      <c r="G322" s="25"/>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row>
    <row r="323" ht="15.75" customHeight="1">
      <c r="A323" s="73" t="s">
        <v>2673</v>
      </c>
      <c r="B323" s="103">
        <v>24.0</v>
      </c>
      <c r="C323" s="33" t="s">
        <v>2896</v>
      </c>
      <c r="D323" s="33" t="s">
        <v>2896</v>
      </c>
      <c r="E323" s="33" t="s">
        <v>2896</v>
      </c>
      <c r="F323" s="32"/>
      <c r="G323" s="32"/>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row>
    <row r="324" ht="15.75" customHeight="1">
      <c r="A324" s="73" t="s">
        <v>2673</v>
      </c>
      <c r="B324" s="103">
        <v>25.0</v>
      </c>
      <c r="C324" s="33" t="s">
        <v>2911</v>
      </c>
      <c r="D324" s="33" t="s">
        <v>2911</v>
      </c>
      <c r="E324" s="33" t="s">
        <v>2911</v>
      </c>
      <c r="F324" s="32"/>
      <c r="G324" s="32"/>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row>
    <row r="325" ht="15.75" customHeight="1">
      <c r="A325" s="92" t="s">
        <v>2673</v>
      </c>
      <c r="B325" s="93">
        <v>26.0</v>
      </c>
      <c r="C325" s="27" t="s">
        <v>2912</v>
      </c>
      <c r="D325" s="27" t="s">
        <v>2912</v>
      </c>
      <c r="E325" s="27" t="s">
        <v>2912</v>
      </c>
      <c r="F325" s="25"/>
      <c r="G325" s="25"/>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row>
    <row r="326" ht="15.75" customHeight="1">
      <c r="A326" s="92" t="s">
        <v>2673</v>
      </c>
      <c r="B326" s="93">
        <v>27.0</v>
      </c>
      <c r="C326" s="27" t="s">
        <v>2918</v>
      </c>
      <c r="D326" s="27" t="s">
        <v>2918</v>
      </c>
      <c r="E326" s="276" t="s">
        <v>2918</v>
      </c>
      <c r="F326" s="185"/>
      <c r="G326" s="185"/>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row>
    <row r="327" ht="15.75" customHeight="1">
      <c r="A327" s="92" t="s">
        <v>2673</v>
      </c>
      <c r="B327" s="93">
        <v>28.0</v>
      </c>
      <c r="C327" s="27" t="s">
        <v>2928</v>
      </c>
      <c r="D327" s="27" t="s">
        <v>2928</v>
      </c>
      <c r="E327" s="27" t="s">
        <v>2928</v>
      </c>
      <c r="F327" s="25"/>
      <c r="G327" s="25"/>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row>
    <row r="328" ht="15.75" customHeight="1">
      <c r="A328" s="92" t="s">
        <v>2673</v>
      </c>
      <c r="B328" s="93">
        <v>29.0</v>
      </c>
      <c r="C328" s="27" t="s">
        <v>2936</v>
      </c>
      <c r="D328" s="27" t="s">
        <v>2936</v>
      </c>
      <c r="E328" s="94" t="s">
        <v>2936</v>
      </c>
      <c r="F328" s="185"/>
      <c r="G328" s="25"/>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row>
    <row r="329" ht="15.75" customHeight="1">
      <c r="A329" s="92" t="s">
        <v>2673</v>
      </c>
      <c r="B329" s="93">
        <v>30.0</v>
      </c>
      <c r="C329" s="27" t="s">
        <v>2950</v>
      </c>
      <c r="D329" s="27" t="s">
        <v>2950</v>
      </c>
      <c r="E329" s="94" t="s">
        <v>2950</v>
      </c>
      <c r="F329" s="185"/>
      <c r="G329" s="185"/>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row>
    <row r="330" ht="15.75" customHeight="1">
      <c r="A330" s="92" t="s">
        <v>2673</v>
      </c>
      <c r="B330" s="93">
        <v>31.0</v>
      </c>
      <c r="C330" s="27" t="s">
        <v>2966</v>
      </c>
      <c r="D330" s="27" t="s">
        <v>2966</v>
      </c>
      <c r="E330" s="276" t="s">
        <v>2966</v>
      </c>
      <c r="F330" s="25"/>
      <c r="G330" s="25"/>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row>
    <row r="331" ht="15.75" customHeight="1">
      <c r="A331" s="73" t="s">
        <v>2673</v>
      </c>
      <c r="B331" s="103">
        <v>32.0</v>
      </c>
      <c r="C331" s="33" t="s">
        <v>2975</v>
      </c>
      <c r="D331" s="33" t="s">
        <v>2975</v>
      </c>
      <c r="E331" s="33" t="s">
        <v>2975</v>
      </c>
      <c r="F331" s="32"/>
      <c r="G331" s="32"/>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row>
    <row r="332" ht="15.75" customHeight="1">
      <c r="A332" s="73" t="s">
        <v>2673</v>
      </c>
      <c r="B332" s="103">
        <v>33.0</v>
      </c>
      <c r="C332" s="33" t="s">
        <v>2987</v>
      </c>
      <c r="D332" s="33" t="s">
        <v>2987</v>
      </c>
      <c r="E332" s="86" t="s">
        <v>2987</v>
      </c>
      <c r="F332" s="32"/>
      <c r="G332" s="32"/>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row>
    <row r="333" ht="15.75" customHeight="1">
      <c r="A333" s="92" t="s">
        <v>2673</v>
      </c>
      <c r="B333" s="93">
        <v>34.0</v>
      </c>
      <c r="C333" s="27" t="s">
        <v>2989</v>
      </c>
      <c r="D333" s="27" t="s">
        <v>2989</v>
      </c>
      <c r="E333" s="94" t="s">
        <v>2989</v>
      </c>
      <c r="F333" s="25"/>
      <c r="G333" s="25"/>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row>
    <row r="334" ht="15.75" customHeight="1">
      <c r="A334" s="92" t="s">
        <v>2673</v>
      </c>
      <c r="B334" s="93">
        <v>35.0</v>
      </c>
      <c r="C334" s="27" t="s">
        <v>2994</v>
      </c>
      <c r="D334" s="27" t="s">
        <v>2994</v>
      </c>
      <c r="E334" s="27" t="s">
        <v>2994</v>
      </c>
      <c r="F334" s="25"/>
      <c r="G334" s="25"/>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row>
    <row r="335" ht="15.75" customHeight="1">
      <c r="A335" s="92" t="s">
        <v>2673</v>
      </c>
      <c r="B335" s="93">
        <v>36.0</v>
      </c>
      <c r="C335" s="27" t="s">
        <v>3000</v>
      </c>
      <c r="D335" s="27" t="s">
        <v>3000</v>
      </c>
      <c r="E335" s="27" t="s">
        <v>3000</v>
      </c>
      <c r="F335" s="25"/>
      <c r="G335" s="25"/>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row>
    <row r="336" ht="15.75" customHeight="1">
      <c r="A336" s="92" t="s">
        <v>2673</v>
      </c>
      <c r="B336" s="93">
        <v>37.0</v>
      </c>
      <c r="C336" s="27" t="s">
        <v>3011</v>
      </c>
      <c r="D336" s="27" t="s">
        <v>3011</v>
      </c>
      <c r="E336" s="27" t="s">
        <v>3011</v>
      </c>
      <c r="F336" s="25"/>
      <c r="G336" s="25"/>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row>
    <row r="337" ht="15.75" customHeight="1">
      <c r="A337" s="92" t="s">
        <v>2673</v>
      </c>
      <c r="B337" s="93">
        <v>38.0</v>
      </c>
      <c r="C337" s="27" t="s">
        <v>3022</v>
      </c>
      <c r="D337" s="27" t="s">
        <v>3022</v>
      </c>
      <c r="E337" s="27" t="s">
        <v>3022</v>
      </c>
      <c r="F337" s="25"/>
      <c r="G337" s="25"/>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row>
    <row r="338" ht="15.75" customHeight="1">
      <c r="A338" s="92" t="s">
        <v>2673</v>
      </c>
      <c r="B338" s="93">
        <v>39.0</v>
      </c>
      <c r="C338" s="27" t="s">
        <v>3034</v>
      </c>
      <c r="D338" s="27" t="s">
        <v>3034</v>
      </c>
      <c r="E338" s="94" t="s">
        <v>3034</v>
      </c>
      <c r="F338" s="185"/>
      <c r="G338" s="185"/>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row>
    <row r="339" ht="15.75" customHeight="1">
      <c r="A339" s="92" t="s">
        <v>2673</v>
      </c>
      <c r="B339" s="93">
        <v>40.0</v>
      </c>
      <c r="C339" s="27" t="s">
        <v>3046</v>
      </c>
      <c r="D339" s="27" t="s">
        <v>3046</v>
      </c>
      <c r="E339" s="27" t="s">
        <v>3046</v>
      </c>
      <c r="F339" s="25"/>
      <c r="G339" s="25"/>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row>
    <row r="340" ht="15.75" customHeight="1">
      <c r="A340" s="73" t="s">
        <v>2673</v>
      </c>
      <c r="B340" s="103">
        <v>41.0</v>
      </c>
      <c r="C340" s="33" t="s">
        <v>3055</v>
      </c>
      <c r="D340" s="33" t="s">
        <v>3055</v>
      </c>
      <c r="E340" s="33" t="s">
        <v>3055</v>
      </c>
      <c r="F340" s="32"/>
      <c r="G340" s="32"/>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row>
    <row r="341" ht="15.75" customHeight="1">
      <c r="A341" s="73" t="s">
        <v>2673</v>
      </c>
      <c r="B341" s="103">
        <v>42.0</v>
      </c>
      <c r="C341" s="33" t="s">
        <v>3071</v>
      </c>
      <c r="D341" s="33" t="s">
        <v>3071</v>
      </c>
      <c r="E341" s="33" t="s">
        <v>3071</v>
      </c>
      <c r="F341" s="32"/>
      <c r="G341" s="32"/>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row>
    <row r="342" ht="15.75" customHeight="1">
      <c r="A342" s="107"/>
      <c r="B342" s="108"/>
      <c r="C342" s="107"/>
      <c r="D342" s="107"/>
      <c r="E342" s="193"/>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row>
    <row r="343" ht="15.75" customHeight="1">
      <c r="A343" s="114" t="s">
        <v>3100</v>
      </c>
      <c r="B343" s="116">
        <v>0.0</v>
      </c>
      <c r="C343" s="123" t="s">
        <v>186</v>
      </c>
      <c r="D343" s="123" t="s">
        <v>188</v>
      </c>
      <c r="E343" s="123" t="s">
        <v>189</v>
      </c>
      <c r="F343" s="119"/>
      <c r="G343" s="212">
        <v>0.0</v>
      </c>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row>
    <row r="344" ht="15.75" customHeight="1">
      <c r="A344" s="92" t="s">
        <v>3100</v>
      </c>
      <c r="B344" s="93">
        <v>2.0</v>
      </c>
      <c r="C344" s="27" t="s">
        <v>758</v>
      </c>
      <c r="D344" s="27" t="s">
        <v>759</v>
      </c>
      <c r="E344" s="27" t="s">
        <v>760</v>
      </c>
      <c r="F344" s="25"/>
      <c r="G344" s="23">
        <v>1.0</v>
      </c>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row>
    <row r="345" ht="15.75" customHeight="1">
      <c r="A345" s="92" t="s">
        <v>3100</v>
      </c>
      <c r="B345" s="93">
        <v>3.0</v>
      </c>
      <c r="C345" s="27" t="s">
        <v>764</v>
      </c>
      <c r="D345" s="27" t="s">
        <v>765</v>
      </c>
      <c r="E345" s="27" t="s">
        <v>764</v>
      </c>
      <c r="F345" s="25"/>
      <c r="G345" s="23">
        <v>2.0</v>
      </c>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row>
    <row r="346" ht="15.75" customHeight="1">
      <c r="A346" s="92" t="s">
        <v>3100</v>
      </c>
      <c r="B346" s="93">
        <v>4.0</v>
      </c>
      <c r="C346" s="27" t="s">
        <v>769</v>
      </c>
      <c r="D346" s="27" t="s">
        <v>769</v>
      </c>
      <c r="E346" s="27" t="s">
        <v>769</v>
      </c>
      <c r="F346" s="25"/>
      <c r="G346" s="23">
        <v>3.0</v>
      </c>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row>
    <row r="347" ht="15.75" customHeight="1">
      <c r="A347" s="92" t="s">
        <v>3100</v>
      </c>
      <c r="B347" s="93">
        <v>5.0</v>
      </c>
      <c r="C347" s="27" t="s">
        <v>772</v>
      </c>
      <c r="D347" s="27" t="s">
        <v>773</v>
      </c>
      <c r="E347" s="27" t="s">
        <v>774</v>
      </c>
      <c r="F347" s="25"/>
      <c r="G347" s="23">
        <v>4.0</v>
      </c>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row>
    <row r="348" ht="15.75" customHeight="1">
      <c r="A348" s="92" t="s">
        <v>3100</v>
      </c>
      <c r="B348" s="93">
        <v>6.0</v>
      </c>
      <c r="C348" s="27" t="s">
        <v>779</v>
      </c>
      <c r="D348" s="27" t="s">
        <v>781</v>
      </c>
      <c r="E348" s="94" t="s">
        <v>782</v>
      </c>
      <c r="F348" s="25"/>
      <c r="G348" s="23">
        <v>5.0</v>
      </c>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row>
    <row r="349" ht="15.75" customHeight="1">
      <c r="A349" s="92" t="s">
        <v>3100</v>
      </c>
      <c r="B349" s="93">
        <v>7.0</v>
      </c>
      <c r="C349" s="27" t="s">
        <v>785</v>
      </c>
      <c r="D349" s="27" t="s">
        <v>786</v>
      </c>
      <c r="E349" s="27" t="s">
        <v>785</v>
      </c>
      <c r="F349" s="25"/>
      <c r="G349" s="23">
        <v>6.0</v>
      </c>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row>
    <row r="350" ht="15.75" customHeight="1">
      <c r="A350" s="92" t="s">
        <v>3100</v>
      </c>
      <c r="B350" s="93">
        <v>8.0</v>
      </c>
      <c r="C350" s="27" t="s">
        <v>789</v>
      </c>
      <c r="D350" s="27" t="s">
        <v>789</v>
      </c>
      <c r="E350" s="27" t="s">
        <v>789</v>
      </c>
      <c r="F350" s="25"/>
      <c r="G350" s="23">
        <v>7.0</v>
      </c>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row>
    <row r="351" ht="15.75" customHeight="1">
      <c r="A351" s="92" t="s">
        <v>3100</v>
      </c>
      <c r="B351" s="93">
        <v>9.0</v>
      </c>
      <c r="C351" s="27" t="s">
        <v>800</v>
      </c>
      <c r="D351" s="27" t="s">
        <v>800</v>
      </c>
      <c r="E351" s="27" t="s">
        <v>800</v>
      </c>
      <c r="F351" s="25"/>
      <c r="G351" s="23">
        <v>8.0</v>
      </c>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row>
    <row r="352" ht="15.75" customHeight="1">
      <c r="A352" s="92" t="s">
        <v>3100</v>
      </c>
      <c r="B352" s="93">
        <v>10.0</v>
      </c>
      <c r="C352" s="27" t="s">
        <v>810</v>
      </c>
      <c r="D352" s="27" t="s">
        <v>811</v>
      </c>
      <c r="E352" s="27" t="s">
        <v>812</v>
      </c>
      <c r="F352" s="25"/>
      <c r="G352" s="23">
        <v>9.0</v>
      </c>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row>
    <row r="353" ht="15.75" customHeight="1">
      <c r="A353" s="92" t="s">
        <v>3100</v>
      </c>
      <c r="B353" s="93">
        <v>11.0</v>
      </c>
      <c r="C353" s="27" t="s">
        <v>818</v>
      </c>
      <c r="D353" s="27" t="s">
        <v>819</v>
      </c>
      <c r="E353" s="27" t="s">
        <v>818</v>
      </c>
      <c r="F353" s="25"/>
      <c r="G353" s="23">
        <v>10.0</v>
      </c>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row>
    <row r="354" ht="15.75" customHeight="1">
      <c r="A354" s="92" t="s">
        <v>3100</v>
      </c>
      <c r="B354" s="93">
        <v>12.0</v>
      </c>
      <c r="C354" s="27" t="s">
        <v>826</v>
      </c>
      <c r="D354" s="27" t="s">
        <v>826</v>
      </c>
      <c r="E354" s="27" t="s">
        <v>826</v>
      </c>
      <c r="F354" s="25"/>
      <c r="G354" s="23">
        <v>11.0</v>
      </c>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row>
    <row r="355" ht="15.75" customHeight="1">
      <c r="A355" s="92" t="s">
        <v>3100</v>
      </c>
      <c r="B355" s="93">
        <v>13.0</v>
      </c>
      <c r="C355" s="27" t="s">
        <v>834</v>
      </c>
      <c r="D355" s="27" t="s">
        <v>835</v>
      </c>
      <c r="E355" s="27" t="s">
        <v>834</v>
      </c>
      <c r="F355" s="25"/>
      <c r="G355" s="23">
        <v>12.0</v>
      </c>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row>
    <row r="356" ht="15.75" customHeight="1">
      <c r="A356" s="92" t="s">
        <v>3100</v>
      </c>
      <c r="B356" s="93">
        <v>14.0</v>
      </c>
      <c r="C356" s="27" t="s">
        <v>840</v>
      </c>
      <c r="D356" s="27" t="s">
        <v>840</v>
      </c>
      <c r="E356" s="27" t="s">
        <v>840</v>
      </c>
      <c r="F356" s="25"/>
      <c r="G356" s="23">
        <v>13.0</v>
      </c>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row>
    <row r="357" ht="15.75" customHeight="1">
      <c r="A357" s="92" t="s">
        <v>3100</v>
      </c>
      <c r="B357" s="93">
        <v>15.0</v>
      </c>
      <c r="C357" s="27" t="s">
        <v>852</v>
      </c>
      <c r="D357" s="27" t="s">
        <v>853</v>
      </c>
      <c r="E357" s="27" t="s">
        <v>852</v>
      </c>
      <c r="F357" s="25"/>
      <c r="G357" s="23">
        <v>14.0</v>
      </c>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row>
    <row r="358" ht="15.75" customHeight="1">
      <c r="A358" s="92" t="s">
        <v>3100</v>
      </c>
      <c r="B358" s="93">
        <v>16.0</v>
      </c>
      <c r="C358" s="27" t="s">
        <v>859</v>
      </c>
      <c r="D358" s="27" t="s">
        <v>860</v>
      </c>
      <c r="E358" s="27" t="s">
        <v>859</v>
      </c>
      <c r="F358" s="25"/>
      <c r="G358" s="23">
        <v>15.0</v>
      </c>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row>
    <row r="359" ht="15.75" customHeight="1">
      <c r="A359" s="92" t="s">
        <v>3100</v>
      </c>
      <c r="B359" s="93">
        <v>17.0</v>
      </c>
      <c r="C359" s="27" t="s">
        <v>864</v>
      </c>
      <c r="D359" s="27" t="s">
        <v>865</v>
      </c>
      <c r="E359" s="27" t="s">
        <v>867</v>
      </c>
      <c r="F359" s="25"/>
      <c r="G359" s="23">
        <v>16.0</v>
      </c>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row>
    <row r="360" ht="15.75" customHeight="1">
      <c r="A360" s="92" t="s">
        <v>3100</v>
      </c>
      <c r="B360" s="93">
        <v>18.0</v>
      </c>
      <c r="C360" s="27" t="s">
        <v>875</v>
      </c>
      <c r="D360" s="27" t="s">
        <v>875</v>
      </c>
      <c r="E360" s="27" t="s">
        <v>877</v>
      </c>
      <c r="F360" s="25"/>
      <c r="G360" s="23">
        <v>17.0</v>
      </c>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row>
    <row r="361" ht="15.75" customHeight="1">
      <c r="A361" s="92" t="s">
        <v>3100</v>
      </c>
      <c r="B361" s="93">
        <v>19.0</v>
      </c>
      <c r="C361" s="27" t="s">
        <v>881</v>
      </c>
      <c r="D361" s="27" t="s">
        <v>881</v>
      </c>
      <c r="E361" s="27" t="s">
        <v>883</v>
      </c>
      <c r="F361" s="25"/>
      <c r="G361" s="23">
        <v>18.0</v>
      </c>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row>
    <row r="362" ht="15.75" customHeight="1">
      <c r="A362" s="92" t="s">
        <v>3100</v>
      </c>
      <c r="B362" s="93">
        <v>20.0</v>
      </c>
      <c r="C362" s="27" t="s">
        <v>889</v>
      </c>
      <c r="D362" s="27" t="s">
        <v>890</v>
      </c>
      <c r="E362" s="94" t="s">
        <v>891</v>
      </c>
      <c r="F362" s="25"/>
      <c r="G362" s="23">
        <v>19.0</v>
      </c>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row>
    <row r="363" ht="15.75" customHeight="1">
      <c r="A363" s="92" t="s">
        <v>3100</v>
      </c>
      <c r="B363" s="93">
        <v>21.0</v>
      </c>
      <c r="C363" s="27" t="s">
        <v>899</v>
      </c>
      <c r="D363" s="27" t="s">
        <v>900</v>
      </c>
      <c r="E363" s="27" t="s">
        <v>901</v>
      </c>
      <c r="F363" s="25"/>
      <c r="G363" s="23">
        <v>20.0</v>
      </c>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row>
    <row r="364" ht="15.75" customHeight="1">
      <c r="A364" s="92" t="s">
        <v>3100</v>
      </c>
      <c r="B364" s="93">
        <v>-777.0</v>
      </c>
      <c r="C364" s="27" t="s">
        <v>132</v>
      </c>
      <c r="D364" s="27" t="s">
        <v>133</v>
      </c>
      <c r="E364" s="27" t="s">
        <v>733</v>
      </c>
      <c r="F364" s="25"/>
      <c r="G364" s="23">
        <v>-777.0</v>
      </c>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row>
    <row r="365" ht="15.75" customHeight="1">
      <c r="A365" s="73" t="s">
        <v>3100</v>
      </c>
      <c r="B365" s="103">
        <v>-999.0</v>
      </c>
      <c r="C365" s="33" t="s">
        <v>116</v>
      </c>
      <c r="D365" s="33" t="s">
        <v>117</v>
      </c>
      <c r="E365" s="33" t="s">
        <v>118</v>
      </c>
      <c r="F365" s="32"/>
      <c r="G365" s="31">
        <v>-999.0</v>
      </c>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row>
    <row r="366" ht="15.75" customHeight="1">
      <c r="A366" s="107"/>
      <c r="B366" s="108"/>
      <c r="C366" s="107"/>
      <c r="D366" s="107"/>
      <c r="E366" s="193"/>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row>
    <row r="367" ht="15.75" customHeight="1">
      <c r="A367" s="114" t="s">
        <v>3339</v>
      </c>
      <c r="B367" s="116">
        <v>1.0</v>
      </c>
      <c r="C367" s="123" t="s">
        <v>3343</v>
      </c>
      <c r="D367" s="265" t="s">
        <v>3343</v>
      </c>
      <c r="E367" s="265" t="s">
        <v>3347</v>
      </c>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row>
    <row r="368" ht="15.75" customHeight="1">
      <c r="A368" s="92" t="s">
        <v>3339</v>
      </c>
      <c r="B368" s="93">
        <v>2.0</v>
      </c>
      <c r="C368" s="27" t="s">
        <v>3371</v>
      </c>
      <c r="D368" s="107" t="s">
        <v>3372</v>
      </c>
      <c r="E368" s="107" t="s">
        <v>3371</v>
      </c>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row>
    <row r="369" ht="15.75" customHeight="1">
      <c r="A369" s="92" t="s">
        <v>3339</v>
      </c>
      <c r="B369" s="93">
        <v>3.0</v>
      </c>
      <c r="C369" s="27" t="s">
        <v>3377</v>
      </c>
      <c r="D369" s="107" t="s">
        <v>3378</v>
      </c>
      <c r="E369" s="107" t="s">
        <v>3379</v>
      </c>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row>
    <row r="370" ht="15.75" customHeight="1">
      <c r="A370" s="73" t="s">
        <v>3339</v>
      </c>
      <c r="B370" s="103">
        <v>4.0</v>
      </c>
      <c r="C370" s="33" t="s">
        <v>3386</v>
      </c>
      <c r="D370" s="81" t="s">
        <v>3389</v>
      </c>
      <c r="E370" s="81" t="s">
        <v>3390</v>
      </c>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row>
    <row r="371" ht="15.75" customHeight="1">
      <c r="A371" s="73" t="s">
        <v>3339</v>
      </c>
      <c r="B371" s="103">
        <v>-777.0</v>
      </c>
      <c r="C371" s="33" t="s">
        <v>132</v>
      </c>
      <c r="D371" s="33" t="s">
        <v>133</v>
      </c>
      <c r="E371" s="33" t="s">
        <v>2116</v>
      </c>
      <c r="F371" s="32"/>
      <c r="G371" s="32"/>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row>
    <row r="372" ht="15.75" customHeight="1">
      <c r="A372" s="107"/>
      <c r="B372" s="108"/>
      <c r="C372" s="107"/>
      <c r="D372" s="107"/>
      <c r="E372" s="193"/>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row>
    <row r="373" ht="15.75" customHeight="1">
      <c r="A373" s="114" t="s">
        <v>3410</v>
      </c>
      <c r="B373" s="116">
        <v>1.0</v>
      </c>
      <c r="C373" s="123" t="s">
        <v>3413</v>
      </c>
      <c r="D373" s="123" t="s">
        <v>3415</v>
      </c>
      <c r="E373" s="123" t="s">
        <v>3416</v>
      </c>
      <c r="F373" s="119"/>
      <c r="G373" s="119"/>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row>
    <row r="374" ht="15.75" customHeight="1">
      <c r="A374" s="92" t="s">
        <v>3410</v>
      </c>
      <c r="B374" s="93">
        <v>2.0</v>
      </c>
      <c r="C374" s="27" t="s">
        <v>3430</v>
      </c>
      <c r="D374" s="27" t="s">
        <v>3431</v>
      </c>
      <c r="E374" s="94" t="s">
        <v>3432</v>
      </c>
      <c r="F374" s="25"/>
      <c r="G374" s="25"/>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row>
    <row r="375" ht="15.75" customHeight="1">
      <c r="A375" s="92" t="s">
        <v>3410</v>
      </c>
      <c r="B375" s="93">
        <v>3.0</v>
      </c>
      <c r="C375" s="27" t="s">
        <v>3446</v>
      </c>
      <c r="D375" s="27" t="s">
        <v>3447</v>
      </c>
      <c r="E375" s="94" t="s">
        <v>3449</v>
      </c>
      <c r="F375" s="25"/>
      <c r="G375" s="25"/>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row>
    <row r="376" ht="15.75" customHeight="1">
      <c r="A376" s="92" t="s">
        <v>3410</v>
      </c>
      <c r="B376" s="312">
        <v>4.0</v>
      </c>
      <c r="C376" s="158" t="s">
        <v>3457</v>
      </c>
      <c r="D376" s="107" t="s">
        <v>3460</v>
      </c>
      <c r="E376" s="193" t="s">
        <v>3462</v>
      </c>
      <c r="F376" s="101"/>
      <c r="G376" s="101"/>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row>
    <row r="377" ht="15.75" customHeight="1">
      <c r="A377" s="73" t="s">
        <v>3410</v>
      </c>
      <c r="B377" s="103">
        <v>-777.0</v>
      </c>
      <c r="C377" s="33" t="s">
        <v>132</v>
      </c>
      <c r="D377" s="33" t="s">
        <v>133</v>
      </c>
      <c r="E377" s="33" t="s">
        <v>134</v>
      </c>
      <c r="F377" s="32"/>
      <c r="G377" s="32"/>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row>
    <row r="378" ht="15.75" customHeight="1">
      <c r="A378" s="73"/>
      <c r="B378" s="33"/>
      <c r="C378" s="33"/>
      <c r="D378" s="33"/>
      <c r="E378" s="33"/>
      <c r="F378" s="32"/>
      <c r="G378" s="32"/>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row>
    <row r="379" ht="15.75" customHeight="1">
      <c r="A379" s="92" t="s">
        <v>3492</v>
      </c>
      <c r="B379" s="93">
        <v>0.0</v>
      </c>
      <c r="C379" s="27" t="s">
        <v>186</v>
      </c>
      <c r="D379" s="27" t="s">
        <v>188</v>
      </c>
      <c r="E379" s="27" t="s">
        <v>189</v>
      </c>
      <c r="F379" s="25"/>
      <c r="G379" s="25"/>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row>
    <row r="380" ht="15.75" customHeight="1">
      <c r="A380" s="92" t="s">
        <v>3492</v>
      </c>
      <c r="B380" s="93">
        <v>1.0</v>
      </c>
      <c r="C380" s="27" t="s">
        <v>3501</v>
      </c>
      <c r="D380" s="27" t="s">
        <v>3502</v>
      </c>
      <c r="E380" s="94" t="s">
        <v>3505</v>
      </c>
      <c r="F380" s="25"/>
      <c r="G380" s="25"/>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row>
    <row r="381" ht="15.75" customHeight="1">
      <c r="A381" s="92" t="s">
        <v>3492</v>
      </c>
      <c r="B381" s="93">
        <v>2.0</v>
      </c>
      <c r="C381" s="27" t="s">
        <v>3514</v>
      </c>
      <c r="D381" s="27" t="s">
        <v>3516</v>
      </c>
      <c r="E381" s="27" t="s">
        <v>3517</v>
      </c>
      <c r="F381" s="25"/>
      <c r="G381" s="25"/>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row>
    <row r="382" ht="15.75" customHeight="1">
      <c r="A382" s="92" t="s">
        <v>3492</v>
      </c>
      <c r="B382" s="93">
        <v>3.0</v>
      </c>
      <c r="C382" s="27" t="s">
        <v>3524</v>
      </c>
      <c r="D382" s="27" t="s">
        <v>3525</v>
      </c>
      <c r="E382" s="94" t="s">
        <v>3527</v>
      </c>
      <c r="F382" s="25"/>
      <c r="G382" s="25"/>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row>
    <row r="383" ht="15.75" customHeight="1">
      <c r="A383" s="92" t="s">
        <v>3492</v>
      </c>
      <c r="B383" s="93">
        <v>4.0</v>
      </c>
      <c r="C383" s="27" t="s">
        <v>3540</v>
      </c>
      <c r="D383" s="27" t="s">
        <v>3541</v>
      </c>
      <c r="E383" s="94" t="s">
        <v>3542</v>
      </c>
      <c r="F383" s="25"/>
      <c r="G383" s="25"/>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row>
    <row r="384" ht="15.75" customHeight="1">
      <c r="A384" s="92" t="s">
        <v>3492</v>
      </c>
      <c r="B384" s="93">
        <v>5.0</v>
      </c>
      <c r="C384" s="27" t="s">
        <v>3557</v>
      </c>
      <c r="D384" s="27" t="s">
        <v>3559</v>
      </c>
      <c r="E384" s="94" t="s">
        <v>3561</v>
      </c>
      <c r="F384" s="25"/>
      <c r="G384" s="25"/>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row>
    <row r="385" ht="15.75" customHeight="1">
      <c r="A385" s="73" t="s">
        <v>3492</v>
      </c>
      <c r="B385" s="103">
        <v>6.0</v>
      </c>
      <c r="C385" s="33" t="s">
        <v>3563</v>
      </c>
      <c r="D385" s="33" t="s">
        <v>3564</v>
      </c>
      <c r="E385" s="86" t="s">
        <v>3565</v>
      </c>
      <c r="F385" s="32"/>
      <c r="G385" s="32"/>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row>
    <row r="386" ht="15.75" customHeight="1">
      <c r="A386" s="73" t="s">
        <v>3492</v>
      </c>
      <c r="B386" s="103">
        <v>-777.0</v>
      </c>
      <c r="C386" s="33" t="s">
        <v>132</v>
      </c>
      <c r="D386" s="33" t="s">
        <v>133</v>
      </c>
      <c r="E386" s="33" t="s">
        <v>2116</v>
      </c>
      <c r="F386" s="32"/>
      <c r="G386" s="32"/>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row>
    <row r="387" ht="15.75" customHeight="1">
      <c r="A387" s="73" t="s">
        <v>3492</v>
      </c>
      <c r="B387" s="103">
        <v>-999.0</v>
      </c>
      <c r="C387" s="33" t="s">
        <v>116</v>
      </c>
      <c r="D387" s="33" t="s">
        <v>117</v>
      </c>
      <c r="E387" s="33" t="s">
        <v>118</v>
      </c>
      <c r="F387" s="32"/>
      <c r="G387" s="32"/>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row>
    <row r="388" ht="15.75" customHeight="1">
      <c r="A388" s="73"/>
      <c r="B388" s="33"/>
      <c r="C388" s="33"/>
      <c r="D388" s="33"/>
      <c r="E388" s="33"/>
      <c r="F388" s="32"/>
      <c r="G388" s="32"/>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row>
    <row r="389" ht="15.75" customHeight="1">
      <c r="A389" s="73"/>
      <c r="B389" s="33"/>
      <c r="C389" s="33"/>
      <c r="D389" s="33"/>
      <c r="E389" s="33"/>
      <c r="F389" s="32"/>
      <c r="G389" s="32"/>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row>
    <row r="390" ht="15.75" customHeight="1">
      <c r="A390" s="92" t="s">
        <v>3603</v>
      </c>
      <c r="B390" s="93">
        <v>1.0</v>
      </c>
      <c r="C390" s="27" t="s">
        <v>3606</v>
      </c>
      <c r="D390" s="27" t="s">
        <v>3607</v>
      </c>
      <c r="E390" s="94" t="s">
        <v>3609</v>
      </c>
      <c r="F390" s="25"/>
      <c r="G390" s="25"/>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row>
    <row r="391" ht="15.75" customHeight="1">
      <c r="A391" s="92" t="s">
        <v>3603</v>
      </c>
      <c r="B391" s="93">
        <v>2.0</v>
      </c>
      <c r="C391" s="27" t="s">
        <v>3615</v>
      </c>
      <c r="D391" s="27" t="s">
        <v>3617</v>
      </c>
      <c r="E391" s="94" t="s">
        <v>3618</v>
      </c>
      <c r="F391" s="25"/>
      <c r="G391" s="25"/>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row>
    <row r="392" ht="15.75" customHeight="1">
      <c r="A392" s="92" t="s">
        <v>3603</v>
      </c>
      <c r="B392" s="93">
        <v>3.0</v>
      </c>
      <c r="C392" s="27" t="s">
        <v>3629</v>
      </c>
      <c r="D392" s="27" t="s">
        <v>3632</v>
      </c>
      <c r="E392" s="94" t="s">
        <v>3633</v>
      </c>
      <c r="F392" s="25"/>
      <c r="G392" s="25"/>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row>
    <row r="393" ht="15.75" customHeight="1">
      <c r="A393" s="92" t="s">
        <v>3603</v>
      </c>
      <c r="B393" s="93">
        <v>4.0</v>
      </c>
      <c r="C393" s="27" t="s">
        <v>3646</v>
      </c>
      <c r="D393" s="27" t="s">
        <v>3648</v>
      </c>
      <c r="E393" s="94" t="s">
        <v>3650</v>
      </c>
      <c r="F393" s="185"/>
      <c r="G393" s="25"/>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row>
    <row r="394" ht="15.75" customHeight="1">
      <c r="A394" s="92" t="s">
        <v>3603</v>
      </c>
      <c r="B394" s="93">
        <v>5.0</v>
      </c>
      <c r="C394" s="27" t="s">
        <v>3655</v>
      </c>
      <c r="D394" s="27" t="s">
        <v>3656</v>
      </c>
      <c r="E394" s="27" t="s">
        <v>3657</v>
      </c>
      <c r="F394" s="25"/>
      <c r="G394" s="25"/>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row>
    <row r="395" ht="15.75" customHeight="1">
      <c r="A395" s="73" t="s">
        <v>3603</v>
      </c>
      <c r="B395" s="103">
        <v>-777.0</v>
      </c>
      <c r="C395" s="33" t="s">
        <v>132</v>
      </c>
      <c r="D395" s="33" t="s">
        <v>133</v>
      </c>
      <c r="E395" s="33" t="s">
        <v>2116</v>
      </c>
      <c r="F395" s="32"/>
      <c r="G395" s="32"/>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row>
    <row r="396" ht="15.75" customHeight="1">
      <c r="A396" s="73"/>
      <c r="B396" s="33"/>
      <c r="C396" s="33"/>
      <c r="D396" s="33"/>
      <c r="E396" s="33"/>
      <c r="F396" s="32"/>
      <c r="G396" s="32"/>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row>
    <row r="397" ht="15.75" customHeight="1">
      <c r="A397" s="73"/>
      <c r="B397" s="33"/>
      <c r="C397" s="33"/>
      <c r="D397" s="33"/>
      <c r="E397" s="33"/>
      <c r="F397" s="32"/>
      <c r="G397" s="32"/>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row>
    <row r="398" ht="15.75" customHeight="1">
      <c r="A398" s="73"/>
      <c r="B398" s="33"/>
      <c r="C398" s="33"/>
      <c r="D398" s="33"/>
      <c r="E398" s="33"/>
      <c r="F398" s="32"/>
      <c r="G398" s="32"/>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row>
    <row r="399" ht="15.75" customHeight="1">
      <c r="A399" s="92" t="s">
        <v>3690</v>
      </c>
      <c r="B399" s="93">
        <v>1.0</v>
      </c>
      <c r="C399" s="27" t="s">
        <v>3691</v>
      </c>
      <c r="D399" s="27" t="s">
        <v>3692</v>
      </c>
      <c r="E399" s="27" t="s">
        <v>3693</v>
      </c>
      <c r="F399" s="25"/>
      <c r="G399" s="25"/>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row>
    <row r="400" ht="15.75" customHeight="1">
      <c r="A400" s="92" t="s">
        <v>3690</v>
      </c>
      <c r="B400" s="93">
        <v>2.0</v>
      </c>
      <c r="C400" s="27" t="s">
        <v>3701</v>
      </c>
      <c r="D400" s="27" t="s">
        <v>3702</v>
      </c>
      <c r="E400" s="94" t="s">
        <v>3704</v>
      </c>
      <c r="F400" s="185"/>
      <c r="G400" s="25"/>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row>
    <row r="401" ht="15.75" customHeight="1">
      <c r="A401" s="92" t="s">
        <v>3690</v>
      </c>
      <c r="B401" s="93">
        <v>3.0</v>
      </c>
      <c r="C401" s="27" t="s">
        <v>3711</v>
      </c>
      <c r="D401" s="27" t="s">
        <v>3712</v>
      </c>
      <c r="E401" s="94" t="s">
        <v>3713</v>
      </c>
      <c r="F401" s="185"/>
      <c r="G401" s="25"/>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row>
    <row r="402" ht="15.75" customHeight="1">
      <c r="A402" s="73" t="s">
        <v>3690</v>
      </c>
      <c r="B402" s="103">
        <v>4.0</v>
      </c>
      <c r="C402" s="33" t="s">
        <v>3717</v>
      </c>
      <c r="D402" s="33" t="s">
        <v>3718</v>
      </c>
      <c r="E402" s="86" t="s">
        <v>3719</v>
      </c>
      <c r="F402" s="32"/>
      <c r="G402" s="32"/>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row>
    <row r="403" ht="15.75" customHeight="1">
      <c r="A403" s="73"/>
      <c r="B403" s="33"/>
      <c r="C403" s="33"/>
      <c r="D403" s="33"/>
      <c r="E403" s="33"/>
      <c r="F403" s="32"/>
      <c r="G403" s="32"/>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row>
    <row r="404" ht="15.75" customHeight="1">
      <c r="A404" s="92" t="s">
        <v>3726</v>
      </c>
      <c r="B404" s="93">
        <v>1.0</v>
      </c>
      <c r="C404" s="27" t="s">
        <v>3727</v>
      </c>
      <c r="D404" s="27" t="s">
        <v>3728</v>
      </c>
      <c r="E404" s="27" t="s">
        <v>3729</v>
      </c>
      <c r="F404" s="25"/>
      <c r="G404" s="25"/>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row>
    <row r="405" ht="15.75" customHeight="1">
      <c r="A405" s="92" t="s">
        <v>3726</v>
      </c>
      <c r="B405" s="93">
        <v>2.0</v>
      </c>
      <c r="C405" s="27" t="s">
        <v>3737</v>
      </c>
      <c r="D405" s="27" t="s">
        <v>3738</v>
      </c>
      <c r="E405" s="94" t="s">
        <v>3739</v>
      </c>
      <c r="F405" s="185"/>
      <c r="G405" s="185"/>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row>
    <row r="406" ht="15.75" customHeight="1">
      <c r="A406" s="92" t="s">
        <v>3726</v>
      </c>
      <c r="B406" s="93">
        <v>3.0</v>
      </c>
      <c r="C406" s="27" t="s">
        <v>3747</v>
      </c>
      <c r="D406" s="27" t="s">
        <v>3748</v>
      </c>
      <c r="E406" s="94" t="s">
        <v>3749</v>
      </c>
      <c r="F406" s="25"/>
      <c r="G406" s="25"/>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row>
    <row r="407" ht="15.75" customHeight="1">
      <c r="A407" s="92" t="s">
        <v>3726</v>
      </c>
      <c r="B407" s="93">
        <v>4.0</v>
      </c>
      <c r="C407" s="27" t="s">
        <v>3753</v>
      </c>
      <c r="D407" s="27" t="s">
        <v>3754</v>
      </c>
      <c r="E407" s="27" t="s">
        <v>3755</v>
      </c>
      <c r="F407" s="25"/>
      <c r="G407" s="25"/>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row>
    <row r="408" ht="15.75" customHeight="1">
      <c r="A408" s="92" t="s">
        <v>3726</v>
      </c>
      <c r="B408" s="93">
        <v>5.0</v>
      </c>
      <c r="C408" s="27" t="s">
        <v>3760</v>
      </c>
      <c r="D408" s="94" t="s">
        <v>3762</v>
      </c>
      <c r="E408" s="27"/>
      <c r="F408" s="25"/>
      <c r="G408" s="25"/>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row>
    <row r="409" ht="15.75" customHeight="1">
      <c r="A409" s="92" t="s">
        <v>3726</v>
      </c>
      <c r="B409" s="93">
        <v>8.0</v>
      </c>
      <c r="C409" s="27" t="s">
        <v>3773</v>
      </c>
      <c r="D409" s="27" t="s">
        <v>3775</v>
      </c>
      <c r="E409" s="94" t="s">
        <v>3777</v>
      </c>
      <c r="F409" s="185"/>
      <c r="G409" s="25"/>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row>
    <row r="410" ht="15.75" customHeight="1">
      <c r="A410" s="73" t="s">
        <v>3726</v>
      </c>
      <c r="B410" s="103">
        <v>-777.0</v>
      </c>
      <c r="C410" s="33" t="s">
        <v>3791</v>
      </c>
      <c r="D410" s="33" t="s">
        <v>3793</v>
      </c>
      <c r="E410" s="33" t="s">
        <v>2116</v>
      </c>
      <c r="F410" s="32"/>
      <c r="G410" s="32"/>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row>
    <row r="411" ht="15.75" customHeight="1">
      <c r="A411" s="73"/>
      <c r="B411" s="33"/>
      <c r="C411" s="33"/>
      <c r="D411" s="33"/>
      <c r="E411" s="33"/>
      <c r="F411" s="32"/>
      <c r="G411" s="32"/>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row>
    <row r="412" ht="15.75" customHeight="1">
      <c r="A412" s="92" t="s">
        <v>3834</v>
      </c>
      <c r="B412" s="93">
        <v>0.0</v>
      </c>
      <c r="C412" s="27" t="s">
        <v>3835</v>
      </c>
      <c r="D412" s="27" t="s">
        <v>3837</v>
      </c>
      <c r="E412" s="94" t="s">
        <v>3840</v>
      </c>
      <c r="F412" s="25"/>
      <c r="G412" s="25"/>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row>
    <row r="413" ht="15.75" customHeight="1">
      <c r="A413" s="92" t="s">
        <v>3834</v>
      </c>
      <c r="B413" s="93">
        <v>1.0</v>
      </c>
      <c r="C413" s="27" t="s">
        <v>3849</v>
      </c>
      <c r="D413" s="27" t="s">
        <v>3851</v>
      </c>
      <c r="E413" s="94" t="s">
        <v>3854</v>
      </c>
      <c r="F413" s="185"/>
      <c r="G413" s="25"/>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row>
    <row r="414" ht="15.75" customHeight="1">
      <c r="A414" s="92" t="s">
        <v>3834</v>
      </c>
      <c r="B414" s="93">
        <v>2.0</v>
      </c>
      <c r="C414" s="27" t="s">
        <v>3858</v>
      </c>
      <c r="D414" s="27" t="s">
        <v>3859</v>
      </c>
      <c r="E414" s="94" t="s">
        <v>3860</v>
      </c>
      <c r="F414" s="25"/>
      <c r="G414" s="25"/>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row>
    <row r="415" ht="15.75" customHeight="1">
      <c r="A415" s="92" t="s">
        <v>3834</v>
      </c>
      <c r="B415" s="93">
        <v>3.0</v>
      </c>
      <c r="C415" s="27" t="s">
        <v>3861</v>
      </c>
      <c r="D415" s="27" t="s">
        <v>3862</v>
      </c>
      <c r="E415" s="94" t="s">
        <v>3863</v>
      </c>
      <c r="F415" s="25"/>
      <c r="G415" s="25"/>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row>
    <row r="416" ht="15.75" customHeight="1">
      <c r="A416" s="92" t="s">
        <v>3834</v>
      </c>
      <c r="B416" s="93">
        <v>4.0</v>
      </c>
      <c r="C416" s="27" t="s">
        <v>3871</v>
      </c>
      <c r="D416" s="27" t="s">
        <v>3872</v>
      </c>
      <c r="E416" s="27" t="s">
        <v>3874</v>
      </c>
      <c r="F416" s="25"/>
      <c r="G416" s="25"/>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row>
    <row r="417" ht="15.75" customHeight="1">
      <c r="A417" s="92" t="s">
        <v>3834</v>
      </c>
      <c r="B417" s="93">
        <v>5.0</v>
      </c>
      <c r="C417" s="27" t="s">
        <v>3881</v>
      </c>
      <c r="D417" s="27" t="s">
        <v>3882</v>
      </c>
      <c r="E417" s="94" t="s">
        <v>3883</v>
      </c>
      <c r="F417" s="185"/>
      <c r="G417" s="25"/>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row>
    <row r="418" ht="15.75" customHeight="1">
      <c r="A418" s="92" t="s">
        <v>3834</v>
      </c>
      <c r="B418" s="93">
        <v>6.0</v>
      </c>
      <c r="C418" s="27" t="s">
        <v>3895</v>
      </c>
      <c r="D418" s="27" t="s">
        <v>3897</v>
      </c>
      <c r="E418" s="27" t="s">
        <v>3899</v>
      </c>
      <c r="F418" s="25"/>
      <c r="G418" s="25"/>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row>
    <row r="419" ht="15.75" customHeight="1">
      <c r="A419" s="73" t="s">
        <v>3834</v>
      </c>
      <c r="B419" s="103">
        <v>7.0</v>
      </c>
      <c r="C419" s="33" t="s">
        <v>3909</v>
      </c>
      <c r="D419" s="33" t="s">
        <v>3912</v>
      </c>
      <c r="E419" s="86" t="s">
        <v>3914</v>
      </c>
      <c r="F419" s="32"/>
      <c r="G419" s="32"/>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row>
    <row r="420" ht="15.75" customHeight="1">
      <c r="A420" s="92"/>
      <c r="B420" s="92"/>
      <c r="C420" s="92"/>
      <c r="D420" s="92"/>
      <c r="E420" s="92"/>
      <c r="F420" s="32"/>
      <c r="G420" s="32"/>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row>
    <row r="421" ht="15.75" customHeight="1">
      <c r="A421" s="92" t="s">
        <v>3936</v>
      </c>
      <c r="B421" s="92">
        <v>1.0</v>
      </c>
      <c r="C421" s="92" t="s">
        <v>3937</v>
      </c>
      <c r="D421" s="92" t="s">
        <v>3939</v>
      </c>
      <c r="E421" s="92" t="s">
        <v>3942</v>
      </c>
      <c r="F421" s="25"/>
      <c r="G421" s="25"/>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row>
    <row r="422" ht="15.75" customHeight="1">
      <c r="A422" s="92" t="s">
        <v>3936</v>
      </c>
      <c r="B422" s="92">
        <v>2.0</v>
      </c>
      <c r="C422" s="92" t="s">
        <v>3956</v>
      </c>
      <c r="D422" s="92" t="s">
        <v>3958</v>
      </c>
      <c r="E422" s="92" t="s">
        <v>3959</v>
      </c>
      <c r="F422" s="32"/>
      <c r="G422" s="32"/>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row>
    <row r="423" ht="15.75" customHeight="1">
      <c r="A423" s="107"/>
      <c r="B423" s="108"/>
      <c r="C423" s="107"/>
      <c r="D423" s="107"/>
      <c r="E423" s="193"/>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row>
    <row r="424" ht="15.75" customHeight="1">
      <c r="A424" s="114" t="s">
        <v>3961</v>
      </c>
      <c r="B424" s="116">
        <v>1.0</v>
      </c>
      <c r="C424" s="123" t="s">
        <v>3963</v>
      </c>
      <c r="D424" s="123" t="s">
        <v>3965</v>
      </c>
      <c r="E424" s="123" t="s">
        <v>3967</v>
      </c>
      <c r="F424" s="119"/>
      <c r="G424" s="119"/>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row>
    <row r="425" ht="15.75" customHeight="1">
      <c r="A425" s="92" t="s">
        <v>3961</v>
      </c>
      <c r="B425" s="93">
        <v>2.0</v>
      </c>
      <c r="C425" s="27" t="s">
        <v>3977</v>
      </c>
      <c r="D425" s="27" t="s">
        <v>3978</v>
      </c>
      <c r="E425" s="27" t="s">
        <v>3979</v>
      </c>
      <c r="F425" s="25"/>
      <c r="G425" s="25"/>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row>
    <row r="426" ht="15.75" customHeight="1">
      <c r="A426" s="92" t="s">
        <v>3961</v>
      </c>
      <c r="B426" s="93">
        <v>3.0</v>
      </c>
      <c r="C426" s="27" t="s">
        <v>3985</v>
      </c>
      <c r="D426" s="27" t="s">
        <v>3986</v>
      </c>
      <c r="E426" s="94" t="s">
        <v>3987</v>
      </c>
      <c r="F426" s="25"/>
      <c r="G426" s="25"/>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row>
    <row r="427" ht="15.75" customHeight="1">
      <c r="A427" s="92" t="s">
        <v>3961</v>
      </c>
      <c r="B427" s="93">
        <v>-777.0</v>
      </c>
      <c r="C427" s="27" t="s">
        <v>132</v>
      </c>
      <c r="D427" s="27" t="s">
        <v>133</v>
      </c>
      <c r="E427" s="27" t="s">
        <v>134</v>
      </c>
      <c r="F427" s="25"/>
      <c r="G427" s="25"/>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row>
    <row r="428" ht="15.75" customHeight="1">
      <c r="A428" s="73" t="s">
        <v>3961</v>
      </c>
      <c r="B428" s="103">
        <v>0.0</v>
      </c>
      <c r="C428" s="33" t="s">
        <v>186</v>
      </c>
      <c r="D428" s="33" t="s">
        <v>188</v>
      </c>
      <c r="E428" s="33" t="s">
        <v>189</v>
      </c>
      <c r="F428" s="32"/>
      <c r="G428" s="32"/>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row>
    <row r="429" ht="15.75" customHeight="1">
      <c r="A429" s="107"/>
      <c r="B429" s="108"/>
      <c r="C429" s="107"/>
      <c r="D429" s="107"/>
      <c r="E429" s="193"/>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row>
    <row r="430" ht="15.75" customHeight="1">
      <c r="A430" s="114" t="s">
        <v>4030</v>
      </c>
      <c r="B430" s="116">
        <v>0.0</v>
      </c>
      <c r="C430" s="123" t="s">
        <v>4032</v>
      </c>
      <c r="D430" s="123" t="s">
        <v>4036</v>
      </c>
      <c r="E430" s="196" t="s">
        <v>4038</v>
      </c>
      <c r="F430" s="119"/>
      <c r="G430" s="119"/>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row>
    <row r="431" ht="15.75" customHeight="1">
      <c r="A431" s="92" t="s">
        <v>4030</v>
      </c>
      <c r="B431" s="93">
        <v>1.0</v>
      </c>
      <c r="C431" s="27" t="s">
        <v>4057</v>
      </c>
      <c r="D431" s="27" t="s">
        <v>4058</v>
      </c>
      <c r="E431" s="27" t="s">
        <v>4059</v>
      </c>
      <c r="F431" s="25"/>
      <c r="G431" s="25"/>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row>
    <row r="432" ht="15.75" customHeight="1">
      <c r="A432" s="73" t="s">
        <v>4030</v>
      </c>
      <c r="B432" s="103">
        <v>2.0</v>
      </c>
      <c r="C432" s="33" t="s">
        <v>4071</v>
      </c>
      <c r="D432" s="33" t="s">
        <v>4073</v>
      </c>
      <c r="E432" s="33" t="s">
        <v>4076</v>
      </c>
      <c r="F432" s="32"/>
      <c r="G432" s="32"/>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row>
    <row r="433" ht="15.75" customHeight="1">
      <c r="A433" s="107"/>
      <c r="B433" s="108"/>
      <c r="C433" s="107"/>
      <c r="D433" s="107"/>
      <c r="E433" s="193"/>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row>
    <row r="434" ht="15.75" customHeight="1">
      <c r="A434" s="107"/>
      <c r="B434" s="108"/>
      <c r="C434" s="107"/>
      <c r="D434" s="107"/>
      <c r="E434" s="193"/>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row>
    <row r="435" ht="15.75" customHeight="1">
      <c r="A435" s="73"/>
      <c r="B435" s="33"/>
      <c r="C435" s="33"/>
      <c r="D435" s="33"/>
      <c r="E435" s="33"/>
      <c r="F435" s="32"/>
      <c r="G435" s="32"/>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row>
    <row r="436" ht="15.75" customHeight="1">
      <c r="A436" s="92" t="s">
        <v>4105</v>
      </c>
      <c r="B436" s="93">
        <v>1.0</v>
      </c>
      <c r="C436" s="27" t="s">
        <v>4108</v>
      </c>
      <c r="D436" s="27" t="s">
        <v>4109</v>
      </c>
      <c r="E436" s="27" t="s">
        <v>4110</v>
      </c>
      <c r="F436" s="25"/>
      <c r="G436" s="25"/>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row>
    <row r="437" ht="15.75" customHeight="1">
      <c r="A437" s="92" t="s">
        <v>4105</v>
      </c>
      <c r="B437" s="93">
        <v>2.0</v>
      </c>
      <c r="C437" s="27" t="s">
        <v>4120</v>
      </c>
      <c r="D437" s="27" t="s">
        <v>4122</v>
      </c>
      <c r="E437" s="94" t="s">
        <v>4124</v>
      </c>
      <c r="F437" s="25"/>
      <c r="G437" s="25"/>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row>
    <row r="438" ht="15.75" customHeight="1">
      <c r="A438" s="92" t="s">
        <v>4105</v>
      </c>
      <c r="B438" s="93">
        <v>3.0</v>
      </c>
      <c r="C438" s="27" t="s">
        <v>4131</v>
      </c>
      <c r="D438" s="27" t="s">
        <v>4133</v>
      </c>
      <c r="E438" s="94" t="s">
        <v>4135</v>
      </c>
      <c r="F438" s="185"/>
      <c r="G438" s="25"/>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row>
    <row r="439" ht="15.75" customHeight="1">
      <c r="A439" s="92" t="s">
        <v>4105</v>
      </c>
      <c r="B439" s="93">
        <v>4.0</v>
      </c>
      <c r="C439" s="27" t="s">
        <v>4145</v>
      </c>
      <c r="D439" s="27" t="s">
        <v>4147</v>
      </c>
      <c r="E439" s="27" t="s">
        <v>4149</v>
      </c>
      <c r="F439" s="25"/>
      <c r="G439" s="25"/>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row>
    <row r="440" ht="15.75" customHeight="1">
      <c r="A440" s="73" t="s">
        <v>4105</v>
      </c>
      <c r="B440" s="103">
        <v>5.0</v>
      </c>
      <c r="C440" s="33" t="s">
        <v>4157</v>
      </c>
      <c r="D440" s="33" t="s">
        <v>4158</v>
      </c>
      <c r="E440" s="33" t="s">
        <v>4160</v>
      </c>
      <c r="F440" s="32"/>
      <c r="G440" s="32"/>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row>
    <row r="441" ht="15.75" customHeight="1">
      <c r="A441" s="73"/>
      <c r="B441" s="33"/>
      <c r="C441" s="33"/>
      <c r="D441" s="33"/>
      <c r="E441" s="33"/>
      <c r="F441" s="32"/>
      <c r="G441" s="32"/>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row>
    <row r="442" ht="15.75" customHeight="1">
      <c r="A442" s="92" t="s">
        <v>4174</v>
      </c>
      <c r="B442" s="93">
        <v>1.0</v>
      </c>
      <c r="C442" s="27" t="s">
        <v>4175</v>
      </c>
      <c r="D442" s="27" t="s">
        <v>4176</v>
      </c>
      <c r="E442" s="94" t="s">
        <v>4177</v>
      </c>
      <c r="F442" s="25"/>
      <c r="G442" s="25"/>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row>
    <row r="443" ht="15.75" customHeight="1">
      <c r="A443" s="92" t="s">
        <v>4174</v>
      </c>
      <c r="B443" s="93">
        <v>2.0</v>
      </c>
      <c r="C443" s="27" t="s">
        <v>4186</v>
      </c>
      <c r="D443" s="27" t="s">
        <v>4187</v>
      </c>
      <c r="E443" s="27" t="s">
        <v>4188</v>
      </c>
      <c r="F443" s="25"/>
      <c r="G443" s="25"/>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row>
    <row r="444" ht="15.75" customHeight="1">
      <c r="A444" s="92" t="s">
        <v>4174</v>
      </c>
      <c r="B444" s="93">
        <v>3.0</v>
      </c>
      <c r="C444" s="27" t="s">
        <v>4197</v>
      </c>
      <c r="D444" s="27" t="s">
        <v>4198</v>
      </c>
      <c r="E444" s="94" t="s">
        <v>4199</v>
      </c>
      <c r="F444" s="25"/>
      <c r="G444" s="25"/>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row>
    <row r="445" ht="15.75" customHeight="1">
      <c r="A445" s="92" t="s">
        <v>4174</v>
      </c>
      <c r="B445" s="93">
        <v>4.0</v>
      </c>
      <c r="C445" s="27" t="s">
        <v>4207</v>
      </c>
      <c r="D445" s="27" t="s">
        <v>4208</v>
      </c>
      <c r="E445" s="27" t="s">
        <v>4209</v>
      </c>
      <c r="F445" s="25"/>
      <c r="G445" s="25"/>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row>
    <row r="446" ht="15.75" customHeight="1">
      <c r="A446" s="73" t="s">
        <v>4174</v>
      </c>
      <c r="B446" s="103">
        <v>5.0</v>
      </c>
      <c r="C446" s="33" t="s">
        <v>4218</v>
      </c>
      <c r="D446" s="33" t="s">
        <v>4219</v>
      </c>
      <c r="E446" s="33" t="s">
        <v>4222</v>
      </c>
      <c r="F446" s="32"/>
      <c r="G446" s="32"/>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row>
    <row r="447" ht="15.75" customHeight="1">
      <c r="A447" s="107"/>
      <c r="B447" s="108"/>
      <c r="C447" s="107"/>
      <c r="D447" s="107"/>
      <c r="E447" s="193"/>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row>
    <row r="448" ht="15.75" customHeight="1">
      <c r="A448" s="114" t="s">
        <v>4227</v>
      </c>
      <c r="B448" s="116">
        <v>1.0</v>
      </c>
      <c r="C448" s="123" t="s">
        <v>4228</v>
      </c>
      <c r="D448" s="123" t="s">
        <v>4229</v>
      </c>
      <c r="E448" s="196" t="s">
        <v>4230</v>
      </c>
      <c r="F448" s="119"/>
      <c r="G448" s="119"/>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row>
    <row r="449" ht="15.75" customHeight="1">
      <c r="A449" s="92" t="s">
        <v>4227</v>
      </c>
      <c r="B449" s="93">
        <v>2.0</v>
      </c>
      <c r="C449" s="27" t="s">
        <v>4241</v>
      </c>
      <c r="D449" s="27" t="s">
        <v>4242</v>
      </c>
      <c r="E449" s="94" t="s">
        <v>4243</v>
      </c>
      <c r="F449" s="25"/>
      <c r="G449" s="25"/>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row>
    <row r="450" ht="15.75" customHeight="1">
      <c r="A450" s="92" t="s">
        <v>4227</v>
      </c>
      <c r="B450" s="93">
        <v>3.0</v>
      </c>
      <c r="C450" s="27" t="s">
        <v>4247</v>
      </c>
      <c r="D450" s="27" t="s">
        <v>4248</v>
      </c>
      <c r="E450" s="27" t="s">
        <v>4249</v>
      </c>
      <c r="F450" s="25"/>
      <c r="G450" s="25"/>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row>
    <row r="451" ht="15.75" customHeight="1">
      <c r="A451" s="73" t="s">
        <v>4227</v>
      </c>
      <c r="B451" s="103">
        <v>4.0</v>
      </c>
      <c r="C451" s="33" t="s">
        <v>4260</v>
      </c>
      <c r="D451" s="33" t="s">
        <v>4262</v>
      </c>
      <c r="E451" s="33" t="s">
        <v>4264</v>
      </c>
      <c r="F451" s="32"/>
      <c r="G451" s="32"/>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row>
    <row r="452" ht="15.75" customHeight="1">
      <c r="A452" s="107"/>
      <c r="B452" s="108"/>
      <c r="C452" s="107"/>
      <c r="D452" s="107"/>
      <c r="E452" s="193"/>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row>
    <row r="453" ht="15.75" customHeight="1">
      <c r="A453" s="114" t="s">
        <v>4290</v>
      </c>
      <c r="B453" s="116">
        <v>1.0</v>
      </c>
      <c r="C453" s="123" t="s">
        <v>4291</v>
      </c>
      <c r="D453" s="123" t="s">
        <v>4293</v>
      </c>
      <c r="E453" s="196" t="s">
        <v>4295</v>
      </c>
      <c r="F453" s="119"/>
      <c r="G453" s="119"/>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row>
    <row r="454" ht="15.75" customHeight="1">
      <c r="A454" s="92" t="s">
        <v>4290</v>
      </c>
      <c r="B454" s="93">
        <v>2.0</v>
      </c>
      <c r="C454" s="27" t="s">
        <v>4315</v>
      </c>
      <c r="D454" s="27" t="s">
        <v>4316</v>
      </c>
      <c r="E454" s="94" t="s">
        <v>4317</v>
      </c>
      <c r="F454" s="25"/>
      <c r="G454" s="25"/>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row>
    <row r="455" ht="15.75" customHeight="1">
      <c r="A455" s="92" t="s">
        <v>4290</v>
      </c>
      <c r="B455" s="93">
        <v>3.0</v>
      </c>
      <c r="C455" s="27" t="s">
        <v>4322</v>
      </c>
      <c r="D455" s="27" t="s">
        <v>4323</v>
      </c>
      <c r="E455" s="94" t="s">
        <v>4325</v>
      </c>
      <c r="F455" s="25"/>
      <c r="G455" s="25"/>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row>
    <row r="456" ht="15.75" customHeight="1">
      <c r="A456" s="73" t="s">
        <v>4290</v>
      </c>
      <c r="B456" s="103">
        <v>4.0</v>
      </c>
      <c r="C456" s="33" t="s">
        <v>4343</v>
      </c>
      <c r="D456" s="33" t="s">
        <v>4345</v>
      </c>
      <c r="E456" s="86" t="s">
        <v>4325</v>
      </c>
      <c r="F456" s="32"/>
      <c r="G456" s="32"/>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row>
    <row r="457" ht="15.75" customHeight="1">
      <c r="A457" s="73"/>
      <c r="B457" s="33"/>
      <c r="C457" s="33"/>
      <c r="D457" s="33"/>
      <c r="E457" s="33"/>
      <c r="F457" s="32"/>
      <c r="G457" s="32"/>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row>
    <row r="458" ht="15.75" customHeight="1">
      <c r="A458" s="92" t="s">
        <v>4370</v>
      </c>
      <c r="B458" s="93">
        <v>1.0</v>
      </c>
      <c r="C458" s="27" t="s">
        <v>4371</v>
      </c>
      <c r="D458" s="27" t="s">
        <v>4374</v>
      </c>
      <c r="E458" s="27" t="s">
        <v>4376</v>
      </c>
      <c r="F458" s="25"/>
      <c r="G458" s="25"/>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row>
    <row r="459" ht="15.75" customHeight="1">
      <c r="A459" s="92" t="s">
        <v>4370</v>
      </c>
      <c r="B459" s="93">
        <v>2.0</v>
      </c>
      <c r="C459" s="27" t="s">
        <v>4382</v>
      </c>
      <c r="D459" s="27" t="s">
        <v>4384</v>
      </c>
      <c r="E459" s="27" t="s">
        <v>4386</v>
      </c>
      <c r="F459" s="25"/>
      <c r="G459" s="25"/>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row>
    <row r="460" ht="15.75" customHeight="1">
      <c r="A460" s="73" t="s">
        <v>4370</v>
      </c>
      <c r="B460" s="103">
        <v>3.0</v>
      </c>
      <c r="C460" s="33" t="s">
        <v>4390</v>
      </c>
      <c r="D460" s="33" t="s">
        <v>4392</v>
      </c>
      <c r="E460" s="33" t="s">
        <v>4395</v>
      </c>
      <c r="F460" s="32"/>
      <c r="G460" s="32"/>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row>
    <row r="461" ht="15.75" customHeight="1">
      <c r="A461" s="73"/>
      <c r="B461" s="33"/>
      <c r="C461" s="33"/>
      <c r="D461" s="33"/>
      <c r="E461" s="33"/>
      <c r="F461" s="32"/>
      <c r="G461" s="32"/>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row>
    <row r="462" ht="15.75" customHeight="1">
      <c r="A462" s="92" t="s">
        <v>4409</v>
      </c>
      <c r="B462" s="93">
        <v>1.0</v>
      </c>
      <c r="C462" s="27" t="s">
        <v>4411</v>
      </c>
      <c r="D462" s="27" t="s">
        <v>4413</v>
      </c>
      <c r="E462" s="94" t="s">
        <v>4415</v>
      </c>
      <c r="F462" s="25"/>
      <c r="G462" s="25"/>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row>
    <row r="463" ht="15.75" customHeight="1">
      <c r="A463" s="73" t="s">
        <v>4409</v>
      </c>
      <c r="B463" s="103">
        <v>2.0</v>
      </c>
      <c r="C463" s="33" t="s">
        <v>4420</v>
      </c>
      <c r="D463" s="33" t="s">
        <v>4422</v>
      </c>
      <c r="E463" s="86" t="s">
        <v>4424</v>
      </c>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row>
    <row r="464" ht="15.75" customHeight="1">
      <c r="A464" s="73"/>
      <c r="B464" s="33"/>
      <c r="C464" s="33"/>
      <c r="D464" s="33"/>
      <c r="E464" s="33"/>
      <c r="F464" s="32"/>
      <c r="G464" s="32"/>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row>
    <row r="465" ht="15.75" customHeight="1">
      <c r="A465" s="92" t="s">
        <v>4442</v>
      </c>
      <c r="B465" s="93">
        <v>1.0</v>
      </c>
      <c r="C465" s="27" t="s">
        <v>4443</v>
      </c>
      <c r="D465" s="27" t="s">
        <v>4445</v>
      </c>
      <c r="E465" s="94" t="s">
        <v>4447</v>
      </c>
      <c r="F465" s="185"/>
      <c r="G465" s="185"/>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row>
    <row r="466" ht="15.75" customHeight="1">
      <c r="A466" s="92" t="s">
        <v>4442</v>
      </c>
      <c r="B466" s="93">
        <v>2.0</v>
      </c>
      <c r="C466" s="27" t="s">
        <v>4455</v>
      </c>
      <c r="D466" s="27" t="s">
        <v>4457</v>
      </c>
      <c r="E466" s="94" t="s">
        <v>4459</v>
      </c>
      <c r="F466" s="185"/>
      <c r="G466" s="185"/>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row>
    <row r="467" ht="15.75" customHeight="1">
      <c r="A467" s="73" t="s">
        <v>4442</v>
      </c>
      <c r="B467" s="103">
        <v>3.0</v>
      </c>
      <c r="C467" s="33" t="s">
        <v>4474</v>
      </c>
      <c r="D467" s="33" t="s">
        <v>4475</v>
      </c>
      <c r="E467" s="86" t="s">
        <v>4476</v>
      </c>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row>
    <row r="468" ht="15.75" customHeight="1">
      <c r="A468" s="73"/>
      <c r="B468" s="33"/>
      <c r="C468" s="33"/>
      <c r="D468" s="33"/>
      <c r="E468" s="33"/>
      <c r="F468" s="32"/>
      <c r="G468" s="32"/>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row>
    <row r="469" ht="15.75" customHeight="1">
      <c r="A469" s="92" t="s">
        <v>4491</v>
      </c>
      <c r="B469" s="93">
        <v>1.0</v>
      </c>
      <c r="C469" s="27" t="s">
        <v>4492</v>
      </c>
      <c r="D469" s="27" t="s">
        <v>4493</v>
      </c>
      <c r="E469" s="94" t="s">
        <v>4494</v>
      </c>
      <c r="F469" s="185"/>
      <c r="G469" s="185"/>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row>
    <row r="470" ht="15.75" customHeight="1">
      <c r="A470" s="92" t="s">
        <v>4491</v>
      </c>
      <c r="B470" s="93">
        <v>2.0</v>
      </c>
      <c r="C470" s="27" t="s">
        <v>4504</v>
      </c>
      <c r="D470" s="27" t="s">
        <v>4506</v>
      </c>
      <c r="E470" s="94" t="s">
        <v>4508</v>
      </c>
      <c r="F470" s="185"/>
      <c r="G470" s="185"/>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row>
    <row r="471" ht="15.75" customHeight="1">
      <c r="A471" s="73" t="s">
        <v>4491</v>
      </c>
      <c r="B471" s="103">
        <v>3.0</v>
      </c>
      <c r="C471" s="33" t="s">
        <v>4520</v>
      </c>
      <c r="D471" s="33" t="s">
        <v>4524</v>
      </c>
      <c r="E471" s="86" t="s">
        <v>4525</v>
      </c>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row>
    <row r="472" ht="15.75" customHeight="1">
      <c r="A472" s="73"/>
      <c r="B472" s="33"/>
      <c r="C472" s="33"/>
      <c r="D472" s="33"/>
      <c r="E472" s="33"/>
      <c r="F472" s="32"/>
      <c r="G472" s="32"/>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row>
    <row r="473" ht="15.75" customHeight="1">
      <c r="A473" s="92" t="s">
        <v>4539</v>
      </c>
      <c r="B473" s="93">
        <v>1.0</v>
      </c>
      <c r="C473" s="27" t="s">
        <v>4543</v>
      </c>
      <c r="D473" s="27" t="s">
        <v>4545</v>
      </c>
      <c r="E473" s="94" t="s">
        <v>4547</v>
      </c>
      <c r="F473" s="185"/>
      <c r="G473" s="25"/>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row>
    <row r="474" ht="15.75" customHeight="1">
      <c r="A474" s="92" t="s">
        <v>4539</v>
      </c>
      <c r="B474" s="93">
        <v>2.0</v>
      </c>
      <c r="C474" s="27" t="s">
        <v>4557</v>
      </c>
      <c r="D474" s="27" t="s">
        <v>4558</v>
      </c>
      <c r="E474" s="94" t="s">
        <v>4559</v>
      </c>
      <c r="F474" s="25"/>
      <c r="G474" s="25"/>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row>
    <row r="475" ht="15.75" customHeight="1">
      <c r="A475" s="92" t="s">
        <v>4539</v>
      </c>
      <c r="B475" s="93">
        <v>3.0</v>
      </c>
      <c r="C475" s="27" t="s">
        <v>4569</v>
      </c>
      <c r="D475" s="27" t="s">
        <v>4571</v>
      </c>
      <c r="E475" s="27" t="s">
        <v>4573</v>
      </c>
      <c r="F475" s="25"/>
      <c r="G475" s="25"/>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row>
    <row r="476" ht="15.75" customHeight="1">
      <c r="A476" s="92" t="s">
        <v>4539</v>
      </c>
      <c r="B476" s="93">
        <v>4.0</v>
      </c>
      <c r="C476" s="27" t="s">
        <v>4585</v>
      </c>
      <c r="D476" s="27" t="s">
        <v>4586</v>
      </c>
      <c r="E476" s="27" t="s">
        <v>4587</v>
      </c>
      <c r="F476" s="25"/>
      <c r="G476" s="25"/>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row>
    <row r="477" ht="15.75" customHeight="1">
      <c r="A477" s="73" t="s">
        <v>4539</v>
      </c>
      <c r="B477" s="103">
        <v>5.0</v>
      </c>
      <c r="C477" s="33" t="s">
        <v>4595</v>
      </c>
      <c r="D477" s="33" t="s">
        <v>4596</v>
      </c>
      <c r="E477" s="86" t="s">
        <v>4597</v>
      </c>
      <c r="F477" s="34"/>
      <c r="G477" s="32"/>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row>
    <row r="478" ht="15.75" customHeight="1">
      <c r="A478" s="73"/>
      <c r="B478" s="33"/>
      <c r="C478" s="33"/>
      <c r="D478" s="33"/>
      <c r="E478" s="33"/>
      <c r="F478" s="32"/>
      <c r="G478" s="32"/>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row>
    <row r="479" ht="15.75" customHeight="1">
      <c r="A479" s="92" t="s">
        <v>4615</v>
      </c>
      <c r="B479" s="93">
        <v>1.0</v>
      </c>
      <c r="C479" s="27" t="s">
        <v>4619</v>
      </c>
      <c r="D479" s="27" t="s">
        <v>4621</v>
      </c>
      <c r="E479" s="94" t="s">
        <v>4622</v>
      </c>
      <c r="F479" s="25"/>
      <c r="G479" s="25"/>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row>
    <row r="480" ht="15.75" customHeight="1">
      <c r="A480" s="92" t="s">
        <v>4615</v>
      </c>
      <c r="B480" s="93">
        <v>2.0</v>
      </c>
      <c r="C480" s="27" t="s">
        <v>4631</v>
      </c>
      <c r="D480" s="327" t="s">
        <v>4632</v>
      </c>
      <c r="E480" s="94" t="s">
        <v>4636</v>
      </c>
      <c r="F480" s="25"/>
      <c r="G480" s="25"/>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row>
    <row r="481" ht="15.75" customHeight="1">
      <c r="A481" s="92" t="s">
        <v>4615</v>
      </c>
      <c r="B481" s="93">
        <v>3.0</v>
      </c>
      <c r="C481" s="27" t="s">
        <v>4644</v>
      </c>
      <c r="D481" s="107" t="s">
        <v>4645</v>
      </c>
      <c r="E481" s="94" t="s">
        <v>4647</v>
      </c>
      <c r="F481" s="25"/>
      <c r="G481" s="25"/>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row>
    <row r="482" ht="15.75" customHeight="1">
      <c r="A482" s="92" t="s">
        <v>4615</v>
      </c>
      <c r="B482" s="93">
        <v>4.0</v>
      </c>
      <c r="C482" s="27" t="s">
        <v>4655</v>
      </c>
      <c r="D482" s="107" t="s">
        <v>4657</v>
      </c>
      <c r="E482" s="94" t="s">
        <v>4659</v>
      </c>
      <c r="F482" s="185"/>
      <c r="G482" s="185"/>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row>
    <row r="483" ht="15.75" customHeight="1">
      <c r="A483" s="92" t="s">
        <v>4615</v>
      </c>
      <c r="B483" s="93">
        <v>5.0</v>
      </c>
      <c r="C483" s="27" t="s">
        <v>4668</v>
      </c>
      <c r="D483" s="107" t="s">
        <v>4669</v>
      </c>
      <c r="E483" s="94" t="s">
        <v>4670</v>
      </c>
      <c r="F483" s="25"/>
      <c r="G483" s="25"/>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row>
    <row r="484" ht="15.75" customHeight="1">
      <c r="A484" s="73" t="s">
        <v>4615</v>
      </c>
      <c r="B484" s="103">
        <v>6.0</v>
      </c>
      <c r="C484" s="33" t="s">
        <v>4679</v>
      </c>
      <c r="D484" s="81" t="s">
        <v>4682</v>
      </c>
      <c r="E484" s="86" t="s">
        <v>4683</v>
      </c>
      <c r="F484" s="32"/>
      <c r="G484" s="32"/>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row>
    <row r="485" ht="15.75" customHeight="1">
      <c r="A485" s="73"/>
      <c r="B485" s="33"/>
      <c r="C485" s="33"/>
      <c r="D485" s="33"/>
      <c r="E485" s="33"/>
      <c r="F485" s="32"/>
      <c r="G485" s="32"/>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row>
    <row r="486" ht="15.75" customHeight="1">
      <c r="A486" s="92" t="s">
        <v>4702</v>
      </c>
      <c r="B486" s="93">
        <v>1.0</v>
      </c>
      <c r="C486" s="27" t="s">
        <v>4703</v>
      </c>
      <c r="D486" s="27" t="s">
        <v>4704</v>
      </c>
      <c r="E486" s="94" t="s">
        <v>4705</v>
      </c>
      <c r="F486" s="185"/>
      <c r="G486" s="25"/>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row>
    <row r="487" ht="15.75" customHeight="1">
      <c r="A487" s="92" t="s">
        <v>4702</v>
      </c>
      <c r="B487" s="93">
        <v>2.0</v>
      </c>
      <c r="C487" s="27" t="s">
        <v>4718</v>
      </c>
      <c r="D487" s="27" t="s">
        <v>4720</v>
      </c>
      <c r="E487" s="94" t="s">
        <v>4722</v>
      </c>
      <c r="F487" s="185"/>
      <c r="G487" s="25"/>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row>
    <row r="488" ht="15.75" customHeight="1">
      <c r="A488" s="92" t="s">
        <v>4702</v>
      </c>
      <c r="B488" s="93">
        <v>3.0</v>
      </c>
      <c r="C488" s="27" t="s">
        <v>4730</v>
      </c>
      <c r="D488" s="107" t="s">
        <v>4731</v>
      </c>
      <c r="E488" s="94" t="s">
        <v>4732</v>
      </c>
      <c r="F488" s="185"/>
      <c r="G488" s="25"/>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row>
    <row r="489" ht="15.75" customHeight="1">
      <c r="A489" s="92" t="s">
        <v>4702</v>
      </c>
      <c r="B489" s="93">
        <v>4.0</v>
      </c>
      <c r="C489" s="27" t="s">
        <v>4740</v>
      </c>
      <c r="D489" s="107" t="s">
        <v>4741</v>
      </c>
      <c r="E489" s="94" t="s">
        <v>4742</v>
      </c>
      <c r="F489" s="185"/>
      <c r="G489" s="25"/>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row>
    <row r="490" ht="15.75" customHeight="1">
      <c r="A490" s="92" t="s">
        <v>4702</v>
      </c>
      <c r="B490" s="93">
        <v>5.0</v>
      </c>
      <c r="C490" s="27" t="s">
        <v>4750</v>
      </c>
      <c r="D490" s="107" t="s">
        <v>4669</v>
      </c>
      <c r="E490" s="94" t="s">
        <v>4742</v>
      </c>
      <c r="F490" s="185"/>
      <c r="G490" s="25"/>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row>
    <row r="491" ht="15.75" customHeight="1">
      <c r="A491" s="73" t="s">
        <v>4702</v>
      </c>
      <c r="B491" s="103">
        <v>6.0</v>
      </c>
      <c r="C491" s="33" t="s">
        <v>4764</v>
      </c>
      <c r="D491" s="81" t="s">
        <v>4682</v>
      </c>
      <c r="E491" s="86" t="s">
        <v>4766</v>
      </c>
      <c r="F491" s="34"/>
      <c r="G491" s="32"/>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row>
    <row r="492" ht="15.75" customHeight="1">
      <c r="A492" s="73"/>
      <c r="B492" s="33"/>
      <c r="C492" s="33"/>
      <c r="D492" s="33"/>
      <c r="E492" s="33"/>
      <c r="F492" s="32"/>
      <c r="G492" s="32"/>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row>
    <row r="493" ht="15.75" customHeight="1">
      <c r="A493" s="92" t="s">
        <v>4785</v>
      </c>
      <c r="B493" s="93">
        <v>1.0</v>
      </c>
      <c r="C493" s="27" t="s">
        <v>4786</v>
      </c>
      <c r="D493" s="27" t="s">
        <v>4787</v>
      </c>
      <c r="E493" s="94" t="s">
        <v>4790</v>
      </c>
      <c r="F493" s="185"/>
      <c r="G493" s="185"/>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row>
    <row r="494" ht="15.75" customHeight="1">
      <c r="A494" s="92" t="s">
        <v>4785</v>
      </c>
      <c r="B494" s="93">
        <v>2.0</v>
      </c>
      <c r="C494" s="27" t="s">
        <v>4801</v>
      </c>
      <c r="D494" s="27" t="s">
        <v>4804</v>
      </c>
      <c r="E494" s="94" t="s">
        <v>4805</v>
      </c>
      <c r="F494" s="185"/>
      <c r="G494" s="185"/>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row>
    <row r="495" ht="15.75" customHeight="1">
      <c r="A495" s="92" t="s">
        <v>4785</v>
      </c>
      <c r="B495" s="93">
        <v>3.0</v>
      </c>
      <c r="C495" s="27" t="s">
        <v>4814</v>
      </c>
      <c r="D495" s="27" t="s">
        <v>4817</v>
      </c>
      <c r="E495" s="94" t="s">
        <v>4818</v>
      </c>
      <c r="F495" s="185"/>
      <c r="G495" s="185"/>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row>
    <row r="496" ht="15.75" customHeight="1">
      <c r="A496" s="92" t="s">
        <v>4785</v>
      </c>
      <c r="B496" s="93">
        <v>4.0</v>
      </c>
      <c r="C496" s="27" t="s">
        <v>4821</v>
      </c>
      <c r="D496" s="27" t="s">
        <v>4823</v>
      </c>
      <c r="E496" s="94" t="s">
        <v>4825</v>
      </c>
      <c r="F496" s="185"/>
      <c r="G496" s="185"/>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row>
    <row r="497" ht="15.75" customHeight="1">
      <c r="A497" s="73" t="s">
        <v>4785</v>
      </c>
      <c r="B497" s="103">
        <v>5.0</v>
      </c>
      <c r="C497" s="33" t="s">
        <v>4837</v>
      </c>
      <c r="D497" s="33" t="s">
        <v>4838</v>
      </c>
      <c r="E497" s="86" t="s">
        <v>4839</v>
      </c>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row>
    <row r="498" ht="15.75" customHeight="1">
      <c r="A498" s="73"/>
      <c r="B498" s="33"/>
      <c r="C498" s="33"/>
      <c r="D498" s="33"/>
      <c r="E498" s="33"/>
      <c r="F498" s="32"/>
      <c r="G498" s="32"/>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row>
    <row r="499" ht="15.75" customHeight="1">
      <c r="A499" s="92" t="s">
        <v>4845</v>
      </c>
      <c r="B499" s="93">
        <v>1.0</v>
      </c>
      <c r="C499" s="27" t="s">
        <v>4846</v>
      </c>
      <c r="D499" s="27" t="s">
        <v>4847</v>
      </c>
      <c r="E499" s="94" t="s">
        <v>4848</v>
      </c>
      <c r="F499" s="185"/>
      <c r="G499" s="185"/>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row>
    <row r="500" ht="15.75" customHeight="1">
      <c r="A500" s="92" t="s">
        <v>4845</v>
      </c>
      <c r="B500" s="93">
        <v>2.0</v>
      </c>
      <c r="C500" s="27" t="s">
        <v>4855</v>
      </c>
      <c r="D500" s="27" t="s">
        <v>4858</v>
      </c>
      <c r="E500" s="94" t="s">
        <v>4859</v>
      </c>
      <c r="F500" s="185"/>
      <c r="G500" s="185"/>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row>
    <row r="501" ht="15.75" customHeight="1">
      <c r="A501" s="92" t="s">
        <v>4845</v>
      </c>
      <c r="B501" s="93">
        <v>3.0</v>
      </c>
      <c r="C501" s="27" t="s">
        <v>4866</v>
      </c>
      <c r="D501" s="27" t="s">
        <v>4868</v>
      </c>
      <c r="E501" s="94" t="s">
        <v>4869</v>
      </c>
      <c r="F501" s="185"/>
      <c r="G501" s="185"/>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row>
    <row r="502" ht="15.75" customHeight="1">
      <c r="A502" s="92" t="s">
        <v>4845</v>
      </c>
      <c r="B502" s="93">
        <v>4.0</v>
      </c>
      <c r="C502" s="27" t="s">
        <v>4877</v>
      </c>
      <c r="D502" s="27" t="s">
        <v>4880</v>
      </c>
      <c r="E502" s="94" t="s">
        <v>4882</v>
      </c>
      <c r="F502" s="185"/>
      <c r="G502" s="185"/>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row>
    <row r="503" ht="15.75" customHeight="1">
      <c r="A503" s="73" t="s">
        <v>4845</v>
      </c>
      <c r="B503" s="103">
        <v>5.0</v>
      </c>
      <c r="C503" s="33" t="s">
        <v>4883</v>
      </c>
      <c r="D503" s="33" t="s">
        <v>4884</v>
      </c>
      <c r="E503" s="86" t="s">
        <v>4885</v>
      </c>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row>
    <row r="504" ht="15.75" customHeight="1">
      <c r="A504" s="73"/>
      <c r="B504" s="33"/>
      <c r="C504" s="33"/>
      <c r="D504" s="33"/>
      <c r="E504" s="33"/>
      <c r="F504" s="32"/>
      <c r="G504" s="32"/>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row>
    <row r="505" ht="15.75" customHeight="1">
      <c r="A505" s="92" t="s">
        <v>4894</v>
      </c>
      <c r="B505" s="93">
        <v>1.0</v>
      </c>
      <c r="C505" s="27" t="s">
        <v>4896</v>
      </c>
      <c r="D505" s="27" t="s">
        <v>4897</v>
      </c>
      <c r="E505" s="94" t="s">
        <v>4898</v>
      </c>
      <c r="F505" s="185"/>
      <c r="G505" s="185"/>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row>
    <row r="506" ht="15.75" customHeight="1">
      <c r="A506" s="92" t="s">
        <v>4894</v>
      </c>
      <c r="B506" s="93">
        <v>2.0</v>
      </c>
      <c r="C506" s="27" t="s">
        <v>4906</v>
      </c>
      <c r="D506" s="27" t="s">
        <v>4909</v>
      </c>
      <c r="E506" s="94" t="s">
        <v>4911</v>
      </c>
      <c r="F506" s="185"/>
      <c r="G506" s="185"/>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row>
    <row r="507" ht="15.75" customHeight="1">
      <c r="A507" s="92" t="s">
        <v>4894</v>
      </c>
      <c r="B507" s="93">
        <v>3.0</v>
      </c>
      <c r="C507" s="27" t="s">
        <v>4814</v>
      </c>
      <c r="D507" s="27" t="s">
        <v>4919</v>
      </c>
      <c r="E507" s="94" t="s">
        <v>4818</v>
      </c>
      <c r="F507" s="185"/>
      <c r="G507" s="185"/>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row>
    <row r="508" ht="15.75" customHeight="1">
      <c r="A508" s="92" t="s">
        <v>4894</v>
      </c>
      <c r="B508" s="93">
        <v>4.0</v>
      </c>
      <c r="C508" s="27" t="s">
        <v>4927</v>
      </c>
      <c r="D508" s="27" t="s">
        <v>4929</v>
      </c>
      <c r="E508" s="94" t="s">
        <v>4930</v>
      </c>
      <c r="F508" s="185"/>
      <c r="G508" s="185"/>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row>
    <row r="509" ht="15.75" customHeight="1">
      <c r="A509" s="73" t="s">
        <v>4894</v>
      </c>
      <c r="B509" s="103">
        <v>5.0</v>
      </c>
      <c r="C509" s="33" t="s">
        <v>4938</v>
      </c>
      <c r="D509" s="33" t="s">
        <v>4939</v>
      </c>
      <c r="E509" s="86" t="s">
        <v>4940</v>
      </c>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row>
    <row r="510" ht="15.75" customHeight="1">
      <c r="A510" s="73"/>
      <c r="B510" s="33"/>
      <c r="C510" s="33"/>
      <c r="D510" s="33"/>
      <c r="E510" s="33"/>
      <c r="F510" s="32"/>
      <c r="G510" s="32"/>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row>
    <row r="511" ht="15.75" customHeight="1">
      <c r="A511" s="92" t="s">
        <v>4953</v>
      </c>
      <c r="B511" s="93">
        <v>1.0</v>
      </c>
      <c r="C511" s="27" t="s">
        <v>4954</v>
      </c>
      <c r="D511" s="27" t="s">
        <v>4956</v>
      </c>
      <c r="E511" s="94" t="s">
        <v>4959</v>
      </c>
      <c r="F511" s="185"/>
      <c r="G511" s="185"/>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row>
    <row r="512" ht="15.75" customHeight="1">
      <c r="A512" s="92" t="s">
        <v>4953</v>
      </c>
      <c r="B512" s="93">
        <v>2.0</v>
      </c>
      <c r="C512" s="27" t="s">
        <v>4971</v>
      </c>
      <c r="D512" s="27" t="s">
        <v>4972</v>
      </c>
      <c r="E512" s="94" t="s">
        <v>4973</v>
      </c>
      <c r="F512" s="185"/>
      <c r="G512" s="185"/>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row>
    <row r="513" ht="15.75" customHeight="1">
      <c r="A513" s="92" t="s">
        <v>4953</v>
      </c>
      <c r="B513" s="93">
        <v>3.0</v>
      </c>
      <c r="C513" s="27" t="s">
        <v>4981</v>
      </c>
      <c r="D513" s="27" t="s">
        <v>4984</v>
      </c>
      <c r="E513" s="94" t="s">
        <v>4869</v>
      </c>
      <c r="F513" s="185"/>
      <c r="G513" s="185"/>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row>
    <row r="514" ht="15.75" customHeight="1">
      <c r="A514" s="92" t="s">
        <v>4953</v>
      </c>
      <c r="B514" s="93">
        <v>4.0</v>
      </c>
      <c r="C514" s="27" t="s">
        <v>4994</v>
      </c>
      <c r="D514" s="27" t="s">
        <v>4997</v>
      </c>
      <c r="E514" s="94" t="s">
        <v>4999</v>
      </c>
      <c r="F514" s="185"/>
      <c r="G514" s="185"/>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row>
    <row r="515" ht="15.75" customHeight="1">
      <c r="A515" s="73" t="s">
        <v>4953</v>
      </c>
      <c r="B515" s="103">
        <v>5.0</v>
      </c>
      <c r="C515" s="33" t="s">
        <v>5004</v>
      </c>
      <c r="D515" s="33" t="s">
        <v>5005</v>
      </c>
      <c r="E515" s="86" t="s">
        <v>5006</v>
      </c>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row>
    <row r="516" ht="15.75" customHeight="1">
      <c r="A516" s="73"/>
      <c r="B516" s="33"/>
      <c r="C516" s="33"/>
      <c r="D516" s="33"/>
      <c r="E516" s="33"/>
      <c r="F516" s="32"/>
      <c r="G516" s="32"/>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row>
    <row r="517" ht="15.75" customHeight="1">
      <c r="A517" s="92" t="s">
        <v>5025</v>
      </c>
      <c r="B517" s="93">
        <v>1.0</v>
      </c>
      <c r="C517" s="27" t="s">
        <v>5026</v>
      </c>
      <c r="D517" s="27" t="s">
        <v>5027</v>
      </c>
      <c r="E517" s="27" t="s">
        <v>5028</v>
      </c>
      <c r="F517" s="25"/>
      <c r="G517" s="25"/>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row>
    <row r="518" ht="15.75" customHeight="1">
      <c r="A518" s="92" t="s">
        <v>5025</v>
      </c>
      <c r="B518" s="93">
        <v>2.0</v>
      </c>
      <c r="C518" s="27" t="s">
        <v>5042</v>
      </c>
      <c r="D518" s="27" t="s">
        <v>5042</v>
      </c>
      <c r="E518" s="94" t="s">
        <v>5044</v>
      </c>
      <c r="F518" s="25"/>
      <c r="G518" s="25"/>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row>
    <row r="519" ht="15.75" customHeight="1">
      <c r="A519" s="92" t="s">
        <v>5025</v>
      </c>
      <c r="B519" s="93">
        <v>3.0</v>
      </c>
      <c r="C519" s="27" t="s">
        <v>5054</v>
      </c>
      <c r="D519" s="27" t="s">
        <v>5054</v>
      </c>
      <c r="E519" s="27" t="s">
        <v>5057</v>
      </c>
      <c r="F519" s="25"/>
      <c r="G519" s="25"/>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row>
    <row r="520" ht="15.75" customHeight="1">
      <c r="A520" s="92" t="s">
        <v>5025</v>
      </c>
      <c r="B520" s="93">
        <v>4.0</v>
      </c>
      <c r="C520" s="27" t="s">
        <v>5069</v>
      </c>
      <c r="D520" s="27" t="s">
        <v>5069</v>
      </c>
      <c r="E520" s="27" t="s">
        <v>5070</v>
      </c>
      <c r="F520" s="25"/>
      <c r="G520" s="25"/>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row>
    <row r="521" ht="15.75" customHeight="1">
      <c r="A521" s="92" t="s">
        <v>5025</v>
      </c>
      <c r="B521" s="93">
        <v>5.0</v>
      </c>
      <c r="C521" s="27" t="s">
        <v>5079</v>
      </c>
      <c r="D521" s="27" t="s">
        <v>5079</v>
      </c>
      <c r="E521" s="94" t="s">
        <v>5082</v>
      </c>
      <c r="F521" s="25"/>
      <c r="G521" s="25"/>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row>
    <row r="522" ht="15.75" customHeight="1">
      <c r="A522" s="92" t="s">
        <v>5025</v>
      </c>
      <c r="B522" s="93">
        <v>6.0</v>
      </c>
      <c r="C522" s="27" t="s">
        <v>5098</v>
      </c>
      <c r="D522" s="27" t="s">
        <v>5098</v>
      </c>
      <c r="E522" s="27" t="s">
        <v>5102</v>
      </c>
      <c r="F522" s="25"/>
      <c r="G522" s="25"/>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row>
    <row r="523" ht="15.75" customHeight="1">
      <c r="A523" s="92" t="s">
        <v>5025</v>
      </c>
      <c r="B523" s="93">
        <v>7.0</v>
      </c>
      <c r="C523" s="27" t="s">
        <v>5111</v>
      </c>
      <c r="D523" s="27" t="s">
        <v>5111</v>
      </c>
      <c r="E523" s="94" t="s">
        <v>5112</v>
      </c>
      <c r="F523" s="25"/>
      <c r="G523" s="25"/>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row>
    <row r="524" ht="15.75" customHeight="1">
      <c r="A524" s="92" t="s">
        <v>5025</v>
      </c>
      <c r="B524" s="93">
        <v>8.0</v>
      </c>
      <c r="C524" s="27" t="s">
        <v>5117</v>
      </c>
      <c r="D524" s="27" t="s">
        <v>5117</v>
      </c>
      <c r="E524" s="27" t="s">
        <v>5120</v>
      </c>
      <c r="F524" s="25"/>
      <c r="G524" s="25"/>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row>
    <row r="525" ht="15.75" customHeight="1">
      <c r="A525" s="73" t="s">
        <v>5025</v>
      </c>
      <c r="B525" s="103">
        <v>-777.0</v>
      </c>
      <c r="C525" s="33" t="s">
        <v>132</v>
      </c>
      <c r="D525" s="33" t="s">
        <v>133</v>
      </c>
      <c r="E525" s="33" t="s">
        <v>134</v>
      </c>
      <c r="F525" s="32"/>
      <c r="G525" s="32"/>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row>
    <row r="526" ht="15.75" customHeight="1">
      <c r="A526" s="107"/>
      <c r="B526" s="108"/>
      <c r="C526" s="107"/>
      <c r="D526" s="107"/>
      <c r="E526" s="193"/>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row>
    <row r="527" ht="15.75" customHeight="1">
      <c r="A527" s="114" t="s">
        <v>5146</v>
      </c>
      <c r="B527" s="116">
        <v>0.0</v>
      </c>
      <c r="C527" s="123" t="s">
        <v>186</v>
      </c>
      <c r="D527" s="123" t="s">
        <v>188</v>
      </c>
      <c r="E527" s="123" t="s">
        <v>5149</v>
      </c>
      <c r="F527" s="119"/>
      <c r="G527" s="119"/>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row>
    <row r="528" ht="15.75" customHeight="1">
      <c r="A528" s="92" t="s">
        <v>5146</v>
      </c>
      <c r="B528" s="93">
        <v>1.0</v>
      </c>
      <c r="C528" s="27" t="s">
        <v>5154</v>
      </c>
      <c r="D528" s="27" t="s">
        <v>1023</v>
      </c>
      <c r="E528" s="27" t="s">
        <v>5155</v>
      </c>
      <c r="F528" s="25"/>
      <c r="G528" s="25"/>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row>
    <row r="529" ht="15.75" customHeight="1">
      <c r="A529" s="92" t="s">
        <v>5146</v>
      </c>
      <c r="B529" s="93">
        <v>2.0</v>
      </c>
      <c r="C529" s="27" t="s">
        <v>5163</v>
      </c>
      <c r="D529" s="27" t="s">
        <v>1069</v>
      </c>
      <c r="E529" s="27" t="s">
        <v>5164</v>
      </c>
      <c r="F529" s="25"/>
      <c r="G529" s="25"/>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row>
    <row r="530" ht="15.75" customHeight="1">
      <c r="A530" s="92" t="s">
        <v>5146</v>
      </c>
      <c r="B530" s="93">
        <v>3.0</v>
      </c>
      <c r="C530" s="27" t="s">
        <v>5171</v>
      </c>
      <c r="D530" s="27" t="s">
        <v>5173</v>
      </c>
      <c r="E530" s="94" t="s">
        <v>5174</v>
      </c>
      <c r="F530" s="25"/>
      <c r="G530" s="25"/>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row>
    <row r="531" ht="15.75" customHeight="1">
      <c r="A531" s="92" t="s">
        <v>5146</v>
      </c>
      <c r="B531" s="93">
        <v>4.0</v>
      </c>
      <c r="C531" s="27" t="s">
        <v>5179</v>
      </c>
      <c r="D531" s="27" t="s">
        <v>5179</v>
      </c>
      <c r="E531" s="94" t="s">
        <v>5180</v>
      </c>
      <c r="F531" s="25"/>
      <c r="G531" s="25"/>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row>
    <row r="532" ht="15.75" customHeight="1">
      <c r="A532" s="92" t="s">
        <v>5146</v>
      </c>
      <c r="B532" s="93">
        <v>5.0</v>
      </c>
      <c r="C532" s="27" t="s">
        <v>5184</v>
      </c>
      <c r="D532" s="27" t="s">
        <v>1012</v>
      </c>
      <c r="E532" s="27" t="s">
        <v>5185</v>
      </c>
      <c r="F532" s="25"/>
      <c r="G532" s="25"/>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row>
    <row r="533" ht="15.75" customHeight="1">
      <c r="A533" s="73" t="s">
        <v>5146</v>
      </c>
      <c r="B533" s="103">
        <v>-777.0</v>
      </c>
      <c r="C533" s="33" t="s">
        <v>132</v>
      </c>
      <c r="D533" s="33" t="s">
        <v>133</v>
      </c>
      <c r="E533" s="33" t="s">
        <v>134</v>
      </c>
      <c r="F533" s="32"/>
      <c r="G533" s="32"/>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row>
    <row r="534" ht="15.75" customHeight="1">
      <c r="A534" s="107"/>
      <c r="B534" s="108"/>
      <c r="C534" s="107"/>
      <c r="D534" s="107"/>
      <c r="E534" s="193"/>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row>
    <row r="535" ht="15.75" customHeight="1">
      <c r="A535" s="114" t="s">
        <v>5198</v>
      </c>
      <c r="B535" s="116">
        <v>1.0</v>
      </c>
      <c r="C535" s="123" t="s">
        <v>5200</v>
      </c>
      <c r="D535" s="123" t="s">
        <v>5201</v>
      </c>
      <c r="E535" s="123" t="s">
        <v>5202</v>
      </c>
      <c r="F535" s="338"/>
      <c r="G535" s="338"/>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row>
    <row r="536" ht="15.75" customHeight="1">
      <c r="A536" s="92" t="s">
        <v>5198</v>
      </c>
      <c r="B536" s="93">
        <v>2.0</v>
      </c>
      <c r="C536" s="27" t="s">
        <v>5214</v>
      </c>
      <c r="D536" s="27" t="s">
        <v>5215</v>
      </c>
      <c r="E536" s="27" t="s">
        <v>5216</v>
      </c>
      <c r="F536" s="101"/>
      <c r="G536" s="101"/>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row>
    <row r="537" ht="15.75" customHeight="1">
      <c r="A537" s="92" t="s">
        <v>5198</v>
      </c>
      <c r="B537" s="93">
        <v>3.0</v>
      </c>
      <c r="C537" s="27" t="s">
        <v>5224</v>
      </c>
      <c r="D537" s="27" t="s">
        <v>5069</v>
      </c>
      <c r="E537" s="27" t="s">
        <v>5225</v>
      </c>
      <c r="F537" s="101"/>
      <c r="G537" s="101"/>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row>
    <row r="538" ht="15.75" customHeight="1">
      <c r="A538" s="92" t="s">
        <v>5198</v>
      </c>
      <c r="B538" s="93">
        <v>4.0</v>
      </c>
      <c r="C538" s="27" t="s">
        <v>5231</v>
      </c>
      <c r="D538" s="27" t="s">
        <v>5233</v>
      </c>
      <c r="E538" s="94" t="s">
        <v>5235</v>
      </c>
      <c r="F538" s="101"/>
      <c r="G538" s="101"/>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row>
    <row r="539" ht="15.75" customHeight="1">
      <c r="A539" s="92" t="s">
        <v>5198</v>
      </c>
      <c r="B539" s="93">
        <v>5.0</v>
      </c>
      <c r="C539" s="27" t="s">
        <v>5239</v>
      </c>
      <c r="D539" s="27" t="s">
        <v>5239</v>
      </c>
      <c r="E539" s="27" t="s">
        <v>5240</v>
      </c>
      <c r="F539" s="101"/>
      <c r="G539" s="101"/>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row>
    <row r="540" ht="15.75" customHeight="1">
      <c r="A540" s="92" t="s">
        <v>5198</v>
      </c>
      <c r="B540" s="93">
        <v>6.0</v>
      </c>
      <c r="C540" s="27" t="s">
        <v>5246</v>
      </c>
      <c r="D540" s="27" t="s">
        <v>5246</v>
      </c>
      <c r="E540" s="94" t="s">
        <v>5247</v>
      </c>
      <c r="F540" s="101"/>
      <c r="G540" s="101"/>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row>
    <row r="541" ht="15.75" customHeight="1">
      <c r="A541" s="92" t="s">
        <v>5198</v>
      </c>
      <c r="B541" s="93">
        <v>7.0</v>
      </c>
      <c r="C541" s="27" t="s">
        <v>5253</v>
      </c>
      <c r="D541" s="27" t="s">
        <v>5253</v>
      </c>
      <c r="E541" s="94" t="s">
        <v>5255</v>
      </c>
      <c r="F541" s="25"/>
      <c r="G541" s="25"/>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row>
    <row r="542" ht="15.75" customHeight="1">
      <c r="A542" s="92" t="s">
        <v>5198</v>
      </c>
      <c r="B542" s="93">
        <v>8.0</v>
      </c>
      <c r="C542" s="27" t="s">
        <v>5258</v>
      </c>
      <c r="D542" s="27" t="s">
        <v>5258</v>
      </c>
      <c r="E542" s="27" t="s">
        <v>5259</v>
      </c>
      <c r="F542" s="25"/>
      <c r="G542" s="25"/>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row>
    <row r="543" ht="15.75" customHeight="1">
      <c r="A543" s="92" t="s">
        <v>5198</v>
      </c>
      <c r="B543" s="93">
        <v>9.0</v>
      </c>
      <c r="C543" s="27" t="s">
        <v>5265</v>
      </c>
      <c r="D543" s="27" t="s">
        <v>5117</v>
      </c>
      <c r="E543" s="27" t="s">
        <v>5266</v>
      </c>
      <c r="F543" s="25"/>
      <c r="G543" s="25"/>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row>
    <row r="544" ht="15.75" customHeight="1">
      <c r="A544" s="92" t="s">
        <v>5198</v>
      </c>
      <c r="B544" s="93">
        <v>10.0</v>
      </c>
      <c r="C544" s="27" t="s">
        <v>5267</v>
      </c>
      <c r="D544" s="27" t="s">
        <v>5268</v>
      </c>
      <c r="E544" s="27" t="s">
        <v>5269</v>
      </c>
      <c r="F544" s="25"/>
      <c r="G544" s="25"/>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row>
    <row r="545" ht="15.75" customHeight="1">
      <c r="A545" s="339" t="s">
        <v>5198</v>
      </c>
      <c r="B545" s="312">
        <v>11.0</v>
      </c>
      <c r="C545" s="158" t="s">
        <v>5272</v>
      </c>
      <c r="D545" s="158" t="s">
        <v>5272</v>
      </c>
      <c r="E545" s="158" t="s">
        <v>5272</v>
      </c>
      <c r="F545" s="25"/>
      <c r="G545" s="25"/>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row>
    <row r="546" ht="15.75" customHeight="1">
      <c r="A546" s="339" t="s">
        <v>5198</v>
      </c>
      <c r="B546" s="312">
        <v>12.0</v>
      </c>
      <c r="C546" s="158" t="s">
        <v>5281</v>
      </c>
      <c r="D546" s="158" t="s">
        <v>5281</v>
      </c>
      <c r="E546" s="158" t="s">
        <v>5281</v>
      </c>
      <c r="F546" s="25"/>
      <c r="G546" s="25"/>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row>
    <row r="547" ht="15.75" customHeight="1">
      <c r="A547" s="339" t="s">
        <v>5198</v>
      </c>
      <c r="B547" s="312">
        <v>13.0</v>
      </c>
      <c r="C547" s="158" t="s">
        <v>5288</v>
      </c>
      <c r="D547" s="158" t="s">
        <v>5288</v>
      </c>
      <c r="E547" s="158" t="s">
        <v>5288</v>
      </c>
      <c r="F547" s="25"/>
      <c r="G547" s="25"/>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row>
    <row r="548" ht="15.75" customHeight="1">
      <c r="A548" s="73" t="s">
        <v>5198</v>
      </c>
      <c r="B548" s="103">
        <v>14.0</v>
      </c>
      <c r="C548" s="33" t="s">
        <v>5292</v>
      </c>
      <c r="D548" s="33" t="s">
        <v>5293</v>
      </c>
      <c r="E548" s="27" t="s">
        <v>5295</v>
      </c>
      <c r="F548" s="32"/>
      <c r="G548" s="32"/>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row>
    <row r="549" ht="15.75" customHeight="1">
      <c r="A549" s="73" t="s">
        <v>5198</v>
      </c>
      <c r="B549" s="103">
        <v>-777.0</v>
      </c>
      <c r="C549" s="33" t="s">
        <v>132</v>
      </c>
      <c r="D549" s="33" t="s">
        <v>133</v>
      </c>
      <c r="E549" s="33" t="s">
        <v>134</v>
      </c>
      <c r="F549" s="32"/>
      <c r="G549" s="32"/>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row>
    <row r="550" ht="15.75" customHeight="1">
      <c r="A550" s="107"/>
      <c r="B550" s="108"/>
      <c r="C550" s="107"/>
      <c r="D550" s="107"/>
      <c r="E550" s="193"/>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row>
    <row r="551" ht="15.75" customHeight="1">
      <c r="A551" s="204" t="s">
        <v>5319</v>
      </c>
      <c r="B551" s="116">
        <v>1.0</v>
      </c>
      <c r="C551" s="123" t="s">
        <v>2155</v>
      </c>
      <c r="D551" s="123" t="s">
        <v>2158</v>
      </c>
      <c r="E551" s="196" t="s">
        <v>2263</v>
      </c>
      <c r="F551" s="207"/>
      <c r="G551" s="207"/>
      <c r="H551" s="207"/>
      <c r="I551" s="207"/>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row>
    <row r="552" ht="15.75" customHeight="1">
      <c r="A552" s="73" t="s">
        <v>5319</v>
      </c>
      <c r="B552" s="93">
        <v>2.0</v>
      </c>
      <c r="C552" s="27" t="s">
        <v>2175</v>
      </c>
      <c r="D552" s="27" t="s">
        <v>2178</v>
      </c>
      <c r="E552" s="94" t="s">
        <v>2275</v>
      </c>
      <c r="F552" s="28"/>
      <c r="G552" s="32"/>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row>
    <row r="553" ht="15.75" customHeight="1">
      <c r="A553" s="73" t="s">
        <v>5319</v>
      </c>
      <c r="B553" s="93">
        <v>3.0</v>
      </c>
      <c r="C553" s="27" t="s">
        <v>2187</v>
      </c>
      <c r="D553" s="27" t="s">
        <v>2188</v>
      </c>
      <c r="E553" s="94" t="s">
        <v>2285</v>
      </c>
      <c r="F553" s="28"/>
      <c r="G553" s="101"/>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row>
    <row r="554" ht="15.75" customHeight="1">
      <c r="A554" s="73" t="s">
        <v>5319</v>
      </c>
      <c r="B554" s="93">
        <v>4.0</v>
      </c>
      <c r="C554" s="33" t="s">
        <v>2197</v>
      </c>
      <c r="D554" s="33" t="s">
        <v>2198</v>
      </c>
      <c r="E554" s="86" t="s">
        <v>5339</v>
      </c>
      <c r="F554" s="28"/>
      <c r="G554" s="101"/>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row>
    <row r="555" ht="15.75" customHeight="1">
      <c r="A555" s="73" t="s">
        <v>5319</v>
      </c>
      <c r="B555" s="93">
        <v>5.0</v>
      </c>
      <c r="C555" s="275" t="s">
        <v>2211</v>
      </c>
      <c r="D555" s="121" t="s">
        <v>2216</v>
      </c>
      <c r="E555" s="86" t="s">
        <v>2217</v>
      </c>
      <c r="F555" s="28"/>
      <c r="G555" s="101"/>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row>
    <row r="556" ht="15.75" customHeight="1">
      <c r="A556" s="73" t="s">
        <v>5319</v>
      </c>
      <c r="B556" s="93">
        <v>6.0</v>
      </c>
      <c r="C556" s="276" t="s">
        <v>2225</v>
      </c>
      <c r="D556" s="107" t="s">
        <v>2227</v>
      </c>
      <c r="E556" s="193" t="s">
        <v>2227</v>
      </c>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row>
    <row r="557" ht="15.75" customHeight="1">
      <c r="A557" s="73" t="s">
        <v>5319</v>
      </c>
      <c r="B557" s="103">
        <v>-777.0</v>
      </c>
      <c r="C557" s="33" t="s">
        <v>2243</v>
      </c>
      <c r="D557" s="33" t="s">
        <v>133</v>
      </c>
      <c r="E557" s="86" t="s">
        <v>2244</v>
      </c>
      <c r="F557" s="34"/>
      <c r="G557" s="32"/>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row>
    <row r="558" ht="15.75" customHeight="1">
      <c r="A558" s="107"/>
      <c r="B558" s="108"/>
      <c r="C558" s="107"/>
      <c r="D558" s="107"/>
      <c r="E558" s="193"/>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row>
    <row r="559" ht="15.75" customHeight="1">
      <c r="A559" s="114" t="s">
        <v>5360</v>
      </c>
      <c r="B559" s="116">
        <v>0.0</v>
      </c>
      <c r="C559" s="123" t="s">
        <v>5363</v>
      </c>
      <c r="D559" s="123" t="s">
        <v>5365</v>
      </c>
      <c r="E559" s="123" t="s">
        <v>5368</v>
      </c>
      <c r="F559" s="119"/>
      <c r="G559" s="119"/>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row>
    <row r="560" ht="15.75" customHeight="1">
      <c r="A560" s="92" t="s">
        <v>5360</v>
      </c>
      <c r="B560" s="93">
        <v>1.0</v>
      </c>
      <c r="C560" s="27" t="s">
        <v>5377</v>
      </c>
      <c r="D560" s="27" t="s">
        <v>5378</v>
      </c>
      <c r="E560" s="94" t="s">
        <v>5379</v>
      </c>
      <c r="F560" s="25"/>
      <c r="G560" s="25"/>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row>
    <row r="561" ht="15.75" customHeight="1">
      <c r="A561" s="92" t="s">
        <v>5360</v>
      </c>
      <c r="B561" s="93">
        <v>2.0</v>
      </c>
      <c r="C561" s="27" t="s">
        <v>5383</v>
      </c>
      <c r="D561" s="27" t="s">
        <v>5384</v>
      </c>
      <c r="E561" s="94" t="s">
        <v>5385</v>
      </c>
      <c r="F561" s="25"/>
      <c r="G561" s="25"/>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row>
    <row r="562" ht="15.75" customHeight="1">
      <c r="A562" s="92" t="s">
        <v>5360</v>
      </c>
      <c r="B562" s="93">
        <v>3.0</v>
      </c>
      <c r="C562" s="27" t="s">
        <v>5387</v>
      </c>
      <c r="D562" s="27" t="s">
        <v>5388</v>
      </c>
      <c r="E562" s="94" t="s">
        <v>5389</v>
      </c>
      <c r="F562" s="185"/>
      <c r="G562" s="185"/>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row>
    <row r="563" ht="15.75" customHeight="1">
      <c r="A563" s="92" t="s">
        <v>5360</v>
      </c>
      <c r="B563" s="93">
        <v>4.0</v>
      </c>
      <c r="C563" s="27" t="s">
        <v>5391</v>
      </c>
      <c r="D563" s="27" t="s">
        <v>5392</v>
      </c>
      <c r="E563" s="94" t="s">
        <v>5393</v>
      </c>
      <c r="F563" s="25"/>
      <c r="G563" s="25"/>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row>
    <row r="564" ht="15.75" customHeight="1">
      <c r="A564" s="92" t="s">
        <v>5360</v>
      </c>
      <c r="B564" s="93">
        <v>5.0</v>
      </c>
      <c r="C564" s="27" t="s">
        <v>5396</v>
      </c>
      <c r="D564" s="27" t="s">
        <v>5397</v>
      </c>
      <c r="E564" s="94" t="s">
        <v>5398</v>
      </c>
      <c r="F564" s="25"/>
      <c r="G564" s="25"/>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row>
    <row r="565" ht="15.75" customHeight="1">
      <c r="A565" s="92" t="s">
        <v>5360</v>
      </c>
      <c r="B565" s="93">
        <v>6.0</v>
      </c>
      <c r="C565" s="27" t="s">
        <v>5407</v>
      </c>
      <c r="D565" s="27" t="s">
        <v>5409</v>
      </c>
      <c r="E565" s="94" t="s">
        <v>5410</v>
      </c>
      <c r="F565" s="25"/>
      <c r="G565" s="25"/>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row>
    <row r="566" ht="15.75" customHeight="1">
      <c r="A566" s="92" t="s">
        <v>5360</v>
      </c>
      <c r="B566" s="93">
        <v>7.0</v>
      </c>
      <c r="C566" s="27" t="s">
        <v>5421</v>
      </c>
      <c r="D566" s="27" t="s">
        <v>5422</v>
      </c>
      <c r="E566" s="94" t="s">
        <v>5423</v>
      </c>
      <c r="F566" s="25"/>
      <c r="G566" s="25"/>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row>
    <row r="567" ht="15.75" customHeight="1">
      <c r="A567" s="73" t="s">
        <v>5360</v>
      </c>
      <c r="B567" s="103">
        <v>-777.0</v>
      </c>
      <c r="C567" s="33" t="s">
        <v>132</v>
      </c>
      <c r="D567" s="33" t="s">
        <v>133</v>
      </c>
      <c r="E567" s="86" t="s">
        <v>2244</v>
      </c>
      <c r="F567" s="32"/>
      <c r="G567" s="32"/>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row>
    <row r="568" ht="15.75" customHeight="1">
      <c r="A568" s="107"/>
      <c r="B568" s="108"/>
      <c r="C568" s="107"/>
      <c r="D568" s="107"/>
      <c r="E568" s="193"/>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row>
    <row r="569" ht="15.75" customHeight="1">
      <c r="A569" s="265" t="s">
        <v>5449</v>
      </c>
      <c r="B569" s="264">
        <v>0.0</v>
      </c>
      <c r="C569" s="123" t="s">
        <v>186</v>
      </c>
      <c r="D569" s="265" t="s">
        <v>188</v>
      </c>
      <c r="E569" s="265" t="s">
        <v>5149</v>
      </c>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row>
    <row r="570" ht="15.75" customHeight="1">
      <c r="A570" s="107" t="s">
        <v>5449</v>
      </c>
      <c r="B570" s="108">
        <v>1.0</v>
      </c>
      <c r="C570" s="27" t="s">
        <v>5460</v>
      </c>
      <c r="D570" s="107" t="s">
        <v>5461</v>
      </c>
      <c r="E570" s="107" t="s">
        <v>5463</v>
      </c>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row>
    <row r="571" ht="15.75" customHeight="1">
      <c r="A571" s="107" t="s">
        <v>5449</v>
      </c>
      <c r="B571" s="108">
        <v>2.0</v>
      </c>
      <c r="C571" s="27" t="s">
        <v>5469</v>
      </c>
      <c r="D571" s="107" t="s">
        <v>5470</v>
      </c>
      <c r="E571" s="107" t="s">
        <v>5471</v>
      </c>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row>
    <row r="572" ht="15.75" customHeight="1">
      <c r="A572" s="107" t="s">
        <v>5449</v>
      </c>
      <c r="B572" s="108">
        <v>3.0</v>
      </c>
      <c r="C572" s="27" t="s">
        <v>5479</v>
      </c>
      <c r="D572" s="107" t="s">
        <v>5481</v>
      </c>
      <c r="E572" s="193" t="s">
        <v>5483</v>
      </c>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row>
    <row r="573" ht="15.75" customHeight="1">
      <c r="A573" s="107" t="s">
        <v>5449</v>
      </c>
      <c r="B573" s="108">
        <v>4.0</v>
      </c>
      <c r="C573" s="27" t="s">
        <v>5490</v>
      </c>
      <c r="D573" s="107" t="s">
        <v>5492</v>
      </c>
      <c r="E573" s="193" t="s">
        <v>5494</v>
      </c>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row>
    <row r="574" ht="15.75" customHeight="1">
      <c r="A574" s="107" t="s">
        <v>5449</v>
      </c>
      <c r="B574" s="108">
        <v>5.0</v>
      </c>
      <c r="C574" s="27" t="s">
        <v>5502</v>
      </c>
      <c r="D574" s="107" t="s">
        <v>5503</v>
      </c>
      <c r="E574" s="107" t="s">
        <v>5505</v>
      </c>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row>
    <row r="575" ht="15.75" customHeight="1">
      <c r="A575" s="107" t="s">
        <v>5449</v>
      </c>
      <c r="B575" s="108">
        <v>6.0</v>
      </c>
      <c r="C575" s="27" t="s">
        <v>5517</v>
      </c>
      <c r="D575" s="107" t="s">
        <v>5519</v>
      </c>
      <c r="E575" s="193" t="s">
        <v>5521</v>
      </c>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row>
    <row r="576" ht="15.75" customHeight="1">
      <c r="A576" s="81" t="s">
        <v>5449</v>
      </c>
      <c r="B576" s="344">
        <v>-999.0</v>
      </c>
      <c r="C576" s="33" t="s">
        <v>5532</v>
      </c>
      <c r="D576" s="81" t="s">
        <v>117</v>
      </c>
      <c r="E576" s="81" t="s">
        <v>118</v>
      </c>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row>
    <row r="577" ht="15.75" customHeight="1">
      <c r="A577" s="81"/>
      <c r="B577" s="81"/>
      <c r="C577" s="33"/>
      <c r="D577" s="81"/>
      <c r="E577" s="81"/>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row>
    <row r="578" ht="15.75" customHeight="1">
      <c r="A578" s="107" t="s">
        <v>5552</v>
      </c>
      <c r="B578" s="108">
        <v>0.0</v>
      </c>
      <c r="C578" s="107" t="s">
        <v>5553</v>
      </c>
      <c r="D578" s="265" t="s">
        <v>5555</v>
      </c>
      <c r="E578" s="345" t="s">
        <v>5557</v>
      </c>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row>
    <row r="579" ht="15.75" customHeight="1">
      <c r="A579" s="107" t="s">
        <v>5552</v>
      </c>
      <c r="B579" s="108">
        <v>1.0</v>
      </c>
      <c r="C579" s="193" t="s">
        <v>5572</v>
      </c>
      <c r="D579" s="107" t="s">
        <v>5574</v>
      </c>
      <c r="E579" s="193" t="s">
        <v>5576</v>
      </c>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row>
    <row r="580" ht="15.75" customHeight="1">
      <c r="A580" s="107" t="s">
        <v>5552</v>
      </c>
      <c r="B580" s="108">
        <v>2.0</v>
      </c>
      <c r="C580" s="193" t="s">
        <v>5588</v>
      </c>
      <c r="D580" s="107" t="s">
        <v>5589</v>
      </c>
      <c r="E580" s="193" t="s">
        <v>5590</v>
      </c>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row>
    <row r="581" ht="15.75" customHeight="1">
      <c r="A581" s="107" t="s">
        <v>5552</v>
      </c>
      <c r="B581" s="108">
        <v>3.0</v>
      </c>
      <c r="C581" s="107" t="s">
        <v>5602</v>
      </c>
      <c r="D581" s="107" t="s">
        <v>5603</v>
      </c>
      <c r="E581" s="193" t="s">
        <v>5604</v>
      </c>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row>
    <row r="582" ht="15.75" customHeight="1">
      <c r="A582" s="107" t="s">
        <v>5552</v>
      </c>
      <c r="B582" s="108">
        <v>4.0</v>
      </c>
      <c r="C582" s="107" t="s">
        <v>5617</v>
      </c>
      <c r="D582" s="107" t="s">
        <v>5618</v>
      </c>
      <c r="E582" s="193" t="s">
        <v>5619</v>
      </c>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row>
    <row r="583" ht="15.75" customHeight="1">
      <c r="A583" s="107" t="s">
        <v>5552</v>
      </c>
      <c r="B583" s="108">
        <v>5.0</v>
      </c>
      <c r="C583" s="193" t="s">
        <v>5627</v>
      </c>
      <c r="D583" s="107" t="s">
        <v>5628</v>
      </c>
      <c r="E583" s="193" t="s">
        <v>5630</v>
      </c>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row>
    <row r="584" ht="15.75" customHeight="1">
      <c r="A584" s="107" t="s">
        <v>5552</v>
      </c>
      <c r="B584" s="108">
        <v>6.0</v>
      </c>
      <c r="C584" s="193" t="s">
        <v>5640</v>
      </c>
      <c r="D584" s="107" t="s">
        <v>5641</v>
      </c>
      <c r="E584" s="193" t="s">
        <v>5642</v>
      </c>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row>
    <row r="585" ht="15.75" customHeight="1">
      <c r="A585" s="107" t="s">
        <v>5552</v>
      </c>
      <c r="B585" s="108">
        <v>7.0</v>
      </c>
      <c r="C585" s="193" t="s">
        <v>5652</v>
      </c>
      <c r="D585" s="107" t="s">
        <v>5653</v>
      </c>
      <c r="E585" s="193" t="s">
        <v>5654</v>
      </c>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row>
    <row r="586" ht="15.75" customHeight="1">
      <c r="A586" s="107" t="s">
        <v>5552</v>
      </c>
      <c r="B586" s="108">
        <v>8.0</v>
      </c>
      <c r="C586" s="193" t="s">
        <v>5660</v>
      </c>
      <c r="D586" s="107" t="s">
        <v>5661</v>
      </c>
      <c r="E586" s="193" t="s">
        <v>5662</v>
      </c>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row>
    <row r="587" ht="15.75" customHeight="1">
      <c r="A587" s="107" t="s">
        <v>5552</v>
      </c>
      <c r="B587" s="108">
        <v>9.0</v>
      </c>
      <c r="C587" s="107" t="s">
        <v>5666</v>
      </c>
      <c r="D587" s="107" t="s">
        <v>5668</v>
      </c>
      <c r="E587" s="193" t="s">
        <v>5669</v>
      </c>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row>
    <row r="588" ht="15.75" customHeight="1">
      <c r="A588" s="107" t="s">
        <v>5552</v>
      </c>
      <c r="B588" s="108">
        <v>10.0</v>
      </c>
      <c r="C588" s="107" t="s">
        <v>5673</v>
      </c>
      <c r="D588" s="107" t="s">
        <v>5675</v>
      </c>
      <c r="E588" s="193" t="s">
        <v>5677</v>
      </c>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row>
    <row r="589" ht="15.75" customHeight="1">
      <c r="A589" s="81" t="s">
        <v>5552</v>
      </c>
      <c r="B589" s="344">
        <v>-999.0</v>
      </c>
      <c r="C589" s="81" t="s">
        <v>5532</v>
      </c>
      <c r="D589" s="81" t="s">
        <v>117</v>
      </c>
      <c r="E589" s="81" t="s">
        <v>118</v>
      </c>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row>
    <row r="590" ht="15.75" customHeight="1">
      <c r="A590" s="107"/>
      <c r="B590" s="108"/>
      <c r="C590" s="107"/>
      <c r="D590" s="107"/>
      <c r="E590" s="193"/>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row>
    <row r="591" ht="15.75" customHeight="1">
      <c r="A591" s="114" t="s">
        <v>5701</v>
      </c>
      <c r="B591" s="116">
        <v>1.0</v>
      </c>
      <c r="C591" s="123" t="s">
        <v>5703</v>
      </c>
      <c r="D591" s="123" t="s">
        <v>5704</v>
      </c>
      <c r="E591" s="123" t="s">
        <v>5705</v>
      </c>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row>
    <row r="592" ht="15.75" customHeight="1">
      <c r="A592" s="92" t="s">
        <v>5701</v>
      </c>
      <c r="B592" s="93">
        <v>2.0</v>
      </c>
      <c r="C592" s="27" t="s">
        <v>5713</v>
      </c>
      <c r="D592" s="27" t="s">
        <v>5715</v>
      </c>
      <c r="E592" s="94" t="s">
        <v>5717</v>
      </c>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row>
    <row r="593" ht="15.75" customHeight="1">
      <c r="A593" s="92" t="s">
        <v>5701</v>
      </c>
      <c r="B593" s="93">
        <v>3.0</v>
      </c>
      <c r="C593" s="27" t="s">
        <v>5718</v>
      </c>
      <c r="D593" s="27" t="s">
        <v>5719</v>
      </c>
      <c r="E593" s="94" t="s">
        <v>5720</v>
      </c>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row>
    <row r="594" ht="15.75" customHeight="1">
      <c r="A594" s="92" t="s">
        <v>5701</v>
      </c>
      <c r="B594" s="93">
        <v>4.0</v>
      </c>
      <c r="C594" s="27" t="s">
        <v>5722</v>
      </c>
      <c r="D594" s="27" t="s">
        <v>5723</v>
      </c>
      <c r="E594" s="94" t="s">
        <v>5724</v>
      </c>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row>
    <row r="595" ht="15.75" customHeight="1">
      <c r="A595" s="92" t="s">
        <v>5701</v>
      </c>
      <c r="B595" s="93">
        <v>5.0</v>
      </c>
      <c r="C595" s="27" t="s">
        <v>5728</v>
      </c>
      <c r="D595" s="27" t="s">
        <v>5730</v>
      </c>
      <c r="E595" s="27" t="s">
        <v>5732</v>
      </c>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row>
    <row r="596" ht="15.75" customHeight="1">
      <c r="A596" s="92" t="s">
        <v>5701</v>
      </c>
      <c r="B596" s="93">
        <v>6.0</v>
      </c>
      <c r="C596" s="27" t="s">
        <v>5735</v>
      </c>
      <c r="D596" s="27" t="s">
        <v>5736</v>
      </c>
      <c r="E596" s="94" t="s">
        <v>5737</v>
      </c>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row>
    <row r="597" ht="15.75" customHeight="1">
      <c r="A597" s="92" t="s">
        <v>5701</v>
      </c>
      <c r="B597" s="93">
        <v>7.0</v>
      </c>
      <c r="C597" s="27" t="s">
        <v>5748</v>
      </c>
      <c r="D597" s="27" t="s">
        <v>5749</v>
      </c>
      <c r="E597" s="94" t="s">
        <v>5750</v>
      </c>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row>
    <row r="598" ht="15.75" customHeight="1">
      <c r="A598" s="92" t="s">
        <v>5701</v>
      </c>
      <c r="B598" s="93">
        <v>-777.0</v>
      </c>
      <c r="C598" s="27" t="s">
        <v>132</v>
      </c>
      <c r="D598" s="27" t="s">
        <v>133</v>
      </c>
      <c r="E598" s="27" t="s">
        <v>134</v>
      </c>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row>
    <row r="599" ht="15.75" customHeight="1">
      <c r="A599" s="73" t="s">
        <v>5701</v>
      </c>
      <c r="B599" s="103">
        <v>-999.0</v>
      </c>
      <c r="C599" s="33" t="s">
        <v>116</v>
      </c>
      <c r="D599" s="33" t="s">
        <v>5770</v>
      </c>
      <c r="E599" s="33" t="s">
        <v>118</v>
      </c>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row>
    <row r="600" ht="15.75" customHeight="1">
      <c r="A600" s="107"/>
      <c r="B600" s="108"/>
      <c r="C600" s="107"/>
      <c r="D600" s="107"/>
      <c r="E600" s="193"/>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row>
    <row r="601" ht="15.75" customHeight="1">
      <c r="A601" s="114" t="s">
        <v>5785</v>
      </c>
      <c r="B601" s="116">
        <v>1.0</v>
      </c>
      <c r="C601" s="123" t="s">
        <v>5786</v>
      </c>
      <c r="D601" s="123" t="s">
        <v>5787</v>
      </c>
      <c r="E601" s="346" t="s">
        <v>5788</v>
      </c>
      <c r="F601" s="119"/>
      <c r="G601" s="119"/>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row>
    <row r="602" ht="15.75" customHeight="1">
      <c r="A602" s="92" t="s">
        <v>5785</v>
      </c>
      <c r="B602" s="93">
        <v>2.0</v>
      </c>
      <c r="C602" s="27" t="s">
        <v>5790</v>
      </c>
      <c r="D602" s="27" t="s">
        <v>5791</v>
      </c>
      <c r="E602" s="276" t="s">
        <v>5792</v>
      </c>
      <c r="F602" s="25"/>
      <c r="G602" s="25"/>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row>
    <row r="603" ht="15.75" customHeight="1">
      <c r="A603" s="73" t="s">
        <v>5785</v>
      </c>
      <c r="B603" s="103">
        <v>3.0</v>
      </c>
      <c r="C603" s="33" t="s">
        <v>5795</v>
      </c>
      <c r="D603" s="33" t="s">
        <v>5797</v>
      </c>
      <c r="E603" s="81" t="s">
        <v>5798</v>
      </c>
      <c r="F603" s="32"/>
      <c r="G603" s="32"/>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row>
    <row r="604" ht="15.75" customHeight="1">
      <c r="A604" s="107"/>
      <c r="B604" s="108"/>
      <c r="C604" s="107"/>
      <c r="D604" s="107"/>
      <c r="E604" s="193"/>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row>
    <row r="605" ht="15.75" customHeight="1">
      <c r="A605" s="58" t="s">
        <v>5808</v>
      </c>
      <c r="B605" s="102">
        <v>1.0</v>
      </c>
      <c r="C605" s="58" t="s">
        <v>5809</v>
      </c>
      <c r="D605" s="58" t="s">
        <v>5809</v>
      </c>
      <c r="E605" s="58" t="s">
        <v>5809</v>
      </c>
      <c r="F605" s="28"/>
      <c r="G605" s="102">
        <v>1.0</v>
      </c>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row>
    <row r="606" ht="15.75" customHeight="1">
      <c r="A606" s="58" t="s">
        <v>5808</v>
      </c>
      <c r="B606" s="102">
        <v>2.0</v>
      </c>
      <c r="C606" s="58" t="s">
        <v>5814</v>
      </c>
      <c r="D606" s="58" t="s">
        <v>5814</v>
      </c>
      <c r="E606" s="58" t="s">
        <v>5814</v>
      </c>
      <c r="F606" s="28"/>
      <c r="G606" s="102">
        <v>2.0</v>
      </c>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row>
    <row r="607" ht="15.75" customHeight="1">
      <c r="A607" s="58" t="s">
        <v>5808</v>
      </c>
      <c r="B607" s="102">
        <v>3.0</v>
      </c>
      <c r="C607" s="107" t="s">
        <v>5823</v>
      </c>
      <c r="D607" s="107" t="s">
        <v>5823</v>
      </c>
      <c r="E607" s="107" t="s">
        <v>5823</v>
      </c>
      <c r="F607" s="28"/>
      <c r="G607" s="102">
        <v>3.0</v>
      </c>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row>
    <row r="608" ht="15.75" customHeight="1">
      <c r="A608" s="58" t="s">
        <v>5808</v>
      </c>
      <c r="B608" s="102">
        <v>4.0</v>
      </c>
      <c r="C608" s="107" t="s">
        <v>5824</v>
      </c>
      <c r="D608" s="107" t="s">
        <v>5824</v>
      </c>
      <c r="E608" s="107" t="s">
        <v>5824</v>
      </c>
      <c r="F608" s="28"/>
      <c r="G608" s="102">
        <v>4.0</v>
      </c>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row>
    <row r="609" ht="15.75" customHeight="1">
      <c r="A609" s="58" t="s">
        <v>5808</v>
      </c>
      <c r="B609" s="102">
        <v>5.0</v>
      </c>
      <c r="C609" s="107" t="s">
        <v>5827</v>
      </c>
      <c r="D609" s="107" t="s">
        <v>5827</v>
      </c>
      <c r="E609" s="107" t="s">
        <v>5827</v>
      </c>
      <c r="F609" s="28"/>
      <c r="G609" s="102">
        <v>5.0</v>
      </c>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row>
    <row r="610" ht="15.75" customHeight="1">
      <c r="A610" s="58" t="s">
        <v>5808</v>
      </c>
      <c r="B610" s="102">
        <v>6.0</v>
      </c>
      <c r="C610" s="107" t="s">
        <v>5832</v>
      </c>
      <c r="D610" s="107" t="s">
        <v>5832</v>
      </c>
      <c r="E610" s="107" t="s">
        <v>5832</v>
      </c>
      <c r="F610" s="28"/>
      <c r="G610" s="102">
        <v>6.0</v>
      </c>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row>
    <row r="611" ht="15.75" customHeight="1">
      <c r="A611" s="58" t="s">
        <v>5808</v>
      </c>
      <c r="B611" s="102">
        <v>7.0</v>
      </c>
      <c r="C611" s="107" t="s">
        <v>5836</v>
      </c>
      <c r="D611" s="107" t="s">
        <v>5836</v>
      </c>
      <c r="E611" s="107" t="s">
        <v>5836</v>
      </c>
      <c r="F611" s="28"/>
      <c r="G611" s="102">
        <v>7.0</v>
      </c>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row>
    <row r="612" ht="15.75" customHeight="1">
      <c r="A612" s="58" t="s">
        <v>5808</v>
      </c>
      <c r="B612" s="102">
        <v>8.0</v>
      </c>
      <c r="C612" s="107" t="s">
        <v>5837</v>
      </c>
      <c r="D612" s="107" t="s">
        <v>5837</v>
      </c>
      <c r="E612" s="107" t="s">
        <v>5837</v>
      </c>
      <c r="F612" s="28"/>
      <c r="G612" s="102">
        <v>8.0</v>
      </c>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row>
    <row r="613" ht="15.75" customHeight="1">
      <c r="A613" s="58" t="s">
        <v>5808</v>
      </c>
      <c r="B613" s="102">
        <v>9.0</v>
      </c>
      <c r="C613" s="107" t="s">
        <v>5843</v>
      </c>
      <c r="D613" s="107" t="s">
        <v>5843</v>
      </c>
      <c r="E613" s="107" t="s">
        <v>5843</v>
      </c>
      <c r="F613" s="28"/>
      <c r="G613" s="102">
        <v>9.0</v>
      </c>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row>
    <row r="614" ht="15.75" customHeight="1">
      <c r="A614" s="58" t="s">
        <v>5808</v>
      </c>
      <c r="B614" s="102">
        <v>10.0</v>
      </c>
      <c r="C614" s="107" t="s">
        <v>5850</v>
      </c>
      <c r="D614" s="107" t="s">
        <v>5850</v>
      </c>
      <c r="E614" s="107" t="s">
        <v>5850</v>
      </c>
      <c r="F614" s="28"/>
      <c r="G614" s="102">
        <v>10.0</v>
      </c>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row>
    <row r="615" ht="15.75" customHeight="1">
      <c r="A615" s="58" t="s">
        <v>5808</v>
      </c>
      <c r="B615" s="102">
        <v>11.0</v>
      </c>
      <c r="C615" s="107" t="s">
        <v>5857</v>
      </c>
      <c r="D615" s="107" t="s">
        <v>5857</v>
      </c>
      <c r="E615" s="107" t="s">
        <v>5857</v>
      </c>
      <c r="F615" s="28"/>
      <c r="G615" s="102">
        <v>11.0</v>
      </c>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row>
    <row r="616" ht="15.75" customHeight="1">
      <c r="A616" s="58" t="s">
        <v>5808</v>
      </c>
      <c r="B616" s="102">
        <v>12.0</v>
      </c>
      <c r="C616" s="107" t="s">
        <v>5862</v>
      </c>
      <c r="D616" s="107" t="s">
        <v>5862</v>
      </c>
      <c r="E616" s="107" t="s">
        <v>5862</v>
      </c>
      <c r="F616" s="28"/>
      <c r="G616" s="102">
        <v>12.0</v>
      </c>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row>
    <row r="617" ht="15.75" customHeight="1">
      <c r="A617" s="58" t="s">
        <v>5808</v>
      </c>
      <c r="B617" s="102">
        <v>13.0</v>
      </c>
      <c r="C617" s="107" t="s">
        <v>5870</v>
      </c>
      <c r="D617" s="107" t="s">
        <v>5870</v>
      </c>
      <c r="E617" s="107" t="s">
        <v>5870</v>
      </c>
      <c r="F617" s="28"/>
      <c r="G617" s="102">
        <v>13.0</v>
      </c>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row>
    <row r="618" ht="15.75" customHeight="1">
      <c r="A618" s="58" t="s">
        <v>5808</v>
      </c>
      <c r="B618" s="102">
        <v>14.0</v>
      </c>
      <c r="C618" s="107" t="s">
        <v>5878</v>
      </c>
      <c r="D618" s="107" t="s">
        <v>5878</v>
      </c>
      <c r="E618" s="107" t="s">
        <v>5878</v>
      </c>
      <c r="F618" s="28"/>
      <c r="G618" s="102">
        <v>14.0</v>
      </c>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row>
    <row r="619" ht="15.75" customHeight="1">
      <c r="A619" s="58" t="s">
        <v>5808</v>
      </c>
      <c r="B619" s="102">
        <v>15.0</v>
      </c>
      <c r="C619" s="107" t="s">
        <v>5887</v>
      </c>
      <c r="D619" s="107" t="s">
        <v>5887</v>
      </c>
      <c r="E619" s="107" t="s">
        <v>5887</v>
      </c>
      <c r="F619" s="28"/>
      <c r="G619" s="102">
        <v>15.0</v>
      </c>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row>
    <row r="620" ht="15.75" customHeight="1">
      <c r="A620" s="58" t="s">
        <v>5808</v>
      </c>
      <c r="B620" s="102">
        <v>16.0</v>
      </c>
      <c r="C620" s="107" t="s">
        <v>5895</v>
      </c>
      <c r="D620" s="107" t="s">
        <v>5895</v>
      </c>
      <c r="E620" s="107" t="s">
        <v>5895</v>
      </c>
      <c r="F620" s="28"/>
      <c r="G620" s="102">
        <v>16.0</v>
      </c>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row>
    <row r="621" ht="15.75" customHeight="1">
      <c r="A621" s="58" t="s">
        <v>5808</v>
      </c>
      <c r="B621" s="102">
        <v>17.0</v>
      </c>
      <c r="C621" s="107" t="s">
        <v>5900</v>
      </c>
      <c r="D621" s="107" t="s">
        <v>5900</v>
      </c>
      <c r="E621" s="107" t="s">
        <v>5900</v>
      </c>
      <c r="F621" s="28"/>
      <c r="G621" s="102">
        <v>17.0</v>
      </c>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row>
    <row r="622" ht="15.75" customHeight="1">
      <c r="A622" s="58" t="s">
        <v>5808</v>
      </c>
      <c r="B622" s="102">
        <v>18.0</v>
      </c>
      <c r="C622" s="107" t="s">
        <v>5901</v>
      </c>
      <c r="D622" s="107" t="s">
        <v>5901</v>
      </c>
      <c r="E622" s="107" t="s">
        <v>5901</v>
      </c>
      <c r="F622" s="28"/>
      <c r="G622" s="102">
        <v>18.0</v>
      </c>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row>
    <row r="623" ht="15.75" customHeight="1">
      <c r="A623" s="58" t="s">
        <v>5808</v>
      </c>
      <c r="B623" s="102">
        <v>19.0</v>
      </c>
      <c r="C623" s="107" t="s">
        <v>5904</v>
      </c>
      <c r="D623" s="107" t="s">
        <v>5904</v>
      </c>
      <c r="E623" s="107" t="s">
        <v>5904</v>
      </c>
      <c r="F623" s="28"/>
      <c r="G623" s="102">
        <v>19.0</v>
      </c>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row>
    <row r="624" ht="15.75" customHeight="1">
      <c r="A624" s="58" t="s">
        <v>5808</v>
      </c>
      <c r="B624" s="102">
        <v>20.0</v>
      </c>
      <c r="C624" s="107" t="s">
        <v>5905</v>
      </c>
      <c r="D624" s="107" t="s">
        <v>5905</v>
      </c>
      <c r="E624" s="107" t="s">
        <v>5905</v>
      </c>
      <c r="F624" s="28"/>
      <c r="G624" s="102">
        <v>20.0</v>
      </c>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row>
    <row r="625" ht="15.75" customHeight="1">
      <c r="A625" s="58" t="s">
        <v>5808</v>
      </c>
      <c r="B625" s="102">
        <v>21.0</v>
      </c>
      <c r="C625" s="107" t="s">
        <v>5909</v>
      </c>
      <c r="D625" s="107" t="s">
        <v>5909</v>
      </c>
      <c r="E625" s="107" t="s">
        <v>5909</v>
      </c>
      <c r="F625" s="28"/>
      <c r="G625" s="102">
        <v>21.0</v>
      </c>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row>
    <row r="626" ht="15.75" customHeight="1">
      <c r="A626" s="58" t="s">
        <v>5808</v>
      </c>
      <c r="B626" s="102">
        <v>22.0</v>
      </c>
      <c r="C626" s="107" t="s">
        <v>5914</v>
      </c>
      <c r="D626" s="107" t="s">
        <v>5914</v>
      </c>
      <c r="E626" s="107" t="s">
        <v>5914</v>
      </c>
      <c r="F626" s="28"/>
      <c r="G626" s="102">
        <v>22.0</v>
      </c>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row>
    <row r="627" ht="15.75" customHeight="1">
      <c r="A627" s="58" t="s">
        <v>5808</v>
      </c>
      <c r="B627" s="102">
        <v>23.0</v>
      </c>
      <c r="C627" s="107" t="s">
        <v>5917</v>
      </c>
      <c r="D627" s="107" t="s">
        <v>5917</v>
      </c>
      <c r="E627" s="107" t="s">
        <v>5917</v>
      </c>
      <c r="F627" s="28"/>
      <c r="G627" s="102">
        <v>23.0</v>
      </c>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row>
    <row r="628" ht="15.75" customHeight="1">
      <c r="A628" s="58" t="s">
        <v>5808</v>
      </c>
      <c r="B628" s="102">
        <v>24.0</v>
      </c>
      <c r="C628" s="107" t="s">
        <v>5922</v>
      </c>
      <c r="D628" s="107" t="s">
        <v>5922</v>
      </c>
      <c r="E628" s="107" t="s">
        <v>5922</v>
      </c>
      <c r="F628" s="28"/>
      <c r="G628" s="102">
        <v>24.0</v>
      </c>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row>
    <row r="629" ht="15.75" customHeight="1">
      <c r="A629" s="58" t="s">
        <v>5808</v>
      </c>
      <c r="B629" s="102">
        <v>25.0</v>
      </c>
      <c r="C629" s="107" t="s">
        <v>5927</v>
      </c>
      <c r="D629" s="107" t="s">
        <v>5927</v>
      </c>
      <c r="E629" s="107" t="s">
        <v>5927</v>
      </c>
      <c r="F629" s="28"/>
      <c r="G629" s="102">
        <v>25.0</v>
      </c>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row>
    <row r="630" ht="15.75" customHeight="1">
      <c r="A630" s="58" t="s">
        <v>5808</v>
      </c>
      <c r="B630" s="102">
        <v>26.0</v>
      </c>
      <c r="C630" s="107" t="s">
        <v>5933</v>
      </c>
      <c r="D630" s="107" t="s">
        <v>5933</v>
      </c>
      <c r="E630" s="107" t="s">
        <v>5933</v>
      </c>
      <c r="F630" s="28"/>
      <c r="G630" s="102">
        <v>26.0</v>
      </c>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row>
    <row r="631" ht="15.75" customHeight="1">
      <c r="A631" s="58" t="s">
        <v>5808</v>
      </c>
      <c r="B631" s="102">
        <v>27.0</v>
      </c>
      <c r="C631" s="107" t="s">
        <v>5938</v>
      </c>
      <c r="D631" s="107" t="s">
        <v>5938</v>
      </c>
      <c r="E631" s="107" t="s">
        <v>5938</v>
      </c>
      <c r="F631" s="28"/>
      <c r="G631" s="102">
        <v>27.0</v>
      </c>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row>
    <row r="632" ht="15.75" customHeight="1">
      <c r="A632" s="58" t="s">
        <v>5808</v>
      </c>
      <c r="B632" s="102">
        <v>28.0</v>
      </c>
      <c r="C632" s="107" t="s">
        <v>5943</v>
      </c>
      <c r="D632" s="107" t="s">
        <v>5943</v>
      </c>
      <c r="E632" s="107" t="s">
        <v>5943</v>
      </c>
      <c r="F632" s="28"/>
      <c r="G632" s="102">
        <v>28.0</v>
      </c>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row>
    <row r="633" ht="15.75" customHeight="1">
      <c r="A633" s="102"/>
      <c r="B633" s="107"/>
      <c r="C633" s="102"/>
      <c r="D633" s="107"/>
      <c r="E633" s="102"/>
      <c r="F633" s="107"/>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row>
    <row r="634" ht="15.75" customHeight="1">
      <c r="A634" s="265" t="s">
        <v>5952</v>
      </c>
      <c r="B634" s="264">
        <v>1.0</v>
      </c>
      <c r="C634" s="350" t="s">
        <v>5954</v>
      </c>
      <c r="D634" s="265" t="s">
        <v>5959</v>
      </c>
      <c r="E634" s="350" t="s">
        <v>5961</v>
      </c>
      <c r="F634" s="107"/>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row>
    <row r="635" ht="15.75" customHeight="1">
      <c r="A635" s="107" t="s">
        <v>5952</v>
      </c>
      <c r="B635" s="108">
        <v>2.0</v>
      </c>
      <c r="C635" s="81" t="s">
        <v>973</v>
      </c>
      <c r="D635" s="81" t="s">
        <v>974</v>
      </c>
      <c r="E635" s="81" t="s">
        <v>5970</v>
      </c>
      <c r="F635" s="107"/>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row>
    <row r="636" ht="15.75" customHeight="1">
      <c r="A636" s="107" t="s">
        <v>5952</v>
      </c>
      <c r="B636" s="108">
        <v>3.0</v>
      </c>
      <c r="C636" s="81" t="s">
        <v>962</v>
      </c>
      <c r="D636" s="81" t="s">
        <v>964</v>
      </c>
      <c r="E636" s="81" t="s">
        <v>5980</v>
      </c>
      <c r="F636" s="107"/>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row>
    <row r="637" ht="15.75" customHeight="1">
      <c r="A637" s="107" t="s">
        <v>5952</v>
      </c>
      <c r="B637" s="108">
        <v>4.0</v>
      </c>
      <c r="C637" s="81" t="s">
        <v>5991</v>
      </c>
      <c r="D637" s="81" t="s">
        <v>5992</v>
      </c>
      <c r="E637" s="81" t="s">
        <v>5994</v>
      </c>
      <c r="F637" s="107"/>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row>
    <row r="638" ht="15.75" customHeight="1">
      <c r="A638" s="107" t="s">
        <v>5952</v>
      </c>
      <c r="B638" s="108">
        <v>5.0</v>
      </c>
      <c r="C638" s="81" t="s">
        <v>5999</v>
      </c>
      <c r="D638" s="81" t="s">
        <v>6000</v>
      </c>
      <c r="E638" s="86" t="s">
        <v>6002</v>
      </c>
      <c r="F638" s="107"/>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row>
    <row r="639" ht="15.75" customHeight="1">
      <c r="A639" s="81" t="s">
        <v>5952</v>
      </c>
      <c r="B639" s="344">
        <v>-777.0</v>
      </c>
      <c r="C639" s="81" t="s">
        <v>132</v>
      </c>
      <c r="D639" s="81" t="s">
        <v>133</v>
      </c>
      <c r="E639" s="81" t="s">
        <v>134</v>
      </c>
      <c r="F639" s="107"/>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row>
    <row r="640" ht="15.75" customHeight="1">
      <c r="A640" s="107"/>
      <c r="B640" s="108"/>
      <c r="C640" s="107"/>
      <c r="D640" s="107"/>
      <c r="E640" s="193"/>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row>
    <row r="641" ht="15.75" customHeight="1">
      <c r="A641" s="265" t="s">
        <v>6010</v>
      </c>
      <c r="B641" s="264">
        <v>1.0</v>
      </c>
      <c r="C641" s="352" t="s">
        <v>6011</v>
      </c>
      <c r="D641" s="353" t="s">
        <v>6012</v>
      </c>
      <c r="E641" s="352" t="s">
        <v>6013</v>
      </c>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row>
    <row r="642" ht="15.75" customHeight="1">
      <c r="A642" s="107" t="s">
        <v>6010</v>
      </c>
      <c r="B642" s="108">
        <v>2.0</v>
      </c>
      <c r="C642" s="352" t="s">
        <v>6018</v>
      </c>
      <c r="D642" s="353" t="s">
        <v>6019</v>
      </c>
      <c r="E642" s="352" t="s">
        <v>6021</v>
      </c>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row>
    <row r="643" ht="15.75" customHeight="1">
      <c r="A643" s="107" t="s">
        <v>6010</v>
      </c>
      <c r="B643" s="108">
        <v>3.0</v>
      </c>
      <c r="C643" s="352" t="s">
        <v>6028</v>
      </c>
      <c r="D643" s="353" t="s">
        <v>6029</v>
      </c>
      <c r="E643" s="352" t="s">
        <v>6030</v>
      </c>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row>
    <row r="644" ht="15.75" customHeight="1">
      <c r="A644" s="107" t="s">
        <v>6010</v>
      </c>
      <c r="B644" s="108">
        <v>4.0</v>
      </c>
      <c r="C644" s="352" t="s">
        <v>6038</v>
      </c>
      <c r="D644" s="353" t="s">
        <v>6039</v>
      </c>
      <c r="E644" s="352" t="s">
        <v>6040</v>
      </c>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row>
    <row r="645" ht="15.75" customHeight="1">
      <c r="A645" s="107" t="s">
        <v>6010</v>
      </c>
      <c r="B645" s="108">
        <v>5.0</v>
      </c>
      <c r="C645" s="352" t="s">
        <v>6044</v>
      </c>
      <c r="D645" s="353" t="s">
        <v>6045</v>
      </c>
      <c r="E645" s="352" t="s">
        <v>6046</v>
      </c>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row>
    <row r="646" ht="15.75" customHeight="1">
      <c r="A646" s="107" t="s">
        <v>6010</v>
      </c>
      <c r="B646" s="108">
        <v>6.0</v>
      </c>
      <c r="C646" s="352" t="s">
        <v>4471</v>
      </c>
      <c r="D646" s="352" t="s">
        <v>6051</v>
      </c>
      <c r="E646" s="352" t="s">
        <v>6052</v>
      </c>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row>
    <row r="647" ht="15.75" customHeight="1">
      <c r="A647" s="107" t="s">
        <v>6010</v>
      </c>
      <c r="B647" s="108">
        <v>7.0</v>
      </c>
      <c r="C647" s="352" t="s">
        <v>4481</v>
      </c>
      <c r="D647" s="352" t="s">
        <v>4482</v>
      </c>
      <c r="E647" s="352" t="s">
        <v>6053</v>
      </c>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row>
    <row r="648" ht="15.75" customHeight="1">
      <c r="A648" s="107" t="s">
        <v>6010</v>
      </c>
      <c r="B648" s="108">
        <v>-777.0</v>
      </c>
      <c r="C648" s="81" t="s">
        <v>132</v>
      </c>
      <c r="D648" s="81" t="s">
        <v>133</v>
      </c>
      <c r="E648" s="81" t="s">
        <v>134</v>
      </c>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row>
    <row r="649" ht="15.75" customHeight="1">
      <c r="A649" s="265"/>
      <c r="B649" s="265"/>
      <c r="C649" s="265"/>
      <c r="D649" s="265"/>
      <c r="E649" s="265"/>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row>
    <row r="650" ht="15.75" customHeight="1">
      <c r="A650" s="265" t="s">
        <v>6071</v>
      </c>
      <c r="B650" s="264">
        <v>0.0</v>
      </c>
      <c r="C650" s="123" t="s">
        <v>6072</v>
      </c>
      <c r="D650" s="352" t="s">
        <v>6073</v>
      </c>
      <c r="E650" s="352" t="s">
        <v>6074</v>
      </c>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row>
    <row r="651" ht="15.75" customHeight="1">
      <c r="A651" s="107" t="s">
        <v>6071</v>
      </c>
      <c r="B651" s="108">
        <v>1.0</v>
      </c>
      <c r="C651" s="27" t="s">
        <v>6080</v>
      </c>
      <c r="D651" s="352" t="s">
        <v>6081</v>
      </c>
      <c r="E651" s="352" t="s">
        <v>6082</v>
      </c>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row>
    <row r="652" ht="15.75" customHeight="1">
      <c r="A652" s="107" t="s">
        <v>6071</v>
      </c>
      <c r="B652" s="108">
        <v>2.0</v>
      </c>
      <c r="C652" s="27" t="s">
        <v>6091</v>
      </c>
      <c r="D652" s="352" t="s">
        <v>6092</v>
      </c>
      <c r="E652" s="352" t="s">
        <v>6093</v>
      </c>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row>
    <row r="653" ht="15.75" customHeight="1">
      <c r="A653" s="107" t="s">
        <v>6071</v>
      </c>
      <c r="B653" s="108">
        <v>3.0</v>
      </c>
      <c r="C653" s="27" t="s">
        <v>6101</v>
      </c>
      <c r="D653" s="352" t="s">
        <v>6105</v>
      </c>
      <c r="E653" s="352" t="s">
        <v>6106</v>
      </c>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row>
    <row r="654" ht="15.75" customHeight="1">
      <c r="A654" s="107" t="s">
        <v>6071</v>
      </c>
      <c r="B654" s="108">
        <v>4.0</v>
      </c>
      <c r="C654" s="27" t="s">
        <v>6118</v>
      </c>
      <c r="D654" s="352" t="s">
        <v>6119</v>
      </c>
      <c r="E654" s="352" t="s">
        <v>6120</v>
      </c>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row>
    <row r="655" ht="15.75" customHeight="1">
      <c r="A655" s="107" t="s">
        <v>6071</v>
      </c>
      <c r="B655" s="108">
        <v>5.0</v>
      </c>
      <c r="C655" s="27" t="s">
        <v>6132</v>
      </c>
      <c r="D655" s="352" t="s">
        <v>6133</v>
      </c>
      <c r="E655" s="352" t="s">
        <v>6134</v>
      </c>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row>
    <row r="656" ht="15.75" customHeight="1">
      <c r="A656" s="107" t="s">
        <v>6071</v>
      </c>
      <c r="B656" s="108">
        <v>6.0</v>
      </c>
      <c r="C656" s="27" t="s">
        <v>6140</v>
      </c>
      <c r="D656" s="352" t="s">
        <v>6142</v>
      </c>
      <c r="E656" s="352" t="s">
        <v>6144</v>
      </c>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row>
    <row r="657" ht="15.75" customHeight="1">
      <c r="A657" s="107" t="s">
        <v>6071</v>
      </c>
      <c r="B657" s="108">
        <v>7.0</v>
      </c>
      <c r="C657" s="27" t="s">
        <v>6146</v>
      </c>
      <c r="D657" s="352" t="s">
        <v>6147</v>
      </c>
      <c r="E657" s="352" t="s">
        <v>6148</v>
      </c>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row>
    <row r="658" ht="15.75" customHeight="1">
      <c r="A658" s="107" t="s">
        <v>6071</v>
      </c>
      <c r="B658" s="108">
        <v>8.0</v>
      </c>
      <c r="C658" s="27" t="s">
        <v>6150</v>
      </c>
      <c r="D658" s="352" t="s">
        <v>6151</v>
      </c>
      <c r="E658" s="352" t="s">
        <v>6152</v>
      </c>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row>
    <row r="659" ht="15.75" customHeight="1">
      <c r="A659" s="107" t="s">
        <v>6071</v>
      </c>
      <c r="B659" s="108">
        <v>9.0</v>
      </c>
      <c r="C659" s="27" t="s">
        <v>6157</v>
      </c>
      <c r="D659" s="352" t="s">
        <v>6158</v>
      </c>
      <c r="E659" s="352" t="s">
        <v>6159</v>
      </c>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row>
    <row r="660" ht="15.75" customHeight="1">
      <c r="A660" s="107" t="s">
        <v>6071</v>
      </c>
      <c r="B660" s="344">
        <v>-777.0</v>
      </c>
      <c r="C660" s="27" t="s">
        <v>132</v>
      </c>
      <c r="D660" s="81" t="s">
        <v>133</v>
      </c>
      <c r="E660" s="81" t="s">
        <v>134</v>
      </c>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row>
    <row r="661" ht="15.75" customHeight="1">
      <c r="A661" s="265"/>
      <c r="B661" s="265"/>
      <c r="C661" s="123"/>
      <c r="D661" s="265"/>
      <c r="E661" s="265"/>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row>
    <row r="662" ht="15.75" customHeight="1">
      <c r="A662" s="265" t="s">
        <v>6177</v>
      </c>
      <c r="B662" s="264">
        <v>1.0</v>
      </c>
      <c r="C662" s="123" t="s">
        <v>6178</v>
      </c>
      <c r="D662" s="352" t="s">
        <v>6179</v>
      </c>
      <c r="E662" s="352" t="s">
        <v>6180</v>
      </c>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row>
    <row r="663" ht="15.75" customHeight="1">
      <c r="A663" s="107" t="s">
        <v>6177</v>
      </c>
      <c r="B663" s="108">
        <v>2.0</v>
      </c>
      <c r="C663" s="27" t="s">
        <v>6182</v>
      </c>
      <c r="D663" s="352" t="s">
        <v>6183</v>
      </c>
      <c r="E663" s="352" t="s">
        <v>6185</v>
      </c>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row>
    <row r="664" ht="15.75" customHeight="1">
      <c r="A664" s="107" t="s">
        <v>6177</v>
      </c>
      <c r="B664" s="108">
        <v>3.0</v>
      </c>
      <c r="C664" s="27" t="s">
        <v>1692</v>
      </c>
      <c r="D664" s="27" t="s">
        <v>1693</v>
      </c>
      <c r="E664" s="27" t="s">
        <v>1694</v>
      </c>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row>
    <row r="665" ht="15.75" customHeight="1">
      <c r="A665" s="107" t="s">
        <v>6177</v>
      </c>
      <c r="B665" s="108">
        <v>4.0</v>
      </c>
      <c r="C665" s="27" t="s">
        <v>1706</v>
      </c>
      <c r="D665" s="27" t="s">
        <v>1707</v>
      </c>
      <c r="E665" s="27" t="s">
        <v>1708</v>
      </c>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row>
    <row r="666" ht="15.75" customHeight="1">
      <c r="A666" s="107" t="s">
        <v>6177</v>
      </c>
      <c r="B666" s="108">
        <v>5.0</v>
      </c>
      <c r="C666" s="27" t="s">
        <v>1716</v>
      </c>
      <c r="D666" s="27" t="s">
        <v>1716</v>
      </c>
      <c r="E666" s="27" t="s">
        <v>1717</v>
      </c>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row>
    <row r="667" ht="15.75" customHeight="1">
      <c r="A667" s="107" t="s">
        <v>6177</v>
      </c>
      <c r="B667" s="108">
        <v>6.0</v>
      </c>
      <c r="C667" s="27" t="s">
        <v>1726</v>
      </c>
      <c r="D667" s="27" t="s">
        <v>1727</v>
      </c>
      <c r="E667" s="27" t="s">
        <v>1728</v>
      </c>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row>
    <row r="668" ht="15.75" customHeight="1">
      <c r="A668" s="107" t="s">
        <v>6177</v>
      </c>
      <c r="B668" s="108">
        <v>7.0</v>
      </c>
      <c r="C668" s="27" t="s">
        <v>1735</v>
      </c>
      <c r="D668" s="27" t="s">
        <v>1736</v>
      </c>
      <c r="E668" s="27" t="s">
        <v>1737</v>
      </c>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row>
    <row r="669" ht="15.75" customHeight="1">
      <c r="A669" s="107" t="s">
        <v>6177</v>
      </c>
      <c r="B669" s="108">
        <v>8.0</v>
      </c>
      <c r="C669" s="27" t="s">
        <v>1744</v>
      </c>
      <c r="D669" s="27" t="s">
        <v>1746</v>
      </c>
      <c r="E669" s="27" t="s">
        <v>1748</v>
      </c>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row>
    <row r="670" ht="15.75" customHeight="1">
      <c r="A670" s="107" t="s">
        <v>6177</v>
      </c>
      <c r="B670" s="108">
        <v>9.0</v>
      </c>
      <c r="C670" s="27" t="s">
        <v>1757</v>
      </c>
      <c r="D670" s="27" t="s">
        <v>1759</v>
      </c>
      <c r="E670" s="27" t="s">
        <v>1761</v>
      </c>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row>
    <row r="671" ht="15.75" customHeight="1">
      <c r="A671" s="107" t="s">
        <v>6177</v>
      </c>
      <c r="B671" s="108">
        <v>10.0</v>
      </c>
      <c r="C671" s="27" t="s">
        <v>1773</v>
      </c>
      <c r="D671" s="27" t="s">
        <v>1774</v>
      </c>
      <c r="E671" s="27" t="s">
        <v>1775</v>
      </c>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row>
    <row r="672" ht="15.75" customHeight="1">
      <c r="A672" s="107" t="s">
        <v>6177</v>
      </c>
      <c r="B672" s="108">
        <v>11.0</v>
      </c>
      <c r="C672" s="27" t="s">
        <v>1786</v>
      </c>
      <c r="D672" s="27" t="s">
        <v>1787</v>
      </c>
      <c r="E672" s="27" t="s">
        <v>1788</v>
      </c>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row>
    <row r="673" ht="15.75" customHeight="1">
      <c r="A673" s="107" t="s">
        <v>6177</v>
      </c>
      <c r="B673" s="108">
        <v>12.0</v>
      </c>
      <c r="C673" s="27" t="s">
        <v>1800</v>
      </c>
      <c r="D673" s="27" t="s">
        <v>1802</v>
      </c>
      <c r="E673" s="27" t="s">
        <v>1803</v>
      </c>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row>
    <row r="674" ht="15.75" customHeight="1">
      <c r="A674" s="107" t="s">
        <v>6177</v>
      </c>
      <c r="B674" s="108">
        <v>13.0</v>
      </c>
      <c r="C674" s="27" t="s">
        <v>1819</v>
      </c>
      <c r="D674" s="27" t="s">
        <v>1820</v>
      </c>
      <c r="E674" s="27" t="s">
        <v>1821</v>
      </c>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row>
    <row r="675" ht="15.75" customHeight="1">
      <c r="A675" s="107" t="s">
        <v>6177</v>
      </c>
      <c r="B675" s="108">
        <v>14.0</v>
      </c>
      <c r="C675" s="27" t="s">
        <v>1829</v>
      </c>
      <c r="D675" s="27" t="s">
        <v>1830</v>
      </c>
      <c r="E675" s="27" t="s">
        <v>1832</v>
      </c>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row>
    <row r="676" ht="15.75" customHeight="1">
      <c r="A676" s="107" t="s">
        <v>6177</v>
      </c>
      <c r="B676" s="108">
        <v>-777.0</v>
      </c>
      <c r="C676" s="107" t="s">
        <v>132</v>
      </c>
      <c r="D676" s="81" t="s">
        <v>133</v>
      </c>
      <c r="E676" s="81" t="s">
        <v>134</v>
      </c>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row>
    <row r="677" ht="15.75" customHeight="1">
      <c r="A677" s="107"/>
      <c r="B677" s="108"/>
      <c r="C677" s="107"/>
      <c r="D677" s="107"/>
      <c r="E677" s="193"/>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row>
    <row r="678" ht="15.75" customHeight="1">
      <c r="A678" s="114" t="s">
        <v>6252</v>
      </c>
      <c r="B678" s="116">
        <v>1.0</v>
      </c>
      <c r="C678" s="123" t="s">
        <v>6253</v>
      </c>
      <c r="D678" s="123" t="s">
        <v>6254</v>
      </c>
      <c r="E678" s="346" t="s">
        <v>6254</v>
      </c>
      <c r="F678" s="370"/>
      <c r="G678" s="371">
        <v>1.0</v>
      </c>
      <c r="H678" s="267"/>
      <c r="I678" s="267"/>
      <c r="J678" s="267"/>
      <c r="K678" s="267"/>
      <c r="L678" s="267"/>
      <c r="M678" s="267"/>
      <c r="N678" s="267"/>
      <c r="O678" s="267"/>
      <c r="P678" s="267"/>
      <c r="Q678" s="267"/>
      <c r="R678" s="267"/>
      <c r="S678" s="267"/>
      <c r="T678" s="267"/>
      <c r="U678" s="267"/>
      <c r="V678" s="267"/>
      <c r="W678" s="267"/>
      <c r="X678" s="267"/>
      <c r="Y678" s="267"/>
      <c r="Z678" s="267"/>
      <c r="AA678" s="267"/>
      <c r="AB678" s="267"/>
      <c r="AC678" s="267"/>
      <c r="AD678" s="267"/>
      <c r="AE678" s="267"/>
      <c r="AF678" s="267"/>
    </row>
    <row r="679" ht="15.75" customHeight="1">
      <c r="A679" s="92" t="s">
        <v>6252</v>
      </c>
      <c r="B679" s="93">
        <v>2.0</v>
      </c>
      <c r="C679" s="27" t="s">
        <v>6260</v>
      </c>
      <c r="D679" s="27" t="s">
        <v>6262</v>
      </c>
      <c r="E679" s="276" t="s">
        <v>6262</v>
      </c>
      <c r="F679" s="372"/>
      <c r="G679" s="23">
        <v>2.0</v>
      </c>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row>
    <row r="680" ht="15.75" customHeight="1">
      <c r="A680" s="92" t="s">
        <v>6252</v>
      </c>
      <c r="B680" s="93">
        <v>3.0</v>
      </c>
      <c r="C680" s="27" t="s">
        <v>6270</v>
      </c>
      <c r="D680" s="27" t="s">
        <v>6272</v>
      </c>
      <c r="E680" s="276" t="s">
        <v>6272</v>
      </c>
      <c r="F680" s="372"/>
      <c r="G680" s="23">
        <v>3.0</v>
      </c>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row>
    <row r="681" ht="15.75" customHeight="1">
      <c r="A681" s="92" t="s">
        <v>6252</v>
      </c>
      <c r="B681" s="93">
        <v>4.0</v>
      </c>
      <c r="C681" s="27" t="s">
        <v>6277</v>
      </c>
      <c r="D681" s="27" t="s">
        <v>6279</v>
      </c>
      <c r="E681" s="276" t="s">
        <v>6279</v>
      </c>
      <c r="F681" s="372"/>
      <c r="G681" s="23">
        <v>4.0</v>
      </c>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row>
    <row r="682" ht="15.75" customHeight="1">
      <c r="A682" s="92" t="s">
        <v>6252</v>
      </c>
      <c r="B682" s="93">
        <v>5.0</v>
      </c>
      <c r="C682" s="27" t="s">
        <v>6286</v>
      </c>
      <c r="D682" s="33" t="s">
        <v>6287</v>
      </c>
      <c r="E682" s="81" t="s">
        <v>6287</v>
      </c>
      <c r="F682" s="372"/>
      <c r="G682" s="23">
        <v>5.0</v>
      </c>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row>
    <row r="683" ht="15.75" customHeight="1">
      <c r="A683" s="92" t="s">
        <v>6252</v>
      </c>
      <c r="B683" s="93">
        <v>111.0</v>
      </c>
      <c r="C683" s="157" t="s">
        <v>6294</v>
      </c>
      <c r="D683" s="121" t="s">
        <v>6295</v>
      </c>
      <c r="E683" s="81" t="s">
        <v>6296</v>
      </c>
      <c r="F683" s="372"/>
      <c r="G683" s="23">
        <v>111.0</v>
      </c>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row>
    <row r="684" ht="15.75" customHeight="1">
      <c r="A684" s="73" t="s">
        <v>6252</v>
      </c>
      <c r="B684" s="103">
        <v>-777.0</v>
      </c>
      <c r="C684" s="121" t="s">
        <v>132</v>
      </c>
      <c r="D684" s="121" t="s">
        <v>133</v>
      </c>
      <c r="E684" s="121" t="s">
        <v>134</v>
      </c>
      <c r="F684" s="374"/>
      <c r="G684" s="31">
        <v>-777.0</v>
      </c>
      <c r="H684" s="375"/>
      <c r="I684" s="375"/>
      <c r="J684" s="375"/>
      <c r="K684" s="375"/>
      <c r="L684" s="375"/>
      <c r="M684" s="375"/>
      <c r="N684" s="375"/>
      <c r="O684" s="375"/>
      <c r="P684" s="375"/>
      <c r="Q684" s="375"/>
      <c r="R684" s="375"/>
      <c r="S684" s="375"/>
      <c r="T684" s="375"/>
      <c r="U684" s="375"/>
      <c r="V684" s="375"/>
      <c r="W684" s="375"/>
      <c r="X684" s="375"/>
      <c r="Y684" s="375"/>
      <c r="Z684" s="375"/>
      <c r="AA684" s="375"/>
      <c r="AB684" s="375"/>
      <c r="AC684" s="375"/>
      <c r="AD684" s="375"/>
      <c r="AE684" s="375"/>
      <c r="AF684" s="375"/>
    </row>
    <row r="685" ht="15.75" customHeight="1">
      <c r="A685" s="376"/>
      <c r="B685" s="376"/>
      <c r="C685" s="376"/>
      <c r="D685" s="376"/>
      <c r="E685" s="376"/>
      <c r="F685" s="267"/>
      <c r="G685" s="267"/>
      <c r="H685" s="267"/>
      <c r="I685" s="267"/>
      <c r="J685" s="267"/>
      <c r="K685" s="267"/>
      <c r="L685" s="267"/>
      <c r="M685" s="267"/>
      <c r="N685" s="267"/>
      <c r="O685" s="267"/>
      <c r="P685" s="267"/>
      <c r="Q685" s="267"/>
      <c r="R685" s="267"/>
      <c r="S685" s="267"/>
      <c r="T685" s="267"/>
      <c r="U685" s="267"/>
      <c r="V685" s="267"/>
      <c r="W685" s="267"/>
      <c r="X685" s="267"/>
      <c r="Y685" s="267"/>
      <c r="Z685" s="267"/>
      <c r="AA685" s="267"/>
      <c r="AB685" s="267"/>
      <c r="AC685" s="267"/>
      <c r="AD685" s="267"/>
      <c r="AE685" s="267"/>
      <c r="AF685" s="267"/>
    </row>
    <row r="686" ht="15.75" customHeight="1">
      <c r="A686" s="265" t="s">
        <v>1314</v>
      </c>
      <c r="B686" s="264">
        <v>1.0</v>
      </c>
      <c r="C686" s="378" t="s">
        <v>6340</v>
      </c>
      <c r="D686" s="118" t="s">
        <v>6342</v>
      </c>
      <c r="E686" s="350" t="s">
        <v>6345</v>
      </c>
      <c r="F686" s="267"/>
      <c r="G686" s="267"/>
      <c r="H686" s="267"/>
      <c r="I686" s="267"/>
      <c r="J686" s="267"/>
      <c r="K686" s="267"/>
      <c r="L686" s="267"/>
      <c r="M686" s="267"/>
      <c r="N686" s="267"/>
      <c r="O686" s="267"/>
      <c r="P686" s="267"/>
      <c r="Q686" s="267"/>
      <c r="R686" s="267"/>
      <c r="S686" s="267"/>
      <c r="T686" s="267"/>
      <c r="U686" s="267"/>
      <c r="V686" s="267"/>
      <c r="W686" s="267"/>
      <c r="X686" s="267"/>
      <c r="Y686" s="267"/>
      <c r="Z686" s="267"/>
      <c r="AA686" s="267"/>
      <c r="AB686" s="267"/>
      <c r="AC686" s="267"/>
      <c r="AD686" s="267"/>
      <c r="AE686" s="267"/>
      <c r="AF686" s="267"/>
    </row>
    <row r="687" ht="15.75" customHeight="1">
      <c r="A687" s="107" t="s">
        <v>1314</v>
      </c>
      <c r="B687" s="108">
        <v>2.0</v>
      </c>
      <c r="C687" s="107" t="s">
        <v>6348</v>
      </c>
      <c r="D687" s="107" t="s">
        <v>6349</v>
      </c>
      <c r="E687" s="107" t="s">
        <v>6350</v>
      </c>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row>
    <row r="688" ht="15.75" customHeight="1">
      <c r="A688" s="107" t="s">
        <v>1314</v>
      </c>
      <c r="B688" s="108">
        <v>3.0</v>
      </c>
      <c r="C688" s="107" t="s">
        <v>6355</v>
      </c>
      <c r="D688" s="107" t="s">
        <v>6356</v>
      </c>
      <c r="E688" s="158" t="s">
        <v>6357</v>
      </c>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row>
    <row r="689" ht="15.75" customHeight="1">
      <c r="A689" s="81" t="s">
        <v>1314</v>
      </c>
      <c r="B689" s="344">
        <v>4.0</v>
      </c>
      <c r="C689" s="81" t="s">
        <v>6369</v>
      </c>
      <c r="D689" s="81" t="s">
        <v>6371</v>
      </c>
      <c r="E689" s="81" t="s">
        <v>6373</v>
      </c>
      <c r="F689" s="375"/>
      <c r="G689" s="375"/>
      <c r="H689" s="375"/>
      <c r="I689" s="375"/>
      <c r="J689" s="375"/>
      <c r="K689" s="375"/>
      <c r="L689" s="375"/>
      <c r="M689" s="375"/>
      <c r="N689" s="375"/>
      <c r="O689" s="375"/>
      <c r="P689" s="375"/>
      <c r="Q689" s="375"/>
      <c r="R689" s="375"/>
      <c r="S689" s="375"/>
      <c r="T689" s="375"/>
      <c r="U689" s="375"/>
      <c r="V689" s="375"/>
      <c r="W689" s="375"/>
      <c r="X689" s="375"/>
      <c r="Y689" s="375"/>
      <c r="Z689" s="375"/>
      <c r="AA689" s="375"/>
      <c r="AB689" s="375"/>
      <c r="AC689" s="375"/>
      <c r="AD689" s="375"/>
      <c r="AE689" s="375"/>
      <c r="AF689" s="375"/>
    </row>
    <row r="690" ht="15.75" customHeight="1">
      <c r="A690" s="376"/>
      <c r="B690" s="376"/>
      <c r="C690" s="376"/>
      <c r="D690" s="379"/>
      <c r="E690" s="379"/>
      <c r="F690" s="267"/>
      <c r="G690" s="267"/>
      <c r="H690" s="267"/>
      <c r="I690" s="267"/>
      <c r="J690" s="267"/>
      <c r="K690" s="267"/>
      <c r="L690" s="267"/>
      <c r="M690" s="267"/>
      <c r="N690" s="267"/>
      <c r="O690" s="267"/>
      <c r="P690" s="267"/>
      <c r="Q690" s="267"/>
      <c r="R690" s="267"/>
      <c r="S690" s="267"/>
      <c r="T690" s="267"/>
      <c r="U690" s="267"/>
      <c r="V690" s="267"/>
      <c r="W690" s="267"/>
      <c r="X690" s="267"/>
      <c r="Y690" s="267"/>
      <c r="Z690" s="267"/>
      <c r="AA690" s="267"/>
      <c r="AB690" s="267"/>
      <c r="AC690" s="267"/>
      <c r="AD690" s="267"/>
      <c r="AE690" s="267"/>
      <c r="AF690" s="267"/>
    </row>
    <row r="691" ht="15.75" customHeight="1">
      <c r="A691" s="114" t="s">
        <v>6387</v>
      </c>
      <c r="B691" s="116">
        <v>0.0</v>
      </c>
      <c r="C691" s="117" t="s">
        <v>6388</v>
      </c>
      <c r="D691" s="118" t="s">
        <v>6389</v>
      </c>
      <c r="E691" s="350" t="s">
        <v>6390</v>
      </c>
      <c r="F691" s="370"/>
      <c r="G691" s="371">
        <v>0.0</v>
      </c>
      <c r="H691" s="267"/>
      <c r="I691" s="267"/>
      <c r="J691" s="267"/>
      <c r="K691" s="267"/>
      <c r="L691" s="267"/>
      <c r="M691" s="267"/>
      <c r="N691" s="267"/>
      <c r="O691" s="267"/>
      <c r="P691" s="267"/>
      <c r="Q691" s="267"/>
      <c r="R691" s="267"/>
      <c r="S691" s="267"/>
      <c r="T691" s="267"/>
      <c r="U691" s="267"/>
      <c r="V691" s="267"/>
      <c r="W691" s="267"/>
      <c r="X691" s="267"/>
      <c r="Y691" s="267"/>
      <c r="Z691" s="267"/>
      <c r="AA691" s="267"/>
      <c r="AB691" s="267"/>
      <c r="AC691" s="267"/>
      <c r="AD691" s="267"/>
      <c r="AE691" s="267"/>
      <c r="AF691" s="267"/>
    </row>
    <row r="692" ht="15.75" customHeight="1">
      <c r="A692" s="92" t="s">
        <v>6387</v>
      </c>
      <c r="B692" s="93">
        <v>1.0</v>
      </c>
      <c r="C692" s="27" t="s">
        <v>6402</v>
      </c>
      <c r="D692" s="107" t="s">
        <v>6404</v>
      </c>
      <c r="E692" s="107" t="s">
        <v>6406</v>
      </c>
      <c r="F692" s="372"/>
      <c r="G692" s="23">
        <v>1.0</v>
      </c>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row>
    <row r="693" ht="15.75" customHeight="1">
      <c r="A693" s="92" t="s">
        <v>6387</v>
      </c>
      <c r="B693" s="93">
        <v>2.0</v>
      </c>
      <c r="C693" s="27" t="s">
        <v>396</v>
      </c>
      <c r="D693" s="107" t="s">
        <v>6420</v>
      </c>
      <c r="E693" s="158" t="s">
        <v>6421</v>
      </c>
      <c r="F693" s="372"/>
      <c r="G693" s="23">
        <v>2.0</v>
      </c>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row>
    <row r="694" ht="15.75" customHeight="1">
      <c r="A694" s="92" t="s">
        <v>6387</v>
      </c>
      <c r="B694" s="93">
        <v>3.0</v>
      </c>
      <c r="C694" s="27" t="s">
        <v>389</v>
      </c>
      <c r="D694" s="107" t="s">
        <v>390</v>
      </c>
      <c r="E694" s="158" t="s">
        <v>391</v>
      </c>
      <c r="F694" s="372"/>
      <c r="G694" s="23">
        <v>3.0</v>
      </c>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row>
    <row r="695" ht="15.75" customHeight="1">
      <c r="A695" s="92" t="s">
        <v>6387</v>
      </c>
      <c r="B695" s="93">
        <v>4.0</v>
      </c>
      <c r="C695" s="27" t="s">
        <v>6437</v>
      </c>
      <c r="D695" s="107" t="s">
        <v>6438</v>
      </c>
      <c r="E695" s="107" t="s">
        <v>6439</v>
      </c>
      <c r="F695" s="372"/>
      <c r="G695" s="23">
        <v>4.0</v>
      </c>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row>
    <row r="696" ht="15.75" customHeight="1">
      <c r="A696" s="73" t="s">
        <v>6387</v>
      </c>
      <c r="B696" s="103">
        <v>-777.0</v>
      </c>
      <c r="C696" s="33" t="s">
        <v>132</v>
      </c>
      <c r="D696" s="81" t="s">
        <v>133</v>
      </c>
      <c r="E696" s="33" t="s">
        <v>134</v>
      </c>
      <c r="F696" s="374"/>
      <c r="G696" s="31">
        <v>5.0</v>
      </c>
      <c r="H696" s="375"/>
      <c r="I696" s="375"/>
      <c r="J696" s="375"/>
      <c r="K696" s="375"/>
      <c r="L696" s="375"/>
      <c r="M696" s="375"/>
      <c r="N696" s="375"/>
      <c r="O696" s="375"/>
      <c r="P696" s="375"/>
      <c r="Q696" s="375"/>
      <c r="R696" s="375"/>
      <c r="S696" s="375"/>
      <c r="T696" s="375"/>
      <c r="U696" s="375"/>
      <c r="V696" s="375"/>
      <c r="W696" s="375"/>
      <c r="X696" s="375"/>
      <c r="Y696" s="375"/>
      <c r="Z696" s="375"/>
      <c r="AA696" s="375"/>
      <c r="AB696" s="375"/>
      <c r="AC696" s="375"/>
      <c r="AD696" s="375"/>
      <c r="AE696" s="375"/>
      <c r="AF696" s="375"/>
    </row>
    <row r="697" ht="15.75" customHeight="1">
      <c r="A697" s="376"/>
      <c r="B697" s="376"/>
      <c r="C697" s="376"/>
      <c r="D697" s="379"/>
      <c r="E697" s="379"/>
      <c r="F697" s="267"/>
      <c r="G697" s="267"/>
      <c r="H697" s="267"/>
      <c r="I697" s="267"/>
      <c r="J697" s="267"/>
      <c r="K697" s="267"/>
      <c r="L697" s="267"/>
      <c r="M697" s="267"/>
      <c r="N697" s="267"/>
      <c r="O697" s="267"/>
      <c r="P697" s="267"/>
      <c r="Q697" s="267"/>
      <c r="R697" s="267"/>
      <c r="S697" s="267"/>
      <c r="T697" s="267"/>
      <c r="U697" s="267"/>
      <c r="V697" s="267"/>
      <c r="W697" s="267"/>
      <c r="X697" s="267"/>
      <c r="Y697" s="267"/>
      <c r="Z697" s="267"/>
      <c r="AA697" s="267"/>
      <c r="AB697" s="267"/>
      <c r="AC697" s="267"/>
      <c r="AD697" s="267"/>
      <c r="AE697" s="267"/>
      <c r="AF697" s="267"/>
    </row>
    <row r="698" ht="15.75" customHeight="1">
      <c r="A698" s="265" t="s">
        <v>6475</v>
      </c>
      <c r="B698" s="264">
        <v>1.0</v>
      </c>
      <c r="C698" s="378" t="s">
        <v>6476</v>
      </c>
      <c r="D698" s="118" t="s">
        <v>6479</v>
      </c>
      <c r="E698" s="118" t="s">
        <v>6481</v>
      </c>
      <c r="F698" s="267"/>
      <c r="G698" s="267"/>
      <c r="H698" s="267"/>
      <c r="I698" s="267"/>
      <c r="J698" s="267"/>
      <c r="K698" s="267"/>
      <c r="L698" s="267"/>
      <c r="M698" s="267"/>
      <c r="N698" s="267"/>
      <c r="O698" s="267"/>
      <c r="P698" s="267"/>
      <c r="Q698" s="267"/>
      <c r="R698" s="267"/>
      <c r="S698" s="267"/>
      <c r="T698" s="267"/>
      <c r="U698" s="267"/>
      <c r="V698" s="267"/>
      <c r="W698" s="267"/>
      <c r="X698" s="267"/>
      <c r="Y698" s="267"/>
      <c r="Z698" s="267"/>
      <c r="AA698" s="267"/>
      <c r="AB698" s="267"/>
      <c r="AC698" s="267"/>
      <c r="AD698" s="267"/>
      <c r="AE698" s="267"/>
      <c r="AF698" s="267"/>
    </row>
    <row r="699" ht="15.75" customHeight="1">
      <c r="A699" s="107" t="s">
        <v>6475</v>
      </c>
      <c r="B699" s="108">
        <v>2.0</v>
      </c>
      <c r="C699" s="107" t="s">
        <v>6493</v>
      </c>
      <c r="D699" s="107" t="s">
        <v>6495</v>
      </c>
      <c r="E699" s="107" t="s">
        <v>6497</v>
      </c>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row>
    <row r="700" ht="15.75" customHeight="1">
      <c r="A700" s="107" t="s">
        <v>6475</v>
      </c>
      <c r="B700" s="108">
        <v>3.0</v>
      </c>
      <c r="C700" s="107" t="s">
        <v>6348</v>
      </c>
      <c r="D700" s="107" t="s">
        <v>6349</v>
      </c>
      <c r="E700" s="107" t="s">
        <v>6505</v>
      </c>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row>
    <row r="701" ht="15.75" customHeight="1">
      <c r="A701" s="107" t="s">
        <v>6475</v>
      </c>
      <c r="B701" s="108">
        <v>4.0</v>
      </c>
      <c r="C701" s="107" t="s">
        <v>6355</v>
      </c>
      <c r="D701" s="107" t="s">
        <v>6356</v>
      </c>
      <c r="E701" s="158" t="s">
        <v>6357</v>
      </c>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row>
    <row r="702" ht="15.75" customHeight="1">
      <c r="A702" s="81" t="s">
        <v>6475</v>
      </c>
      <c r="B702" s="344">
        <v>5.0</v>
      </c>
      <c r="C702" s="81" t="s">
        <v>6523</v>
      </c>
      <c r="D702" s="81" t="s">
        <v>6525</v>
      </c>
      <c r="E702" s="33" t="s">
        <v>6526</v>
      </c>
      <c r="F702" s="375"/>
      <c r="G702" s="375"/>
      <c r="H702" s="375"/>
      <c r="I702" s="375"/>
      <c r="J702" s="375"/>
      <c r="K702" s="375"/>
      <c r="L702" s="375"/>
      <c r="M702" s="375"/>
      <c r="N702" s="375"/>
      <c r="O702" s="375"/>
      <c r="P702" s="375"/>
      <c r="Q702" s="375"/>
      <c r="R702" s="375"/>
      <c r="S702" s="375"/>
      <c r="T702" s="375"/>
      <c r="U702" s="375"/>
      <c r="V702" s="375"/>
      <c r="W702" s="375"/>
      <c r="X702" s="375"/>
      <c r="Y702" s="375"/>
      <c r="Z702" s="375"/>
      <c r="AA702" s="375"/>
      <c r="AB702" s="375"/>
      <c r="AC702" s="375"/>
      <c r="AD702" s="375"/>
      <c r="AE702" s="375"/>
      <c r="AF702" s="375"/>
    </row>
    <row r="703" ht="15.75" customHeight="1">
      <c r="A703" s="376"/>
      <c r="B703" s="376"/>
      <c r="C703" s="376"/>
      <c r="D703" s="376"/>
      <c r="E703" s="376"/>
      <c r="F703" s="267"/>
      <c r="G703" s="267"/>
      <c r="H703" s="267"/>
      <c r="I703" s="267"/>
      <c r="J703" s="267"/>
      <c r="K703" s="267"/>
      <c r="L703" s="267"/>
      <c r="M703" s="267"/>
      <c r="N703" s="267"/>
      <c r="O703" s="267"/>
      <c r="P703" s="267"/>
      <c r="Q703" s="267"/>
      <c r="R703" s="267"/>
      <c r="S703" s="267"/>
      <c r="T703" s="267"/>
      <c r="U703" s="267"/>
      <c r="V703" s="267"/>
      <c r="W703" s="267"/>
      <c r="X703" s="267"/>
      <c r="Y703" s="267"/>
      <c r="Z703" s="267"/>
      <c r="AA703" s="267"/>
      <c r="AB703" s="267"/>
      <c r="AC703" s="267"/>
      <c r="AD703" s="267"/>
      <c r="AE703" s="267"/>
      <c r="AF703" s="267"/>
    </row>
    <row r="704" ht="15.75" customHeight="1">
      <c r="A704" s="114" t="s">
        <v>6550</v>
      </c>
      <c r="B704" s="383" t="s">
        <v>6551</v>
      </c>
      <c r="C704" s="123" t="s">
        <v>6560</v>
      </c>
      <c r="D704" s="123" t="s">
        <v>6560</v>
      </c>
      <c r="E704" s="123" t="s">
        <v>6560</v>
      </c>
      <c r="F704" s="267"/>
      <c r="G704" s="267"/>
      <c r="H704" s="267"/>
      <c r="I704" s="267"/>
      <c r="J704" s="267"/>
      <c r="K704" s="267"/>
      <c r="L704" s="267"/>
      <c r="M704" s="267"/>
      <c r="N704" s="267"/>
      <c r="O704" s="267"/>
      <c r="P704" s="267"/>
      <c r="Q704" s="267"/>
      <c r="R704" s="267"/>
      <c r="S704" s="267"/>
      <c r="T704" s="267"/>
      <c r="U704" s="267"/>
      <c r="V704" s="267"/>
      <c r="W704" s="267"/>
      <c r="X704" s="267"/>
      <c r="Y704" s="267"/>
      <c r="Z704" s="267"/>
      <c r="AA704" s="267"/>
      <c r="AB704" s="267"/>
      <c r="AC704" s="267"/>
      <c r="AD704" s="267"/>
      <c r="AE704" s="267"/>
      <c r="AF704" s="267"/>
    </row>
    <row r="705" ht="15.75" customHeight="1">
      <c r="A705" s="92" t="s">
        <v>6550</v>
      </c>
      <c r="B705" s="384">
        <f>+226</f>
        <v>226</v>
      </c>
      <c r="C705" s="27" t="s">
        <v>6589</v>
      </c>
      <c r="D705" s="27" t="s">
        <v>6589</v>
      </c>
      <c r="E705" s="276" t="s">
        <v>6589</v>
      </c>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row>
    <row r="706" ht="15.75" customHeight="1">
      <c r="A706" s="92" t="s">
        <v>6550</v>
      </c>
      <c r="B706" s="384">
        <f>+238</f>
        <v>238</v>
      </c>
      <c r="C706" s="27" t="s">
        <v>6601</v>
      </c>
      <c r="D706" s="27" t="s">
        <v>6601</v>
      </c>
      <c r="E706" s="276" t="s">
        <v>6601</v>
      </c>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row>
    <row r="707" ht="15.75" customHeight="1">
      <c r="A707" s="92" t="s">
        <v>6550</v>
      </c>
      <c r="B707" s="384">
        <f>+225</f>
        <v>225</v>
      </c>
      <c r="C707" s="27" t="s">
        <v>6607</v>
      </c>
      <c r="D707" s="27" t="s">
        <v>6607</v>
      </c>
      <c r="E707" s="276" t="s">
        <v>6607</v>
      </c>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row>
    <row r="708" ht="15.75" customHeight="1">
      <c r="A708" s="92" t="s">
        <v>6550</v>
      </c>
      <c r="B708" s="384">
        <f>+220</f>
        <v>220</v>
      </c>
      <c r="C708" s="27" t="s">
        <v>6612</v>
      </c>
      <c r="D708" s="27" t="s">
        <v>6612</v>
      </c>
      <c r="E708" s="27" t="s">
        <v>6612</v>
      </c>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row>
    <row r="709" ht="15.75" customHeight="1">
      <c r="A709" s="92" t="s">
        <v>6550</v>
      </c>
      <c r="B709" s="384">
        <f>+233</f>
        <v>233</v>
      </c>
      <c r="C709" s="27" t="s">
        <v>6620</v>
      </c>
      <c r="D709" s="27" t="s">
        <v>6620</v>
      </c>
      <c r="E709" s="27" t="s">
        <v>6620</v>
      </c>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row>
    <row r="710" ht="15.75" customHeight="1">
      <c r="A710" s="92" t="s">
        <v>6550</v>
      </c>
      <c r="B710" s="384">
        <f>+224</f>
        <v>224</v>
      </c>
      <c r="C710" s="27" t="s">
        <v>6627</v>
      </c>
      <c r="D710" s="27" t="s">
        <v>6627</v>
      </c>
      <c r="E710" s="27" t="s">
        <v>6627</v>
      </c>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row>
    <row r="711" ht="15.75" customHeight="1">
      <c r="A711" s="92" t="s">
        <v>6550</v>
      </c>
      <c r="B711" s="384">
        <f>+245</f>
        <v>245</v>
      </c>
      <c r="C711" s="27" t="s">
        <v>6637</v>
      </c>
      <c r="D711" s="27" t="s">
        <v>6637</v>
      </c>
      <c r="E711" s="276" t="s">
        <v>6637</v>
      </c>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row>
    <row r="712" ht="15.75" customHeight="1">
      <c r="A712" s="92" t="s">
        <v>6550</v>
      </c>
      <c r="B712" s="384">
        <f>+231</f>
        <v>231</v>
      </c>
      <c r="C712" s="27" t="s">
        <v>6643</v>
      </c>
      <c r="D712" s="27" t="s">
        <v>6643</v>
      </c>
      <c r="E712" s="27" t="s">
        <v>6643</v>
      </c>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row>
    <row r="713" ht="15.75" customHeight="1">
      <c r="A713" s="92" t="s">
        <v>6550</v>
      </c>
      <c r="B713" s="384">
        <f>+223</f>
        <v>223</v>
      </c>
      <c r="C713" s="27" t="s">
        <v>6651</v>
      </c>
      <c r="D713" s="27" t="s">
        <v>6651</v>
      </c>
      <c r="E713" s="27" t="s">
        <v>6651</v>
      </c>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row>
    <row r="714" ht="15.75" customHeight="1">
      <c r="A714" s="92" t="s">
        <v>6550</v>
      </c>
      <c r="B714" s="384">
        <f>+227</f>
        <v>227</v>
      </c>
      <c r="C714" s="27" t="s">
        <v>6669</v>
      </c>
      <c r="D714" s="27" t="s">
        <v>6669</v>
      </c>
      <c r="E714" s="27" t="s">
        <v>6669</v>
      </c>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row>
    <row r="715" ht="15.75" customHeight="1">
      <c r="A715" s="92" t="s">
        <v>6550</v>
      </c>
      <c r="B715" s="384">
        <f>+234</f>
        <v>234</v>
      </c>
      <c r="C715" s="27" t="s">
        <v>6679</v>
      </c>
      <c r="D715" s="27" t="s">
        <v>6679</v>
      </c>
      <c r="E715" s="27" t="s">
        <v>6679</v>
      </c>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row>
    <row r="716" ht="15.75" customHeight="1">
      <c r="A716" s="92" t="s">
        <v>6550</v>
      </c>
      <c r="B716" s="384">
        <f>+221</f>
        <v>221</v>
      </c>
      <c r="C716" s="27" t="s">
        <v>6696</v>
      </c>
      <c r="D716" s="27" t="s">
        <v>6696</v>
      </c>
      <c r="E716" s="27" t="s">
        <v>6696</v>
      </c>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row>
    <row r="717" ht="15.75" customHeight="1">
      <c r="A717" s="92" t="s">
        <v>6550</v>
      </c>
      <c r="B717" s="384">
        <f>+232</f>
        <v>232</v>
      </c>
      <c r="C717" s="27" t="s">
        <v>6698</v>
      </c>
      <c r="D717" s="27" t="s">
        <v>6698</v>
      </c>
      <c r="E717" s="276" t="s">
        <v>6698</v>
      </c>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row>
    <row r="718" ht="15.75" customHeight="1">
      <c r="A718" s="92" t="s">
        <v>6550</v>
      </c>
      <c r="B718" s="384">
        <f>+228</f>
        <v>228</v>
      </c>
      <c r="C718" s="27" t="s">
        <v>6709</v>
      </c>
      <c r="D718" s="27" t="s">
        <v>6709</v>
      </c>
      <c r="E718" s="27" t="s">
        <v>6709</v>
      </c>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row>
    <row r="719" ht="15.75" customHeight="1">
      <c r="A719" s="92" t="s">
        <v>6550</v>
      </c>
      <c r="B719" s="384">
        <f>+237</f>
        <v>237</v>
      </c>
      <c r="C719" s="27" t="s">
        <v>6720</v>
      </c>
      <c r="D719" s="27" t="s">
        <v>6720</v>
      </c>
      <c r="E719" s="276" t="s">
        <v>6720</v>
      </c>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row>
    <row r="720" ht="15.75" customHeight="1">
      <c r="A720" s="92" t="s">
        <v>6550</v>
      </c>
      <c r="B720" s="384">
        <f>+241</f>
        <v>241</v>
      </c>
      <c r="C720" s="27" t="s">
        <v>6738</v>
      </c>
      <c r="D720" s="27" t="s">
        <v>6738</v>
      </c>
      <c r="E720" s="27" t="s">
        <v>6738</v>
      </c>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row>
    <row r="721" ht="15.75" customHeight="1">
      <c r="A721" s="92" t="s">
        <v>6550</v>
      </c>
      <c r="B721" s="384">
        <f>+213</f>
        <v>213</v>
      </c>
      <c r="C721" s="27" t="s">
        <v>6753</v>
      </c>
      <c r="D721" s="27" t="s">
        <v>6753</v>
      </c>
      <c r="E721" s="27" t="s">
        <v>6753</v>
      </c>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row>
    <row r="722" ht="15.75" customHeight="1">
      <c r="A722" s="92" t="s">
        <v>6550</v>
      </c>
      <c r="B722" s="384">
        <f>+218</f>
        <v>218</v>
      </c>
      <c r="C722" s="27" t="s">
        <v>6765</v>
      </c>
      <c r="D722" s="27" t="s">
        <v>6765</v>
      </c>
      <c r="E722" s="27" t="s">
        <v>6765</v>
      </c>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row>
    <row r="723" ht="15.75" customHeight="1">
      <c r="A723" s="92" t="s">
        <v>6550</v>
      </c>
      <c r="B723" s="384">
        <f>+222</f>
        <v>222</v>
      </c>
      <c r="C723" s="27" t="s">
        <v>6781</v>
      </c>
      <c r="D723" s="27" t="s">
        <v>6781</v>
      </c>
      <c r="E723" s="276" t="s">
        <v>6781</v>
      </c>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row>
    <row r="724" ht="15.75" customHeight="1">
      <c r="A724" s="73" t="s">
        <v>6550</v>
      </c>
      <c r="B724" s="386" t="s">
        <v>6791</v>
      </c>
      <c r="C724" s="33" t="s">
        <v>132</v>
      </c>
      <c r="D724" s="33" t="s">
        <v>132</v>
      </c>
      <c r="E724" s="33" t="s">
        <v>132</v>
      </c>
      <c r="F724" s="375"/>
      <c r="G724" s="375"/>
      <c r="H724" s="375"/>
      <c r="I724" s="375"/>
      <c r="J724" s="375"/>
      <c r="K724" s="375"/>
      <c r="L724" s="375"/>
      <c r="M724" s="375"/>
      <c r="N724" s="375"/>
      <c r="O724" s="375"/>
      <c r="P724" s="375"/>
      <c r="Q724" s="375"/>
      <c r="R724" s="375"/>
      <c r="S724" s="375"/>
      <c r="T724" s="375"/>
      <c r="U724" s="375"/>
      <c r="V724" s="375"/>
      <c r="W724" s="375"/>
      <c r="X724" s="375"/>
      <c r="Y724" s="375"/>
      <c r="Z724" s="375"/>
      <c r="AA724" s="375"/>
      <c r="AB724" s="375"/>
      <c r="AC724" s="375"/>
      <c r="AD724" s="375"/>
      <c r="AE724" s="375"/>
      <c r="AF724" s="375"/>
    </row>
    <row r="725" ht="15.75" customHeight="1">
      <c r="A725" s="376"/>
      <c r="B725" s="376"/>
      <c r="C725" s="376"/>
      <c r="D725" s="376"/>
      <c r="E725" s="376"/>
      <c r="F725" s="267"/>
      <c r="G725" s="267"/>
      <c r="H725" s="267"/>
      <c r="I725" s="267"/>
      <c r="J725" s="267"/>
      <c r="K725" s="267"/>
      <c r="L725" s="267"/>
      <c r="M725" s="267"/>
      <c r="N725" s="267"/>
      <c r="O725" s="267"/>
      <c r="P725" s="267"/>
      <c r="Q725" s="267"/>
      <c r="R725" s="267"/>
      <c r="S725" s="267"/>
      <c r="T725" s="267"/>
      <c r="U725" s="267"/>
      <c r="V725" s="267"/>
      <c r="W725" s="267"/>
      <c r="X725" s="267"/>
      <c r="Y725" s="267"/>
      <c r="Z725" s="267"/>
      <c r="AA725" s="267"/>
      <c r="AB725" s="267"/>
      <c r="AC725" s="267"/>
      <c r="AD725" s="267"/>
      <c r="AE725" s="267"/>
      <c r="AF725" s="267"/>
    </row>
    <row r="726" ht="15.75" customHeight="1">
      <c r="A726" s="114" t="s">
        <v>6818</v>
      </c>
      <c r="B726" s="116">
        <v>1.0</v>
      </c>
      <c r="C726" s="123" t="s">
        <v>6819</v>
      </c>
      <c r="D726" s="388" t="s">
        <v>6820</v>
      </c>
      <c r="E726" s="388" t="s">
        <v>6823</v>
      </c>
      <c r="F726" s="389"/>
      <c r="G726" s="389"/>
      <c r="H726" s="267"/>
      <c r="I726" s="267"/>
      <c r="J726" s="267"/>
      <c r="K726" s="267"/>
      <c r="L726" s="267"/>
      <c r="M726" s="267"/>
      <c r="N726" s="267"/>
      <c r="O726" s="267"/>
      <c r="P726" s="267"/>
      <c r="Q726" s="267"/>
      <c r="R726" s="267"/>
      <c r="S726" s="267"/>
      <c r="T726" s="267"/>
      <c r="U726" s="267"/>
      <c r="V726" s="267"/>
      <c r="W726" s="267"/>
      <c r="X726" s="267"/>
      <c r="Y726" s="267"/>
      <c r="Z726" s="267"/>
      <c r="AA726" s="267"/>
      <c r="AB726" s="267"/>
      <c r="AC726" s="267"/>
      <c r="AD726" s="267"/>
      <c r="AE726" s="267"/>
      <c r="AF726" s="267"/>
    </row>
    <row r="727" ht="15.75" customHeight="1">
      <c r="A727" s="73" t="s">
        <v>6818</v>
      </c>
      <c r="B727" s="103">
        <v>2.0</v>
      </c>
      <c r="C727" s="33" t="s">
        <v>6825</v>
      </c>
      <c r="D727" s="390" t="s">
        <v>6827</v>
      </c>
      <c r="E727" s="390" t="s">
        <v>6828</v>
      </c>
      <c r="F727" s="375"/>
      <c r="G727" s="375"/>
      <c r="H727" s="375"/>
      <c r="I727" s="375"/>
      <c r="J727" s="375"/>
      <c r="K727" s="375"/>
      <c r="L727" s="375"/>
      <c r="M727" s="375"/>
      <c r="N727" s="375"/>
      <c r="O727" s="375"/>
      <c r="P727" s="375"/>
      <c r="Q727" s="375"/>
      <c r="R727" s="375"/>
      <c r="S727" s="375"/>
      <c r="T727" s="375"/>
      <c r="U727" s="375"/>
      <c r="V727" s="375"/>
      <c r="W727" s="375"/>
      <c r="X727" s="375"/>
      <c r="Y727" s="375"/>
      <c r="Z727" s="375"/>
      <c r="AA727" s="375"/>
      <c r="AB727" s="375"/>
      <c r="AC727" s="375"/>
      <c r="AD727" s="375"/>
      <c r="AE727" s="375"/>
      <c r="AF727" s="375"/>
    </row>
    <row r="728" ht="15.75" customHeight="1">
      <c r="A728" s="107"/>
      <c r="B728" s="108"/>
      <c r="C728" s="107"/>
      <c r="D728" s="107"/>
      <c r="E728" s="193"/>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row>
    <row r="729" ht="15.75" customHeight="1">
      <c r="A729" s="107"/>
      <c r="B729" s="108"/>
      <c r="C729" s="107"/>
      <c r="D729" s="107"/>
      <c r="E729" s="193"/>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row>
    <row r="730" ht="15.75" customHeight="1">
      <c r="A730" s="107"/>
      <c r="B730" s="108"/>
      <c r="C730" s="107"/>
      <c r="D730" s="107"/>
      <c r="E730" s="193"/>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row>
    <row r="731" ht="15.75" customHeight="1">
      <c r="A731" s="107"/>
      <c r="B731" s="108"/>
      <c r="C731" s="107"/>
      <c r="D731" s="107"/>
      <c r="E731" s="193"/>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row>
    <row r="732" ht="15.75" customHeight="1">
      <c r="A732" s="107"/>
      <c r="B732" s="108"/>
      <c r="C732" s="107"/>
      <c r="D732" s="107"/>
      <c r="E732" s="193"/>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row>
    <row r="733" ht="15.75" customHeight="1">
      <c r="A733" s="107"/>
      <c r="B733" s="108"/>
      <c r="C733" s="107"/>
      <c r="D733" s="107"/>
      <c r="E733" s="193"/>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row>
    <row r="734" ht="15.75" customHeight="1">
      <c r="A734" s="107"/>
      <c r="B734" s="108"/>
      <c r="C734" s="107"/>
      <c r="D734" s="107"/>
      <c r="E734" s="193"/>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row>
    <row r="735" ht="15.75" customHeight="1">
      <c r="A735" s="107"/>
      <c r="B735" s="108"/>
      <c r="C735" s="107"/>
      <c r="D735" s="107"/>
      <c r="E735" s="193"/>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row>
    <row r="736" ht="15.75" customHeight="1">
      <c r="A736" s="107"/>
      <c r="B736" s="108"/>
      <c r="C736" s="107"/>
      <c r="D736" s="107"/>
      <c r="E736" s="193"/>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row>
    <row r="737" ht="15.75" customHeight="1">
      <c r="A737" s="107"/>
      <c r="B737" s="108"/>
      <c r="C737" s="107"/>
      <c r="D737" s="107"/>
      <c r="E737" s="193"/>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row>
    <row r="738" ht="15.75" customHeight="1">
      <c r="A738" s="107"/>
      <c r="B738" s="108"/>
      <c r="C738" s="107"/>
      <c r="D738" s="107"/>
      <c r="E738" s="193"/>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row>
    <row r="739" ht="15.75" customHeight="1">
      <c r="A739" s="107"/>
      <c r="B739" s="108"/>
      <c r="C739" s="107"/>
      <c r="D739" s="107"/>
      <c r="E739" s="193"/>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row>
    <row r="740" ht="15.75" customHeight="1">
      <c r="A740" s="107"/>
      <c r="B740" s="108"/>
      <c r="C740" s="107"/>
      <c r="D740" s="107"/>
      <c r="E740" s="193"/>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row>
    <row r="741" ht="15.75" customHeight="1">
      <c r="A741" s="107"/>
      <c r="B741" s="108"/>
      <c r="C741" s="107"/>
      <c r="D741" s="107"/>
      <c r="E741" s="193"/>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row>
    <row r="742" ht="15.75" customHeight="1">
      <c r="A742" s="107"/>
      <c r="B742" s="108"/>
      <c r="C742" s="107"/>
      <c r="D742" s="107"/>
      <c r="E742" s="193"/>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row>
    <row r="743" ht="15.75" customHeight="1">
      <c r="A743" s="107"/>
      <c r="B743" s="108"/>
      <c r="C743" s="107"/>
      <c r="D743" s="107"/>
      <c r="E743" s="193"/>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row>
    <row r="744" ht="15.75" customHeight="1">
      <c r="A744" s="107"/>
      <c r="B744" s="108"/>
      <c r="C744" s="107"/>
      <c r="D744" s="107"/>
      <c r="E744" s="193"/>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row>
    <row r="745" ht="15.75" customHeight="1">
      <c r="A745" s="107"/>
      <c r="B745" s="108"/>
      <c r="C745" s="107"/>
      <c r="D745" s="107"/>
      <c r="E745" s="193"/>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row>
    <row r="746" ht="15.75" customHeight="1">
      <c r="A746" s="107"/>
      <c r="B746" s="108"/>
      <c r="C746" s="107"/>
      <c r="D746" s="107"/>
      <c r="E746" s="193"/>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row>
    <row r="747" ht="15.75" customHeight="1">
      <c r="A747" s="107"/>
      <c r="B747" s="108"/>
      <c r="C747" s="107"/>
      <c r="D747" s="107"/>
      <c r="E747" s="193"/>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row>
    <row r="748" ht="15.75" customHeight="1">
      <c r="A748" s="107"/>
      <c r="B748" s="108"/>
      <c r="C748" s="107"/>
      <c r="D748" s="107"/>
      <c r="E748" s="193"/>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row>
    <row r="749" ht="15.75" customHeight="1">
      <c r="A749" s="107"/>
      <c r="B749" s="108"/>
      <c r="C749" s="107"/>
      <c r="D749" s="107"/>
      <c r="E749" s="193"/>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row>
    <row r="750" ht="15.75" customHeight="1">
      <c r="A750" s="107"/>
      <c r="B750" s="108"/>
      <c r="C750" s="107"/>
      <c r="D750" s="107"/>
      <c r="E750" s="193"/>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row>
    <row r="751" ht="15.75" customHeight="1">
      <c r="A751" s="107"/>
      <c r="B751" s="108"/>
      <c r="C751" s="107"/>
      <c r="D751" s="107"/>
      <c r="E751" s="193"/>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row>
    <row r="752" ht="15.75" customHeight="1">
      <c r="A752" s="107"/>
      <c r="B752" s="108"/>
      <c r="C752" s="107"/>
      <c r="D752" s="107"/>
      <c r="E752" s="193"/>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row>
    <row r="753" ht="15.75" customHeight="1">
      <c r="A753" s="107"/>
      <c r="B753" s="108"/>
      <c r="C753" s="107"/>
      <c r="D753" s="107"/>
      <c r="E753" s="193"/>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row>
    <row r="754" ht="15.75" customHeight="1">
      <c r="A754" s="107"/>
      <c r="B754" s="108"/>
      <c r="C754" s="107"/>
      <c r="D754" s="107"/>
      <c r="E754" s="193"/>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row>
    <row r="755" ht="15.75" customHeight="1">
      <c r="A755" s="107"/>
      <c r="B755" s="108"/>
      <c r="C755" s="107"/>
      <c r="D755" s="107"/>
      <c r="E755" s="193"/>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row>
    <row r="756" ht="15.75" customHeight="1">
      <c r="A756" s="107"/>
      <c r="B756" s="108"/>
      <c r="C756" s="107"/>
      <c r="D756" s="107"/>
      <c r="E756" s="193"/>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row>
    <row r="757" ht="15.75" customHeight="1">
      <c r="A757" s="107"/>
      <c r="B757" s="108"/>
      <c r="C757" s="107"/>
      <c r="D757" s="107"/>
      <c r="E757" s="193"/>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row>
    <row r="758" ht="15.75" customHeight="1">
      <c r="A758" s="107"/>
      <c r="B758" s="108"/>
      <c r="C758" s="107"/>
      <c r="D758" s="107"/>
      <c r="E758" s="193"/>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row>
    <row r="759" ht="15.75" customHeight="1">
      <c r="A759" s="107"/>
      <c r="B759" s="108"/>
      <c r="C759" s="107"/>
      <c r="D759" s="107"/>
      <c r="E759" s="193"/>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row>
    <row r="760" ht="15.75" customHeight="1">
      <c r="A760" s="107"/>
      <c r="B760" s="108"/>
      <c r="C760" s="107"/>
      <c r="D760" s="107"/>
      <c r="E760" s="193"/>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row>
    <row r="761" ht="15.75" customHeight="1">
      <c r="A761" s="107"/>
      <c r="B761" s="108"/>
      <c r="C761" s="107"/>
      <c r="D761" s="107"/>
      <c r="E761" s="193"/>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row>
    <row r="762" ht="15.75" customHeight="1">
      <c r="A762" s="107"/>
      <c r="B762" s="108"/>
      <c r="C762" s="107"/>
      <c r="D762" s="107"/>
      <c r="E762" s="193"/>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row>
    <row r="763" ht="15.75" customHeight="1">
      <c r="A763" s="107"/>
      <c r="B763" s="108"/>
      <c r="C763" s="107"/>
      <c r="D763" s="107"/>
      <c r="E763" s="193"/>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row>
    <row r="764" ht="15.75" customHeight="1">
      <c r="A764" s="107"/>
      <c r="B764" s="108"/>
      <c r="C764" s="107"/>
      <c r="D764" s="107"/>
      <c r="E764" s="193"/>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row>
    <row r="765" ht="15.75" customHeight="1">
      <c r="A765" s="107"/>
      <c r="B765" s="108"/>
      <c r="C765" s="107"/>
      <c r="D765" s="107"/>
      <c r="E765" s="193"/>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row>
    <row r="766" ht="15.75" customHeight="1">
      <c r="A766" s="107"/>
      <c r="B766" s="108"/>
      <c r="C766" s="107"/>
      <c r="D766" s="107"/>
      <c r="E766" s="193"/>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row>
    <row r="767" ht="15.75" customHeight="1">
      <c r="A767" s="107"/>
      <c r="B767" s="108"/>
      <c r="C767" s="107"/>
      <c r="D767" s="107"/>
      <c r="E767" s="193"/>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row>
    <row r="768" ht="15.75" customHeight="1">
      <c r="A768" s="107"/>
      <c r="B768" s="108"/>
      <c r="C768" s="107"/>
      <c r="D768" s="107"/>
      <c r="E768" s="193"/>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row>
    <row r="769" ht="15.75" customHeight="1">
      <c r="A769" s="107"/>
      <c r="B769" s="108"/>
      <c r="C769" s="107"/>
      <c r="D769" s="107"/>
      <c r="E769" s="193"/>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row>
    <row r="770" ht="15.75" customHeight="1">
      <c r="A770" s="107"/>
      <c r="B770" s="108"/>
      <c r="C770" s="107"/>
      <c r="D770" s="107"/>
      <c r="E770" s="193"/>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row>
    <row r="771" ht="15.75" customHeight="1">
      <c r="A771" s="107"/>
      <c r="B771" s="108"/>
      <c r="C771" s="107"/>
      <c r="D771" s="107"/>
      <c r="E771" s="193"/>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row>
    <row r="772" ht="15.75" customHeight="1">
      <c r="A772" s="107"/>
      <c r="B772" s="108"/>
      <c r="C772" s="107"/>
      <c r="D772" s="107"/>
      <c r="E772" s="193"/>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row>
    <row r="773" ht="15.75" customHeight="1">
      <c r="A773" s="107"/>
      <c r="B773" s="108"/>
      <c r="C773" s="107"/>
      <c r="D773" s="107"/>
      <c r="E773" s="193"/>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row>
    <row r="774" ht="15.75" customHeight="1">
      <c r="A774" s="107"/>
      <c r="B774" s="108"/>
      <c r="C774" s="107"/>
      <c r="D774" s="107"/>
      <c r="E774" s="193"/>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row>
    <row r="775" ht="15.75" customHeight="1">
      <c r="A775" s="107"/>
      <c r="B775" s="108"/>
      <c r="C775" s="107"/>
      <c r="D775" s="107"/>
      <c r="E775" s="193"/>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row>
    <row r="776" ht="15.75" customHeight="1">
      <c r="A776" s="107"/>
      <c r="B776" s="108"/>
      <c r="C776" s="107"/>
      <c r="D776" s="107"/>
      <c r="E776" s="193"/>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row>
    <row r="777" ht="15.75" customHeight="1">
      <c r="A777" s="107"/>
      <c r="B777" s="108"/>
      <c r="C777" s="107"/>
      <c r="D777" s="107"/>
      <c r="E777" s="193"/>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row>
    <row r="778" ht="15.75" customHeight="1">
      <c r="A778" s="107"/>
      <c r="B778" s="108"/>
      <c r="C778" s="107"/>
      <c r="D778" s="107"/>
      <c r="E778" s="193"/>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row>
    <row r="779" ht="15.75" customHeight="1">
      <c r="A779" s="107"/>
      <c r="B779" s="108"/>
      <c r="C779" s="107"/>
      <c r="D779" s="107"/>
      <c r="E779" s="193"/>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row>
    <row r="780" ht="15.75" customHeight="1">
      <c r="A780" s="107"/>
      <c r="B780" s="108"/>
      <c r="C780" s="107"/>
      <c r="D780" s="107"/>
      <c r="E780" s="193"/>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row>
    <row r="781" ht="15.75" customHeight="1">
      <c r="A781" s="107"/>
      <c r="B781" s="108"/>
      <c r="C781" s="107"/>
      <c r="D781" s="107"/>
      <c r="E781" s="193"/>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row>
    <row r="782" ht="15.75" customHeight="1">
      <c r="A782" s="107"/>
      <c r="B782" s="108"/>
      <c r="C782" s="107"/>
      <c r="D782" s="107"/>
      <c r="E782" s="193"/>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row>
    <row r="783" ht="15.75" customHeight="1">
      <c r="A783" s="107"/>
      <c r="B783" s="108"/>
      <c r="C783" s="107"/>
      <c r="D783" s="107"/>
      <c r="E783" s="193"/>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row>
    <row r="784" ht="15.75" customHeight="1">
      <c r="A784" s="107"/>
      <c r="B784" s="108"/>
      <c r="C784" s="107"/>
      <c r="D784" s="107"/>
      <c r="E784" s="193"/>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row>
    <row r="785" ht="15.75" customHeight="1">
      <c r="A785" s="107"/>
      <c r="B785" s="108"/>
      <c r="C785" s="107"/>
      <c r="D785" s="107"/>
      <c r="E785" s="193"/>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row>
    <row r="786" ht="15.75" customHeight="1">
      <c r="A786" s="107"/>
      <c r="B786" s="108"/>
      <c r="C786" s="107"/>
      <c r="D786" s="107"/>
      <c r="E786" s="193"/>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row>
    <row r="787" ht="15.75" customHeight="1">
      <c r="A787" s="107"/>
      <c r="B787" s="108"/>
      <c r="C787" s="107"/>
      <c r="D787" s="107"/>
      <c r="E787" s="193"/>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row>
    <row r="788" ht="15.75" customHeight="1">
      <c r="A788" s="107"/>
      <c r="B788" s="108"/>
      <c r="C788" s="107"/>
      <c r="D788" s="107"/>
      <c r="E788" s="193"/>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row>
    <row r="789" ht="15.75" customHeight="1">
      <c r="A789" s="107"/>
      <c r="B789" s="108"/>
      <c r="C789" s="107"/>
      <c r="D789" s="107"/>
      <c r="E789" s="193"/>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row>
    <row r="790" ht="15.75" customHeight="1">
      <c r="A790" s="107"/>
      <c r="B790" s="108"/>
      <c r="C790" s="107"/>
      <c r="D790" s="107"/>
      <c r="E790" s="193"/>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row>
    <row r="791" ht="15.75" customHeight="1">
      <c r="A791" s="107"/>
      <c r="B791" s="108"/>
      <c r="C791" s="107"/>
      <c r="D791" s="107"/>
      <c r="E791" s="193"/>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row>
    <row r="792" ht="15.75" customHeight="1">
      <c r="A792" s="107"/>
      <c r="B792" s="108"/>
      <c r="C792" s="107"/>
      <c r="D792" s="107"/>
      <c r="E792" s="193"/>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row>
    <row r="793" ht="15.75" customHeight="1">
      <c r="A793" s="107"/>
      <c r="B793" s="108"/>
      <c r="C793" s="107"/>
      <c r="D793" s="107"/>
      <c r="E793" s="193"/>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row>
    <row r="794" ht="15.75" customHeight="1">
      <c r="A794" s="107"/>
      <c r="B794" s="108"/>
      <c r="C794" s="107"/>
      <c r="D794" s="107"/>
      <c r="E794" s="193"/>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row>
    <row r="795" ht="15.75" customHeight="1">
      <c r="A795" s="107"/>
      <c r="B795" s="108"/>
      <c r="C795" s="107"/>
      <c r="D795" s="107"/>
      <c r="E795" s="193"/>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row>
    <row r="796" ht="15.75" customHeight="1">
      <c r="A796" s="107"/>
      <c r="B796" s="108"/>
      <c r="C796" s="107"/>
      <c r="D796" s="107"/>
      <c r="E796" s="193"/>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row>
    <row r="797" ht="15.75" customHeight="1">
      <c r="A797" s="107"/>
      <c r="B797" s="108"/>
      <c r="C797" s="107"/>
      <c r="D797" s="107"/>
      <c r="E797" s="193"/>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row>
    <row r="798" ht="15.75" customHeight="1">
      <c r="A798" s="107"/>
      <c r="B798" s="108"/>
      <c r="C798" s="107"/>
      <c r="D798" s="107"/>
      <c r="E798" s="193"/>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row>
    <row r="799" ht="15.75" customHeight="1">
      <c r="A799" s="107"/>
      <c r="B799" s="108"/>
      <c r="C799" s="107"/>
      <c r="D799" s="107"/>
      <c r="E799" s="193"/>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row>
    <row r="800" ht="15.75" customHeight="1">
      <c r="A800" s="107"/>
      <c r="B800" s="108"/>
      <c r="C800" s="107"/>
      <c r="D800" s="107"/>
      <c r="E800" s="193"/>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row>
    <row r="801" ht="15.75" customHeight="1">
      <c r="A801" s="107"/>
      <c r="B801" s="108"/>
      <c r="C801" s="107"/>
      <c r="D801" s="107"/>
      <c r="E801" s="193"/>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row>
    <row r="802" ht="15.75" customHeight="1">
      <c r="A802" s="107"/>
      <c r="B802" s="108"/>
      <c r="C802" s="107"/>
      <c r="D802" s="107"/>
      <c r="E802" s="193"/>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row>
    <row r="803" ht="15.75" customHeight="1">
      <c r="A803" s="107"/>
      <c r="B803" s="108"/>
      <c r="C803" s="107"/>
      <c r="D803" s="107"/>
      <c r="E803" s="193"/>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row>
    <row r="804" ht="15.75" customHeight="1">
      <c r="A804" s="107"/>
      <c r="B804" s="108"/>
      <c r="C804" s="107"/>
      <c r="D804" s="107"/>
      <c r="E804" s="193"/>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row>
    <row r="805" ht="15.75" customHeight="1">
      <c r="A805" s="107"/>
      <c r="B805" s="108"/>
      <c r="C805" s="107"/>
      <c r="D805" s="107"/>
      <c r="E805" s="193"/>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row>
    <row r="806" ht="15.75" customHeight="1">
      <c r="A806" s="107"/>
      <c r="B806" s="108"/>
      <c r="C806" s="107"/>
      <c r="D806" s="107"/>
      <c r="E806" s="193"/>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row>
    <row r="807" ht="15.75" customHeight="1">
      <c r="A807" s="107"/>
      <c r="B807" s="108"/>
      <c r="C807" s="107"/>
      <c r="D807" s="107"/>
      <c r="E807" s="193"/>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row>
    <row r="808" ht="15.75" customHeight="1">
      <c r="A808" s="107"/>
      <c r="B808" s="108"/>
      <c r="C808" s="107"/>
      <c r="D808" s="107"/>
      <c r="E808" s="193"/>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row>
    <row r="809" ht="15.75" customHeight="1">
      <c r="A809" s="107"/>
      <c r="B809" s="108"/>
      <c r="C809" s="107"/>
      <c r="D809" s="107"/>
      <c r="E809" s="193"/>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row>
    <row r="810" ht="15.75" customHeight="1">
      <c r="A810" s="107"/>
      <c r="B810" s="108"/>
      <c r="C810" s="107"/>
      <c r="D810" s="107"/>
      <c r="E810" s="193"/>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row>
    <row r="811" ht="15.75" customHeight="1">
      <c r="A811" s="107"/>
      <c r="B811" s="108"/>
      <c r="C811" s="107"/>
      <c r="D811" s="107"/>
      <c r="E811" s="193"/>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row>
    <row r="812" ht="15.75" customHeight="1">
      <c r="A812" s="107"/>
      <c r="B812" s="108"/>
      <c r="C812" s="107"/>
      <c r="D812" s="107"/>
      <c r="E812" s="193"/>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row>
    <row r="813" ht="15.75" customHeight="1">
      <c r="A813" s="107"/>
      <c r="B813" s="108"/>
      <c r="C813" s="107"/>
      <c r="D813" s="107"/>
      <c r="E813" s="193"/>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row>
    <row r="814" ht="15.75" customHeight="1">
      <c r="A814" s="107"/>
      <c r="B814" s="108"/>
      <c r="C814" s="107"/>
      <c r="D814" s="107"/>
      <c r="E814" s="193"/>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row>
    <row r="815" ht="15.75" customHeight="1">
      <c r="A815" s="107"/>
      <c r="B815" s="108"/>
      <c r="C815" s="107"/>
      <c r="D815" s="107"/>
      <c r="E815" s="193"/>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row>
    <row r="816" ht="15.75" customHeight="1">
      <c r="A816" s="107"/>
      <c r="B816" s="108"/>
      <c r="C816" s="107"/>
      <c r="D816" s="107"/>
      <c r="E816" s="193"/>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row>
    <row r="817" ht="15.75" customHeight="1">
      <c r="A817" s="107"/>
      <c r="B817" s="108"/>
      <c r="C817" s="107"/>
      <c r="D817" s="107"/>
      <c r="E817" s="193"/>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row>
    <row r="818" ht="15.75" customHeight="1">
      <c r="A818" s="107"/>
      <c r="B818" s="108"/>
      <c r="C818" s="107"/>
      <c r="D818" s="107"/>
      <c r="E818" s="193"/>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row>
    <row r="819" ht="15.75" customHeight="1">
      <c r="A819" s="107"/>
      <c r="B819" s="108"/>
      <c r="C819" s="107"/>
      <c r="D819" s="107"/>
      <c r="E819" s="193"/>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row>
    <row r="820" ht="15.75" customHeight="1">
      <c r="A820" s="107"/>
      <c r="B820" s="108"/>
      <c r="C820" s="107"/>
      <c r="D820" s="107"/>
      <c r="E820" s="193"/>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row>
    <row r="821" ht="15.75" customHeight="1">
      <c r="A821" s="107"/>
      <c r="B821" s="108"/>
      <c r="C821" s="107"/>
      <c r="D821" s="107"/>
      <c r="E821" s="193"/>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row>
    <row r="822" ht="15.75" customHeight="1">
      <c r="A822" s="107"/>
      <c r="B822" s="108"/>
      <c r="C822" s="107"/>
      <c r="D822" s="107"/>
      <c r="E822" s="193"/>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row>
    <row r="823" ht="15.75" customHeight="1">
      <c r="A823" s="107"/>
      <c r="B823" s="108"/>
      <c r="C823" s="107"/>
      <c r="D823" s="107"/>
      <c r="E823" s="193"/>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row>
    <row r="824" ht="15.75" customHeight="1">
      <c r="A824" s="107"/>
      <c r="B824" s="108"/>
      <c r="C824" s="107"/>
      <c r="D824" s="107"/>
      <c r="E824" s="193"/>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row>
    <row r="825" ht="15.75" customHeight="1">
      <c r="A825" s="107"/>
      <c r="B825" s="108"/>
      <c r="C825" s="107"/>
      <c r="D825" s="107"/>
      <c r="E825" s="193"/>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row>
    <row r="826" ht="15.75" customHeight="1">
      <c r="A826" s="107"/>
      <c r="B826" s="108"/>
      <c r="C826" s="107"/>
      <c r="D826" s="107"/>
      <c r="E826" s="193"/>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row>
    <row r="827" ht="15.75" customHeight="1">
      <c r="A827" s="107"/>
      <c r="B827" s="108"/>
      <c r="C827" s="107"/>
      <c r="D827" s="107"/>
      <c r="E827" s="193"/>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row>
    <row r="828" ht="15.75" customHeight="1">
      <c r="A828" s="107"/>
      <c r="B828" s="108"/>
      <c r="C828" s="107"/>
      <c r="D828" s="107"/>
      <c r="E828" s="193"/>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row>
    <row r="829" ht="15.75" customHeight="1">
      <c r="A829" s="107"/>
      <c r="B829" s="108"/>
      <c r="C829" s="107"/>
      <c r="D829" s="107"/>
      <c r="E829" s="193"/>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row>
    <row r="830" ht="15.75" customHeight="1">
      <c r="A830" s="107"/>
      <c r="B830" s="108"/>
      <c r="C830" s="107"/>
      <c r="D830" s="107"/>
      <c r="E830" s="193"/>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row>
    <row r="831" ht="15.75" customHeight="1">
      <c r="A831" s="107"/>
      <c r="B831" s="108"/>
      <c r="C831" s="107"/>
      <c r="D831" s="107"/>
      <c r="E831" s="193"/>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row>
    <row r="832" ht="15.75" customHeight="1">
      <c r="A832" s="107"/>
      <c r="B832" s="108"/>
      <c r="C832" s="107"/>
      <c r="D832" s="107"/>
      <c r="E832" s="193"/>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row>
    <row r="833" ht="15.75" customHeight="1">
      <c r="A833" s="107"/>
      <c r="B833" s="108"/>
      <c r="C833" s="107"/>
      <c r="D833" s="107"/>
      <c r="E833" s="193"/>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row>
    <row r="834" ht="15.75" customHeight="1">
      <c r="A834" s="107"/>
      <c r="B834" s="108"/>
      <c r="C834" s="107"/>
      <c r="D834" s="107"/>
      <c r="E834" s="193"/>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row>
    <row r="835" ht="15.75" customHeight="1">
      <c r="A835" s="107"/>
      <c r="B835" s="108"/>
      <c r="C835" s="107"/>
      <c r="D835" s="107"/>
      <c r="E835" s="193"/>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row>
    <row r="836" ht="15.75" customHeight="1">
      <c r="A836" s="107"/>
      <c r="B836" s="108"/>
      <c r="C836" s="107"/>
      <c r="D836" s="107"/>
      <c r="E836" s="193"/>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row>
    <row r="837" ht="15.75" customHeight="1">
      <c r="A837" s="107"/>
      <c r="B837" s="108"/>
      <c r="C837" s="107"/>
      <c r="D837" s="107"/>
      <c r="E837" s="193"/>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row>
    <row r="838" ht="15.75" customHeight="1">
      <c r="A838" s="107"/>
      <c r="B838" s="108"/>
      <c r="C838" s="107"/>
      <c r="D838" s="107"/>
      <c r="E838" s="193"/>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row>
    <row r="839" ht="15.75" customHeight="1">
      <c r="A839" s="107"/>
      <c r="B839" s="108"/>
      <c r="C839" s="107"/>
      <c r="D839" s="107"/>
      <c r="E839" s="193"/>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row>
    <row r="840" ht="15.75" customHeight="1">
      <c r="A840" s="107"/>
      <c r="B840" s="108"/>
      <c r="C840" s="107"/>
      <c r="D840" s="107"/>
      <c r="E840" s="193"/>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row>
    <row r="841" ht="15.75" customHeight="1">
      <c r="A841" s="107"/>
      <c r="B841" s="108"/>
      <c r="C841" s="107"/>
      <c r="D841" s="107"/>
      <c r="E841" s="193"/>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row>
    <row r="842" ht="15.75" customHeight="1">
      <c r="A842" s="107"/>
      <c r="B842" s="108"/>
      <c r="C842" s="107"/>
      <c r="D842" s="107"/>
      <c r="E842" s="193"/>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row>
    <row r="843" ht="15.75" customHeight="1">
      <c r="A843" s="107"/>
      <c r="B843" s="108"/>
      <c r="C843" s="107"/>
      <c r="D843" s="107"/>
      <c r="E843" s="193"/>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row>
    <row r="844" ht="15.75" customHeight="1">
      <c r="A844" s="107"/>
      <c r="B844" s="108"/>
      <c r="C844" s="107"/>
      <c r="D844" s="107"/>
      <c r="E844" s="193"/>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row>
    <row r="845" ht="15.75" customHeight="1">
      <c r="A845" s="107"/>
      <c r="B845" s="108"/>
      <c r="C845" s="107"/>
      <c r="D845" s="107"/>
      <c r="E845" s="193"/>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row>
    <row r="846" ht="15.75" customHeight="1">
      <c r="A846" s="107"/>
      <c r="B846" s="108"/>
      <c r="C846" s="107"/>
      <c r="D846" s="107"/>
      <c r="E846" s="193"/>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row>
    <row r="847" ht="15.75" customHeight="1">
      <c r="A847" s="107"/>
      <c r="B847" s="108"/>
      <c r="C847" s="107"/>
      <c r="D847" s="107"/>
      <c r="E847" s="193"/>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row>
    <row r="848" ht="15.75" customHeight="1">
      <c r="A848" s="107"/>
      <c r="B848" s="108"/>
      <c r="C848" s="107"/>
      <c r="D848" s="107"/>
      <c r="E848" s="193"/>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row>
    <row r="849" ht="15.75" customHeight="1">
      <c r="A849" s="107"/>
      <c r="B849" s="108"/>
      <c r="C849" s="107"/>
      <c r="D849" s="107"/>
      <c r="E849" s="193"/>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row>
    <row r="850" ht="15.75" customHeight="1">
      <c r="A850" s="107"/>
      <c r="B850" s="108"/>
      <c r="C850" s="107"/>
      <c r="D850" s="107"/>
      <c r="E850" s="193"/>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row>
    <row r="851" ht="15.75" customHeight="1">
      <c r="A851" s="107"/>
      <c r="B851" s="108"/>
      <c r="C851" s="107"/>
      <c r="D851" s="107"/>
      <c r="E851" s="193"/>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row>
    <row r="852" ht="15.75" customHeight="1">
      <c r="A852" s="107"/>
      <c r="B852" s="108"/>
      <c r="C852" s="107"/>
      <c r="D852" s="107"/>
      <c r="E852" s="193"/>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row>
    <row r="853" ht="15.75" customHeight="1">
      <c r="A853" s="107"/>
      <c r="B853" s="108"/>
      <c r="C853" s="107"/>
      <c r="D853" s="107"/>
      <c r="E853" s="193"/>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row>
    <row r="854" ht="15.75" customHeight="1">
      <c r="A854" s="107"/>
      <c r="B854" s="108"/>
      <c r="C854" s="107"/>
      <c r="D854" s="107"/>
      <c r="E854" s="193"/>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row>
    <row r="855" ht="15.75" customHeight="1">
      <c r="A855" s="107"/>
      <c r="B855" s="108"/>
      <c r="C855" s="107"/>
      <c r="D855" s="107"/>
      <c r="E855" s="193"/>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row>
    <row r="856" ht="15.75" customHeight="1">
      <c r="A856" s="107"/>
      <c r="B856" s="108"/>
      <c r="C856" s="107"/>
      <c r="D856" s="107"/>
      <c r="E856" s="193"/>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row>
    <row r="857" ht="15.75" customHeight="1">
      <c r="A857" s="107"/>
      <c r="B857" s="108"/>
      <c r="C857" s="107"/>
      <c r="D857" s="107"/>
      <c r="E857" s="193"/>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row>
    <row r="858" ht="15.75" customHeight="1">
      <c r="A858" s="107"/>
      <c r="B858" s="108"/>
      <c r="C858" s="107"/>
      <c r="D858" s="107"/>
      <c r="E858" s="193"/>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row>
    <row r="859" ht="15.75" customHeight="1">
      <c r="A859" s="107"/>
      <c r="B859" s="108"/>
      <c r="C859" s="107"/>
      <c r="D859" s="107"/>
      <c r="E859" s="193"/>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row>
    <row r="860" ht="15.75" customHeight="1">
      <c r="A860" s="107"/>
      <c r="B860" s="108"/>
      <c r="C860" s="107"/>
      <c r="D860" s="107"/>
      <c r="E860" s="193"/>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row>
    <row r="861" ht="15.75" customHeight="1">
      <c r="A861" s="107"/>
      <c r="B861" s="108"/>
      <c r="C861" s="107"/>
      <c r="D861" s="107"/>
      <c r="E861" s="193"/>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row>
    <row r="862" ht="15.75" customHeight="1">
      <c r="A862" s="107"/>
      <c r="B862" s="108"/>
      <c r="C862" s="107"/>
      <c r="D862" s="107"/>
      <c r="E862" s="193"/>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row>
    <row r="863" ht="15.75" customHeight="1">
      <c r="A863" s="107"/>
      <c r="B863" s="108"/>
      <c r="C863" s="107"/>
      <c r="D863" s="107"/>
      <c r="E863" s="193"/>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row>
    <row r="864" ht="15.75" customHeight="1">
      <c r="A864" s="107"/>
      <c r="B864" s="108"/>
      <c r="C864" s="107"/>
      <c r="D864" s="107"/>
      <c r="E864" s="193"/>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row>
    <row r="865" ht="15.75" customHeight="1">
      <c r="A865" s="107"/>
      <c r="B865" s="108"/>
      <c r="C865" s="107"/>
      <c r="D865" s="107"/>
      <c r="E865" s="193"/>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row>
    <row r="866" ht="15.75" customHeight="1">
      <c r="A866" s="107"/>
      <c r="B866" s="108"/>
      <c r="C866" s="107"/>
      <c r="D866" s="107"/>
      <c r="E866" s="193"/>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row>
    <row r="867" ht="15.75" customHeight="1">
      <c r="A867" s="107"/>
      <c r="B867" s="108"/>
      <c r="C867" s="107"/>
      <c r="D867" s="107"/>
      <c r="E867" s="193"/>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row>
    <row r="868" ht="15.75" customHeight="1">
      <c r="A868" s="107"/>
      <c r="B868" s="108"/>
      <c r="C868" s="107"/>
      <c r="D868" s="107"/>
      <c r="E868" s="193"/>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row>
    <row r="869" ht="15.75" customHeight="1">
      <c r="A869" s="107"/>
      <c r="B869" s="108"/>
      <c r="C869" s="107"/>
      <c r="D869" s="107"/>
      <c r="E869" s="193"/>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row>
    <row r="870" ht="15.75" customHeight="1">
      <c r="A870" s="107"/>
      <c r="B870" s="108"/>
      <c r="C870" s="107"/>
      <c r="D870" s="107"/>
      <c r="E870" s="193"/>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row>
    <row r="871" ht="15.75" customHeight="1">
      <c r="A871" s="107"/>
      <c r="B871" s="108"/>
      <c r="C871" s="107"/>
      <c r="D871" s="107"/>
      <c r="E871" s="193"/>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row>
    <row r="872" ht="15.75" customHeight="1">
      <c r="A872" s="107"/>
      <c r="B872" s="108"/>
      <c r="C872" s="107"/>
      <c r="D872" s="107"/>
      <c r="E872" s="193"/>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row>
    <row r="873" ht="15.75" customHeight="1">
      <c r="A873" s="107"/>
      <c r="B873" s="108"/>
      <c r="C873" s="107"/>
      <c r="D873" s="107"/>
      <c r="E873" s="193"/>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row>
    <row r="874" ht="15.75" customHeight="1">
      <c r="A874" s="107"/>
      <c r="B874" s="108"/>
      <c r="C874" s="107"/>
      <c r="D874" s="107"/>
      <c r="E874" s="193"/>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row>
    <row r="875" ht="15.75" customHeight="1">
      <c r="A875" s="107"/>
      <c r="B875" s="108"/>
      <c r="C875" s="107"/>
      <c r="D875" s="107"/>
      <c r="E875" s="193"/>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row>
    <row r="876" ht="15.75" customHeight="1">
      <c r="A876" s="107"/>
      <c r="B876" s="108"/>
      <c r="C876" s="107"/>
      <c r="D876" s="107"/>
      <c r="E876" s="193"/>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row>
    <row r="877" ht="15.75" customHeight="1">
      <c r="A877" s="107"/>
      <c r="B877" s="108"/>
      <c r="C877" s="107"/>
      <c r="D877" s="107"/>
      <c r="E877" s="193"/>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row>
    <row r="878" ht="15.75" customHeight="1">
      <c r="A878" s="107"/>
      <c r="B878" s="108"/>
      <c r="C878" s="107"/>
      <c r="D878" s="107"/>
      <c r="E878" s="193"/>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row>
    <row r="879" ht="15.75" customHeight="1">
      <c r="A879" s="107"/>
      <c r="B879" s="108"/>
      <c r="C879" s="107"/>
      <c r="D879" s="107"/>
      <c r="E879" s="193"/>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row>
    <row r="880" ht="15.75" customHeight="1">
      <c r="A880" s="107"/>
      <c r="B880" s="108"/>
      <c r="C880" s="107"/>
      <c r="D880" s="107"/>
      <c r="E880" s="193"/>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row>
    <row r="881" ht="15.75" customHeight="1">
      <c r="A881" s="107"/>
      <c r="B881" s="108"/>
      <c r="C881" s="107"/>
      <c r="D881" s="107"/>
      <c r="E881" s="193"/>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row>
    <row r="882" ht="15.75" customHeight="1">
      <c r="A882" s="107"/>
      <c r="B882" s="108"/>
      <c r="C882" s="107"/>
      <c r="D882" s="107"/>
      <c r="E882" s="193"/>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row>
    <row r="883" ht="15.75" customHeight="1">
      <c r="A883" s="107"/>
      <c r="B883" s="108"/>
      <c r="C883" s="107"/>
      <c r="D883" s="107"/>
      <c r="E883" s="193"/>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row>
    <row r="884" ht="15.75" customHeight="1">
      <c r="A884" s="107"/>
      <c r="B884" s="108"/>
      <c r="C884" s="107"/>
      <c r="D884" s="107"/>
      <c r="E884" s="193"/>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row>
    <row r="885" ht="15.75" customHeight="1">
      <c r="A885" s="107"/>
      <c r="B885" s="108"/>
      <c r="C885" s="107"/>
      <c r="D885" s="107"/>
      <c r="E885" s="193"/>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row>
    <row r="886" ht="15.75" customHeight="1">
      <c r="A886" s="107"/>
      <c r="B886" s="108"/>
      <c r="C886" s="107"/>
      <c r="D886" s="107"/>
      <c r="E886" s="193"/>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row>
    <row r="887" ht="15.75" customHeight="1">
      <c r="A887" s="107"/>
      <c r="B887" s="108"/>
      <c r="C887" s="107"/>
      <c r="D887" s="107"/>
      <c r="E887" s="193"/>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row>
    <row r="888" ht="15.75" customHeight="1">
      <c r="A888" s="107"/>
      <c r="B888" s="108"/>
      <c r="C888" s="107"/>
      <c r="D888" s="107"/>
      <c r="E888" s="193"/>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row>
    <row r="889" ht="15.75" customHeight="1">
      <c r="A889" s="107"/>
      <c r="B889" s="108"/>
      <c r="C889" s="107"/>
      <c r="D889" s="107"/>
      <c r="E889" s="193"/>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row>
    <row r="890" ht="15.75" customHeight="1">
      <c r="A890" s="107"/>
      <c r="B890" s="108"/>
      <c r="C890" s="107"/>
      <c r="D890" s="107"/>
      <c r="E890" s="193"/>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row>
    <row r="891" ht="15.75" customHeight="1">
      <c r="A891" s="107"/>
      <c r="B891" s="108"/>
      <c r="C891" s="107"/>
      <c r="D891" s="107"/>
      <c r="E891" s="193"/>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row>
    <row r="892" ht="15.75" customHeight="1">
      <c r="A892" s="107"/>
      <c r="B892" s="108"/>
      <c r="C892" s="107"/>
      <c r="D892" s="107"/>
      <c r="E892" s="193"/>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row>
    <row r="893" ht="15.75" customHeight="1">
      <c r="A893" s="107"/>
      <c r="B893" s="108"/>
      <c r="C893" s="107"/>
      <c r="D893" s="107"/>
      <c r="E893" s="193"/>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row>
    <row r="894" ht="15.75" customHeight="1">
      <c r="A894" s="107"/>
      <c r="B894" s="108"/>
      <c r="C894" s="107"/>
      <c r="D894" s="107"/>
      <c r="E894" s="193"/>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row>
    <row r="895" ht="15.75" customHeight="1">
      <c r="A895" s="107"/>
      <c r="B895" s="108"/>
      <c r="C895" s="107"/>
      <c r="D895" s="107"/>
      <c r="E895" s="193"/>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row>
    <row r="896" ht="15.75" customHeight="1">
      <c r="A896" s="107"/>
      <c r="B896" s="108"/>
      <c r="C896" s="107"/>
      <c r="D896" s="107"/>
      <c r="E896" s="193"/>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row>
    <row r="897" ht="15.75" customHeight="1">
      <c r="A897" s="107"/>
      <c r="B897" s="108"/>
      <c r="C897" s="107"/>
      <c r="D897" s="107"/>
      <c r="E897" s="193"/>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row>
    <row r="898" ht="15.75" customHeight="1">
      <c r="A898" s="107"/>
      <c r="B898" s="108"/>
      <c r="C898" s="107"/>
      <c r="D898" s="107"/>
      <c r="E898" s="193"/>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row>
    <row r="899" ht="15.75" customHeight="1">
      <c r="A899" s="107"/>
      <c r="B899" s="108"/>
      <c r="C899" s="107"/>
      <c r="D899" s="107"/>
      <c r="E899" s="193"/>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row>
    <row r="900" ht="15.75" customHeight="1">
      <c r="A900" s="107"/>
      <c r="B900" s="108"/>
      <c r="C900" s="107"/>
      <c r="D900" s="107"/>
      <c r="E900" s="193"/>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row>
    <row r="901" ht="15.75" customHeight="1">
      <c r="A901" s="107"/>
      <c r="B901" s="108"/>
      <c r="C901" s="107"/>
      <c r="D901" s="107"/>
      <c r="E901" s="193"/>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row>
    <row r="902" ht="15.75" customHeight="1">
      <c r="A902" s="107"/>
      <c r="B902" s="108"/>
      <c r="C902" s="107"/>
      <c r="D902" s="107"/>
      <c r="E902" s="193"/>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row>
    <row r="903" ht="15.75" customHeight="1">
      <c r="A903" s="107"/>
      <c r="B903" s="108"/>
      <c r="C903" s="107"/>
      <c r="D903" s="107"/>
      <c r="E903" s="193"/>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row>
    <row r="904" ht="15.75" customHeight="1">
      <c r="A904" s="107"/>
      <c r="B904" s="108"/>
      <c r="C904" s="107"/>
      <c r="D904" s="107"/>
      <c r="E904" s="193"/>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row>
    <row r="905" ht="15.75" customHeight="1">
      <c r="A905" s="107"/>
      <c r="B905" s="108"/>
      <c r="C905" s="107"/>
      <c r="D905" s="107"/>
      <c r="E905" s="193"/>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row>
    <row r="906" ht="15.75" customHeight="1">
      <c r="A906" s="107"/>
      <c r="B906" s="108"/>
      <c r="C906" s="107"/>
      <c r="D906" s="107"/>
      <c r="E906" s="193"/>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row>
    <row r="907" ht="15.75" customHeight="1">
      <c r="A907" s="107"/>
      <c r="B907" s="108"/>
      <c r="C907" s="107"/>
      <c r="D907" s="107"/>
      <c r="E907" s="193"/>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row>
    <row r="908" ht="15.75" customHeight="1">
      <c r="A908" s="107"/>
      <c r="B908" s="108"/>
      <c r="C908" s="107"/>
      <c r="D908" s="107"/>
      <c r="E908" s="193"/>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row>
    <row r="909" ht="15.75" customHeight="1">
      <c r="A909" s="107"/>
      <c r="B909" s="108"/>
      <c r="C909" s="107"/>
      <c r="D909" s="107"/>
      <c r="E909" s="193"/>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row>
    <row r="910" ht="15.75" customHeight="1">
      <c r="A910" s="107"/>
      <c r="B910" s="108"/>
      <c r="C910" s="107"/>
      <c r="D910" s="107"/>
      <c r="E910" s="193"/>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row>
    <row r="911" ht="15.75" customHeight="1">
      <c r="A911" s="107"/>
      <c r="B911" s="108"/>
      <c r="C911" s="107"/>
      <c r="D911" s="107"/>
      <c r="E911" s="193"/>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row>
    <row r="912" ht="15.75" customHeight="1">
      <c r="A912" s="107"/>
      <c r="B912" s="108"/>
      <c r="C912" s="107"/>
      <c r="D912" s="107"/>
      <c r="E912" s="193"/>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row>
    <row r="913" ht="15.75" customHeight="1">
      <c r="A913" s="107"/>
      <c r="B913" s="108"/>
      <c r="C913" s="107"/>
      <c r="D913" s="107"/>
      <c r="E913" s="193"/>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row>
    <row r="914" ht="15.75" customHeight="1">
      <c r="A914" s="107"/>
      <c r="B914" s="108"/>
      <c r="C914" s="107"/>
      <c r="D914" s="107"/>
      <c r="E914" s="193"/>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row>
    <row r="915" ht="15.75" customHeight="1">
      <c r="A915" s="107"/>
      <c r="B915" s="108"/>
      <c r="C915" s="107"/>
      <c r="D915" s="107"/>
      <c r="E915" s="193"/>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row>
    <row r="916" ht="15.75" customHeight="1">
      <c r="A916" s="107"/>
      <c r="B916" s="108"/>
      <c r="C916" s="107"/>
      <c r="D916" s="107"/>
      <c r="E916" s="193"/>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row>
    <row r="917" ht="15.75" customHeight="1">
      <c r="A917" s="107"/>
      <c r="B917" s="108"/>
      <c r="C917" s="107"/>
      <c r="D917" s="107"/>
      <c r="E917" s="193"/>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row>
    <row r="918" ht="15.75" customHeight="1">
      <c r="A918" s="107"/>
      <c r="B918" s="108"/>
      <c r="C918" s="107"/>
      <c r="D918" s="107"/>
      <c r="E918" s="193"/>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row>
    <row r="919" ht="15.75" customHeight="1">
      <c r="A919" s="107"/>
      <c r="B919" s="108"/>
      <c r="C919" s="107"/>
      <c r="D919" s="107"/>
      <c r="E919" s="193"/>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row>
    <row r="920" ht="15.75" customHeight="1">
      <c r="A920" s="107"/>
      <c r="B920" s="108"/>
      <c r="C920" s="107"/>
      <c r="D920" s="107"/>
      <c r="E920" s="193"/>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row>
    <row r="921" ht="15.75" customHeight="1">
      <c r="A921" s="107"/>
      <c r="B921" s="108"/>
      <c r="C921" s="107"/>
      <c r="D921" s="107"/>
      <c r="E921" s="193"/>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row>
    <row r="922" ht="15.75" customHeight="1">
      <c r="A922" s="107"/>
      <c r="B922" s="108"/>
      <c r="C922" s="107"/>
      <c r="D922" s="107"/>
      <c r="E922" s="193"/>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row>
    <row r="923" ht="15.75" customHeight="1">
      <c r="A923" s="107"/>
      <c r="B923" s="108"/>
      <c r="C923" s="107"/>
      <c r="D923" s="107"/>
      <c r="E923" s="193"/>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row>
    <row r="924" ht="15.75" customHeight="1">
      <c r="A924" s="107"/>
      <c r="B924" s="108"/>
      <c r="C924" s="107"/>
      <c r="D924" s="107"/>
      <c r="E924" s="193"/>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row>
    <row r="925" ht="15.75" customHeight="1">
      <c r="A925" s="107"/>
      <c r="B925" s="108"/>
      <c r="C925" s="107"/>
      <c r="D925" s="107"/>
      <c r="E925" s="193"/>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row>
    <row r="926" ht="15.75" customHeight="1">
      <c r="A926" s="107"/>
      <c r="B926" s="108"/>
      <c r="C926" s="107"/>
      <c r="D926" s="107"/>
      <c r="E926" s="193"/>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row>
    <row r="927" ht="15.75" customHeight="1">
      <c r="A927" s="107"/>
      <c r="B927" s="108"/>
      <c r="C927" s="107"/>
      <c r="D927" s="107"/>
      <c r="E927" s="193"/>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row>
    <row r="928" ht="15.75" customHeight="1">
      <c r="A928" s="107"/>
      <c r="B928" s="108"/>
      <c r="C928" s="107"/>
      <c r="D928" s="107"/>
      <c r="E928" s="193"/>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row>
    <row r="929" ht="15.75" customHeight="1">
      <c r="A929" s="107"/>
      <c r="B929" s="108"/>
      <c r="C929" s="107"/>
      <c r="D929" s="107"/>
      <c r="E929" s="193"/>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row>
    <row r="930" ht="15.75" customHeight="1">
      <c r="A930" s="107"/>
      <c r="B930" s="108"/>
      <c r="C930" s="107"/>
      <c r="D930" s="107"/>
      <c r="E930" s="193"/>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row>
    <row r="931" ht="15.75" customHeight="1">
      <c r="A931" s="107"/>
      <c r="B931" s="108"/>
      <c r="C931" s="107"/>
      <c r="D931" s="107"/>
      <c r="E931" s="193"/>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row>
    <row r="932" ht="15.75" customHeight="1">
      <c r="A932" s="107"/>
      <c r="B932" s="108"/>
      <c r="C932" s="107"/>
      <c r="D932" s="107"/>
      <c r="E932" s="193"/>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row>
    <row r="933" ht="15.75" customHeight="1">
      <c r="A933" s="107"/>
      <c r="B933" s="108"/>
      <c r="C933" s="107"/>
      <c r="D933" s="107"/>
      <c r="E933" s="193"/>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row>
    <row r="934" ht="15.75" customHeight="1">
      <c r="A934" s="107"/>
      <c r="B934" s="108"/>
      <c r="C934" s="107"/>
      <c r="D934" s="107"/>
      <c r="E934" s="193"/>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row>
    <row r="935" ht="15.75" customHeight="1">
      <c r="A935" s="107"/>
      <c r="B935" s="108"/>
      <c r="C935" s="107"/>
      <c r="D935" s="107"/>
      <c r="E935" s="193"/>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row>
    <row r="936" ht="15.75" customHeight="1">
      <c r="A936" s="107"/>
      <c r="B936" s="108"/>
      <c r="C936" s="107"/>
      <c r="D936" s="107"/>
      <c r="E936" s="193"/>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row>
    <row r="937" ht="15.75" customHeight="1">
      <c r="A937" s="107"/>
      <c r="B937" s="108"/>
      <c r="C937" s="107"/>
      <c r="D937" s="107"/>
      <c r="E937" s="193"/>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row>
    <row r="938" ht="15.75" customHeight="1">
      <c r="A938" s="107"/>
      <c r="B938" s="108"/>
      <c r="C938" s="107"/>
      <c r="D938" s="107"/>
      <c r="E938" s="193"/>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row>
    <row r="939" ht="15.75" customHeight="1">
      <c r="A939" s="107"/>
      <c r="B939" s="108"/>
      <c r="C939" s="107"/>
      <c r="D939" s="107"/>
      <c r="E939" s="193"/>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row>
    <row r="940" ht="15.75" customHeight="1">
      <c r="A940" s="107"/>
      <c r="B940" s="108"/>
      <c r="C940" s="107"/>
      <c r="D940" s="107"/>
      <c r="E940" s="193"/>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row>
    <row r="941" ht="15.75" customHeight="1">
      <c r="A941" s="107"/>
      <c r="B941" s="108"/>
      <c r="C941" s="107"/>
      <c r="D941" s="107"/>
      <c r="E941" s="193"/>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row>
    <row r="942" ht="15.75" customHeight="1">
      <c r="A942" s="107"/>
      <c r="B942" s="108"/>
      <c r="C942" s="107"/>
      <c r="D942" s="107"/>
      <c r="E942" s="193"/>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row>
    <row r="943" ht="15.75" customHeight="1">
      <c r="A943" s="107"/>
      <c r="B943" s="108"/>
      <c r="C943" s="107"/>
      <c r="D943" s="107"/>
      <c r="E943" s="193"/>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row>
    <row r="944" ht="15.75" customHeight="1">
      <c r="A944" s="107"/>
      <c r="B944" s="108"/>
      <c r="C944" s="107"/>
      <c r="D944" s="107"/>
      <c r="E944" s="193"/>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row>
    <row r="945" ht="15.75" customHeight="1">
      <c r="A945" s="107"/>
      <c r="B945" s="108"/>
      <c r="C945" s="107"/>
      <c r="D945" s="107"/>
      <c r="E945" s="193"/>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row>
    <row r="946" ht="15.75" customHeight="1">
      <c r="A946" s="107"/>
      <c r="B946" s="108"/>
      <c r="C946" s="107"/>
      <c r="D946" s="107"/>
      <c r="E946" s="193"/>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row>
    <row r="947" ht="15.75" customHeight="1">
      <c r="A947" s="107"/>
      <c r="B947" s="108"/>
      <c r="C947" s="107"/>
      <c r="D947" s="107"/>
      <c r="E947" s="193"/>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row>
    <row r="948" ht="15.75" customHeight="1">
      <c r="A948" s="107"/>
      <c r="B948" s="108"/>
      <c r="C948" s="107"/>
      <c r="D948" s="107"/>
      <c r="E948" s="193"/>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row>
    <row r="949" ht="15.75" customHeight="1">
      <c r="A949" s="107"/>
      <c r="B949" s="108"/>
      <c r="C949" s="107"/>
      <c r="D949" s="107"/>
      <c r="E949" s="193"/>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row>
    <row r="950" ht="15.75" customHeight="1">
      <c r="A950" s="107"/>
      <c r="B950" s="108"/>
      <c r="C950" s="107"/>
      <c r="D950" s="107"/>
      <c r="E950" s="193"/>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row>
    <row r="951" ht="15.75" customHeight="1">
      <c r="A951" s="107"/>
      <c r="B951" s="108"/>
      <c r="C951" s="107"/>
      <c r="D951" s="107"/>
      <c r="E951" s="193"/>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row>
    <row r="952" ht="15.75" customHeight="1">
      <c r="A952" s="107"/>
      <c r="B952" s="108"/>
      <c r="C952" s="107"/>
      <c r="D952" s="107"/>
      <c r="E952" s="193"/>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row>
    <row r="953" ht="15.75" customHeight="1">
      <c r="A953" s="107"/>
      <c r="B953" s="108"/>
      <c r="C953" s="107"/>
      <c r="D953" s="107"/>
      <c r="E953" s="193"/>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row>
    <row r="954" ht="15.75" customHeight="1">
      <c r="A954" s="107"/>
      <c r="B954" s="108"/>
      <c r="C954" s="107"/>
      <c r="D954" s="107"/>
      <c r="E954" s="193"/>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row>
    <row r="955" ht="15.75" customHeight="1">
      <c r="A955" s="107"/>
      <c r="B955" s="108"/>
      <c r="C955" s="107"/>
      <c r="D955" s="107"/>
      <c r="E955" s="193"/>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row>
    <row r="956" ht="15.75" customHeight="1">
      <c r="A956" s="107"/>
      <c r="B956" s="108"/>
      <c r="C956" s="107"/>
      <c r="D956" s="107"/>
      <c r="E956" s="193"/>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row>
    <row r="957" ht="15.75" customHeight="1">
      <c r="A957" s="107"/>
      <c r="B957" s="108"/>
      <c r="C957" s="107"/>
      <c r="D957" s="107"/>
      <c r="E957" s="193"/>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row>
    <row r="958" ht="15.75" customHeight="1">
      <c r="A958" s="107"/>
      <c r="B958" s="108"/>
      <c r="C958" s="107"/>
      <c r="D958" s="107"/>
      <c r="E958" s="193"/>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row>
    <row r="959" ht="15.75" customHeight="1">
      <c r="A959" s="107"/>
      <c r="B959" s="108"/>
      <c r="C959" s="107"/>
      <c r="D959" s="107"/>
      <c r="E959" s="193"/>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row>
    <row r="960" ht="15.75" customHeight="1">
      <c r="A960" s="107"/>
      <c r="B960" s="108"/>
      <c r="C960" s="107"/>
      <c r="D960" s="107"/>
      <c r="E960" s="193"/>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row>
    <row r="961" ht="15.75" customHeight="1">
      <c r="A961" s="107"/>
      <c r="B961" s="108"/>
      <c r="C961" s="107"/>
      <c r="D961" s="107"/>
      <c r="E961" s="193"/>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row>
    <row r="962" ht="15.75" customHeight="1">
      <c r="A962" s="107"/>
      <c r="B962" s="108"/>
      <c r="C962" s="107"/>
      <c r="D962" s="107"/>
      <c r="E962" s="193"/>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row>
    <row r="963" ht="15.75" customHeight="1">
      <c r="A963" s="107"/>
      <c r="B963" s="108"/>
      <c r="C963" s="107"/>
      <c r="D963" s="107"/>
      <c r="E963" s="193"/>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row>
    <row r="964" ht="15.75" customHeight="1">
      <c r="A964" s="107"/>
      <c r="B964" s="108"/>
      <c r="C964" s="107"/>
      <c r="D964" s="107"/>
      <c r="E964" s="193"/>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row>
    <row r="965" ht="15.75" customHeight="1">
      <c r="A965" s="107"/>
      <c r="B965" s="108"/>
      <c r="C965" s="107"/>
      <c r="D965" s="107"/>
      <c r="E965" s="193"/>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row>
    <row r="966" ht="15.75" customHeight="1">
      <c r="A966" s="107"/>
      <c r="B966" s="108"/>
      <c r="C966" s="107"/>
      <c r="D966" s="107"/>
      <c r="E966" s="193"/>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row>
    <row r="967" ht="15.75" customHeight="1">
      <c r="A967" s="107"/>
      <c r="B967" s="108"/>
      <c r="C967" s="107"/>
      <c r="D967" s="107"/>
      <c r="E967" s="193"/>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row>
    <row r="968" ht="15.75" customHeight="1">
      <c r="A968" s="107"/>
      <c r="B968" s="108"/>
      <c r="C968" s="107"/>
      <c r="D968" s="107"/>
      <c r="E968" s="193"/>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row>
    <row r="969" ht="15.75" customHeight="1">
      <c r="A969" s="107"/>
      <c r="B969" s="108"/>
      <c r="C969" s="107"/>
      <c r="D969" s="107"/>
      <c r="E969" s="193"/>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row>
    <row r="970" ht="15.75" customHeight="1">
      <c r="A970" s="107"/>
      <c r="B970" s="108"/>
      <c r="C970" s="107"/>
      <c r="D970" s="107"/>
      <c r="E970" s="193"/>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row>
    <row r="971" ht="15.75" customHeight="1">
      <c r="A971" s="107"/>
      <c r="B971" s="108"/>
      <c r="C971" s="107"/>
      <c r="D971" s="107"/>
      <c r="E971" s="193"/>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row>
    <row r="972" ht="15.75" customHeight="1">
      <c r="A972" s="107"/>
      <c r="B972" s="108"/>
      <c r="C972" s="107"/>
      <c r="D972" s="107"/>
      <c r="E972" s="193"/>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row>
    <row r="973" ht="15.75" customHeight="1">
      <c r="A973" s="107"/>
      <c r="B973" s="108"/>
      <c r="C973" s="107"/>
      <c r="D973" s="107"/>
      <c r="E973" s="193"/>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row>
    <row r="974" ht="15.75" customHeight="1">
      <c r="A974" s="107"/>
      <c r="B974" s="108"/>
      <c r="C974" s="107"/>
      <c r="D974" s="107"/>
      <c r="E974" s="193"/>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row>
    <row r="975" ht="15.75" customHeight="1">
      <c r="A975" s="107"/>
      <c r="B975" s="108"/>
      <c r="C975" s="107"/>
      <c r="D975" s="107"/>
      <c r="E975" s="193"/>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row>
    <row r="976" ht="15.75" customHeight="1">
      <c r="A976" s="107"/>
      <c r="B976" s="108"/>
      <c r="C976" s="107"/>
      <c r="D976" s="107"/>
      <c r="E976" s="193"/>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row>
    <row r="977" ht="15.75" customHeight="1">
      <c r="A977" s="107"/>
      <c r="B977" s="108"/>
      <c r="C977" s="107"/>
      <c r="D977" s="107"/>
      <c r="E977" s="193"/>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row>
    <row r="978" ht="15.75" customHeight="1">
      <c r="A978" s="107"/>
      <c r="B978" s="108"/>
      <c r="C978" s="107"/>
      <c r="D978" s="107"/>
      <c r="E978" s="193"/>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row>
    <row r="979" ht="15.75" customHeight="1">
      <c r="A979" s="107"/>
      <c r="B979" s="108"/>
      <c r="C979" s="107"/>
      <c r="D979" s="107"/>
      <c r="E979" s="193"/>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row>
    <row r="980" ht="15.75" customHeight="1">
      <c r="A980" s="107"/>
      <c r="B980" s="108"/>
      <c r="C980" s="107"/>
      <c r="D980" s="107"/>
      <c r="E980" s="193"/>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row>
    <row r="981" ht="15.75" customHeight="1">
      <c r="A981" s="107"/>
      <c r="B981" s="108"/>
      <c r="C981" s="107"/>
      <c r="D981" s="107"/>
      <c r="E981" s="193"/>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row>
    <row r="982" ht="15.75" customHeight="1">
      <c r="A982" s="107"/>
      <c r="B982" s="108"/>
      <c r="C982" s="107"/>
      <c r="D982" s="107"/>
      <c r="E982" s="193"/>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row>
    <row r="983" ht="15.75" customHeight="1">
      <c r="A983" s="107"/>
      <c r="B983" s="108"/>
      <c r="C983" s="107"/>
      <c r="D983" s="107"/>
      <c r="E983" s="193"/>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row>
    <row r="984" ht="15.75" customHeight="1">
      <c r="A984" s="107"/>
      <c r="B984" s="108"/>
      <c r="C984" s="107"/>
      <c r="D984" s="107"/>
      <c r="E984" s="193"/>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row>
    <row r="985" ht="15.75" customHeight="1">
      <c r="A985" s="107"/>
      <c r="B985" s="108"/>
      <c r="C985" s="107"/>
      <c r="D985" s="107"/>
      <c r="E985" s="193"/>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row>
    <row r="986" ht="15.75" customHeight="1">
      <c r="A986" s="107"/>
      <c r="B986" s="108"/>
      <c r="C986" s="107"/>
      <c r="D986" s="107"/>
      <c r="E986" s="193"/>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row>
    <row r="987" ht="15.75" customHeight="1">
      <c r="A987" s="107"/>
      <c r="B987" s="108"/>
      <c r="C987" s="107"/>
      <c r="D987" s="107"/>
      <c r="E987" s="193"/>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row>
    <row r="988" ht="15.75" customHeight="1">
      <c r="A988" s="107"/>
      <c r="B988" s="108"/>
      <c r="C988" s="107"/>
      <c r="D988" s="107"/>
      <c r="E988" s="193"/>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row>
    <row r="989" ht="15.75" customHeight="1">
      <c r="A989" s="107"/>
      <c r="B989" s="108"/>
      <c r="C989" s="107"/>
      <c r="D989" s="107"/>
      <c r="E989" s="193"/>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row>
    <row r="990" ht="15.75" customHeight="1">
      <c r="A990" s="107"/>
      <c r="B990" s="108"/>
      <c r="C990" s="107"/>
      <c r="D990" s="107"/>
      <c r="E990" s="193"/>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row>
    <row r="991" ht="15.75" customHeight="1">
      <c r="A991" s="107"/>
      <c r="B991" s="108"/>
      <c r="C991" s="107"/>
      <c r="D991" s="107"/>
      <c r="E991" s="193"/>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row>
    <row r="992" ht="15.75" customHeight="1">
      <c r="A992" s="107"/>
      <c r="B992" s="108"/>
      <c r="C992" s="107"/>
      <c r="D992" s="107"/>
      <c r="E992" s="193"/>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row>
    <row r="993" ht="15.75" customHeight="1">
      <c r="A993" s="107"/>
      <c r="B993" s="108"/>
      <c r="C993" s="107"/>
      <c r="D993" s="107"/>
      <c r="E993" s="193"/>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row>
    <row r="994" ht="15.75" customHeight="1">
      <c r="A994" s="107"/>
      <c r="B994" s="108"/>
      <c r="C994" s="107"/>
      <c r="D994" s="107"/>
      <c r="E994" s="193"/>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row>
    <row r="995" ht="15.75" customHeight="1">
      <c r="A995" s="107"/>
      <c r="B995" s="108"/>
      <c r="C995" s="107"/>
      <c r="D995" s="107"/>
      <c r="E995" s="193"/>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row>
    <row r="996" ht="15.75" customHeight="1">
      <c r="A996" s="107"/>
      <c r="B996" s="108"/>
      <c r="C996" s="107"/>
      <c r="D996" s="107"/>
      <c r="E996" s="193"/>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row>
    <row r="997" ht="15.75" customHeight="1">
      <c r="A997" s="107"/>
      <c r="B997" s="108"/>
      <c r="C997" s="107"/>
      <c r="D997" s="107"/>
      <c r="E997" s="193"/>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row>
    <row r="998" ht="15.75" customHeight="1">
      <c r="A998" s="107"/>
      <c r="B998" s="108"/>
      <c r="C998" s="107"/>
      <c r="D998" s="107"/>
      <c r="E998" s="193"/>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row>
    <row r="999" ht="15.75" customHeight="1">
      <c r="A999" s="107"/>
      <c r="B999" s="108"/>
      <c r="C999" s="107"/>
      <c r="D999" s="107"/>
      <c r="E999" s="193"/>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row>
    <row r="1000" ht="15.75" customHeight="1">
      <c r="A1000" s="107"/>
      <c r="B1000" s="108"/>
      <c r="C1000" s="107"/>
      <c r="D1000" s="107"/>
      <c r="E1000" s="193"/>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row>
    <row r="1001" ht="15.75" customHeight="1">
      <c r="A1001" s="107"/>
      <c r="B1001" s="108"/>
      <c r="C1001" s="107"/>
      <c r="D1001" s="107"/>
      <c r="E1001" s="193"/>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c r="AE1001" s="28"/>
      <c r="AF1001" s="28"/>
    </row>
    <row r="1002" ht="15.75" customHeight="1">
      <c r="A1002" s="107"/>
      <c r="B1002" s="108"/>
      <c r="C1002" s="107"/>
      <c r="D1002" s="107"/>
      <c r="E1002" s="193"/>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c r="AE1002" s="28"/>
      <c r="AF1002" s="28"/>
    </row>
    <row r="1003" ht="15.75" customHeight="1">
      <c r="A1003" s="107"/>
      <c r="B1003" s="108"/>
      <c r="C1003" s="107"/>
      <c r="D1003" s="107"/>
      <c r="E1003" s="193"/>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c r="AE1003" s="28"/>
      <c r="AF1003" s="28"/>
    </row>
    <row r="1004" ht="15.75" customHeight="1">
      <c r="A1004" s="107"/>
      <c r="B1004" s="108"/>
      <c r="C1004" s="107"/>
      <c r="D1004" s="107"/>
      <c r="E1004" s="193"/>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c r="AE1004" s="28"/>
      <c r="AF1004" s="28"/>
    </row>
    <row r="1005" ht="15.75" customHeight="1">
      <c r="A1005" s="107"/>
      <c r="B1005" s="108"/>
      <c r="C1005" s="107"/>
      <c r="D1005" s="107"/>
      <c r="E1005" s="193"/>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c r="AE1005" s="28"/>
      <c r="AF1005" s="28"/>
    </row>
    <row r="1006" ht="15.75" customHeight="1">
      <c r="A1006" s="107"/>
      <c r="B1006" s="108"/>
      <c r="C1006" s="107"/>
      <c r="D1006" s="107"/>
      <c r="E1006" s="193"/>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c r="AE1006" s="28"/>
      <c r="AF1006" s="28"/>
    </row>
    <row r="1007" ht="15.75" customHeight="1">
      <c r="A1007" s="107"/>
      <c r="B1007" s="108"/>
      <c r="C1007" s="107"/>
      <c r="D1007" s="107"/>
      <c r="E1007" s="193"/>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c r="AE1007" s="28"/>
      <c r="AF1007" s="28"/>
    </row>
    <row r="1008" ht="15.75" customHeight="1">
      <c r="A1008" s="107"/>
      <c r="B1008" s="108"/>
      <c r="C1008" s="107"/>
      <c r="D1008" s="107"/>
      <c r="E1008" s="193"/>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c r="AE1008" s="28"/>
      <c r="AF1008" s="28"/>
    </row>
    <row r="1009" ht="15.75" customHeight="1">
      <c r="A1009" s="107"/>
      <c r="B1009" s="108"/>
      <c r="C1009" s="107"/>
      <c r="D1009" s="107"/>
      <c r="E1009" s="193"/>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c r="AB1009" s="28"/>
      <c r="AC1009" s="28"/>
      <c r="AD1009" s="28"/>
      <c r="AE1009" s="28"/>
      <c r="AF1009" s="28"/>
    </row>
    <row r="1010" ht="15.75" customHeight="1">
      <c r="A1010" s="107"/>
      <c r="B1010" s="108"/>
      <c r="C1010" s="107"/>
      <c r="D1010" s="107"/>
      <c r="E1010" s="193"/>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c r="AB1010" s="28"/>
      <c r="AC1010" s="28"/>
      <c r="AD1010" s="28"/>
      <c r="AE1010" s="28"/>
      <c r="AF1010" s="28"/>
    </row>
    <row r="1011" ht="15.75" customHeight="1">
      <c r="A1011" s="107"/>
      <c r="B1011" s="108"/>
      <c r="C1011" s="107"/>
      <c r="D1011" s="107"/>
      <c r="E1011" s="193"/>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c r="AB1011" s="28"/>
      <c r="AC1011" s="28"/>
      <c r="AD1011" s="28"/>
      <c r="AE1011" s="28"/>
      <c r="AF1011" s="28"/>
    </row>
    <row r="1012" ht="15.75" customHeight="1">
      <c r="A1012" s="107"/>
      <c r="B1012" s="108"/>
      <c r="C1012" s="107"/>
      <c r="D1012" s="107"/>
      <c r="E1012" s="193"/>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c r="AB1012" s="28"/>
      <c r="AC1012" s="28"/>
      <c r="AD1012" s="28"/>
      <c r="AE1012" s="28"/>
      <c r="AF1012" s="28"/>
    </row>
    <row r="1013" ht="15.75" customHeight="1">
      <c r="A1013" s="107"/>
      <c r="B1013" s="108"/>
      <c r="C1013" s="107"/>
      <c r="D1013" s="107"/>
      <c r="E1013" s="193"/>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c r="AB1013" s="28"/>
      <c r="AC1013" s="28"/>
      <c r="AD1013" s="28"/>
      <c r="AE1013" s="28"/>
      <c r="AF1013" s="28"/>
    </row>
    <row r="1014" ht="15.75" customHeight="1">
      <c r="A1014" s="107"/>
      <c r="B1014" s="108"/>
      <c r="C1014" s="107"/>
      <c r="D1014" s="107"/>
      <c r="E1014" s="193"/>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c r="AB1014" s="28"/>
      <c r="AC1014" s="28"/>
      <c r="AD1014" s="28"/>
      <c r="AE1014" s="28"/>
      <c r="AF1014" s="28"/>
    </row>
    <row r="1015" ht="15.75" customHeight="1">
      <c r="A1015" s="107"/>
      <c r="B1015" s="108"/>
      <c r="C1015" s="107"/>
      <c r="D1015" s="107"/>
      <c r="E1015" s="193"/>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c r="AB1015" s="28"/>
      <c r="AC1015" s="28"/>
      <c r="AD1015" s="28"/>
      <c r="AE1015" s="28"/>
      <c r="AF1015" s="28"/>
    </row>
    <row r="1016" ht="15.75" customHeight="1">
      <c r="A1016" s="107"/>
      <c r="B1016" s="108"/>
      <c r="C1016" s="107"/>
      <c r="D1016" s="107"/>
      <c r="E1016" s="193"/>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c r="AB1016" s="28"/>
      <c r="AC1016" s="28"/>
      <c r="AD1016" s="28"/>
      <c r="AE1016" s="28"/>
      <c r="AF1016" s="28"/>
    </row>
    <row r="1017" ht="15.75" customHeight="1">
      <c r="A1017" s="107"/>
      <c r="B1017" s="108"/>
      <c r="C1017" s="107"/>
      <c r="D1017" s="107"/>
      <c r="E1017" s="193"/>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c r="AB1017" s="28"/>
      <c r="AC1017" s="28"/>
      <c r="AD1017" s="28"/>
      <c r="AE1017" s="28"/>
      <c r="AF1017" s="28"/>
    </row>
    <row r="1018" ht="15.75" customHeight="1">
      <c r="A1018" s="107"/>
      <c r="B1018" s="108"/>
      <c r="C1018" s="107"/>
      <c r="D1018" s="107"/>
      <c r="E1018" s="193"/>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c r="AB1018" s="28"/>
      <c r="AC1018" s="28"/>
      <c r="AD1018" s="28"/>
      <c r="AE1018" s="28"/>
      <c r="AF1018" s="28"/>
    </row>
    <row r="1019" ht="15.75" customHeight="1">
      <c r="A1019" s="107"/>
      <c r="B1019" s="108"/>
      <c r="C1019" s="107"/>
      <c r="D1019" s="107"/>
      <c r="E1019" s="193"/>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c r="AB1019" s="28"/>
      <c r="AC1019" s="28"/>
      <c r="AD1019" s="28"/>
      <c r="AE1019" s="28"/>
      <c r="AF1019" s="28"/>
    </row>
    <row r="1020" ht="15.75" customHeight="1">
      <c r="A1020" s="107"/>
      <c r="B1020" s="108"/>
      <c r="C1020" s="107"/>
      <c r="D1020" s="107"/>
      <c r="E1020" s="193"/>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c r="AB1020" s="28"/>
      <c r="AC1020" s="28"/>
      <c r="AD1020" s="28"/>
      <c r="AE1020" s="28"/>
      <c r="AF1020" s="28"/>
    </row>
    <row r="1021" ht="15.75" customHeight="1">
      <c r="A1021" s="107"/>
      <c r="B1021" s="108"/>
      <c r="C1021" s="107"/>
      <c r="D1021" s="107"/>
      <c r="E1021" s="193"/>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c r="AB1021" s="28"/>
      <c r="AC1021" s="28"/>
      <c r="AD1021" s="28"/>
      <c r="AE1021" s="28"/>
      <c r="AF1021" s="28"/>
    </row>
    <row r="1022" ht="15.75" customHeight="1">
      <c r="A1022" s="107"/>
      <c r="B1022" s="108"/>
      <c r="C1022" s="107"/>
      <c r="D1022" s="107"/>
      <c r="E1022" s="193"/>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c r="AB1022" s="28"/>
      <c r="AC1022" s="28"/>
      <c r="AD1022" s="28"/>
      <c r="AE1022" s="28"/>
      <c r="AF1022" s="28"/>
    </row>
    <row r="1023" ht="15.75" customHeight="1">
      <c r="A1023" s="107"/>
      <c r="B1023" s="108"/>
      <c r="C1023" s="107"/>
      <c r="D1023" s="107"/>
      <c r="E1023" s="193"/>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row>
    <row r="1024" ht="15.75" customHeight="1">
      <c r="A1024" s="107"/>
      <c r="B1024" s="108"/>
      <c r="C1024" s="107"/>
      <c r="D1024" s="107"/>
      <c r="E1024" s="193"/>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c r="AB1024" s="28"/>
      <c r="AC1024" s="28"/>
      <c r="AD1024" s="28"/>
      <c r="AE1024" s="28"/>
      <c r="AF1024" s="28"/>
    </row>
    <row r="1025" ht="15.75" customHeight="1">
      <c r="A1025" s="107"/>
      <c r="B1025" s="108"/>
      <c r="C1025" s="107"/>
      <c r="D1025" s="107"/>
      <c r="E1025" s="193"/>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c r="AB1025" s="28"/>
      <c r="AC1025" s="28"/>
      <c r="AD1025" s="28"/>
      <c r="AE1025" s="28"/>
      <c r="AF1025" s="28"/>
    </row>
    <row r="1026" ht="15.75" customHeight="1">
      <c r="A1026" s="107"/>
      <c r="B1026" s="108"/>
      <c r="C1026" s="107"/>
      <c r="D1026" s="107"/>
      <c r="E1026" s="193"/>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c r="AB1026" s="28"/>
      <c r="AC1026" s="28"/>
      <c r="AD1026" s="28"/>
      <c r="AE1026" s="28"/>
      <c r="AF1026" s="28"/>
    </row>
    <row r="1027" ht="15.75" customHeight="1">
      <c r="A1027" s="107"/>
      <c r="B1027" s="108"/>
      <c r="C1027" s="107"/>
      <c r="D1027" s="107"/>
      <c r="E1027" s="193"/>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c r="AB1027" s="28"/>
      <c r="AC1027" s="28"/>
      <c r="AD1027" s="28"/>
      <c r="AE1027" s="28"/>
      <c r="AF1027" s="28"/>
    </row>
    <row r="1028" ht="15.75" customHeight="1">
      <c r="A1028" s="107"/>
      <c r="B1028" s="108"/>
      <c r="C1028" s="107"/>
      <c r="D1028" s="107"/>
      <c r="E1028" s="193"/>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c r="AB1028" s="28"/>
      <c r="AC1028" s="28"/>
      <c r="AD1028" s="28"/>
      <c r="AE1028" s="28"/>
      <c r="AF1028" s="28"/>
    </row>
    <row r="1029" ht="15.75" customHeight="1">
      <c r="A1029" s="107"/>
      <c r="B1029" s="108"/>
      <c r="C1029" s="107"/>
      <c r="D1029" s="107"/>
      <c r="E1029" s="193"/>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c r="AB1029" s="28"/>
      <c r="AC1029" s="28"/>
      <c r="AD1029" s="28"/>
      <c r="AE1029" s="28"/>
      <c r="AF1029" s="28"/>
    </row>
    <row r="1030" ht="15.75" customHeight="1">
      <c r="A1030" s="107"/>
      <c r="B1030" s="108"/>
      <c r="C1030" s="107"/>
      <c r="D1030" s="107"/>
      <c r="E1030" s="193"/>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c r="AB1030" s="28"/>
      <c r="AC1030" s="28"/>
      <c r="AD1030" s="28"/>
      <c r="AE1030" s="28"/>
      <c r="AF1030" s="28"/>
    </row>
    <row r="1031" ht="15.75" customHeight="1">
      <c r="A1031" s="107"/>
      <c r="B1031" s="108"/>
      <c r="C1031" s="107"/>
      <c r="D1031" s="107"/>
      <c r="E1031" s="193"/>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c r="AB1031" s="28"/>
      <c r="AC1031" s="28"/>
      <c r="AD1031" s="28"/>
      <c r="AE1031" s="28"/>
      <c r="AF1031" s="28"/>
    </row>
    <row r="1032" ht="15.75" customHeight="1">
      <c r="A1032" s="107"/>
      <c r="B1032" s="108"/>
      <c r="C1032" s="107"/>
      <c r="D1032" s="107"/>
      <c r="E1032" s="193"/>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c r="AB1032" s="28"/>
      <c r="AC1032" s="28"/>
      <c r="AD1032" s="28"/>
      <c r="AE1032" s="28"/>
      <c r="AF1032" s="28"/>
    </row>
    <row r="1033" ht="15.75" customHeight="1">
      <c r="A1033" s="107"/>
      <c r="B1033" s="108"/>
      <c r="C1033" s="107"/>
      <c r="D1033" s="107"/>
      <c r="E1033" s="193"/>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c r="AB1033" s="28"/>
      <c r="AC1033" s="28"/>
      <c r="AD1033" s="28"/>
      <c r="AE1033" s="28"/>
      <c r="AF1033" s="28"/>
    </row>
    <row r="1034" ht="15.75" customHeight="1">
      <c r="A1034" s="107"/>
      <c r="B1034" s="108"/>
      <c r="C1034" s="107"/>
      <c r="D1034" s="107"/>
      <c r="E1034" s="193"/>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c r="AB1034" s="28"/>
      <c r="AC1034" s="28"/>
      <c r="AD1034" s="28"/>
      <c r="AE1034" s="28"/>
      <c r="AF1034" s="28"/>
    </row>
    <row r="1035" ht="15.75" customHeight="1">
      <c r="A1035" s="107"/>
      <c r="B1035" s="108"/>
      <c r="C1035" s="107"/>
      <c r="D1035" s="107"/>
      <c r="E1035" s="193"/>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c r="AB1035" s="28"/>
      <c r="AC1035" s="28"/>
      <c r="AD1035" s="28"/>
      <c r="AE1035" s="28"/>
      <c r="AF1035" s="28"/>
    </row>
    <row r="1036" ht="15.75" customHeight="1">
      <c r="A1036" s="107"/>
      <c r="B1036" s="108"/>
      <c r="C1036" s="107"/>
      <c r="D1036" s="107"/>
      <c r="E1036" s="193"/>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c r="AB1036" s="28"/>
      <c r="AC1036" s="28"/>
      <c r="AD1036" s="28"/>
      <c r="AE1036" s="28"/>
      <c r="AF1036" s="28"/>
    </row>
    <row r="1037" ht="15.75" customHeight="1">
      <c r="A1037" s="107"/>
      <c r="B1037" s="108"/>
      <c r="C1037" s="107"/>
      <c r="D1037" s="107"/>
      <c r="E1037" s="193"/>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c r="AB1037" s="28"/>
      <c r="AC1037" s="28"/>
      <c r="AD1037" s="28"/>
      <c r="AE1037" s="28"/>
      <c r="AF1037" s="28"/>
    </row>
    <row r="1038" ht="15.75" customHeight="1">
      <c r="A1038" s="107"/>
      <c r="B1038" s="108"/>
      <c r="C1038" s="107"/>
      <c r="D1038" s="107"/>
      <c r="E1038" s="193"/>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c r="AB1038" s="28"/>
      <c r="AC1038" s="28"/>
      <c r="AD1038" s="28"/>
      <c r="AE1038" s="28"/>
      <c r="AF1038" s="28"/>
    </row>
    <row r="1039" ht="15.75" customHeight="1">
      <c r="A1039" s="107"/>
      <c r="B1039" s="108"/>
      <c r="C1039" s="107"/>
      <c r="D1039" s="107"/>
      <c r="E1039" s="193"/>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c r="AB1039" s="28"/>
      <c r="AC1039" s="28"/>
      <c r="AD1039" s="28"/>
      <c r="AE1039" s="28"/>
      <c r="AF1039" s="28"/>
    </row>
    <row r="1040" ht="15.75" customHeight="1">
      <c r="A1040" s="107"/>
      <c r="B1040" s="108"/>
      <c r="C1040" s="107"/>
      <c r="D1040" s="107"/>
      <c r="E1040" s="193"/>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c r="AB1040" s="28"/>
      <c r="AC1040" s="28"/>
      <c r="AD1040" s="28"/>
      <c r="AE1040" s="28"/>
      <c r="AF1040" s="28"/>
    </row>
    <row r="1041" ht="15.75" customHeight="1">
      <c r="A1041" s="107"/>
      <c r="B1041" s="108"/>
      <c r="C1041" s="107"/>
      <c r="D1041" s="107"/>
      <c r="E1041" s="193"/>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c r="AB1041" s="28"/>
      <c r="AC1041" s="28"/>
      <c r="AD1041" s="28"/>
      <c r="AE1041" s="28"/>
      <c r="AF1041" s="28"/>
    </row>
    <row r="1042" ht="15.75" customHeight="1">
      <c r="A1042" s="107"/>
      <c r="B1042" s="108"/>
      <c r="C1042" s="107"/>
      <c r="D1042" s="107"/>
      <c r="E1042" s="193"/>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c r="AB1042" s="28"/>
      <c r="AC1042" s="28"/>
      <c r="AD1042" s="28"/>
      <c r="AE1042" s="28"/>
      <c r="AF1042" s="28"/>
    </row>
    <row r="1043" ht="15.75" customHeight="1">
      <c r="A1043" s="107"/>
      <c r="B1043" s="108"/>
      <c r="C1043" s="107"/>
      <c r="D1043" s="107"/>
      <c r="E1043" s="193"/>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c r="AB1043" s="28"/>
      <c r="AC1043" s="28"/>
      <c r="AD1043" s="28"/>
      <c r="AE1043" s="28"/>
      <c r="AF1043" s="28"/>
    </row>
    <row r="1044" ht="15.75" customHeight="1">
      <c r="A1044" s="107"/>
      <c r="B1044" s="108"/>
      <c r="C1044" s="107"/>
      <c r="D1044" s="107"/>
      <c r="E1044" s="193"/>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c r="AB1044" s="28"/>
      <c r="AC1044" s="28"/>
      <c r="AD1044" s="28"/>
      <c r="AE1044" s="28"/>
      <c r="AF1044" s="28"/>
    </row>
    <row r="1045" ht="15.75" customHeight="1">
      <c r="A1045" s="107"/>
      <c r="B1045" s="108"/>
      <c r="C1045" s="107"/>
      <c r="D1045" s="107"/>
      <c r="E1045" s="193"/>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c r="AB1045" s="28"/>
      <c r="AC1045" s="28"/>
      <c r="AD1045" s="28"/>
      <c r="AE1045" s="28"/>
      <c r="AF1045" s="28"/>
    </row>
    <row r="1046" ht="15.75" customHeight="1">
      <c r="A1046" s="107"/>
      <c r="B1046" s="108"/>
      <c r="C1046" s="107"/>
      <c r="D1046" s="107"/>
      <c r="E1046" s="193"/>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c r="AB1046" s="28"/>
      <c r="AC1046" s="28"/>
      <c r="AD1046" s="28"/>
      <c r="AE1046" s="28"/>
      <c r="AF1046" s="28"/>
    </row>
    <row r="1047" ht="15.75" customHeight="1">
      <c r="A1047" s="107"/>
      <c r="B1047" s="108"/>
      <c r="C1047" s="107"/>
      <c r="D1047" s="107"/>
      <c r="E1047" s="193"/>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c r="AB1047" s="28"/>
      <c r="AC1047" s="28"/>
      <c r="AD1047" s="28"/>
      <c r="AE1047" s="28"/>
      <c r="AF1047" s="28"/>
    </row>
    <row r="1048" ht="15.75" customHeight="1">
      <c r="A1048" s="107"/>
      <c r="B1048" s="108"/>
      <c r="C1048" s="107"/>
      <c r="D1048" s="107"/>
      <c r="E1048" s="193"/>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c r="AB1048" s="28"/>
      <c r="AC1048" s="28"/>
      <c r="AD1048" s="28"/>
      <c r="AE1048" s="28"/>
      <c r="AF1048" s="28"/>
    </row>
    <row r="1049" ht="15.75" customHeight="1">
      <c r="A1049" s="107"/>
      <c r="B1049" s="108"/>
      <c r="C1049" s="107"/>
      <c r="D1049" s="107"/>
      <c r="E1049" s="193"/>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c r="AB1049" s="28"/>
      <c r="AC1049" s="28"/>
      <c r="AD1049" s="28"/>
      <c r="AE1049" s="28"/>
      <c r="AF1049" s="28"/>
    </row>
    <row r="1050" ht="15.75" customHeight="1">
      <c r="A1050" s="107"/>
      <c r="B1050" s="108"/>
      <c r="C1050" s="107"/>
      <c r="D1050" s="107"/>
      <c r="E1050" s="193"/>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c r="AB1050" s="28"/>
      <c r="AC1050" s="28"/>
      <c r="AD1050" s="28"/>
      <c r="AE1050" s="28"/>
      <c r="AF1050" s="28"/>
    </row>
    <row r="1051" ht="15.75" customHeight="1">
      <c r="A1051" s="107"/>
      <c r="B1051" s="108"/>
      <c r="C1051" s="107"/>
      <c r="D1051" s="107"/>
      <c r="E1051" s="193"/>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c r="AB1051" s="28"/>
      <c r="AC1051" s="28"/>
      <c r="AD1051" s="28"/>
      <c r="AE1051" s="28"/>
      <c r="AF1051" s="28"/>
    </row>
    <row r="1052" ht="15.75" customHeight="1">
      <c r="A1052" s="107"/>
      <c r="B1052" s="108"/>
      <c r="C1052" s="107"/>
      <c r="D1052" s="107"/>
      <c r="E1052" s="193"/>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c r="AB1052" s="28"/>
      <c r="AC1052" s="28"/>
      <c r="AD1052" s="28"/>
      <c r="AE1052" s="28"/>
      <c r="AF1052" s="28"/>
    </row>
    <row r="1053" ht="15.75" customHeight="1">
      <c r="A1053" s="107"/>
      <c r="B1053" s="108"/>
      <c r="C1053" s="107"/>
      <c r="D1053" s="107"/>
      <c r="E1053" s="193"/>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c r="AB1053" s="28"/>
      <c r="AC1053" s="28"/>
      <c r="AD1053" s="28"/>
      <c r="AE1053" s="28"/>
      <c r="AF1053" s="28"/>
    </row>
    <row r="1054" ht="15.75" customHeight="1">
      <c r="A1054" s="107"/>
      <c r="B1054" s="108"/>
      <c r="C1054" s="107"/>
      <c r="D1054" s="107"/>
      <c r="E1054" s="193"/>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c r="AB1054" s="28"/>
      <c r="AC1054" s="28"/>
      <c r="AD1054" s="28"/>
      <c r="AE1054" s="28"/>
      <c r="AF1054" s="28"/>
    </row>
    <row r="1055" ht="15.75" customHeight="1">
      <c r="A1055" s="107"/>
      <c r="B1055" s="108"/>
      <c r="C1055" s="107"/>
      <c r="D1055" s="107"/>
      <c r="E1055" s="193"/>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c r="AB1055" s="28"/>
      <c r="AC1055" s="28"/>
      <c r="AD1055" s="28"/>
      <c r="AE1055" s="28"/>
      <c r="AF1055" s="28"/>
    </row>
    <row r="1056" ht="15.75" customHeight="1">
      <c r="A1056" s="107"/>
      <c r="B1056" s="108"/>
      <c r="C1056" s="107"/>
      <c r="D1056" s="107"/>
      <c r="E1056" s="193"/>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c r="AB1056" s="28"/>
      <c r="AC1056" s="28"/>
      <c r="AD1056" s="28"/>
      <c r="AE1056" s="28"/>
      <c r="AF1056" s="28"/>
    </row>
    <row r="1057" ht="15.75" customHeight="1">
      <c r="A1057" s="107"/>
      <c r="B1057" s="108"/>
      <c r="C1057" s="107"/>
      <c r="D1057" s="107"/>
      <c r="E1057" s="193"/>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c r="AB1057" s="28"/>
      <c r="AC1057" s="28"/>
      <c r="AD1057" s="28"/>
      <c r="AE1057" s="28"/>
      <c r="AF1057" s="28"/>
    </row>
    <row r="1058" ht="15.75" customHeight="1">
      <c r="A1058" s="107"/>
      <c r="B1058" s="108"/>
      <c r="C1058" s="107"/>
      <c r="D1058" s="107"/>
      <c r="E1058" s="193"/>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c r="AB1058" s="28"/>
      <c r="AC1058" s="28"/>
      <c r="AD1058" s="28"/>
      <c r="AE1058" s="28"/>
      <c r="AF1058" s="28"/>
    </row>
    <row r="1059" ht="15.75" customHeight="1">
      <c r="A1059" s="107"/>
      <c r="B1059" s="108"/>
      <c r="C1059" s="107"/>
      <c r="D1059" s="107"/>
      <c r="E1059" s="193"/>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c r="AB1059" s="28"/>
      <c r="AC1059" s="28"/>
      <c r="AD1059" s="28"/>
      <c r="AE1059" s="28"/>
      <c r="AF1059" s="28"/>
    </row>
    <row r="1060" ht="15.75" customHeight="1">
      <c r="A1060" s="107"/>
      <c r="B1060" s="108"/>
      <c r="C1060" s="107"/>
      <c r="D1060" s="107"/>
      <c r="E1060" s="193"/>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c r="AB1060" s="28"/>
      <c r="AC1060" s="28"/>
      <c r="AD1060" s="28"/>
      <c r="AE1060" s="28"/>
      <c r="AF1060" s="28"/>
    </row>
    <row r="1061" ht="15.75" customHeight="1">
      <c r="A1061" s="107"/>
      <c r="B1061" s="108"/>
      <c r="C1061" s="107"/>
      <c r="D1061" s="107"/>
      <c r="E1061" s="193"/>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c r="AB1061" s="28"/>
      <c r="AC1061" s="28"/>
      <c r="AD1061" s="28"/>
      <c r="AE1061" s="28"/>
      <c r="AF1061" s="28"/>
    </row>
    <row r="1062" ht="15.75" customHeight="1">
      <c r="A1062" s="107"/>
      <c r="B1062" s="108"/>
      <c r="C1062" s="107"/>
      <c r="D1062" s="107"/>
      <c r="E1062" s="193"/>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c r="AB1062" s="28"/>
      <c r="AC1062" s="28"/>
      <c r="AD1062" s="28"/>
      <c r="AE1062" s="28"/>
      <c r="AF1062" s="28"/>
    </row>
    <row r="1063" ht="15.75" customHeight="1">
      <c r="A1063" s="107"/>
      <c r="B1063" s="108"/>
      <c r="C1063" s="107"/>
      <c r="D1063" s="107"/>
      <c r="E1063" s="193"/>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c r="AB1063" s="28"/>
      <c r="AC1063" s="28"/>
      <c r="AD1063" s="28"/>
      <c r="AE1063" s="28"/>
      <c r="AF1063" s="28"/>
    </row>
    <row r="1064" ht="15.75" customHeight="1">
      <c r="A1064" s="107"/>
      <c r="B1064" s="108"/>
      <c r="C1064" s="107"/>
      <c r="D1064" s="107"/>
      <c r="E1064" s="193"/>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c r="AB1064" s="28"/>
      <c r="AC1064" s="28"/>
      <c r="AD1064" s="28"/>
      <c r="AE1064" s="28"/>
      <c r="AF1064" s="28"/>
    </row>
    <row r="1065" ht="15.75" customHeight="1">
      <c r="A1065" s="107"/>
      <c r="B1065" s="108"/>
      <c r="C1065" s="107"/>
      <c r="D1065" s="107"/>
      <c r="E1065" s="193"/>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c r="AB1065" s="28"/>
      <c r="AC1065" s="28"/>
      <c r="AD1065" s="28"/>
      <c r="AE1065" s="28"/>
      <c r="AF1065" s="28"/>
    </row>
    <row r="1066" ht="15.75" customHeight="1">
      <c r="A1066" s="107"/>
      <c r="B1066" s="108"/>
      <c r="C1066" s="107"/>
      <c r="D1066" s="107"/>
      <c r="E1066" s="193"/>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c r="AB1066" s="28"/>
      <c r="AC1066" s="28"/>
      <c r="AD1066" s="28"/>
      <c r="AE1066" s="28"/>
      <c r="AF1066" s="28"/>
    </row>
    <row r="1067" ht="15.75" customHeight="1">
      <c r="A1067" s="107"/>
      <c r="B1067" s="108"/>
      <c r="C1067" s="107"/>
      <c r="D1067" s="107"/>
      <c r="E1067" s="193"/>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c r="AB1067" s="28"/>
      <c r="AC1067" s="28"/>
      <c r="AD1067" s="28"/>
      <c r="AE1067" s="28"/>
      <c r="AF1067" s="28"/>
    </row>
    <row r="1068" ht="15.75" customHeight="1">
      <c r="A1068" s="107"/>
      <c r="B1068" s="108"/>
      <c r="C1068" s="107"/>
      <c r="D1068" s="107"/>
      <c r="E1068" s="193"/>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c r="AB1068" s="28"/>
      <c r="AC1068" s="28"/>
      <c r="AD1068" s="28"/>
      <c r="AE1068" s="28"/>
      <c r="AF1068" s="28"/>
    </row>
    <row r="1069" ht="15.75" customHeight="1">
      <c r="A1069" s="107"/>
      <c r="B1069" s="108"/>
      <c r="C1069" s="107"/>
      <c r="D1069" s="107"/>
      <c r="E1069" s="193"/>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c r="AB1069" s="28"/>
      <c r="AC1069" s="28"/>
      <c r="AD1069" s="28"/>
      <c r="AE1069" s="28"/>
      <c r="AF1069" s="28"/>
    </row>
    <row r="1070" ht="15.75" customHeight="1">
      <c r="A1070" s="107"/>
      <c r="B1070" s="108"/>
      <c r="C1070" s="107"/>
      <c r="D1070" s="107"/>
      <c r="E1070" s="193"/>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c r="AB1070" s="28"/>
      <c r="AC1070" s="28"/>
      <c r="AD1070" s="28"/>
      <c r="AE1070" s="28"/>
      <c r="AF1070" s="28"/>
    </row>
    <row r="1071" ht="15.75" customHeight="1">
      <c r="A1071" s="107"/>
      <c r="B1071" s="108"/>
      <c r="C1071" s="107"/>
      <c r="D1071" s="107"/>
      <c r="E1071" s="193"/>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c r="AB1071" s="28"/>
      <c r="AC1071" s="28"/>
      <c r="AD1071" s="28"/>
      <c r="AE1071" s="28"/>
      <c r="AF1071" s="28"/>
    </row>
    <row r="1072" ht="15.75" customHeight="1">
      <c r="A1072" s="107"/>
      <c r="B1072" s="108"/>
      <c r="C1072" s="107"/>
      <c r="D1072" s="107"/>
      <c r="E1072" s="193"/>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c r="AB1072" s="28"/>
      <c r="AC1072" s="28"/>
      <c r="AD1072" s="28"/>
      <c r="AE1072" s="28"/>
      <c r="AF1072" s="28"/>
    </row>
    <row r="1073" ht="15.75" customHeight="1">
      <c r="A1073" s="107"/>
      <c r="B1073" s="108"/>
      <c r="C1073" s="107"/>
      <c r="D1073" s="107"/>
      <c r="E1073" s="193"/>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c r="AB1073" s="28"/>
      <c r="AC1073" s="28"/>
      <c r="AD1073" s="28"/>
      <c r="AE1073" s="28"/>
      <c r="AF1073" s="28"/>
    </row>
    <row r="1074" ht="15.75" customHeight="1">
      <c r="A1074" s="107"/>
      <c r="B1074" s="108"/>
      <c r="C1074" s="107"/>
      <c r="D1074" s="107"/>
      <c r="E1074" s="193"/>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c r="AB1074" s="28"/>
      <c r="AC1074" s="28"/>
      <c r="AD1074" s="28"/>
      <c r="AE1074" s="28"/>
      <c r="AF1074" s="28"/>
    </row>
    <row r="1075" ht="15.75" customHeight="1">
      <c r="A1075" s="58"/>
      <c r="B1075" s="108"/>
      <c r="C1075" s="107"/>
      <c r="D1075" s="107"/>
      <c r="E1075" s="193"/>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c r="AB1075" s="28"/>
      <c r="AC1075" s="28"/>
      <c r="AD1075" s="28"/>
      <c r="AE1075" s="28"/>
      <c r="AF1075" s="28"/>
    </row>
  </sheetData>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9" t="s">
        <v>1</v>
      </c>
      <c r="B1" s="12" t="s">
        <v>12</v>
      </c>
      <c r="C1" s="16" t="s">
        <v>13</v>
      </c>
      <c r="D1" s="12" t="s">
        <v>21</v>
      </c>
      <c r="E1" s="12" t="s">
        <v>22</v>
      </c>
      <c r="F1" s="18" t="s">
        <v>23</v>
      </c>
      <c r="G1" s="20"/>
      <c r="H1" s="20"/>
      <c r="I1" s="20"/>
      <c r="J1" s="20"/>
      <c r="K1" s="20"/>
      <c r="L1" s="20"/>
      <c r="M1" s="20"/>
      <c r="N1" s="20"/>
      <c r="O1" s="20"/>
      <c r="P1" s="20"/>
      <c r="Q1" s="20"/>
      <c r="R1" s="20"/>
      <c r="S1" s="20"/>
      <c r="T1" s="20"/>
      <c r="U1" s="20"/>
      <c r="V1" s="20"/>
      <c r="W1" s="20"/>
      <c r="X1" s="20"/>
      <c r="Y1" s="20"/>
      <c r="Z1" s="20"/>
    </row>
    <row r="2" ht="15.75" customHeight="1">
      <c r="A2" s="24" t="s">
        <v>25</v>
      </c>
      <c r="B2" s="26" t="s">
        <v>29</v>
      </c>
      <c r="C2" s="37" t="str">
        <f>TEXT(YEAR(NOW())-2000, "00") &amp; TEXT(MONTH(NOW()), "00") &amp; TEXT(DAY(NOW()), "00") &amp; TEXT(HOUR(NOW()), "00") &amp; TEXT(MINUTE(NOW()), "00")</f>
        <v>2608031048</v>
      </c>
      <c r="D2" s="39" t="s">
        <v>55</v>
      </c>
      <c r="E2" s="39" t="s">
        <v>55</v>
      </c>
      <c r="F2" s="37" t="s">
        <v>57</v>
      </c>
      <c r="G2" s="41"/>
      <c r="H2" s="41"/>
      <c r="I2" s="41"/>
      <c r="J2" s="41"/>
      <c r="K2" s="41"/>
      <c r="L2" s="41"/>
      <c r="M2" s="41"/>
      <c r="N2" s="41"/>
      <c r="O2" s="41"/>
      <c r="P2" s="41"/>
      <c r="Q2" s="41"/>
      <c r="R2" s="41"/>
      <c r="S2" s="41"/>
      <c r="T2" s="41"/>
      <c r="U2" s="41"/>
      <c r="V2" s="41"/>
      <c r="W2" s="41"/>
      <c r="X2" s="41"/>
      <c r="Y2" s="41"/>
      <c r="Z2" s="4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2" t="s">
        <v>2</v>
      </c>
      <c r="B1" s="4"/>
      <c r="C1" s="5"/>
      <c r="D1" s="7"/>
      <c r="E1" s="7"/>
      <c r="F1" s="7"/>
      <c r="G1" s="7"/>
      <c r="H1" s="7"/>
      <c r="I1" s="7"/>
      <c r="J1" s="7"/>
      <c r="K1" s="7"/>
      <c r="L1" s="7"/>
      <c r="M1" s="7"/>
      <c r="N1" s="7"/>
      <c r="O1" s="7"/>
      <c r="P1" s="7"/>
      <c r="Q1" s="7"/>
      <c r="R1" s="7"/>
      <c r="S1" s="7"/>
      <c r="T1" s="7"/>
      <c r="U1" s="7"/>
      <c r="V1" s="7"/>
      <c r="W1" s="7"/>
      <c r="X1" s="7"/>
      <c r="Y1" s="7"/>
      <c r="Z1" s="7"/>
      <c r="AA1" s="7"/>
      <c r="AB1" s="7"/>
      <c r="AC1" s="7"/>
      <c r="AD1" s="7"/>
      <c r="AE1" s="7"/>
    </row>
    <row r="2" ht="15.75" customHeight="1">
      <c r="A2" s="17"/>
      <c r="B2" s="19"/>
      <c r="C2" s="5"/>
      <c r="D2" s="7"/>
      <c r="E2" s="7"/>
      <c r="F2" s="7"/>
      <c r="G2" s="7"/>
      <c r="H2" s="7"/>
      <c r="I2" s="7"/>
      <c r="J2" s="7"/>
      <c r="K2" s="7"/>
      <c r="L2" s="7"/>
      <c r="M2" s="7"/>
      <c r="N2" s="7"/>
      <c r="O2" s="7"/>
      <c r="P2" s="7"/>
      <c r="Q2" s="7"/>
      <c r="R2" s="7"/>
      <c r="S2" s="7"/>
      <c r="T2" s="7"/>
      <c r="U2" s="7"/>
      <c r="V2" s="7"/>
      <c r="W2" s="7"/>
      <c r="X2" s="7"/>
      <c r="Y2" s="7"/>
      <c r="Z2" s="7"/>
      <c r="AA2" s="7"/>
      <c r="AB2" s="7"/>
      <c r="AC2" s="7"/>
      <c r="AD2" s="7"/>
      <c r="AE2" s="7"/>
    </row>
    <row r="3" ht="57.75" customHeight="1">
      <c r="A3" s="29" t="s">
        <v>38</v>
      </c>
      <c r="B3" s="19"/>
      <c r="C3" s="5"/>
      <c r="D3" s="7"/>
      <c r="E3" s="7"/>
      <c r="F3" s="7"/>
      <c r="G3" s="7"/>
      <c r="H3" s="7"/>
      <c r="I3" s="7"/>
      <c r="J3" s="7"/>
      <c r="K3" s="7"/>
      <c r="L3" s="7"/>
      <c r="M3" s="7"/>
      <c r="N3" s="7"/>
      <c r="O3" s="7"/>
      <c r="P3" s="7"/>
      <c r="Q3" s="7"/>
      <c r="R3" s="7"/>
      <c r="S3" s="7"/>
      <c r="T3" s="7"/>
      <c r="U3" s="7"/>
      <c r="V3" s="7"/>
      <c r="W3" s="7"/>
      <c r="X3" s="7"/>
      <c r="Y3" s="7"/>
      <c r="Z3" s="7"/>
      <c r="AA3" s="7"/>
      <c r="AB3" s="7"/>
      <c r="AC3" s="7"/>
      <c r="AD3" s="7"/>
      <c r="AE3" s="7"/>
    </row>
    <row r="4" ht="15.75" customHeight="1">
      <c r="A4" s="35" t="s">
        <v>53</v>
      </c>
      <c r="B4" s="36"/>
      <c r="C4" s="5"/>
      <c r="D4" s="7"/>
      <c r="E4" s="7"/>
      <c r="F4" s="7"/>
      <c r="G4" s="7"/>
      <c r="H4" s="7"/>
      <c r="I4" s="7"/>
      <c r="J4" s="7"/>
      <c r="K4" s="7"/>
      <c r="L4" s="7"/>
      <c r="M4" s="7"/>
      <c r="N4" s="7"/>
      <c r="O4" s="7"/>
      <c r="P4" s="7"/>
      <c r="Q4" s="7"/>
      <c r="R4" s="7"/>
      <c r="S4" s="7"/>
      <c r="T4" s="7"/>
      <c r="U4" s="7"/>
      <c r="V4" s="7"/>
      <c r="W4" s="7"/>
      <c r="X4" s="7"/>
      <c r="Y4" s="7"/>
      <c r="Z4" s="7"/>
      <c r="AA4" s="7"/>
      <c r="AB4" s="7"/>
      <c r="AC4" s="7"/>
      <c r="AD4" s="7"/>
      <c r="AE4" s="7"/>
    </row>
    <row r="5" ht="15.75" customHeight="1">
      <c r="A5" s="7"/>
      <c r="B5" s="7"/>
      <c r="C5" s="5"/>
      <c r="D5" s="7"/>
      <c r="E5" s="7"/>
      <c r="F5" s="7"/>
      <c r="G5" s="7"/>
      <c r="H5" s="7"/>
      <c r="I5" s="7"/>
      <c r="J5" s="7"/>
      <c r="K5" s="7"/>
      <c r="L5" s="7"/>
      <c r="M5" s="7"/>
      <c r="N5" s="7"/>
      <c r="O5" s="7"/>
      <c r="P5" s="7"/>
      <c r="Q5" s="7"/>
      <c r="R5" s="7"/>
      <c r="S5" s="7"/>
      <c r="T5" s="7"/>
      <c r="U5" s="7"/>
      <c r="V5" s="7"/>
      <c r="W5" s="7"/>
      <c r="X5" s="7"/>
      <c r="Y5" s="7"/>
      <c r="Z5" s="7"/>
      <c r="AA5" s="7"/>
      <c r="AB5" s="7"/>
      <c r="AC5" s="7"/>
      <c r="AD5" s="7"/>
      <c r="AE5" s="7"/>
    </row>
    <row r="6" ht="18.0" customHeight="1">
      <c r="A6" s="43" t="s">
        <v>3</v>
      </c>
      <c r="B6" s="43" t="s">
        <v>14</v>
      </c>
      <c r="C6" s="45" t="s">
        <v>5</v>
      </c>
      <c r="D6" s="45" t="s">
        <v>58</v>
      </c>
      <c r="E6" s="43" t="s">
        <v>16</v>
      </c>
      <c r="F6" s="43" t="s">
        <v>61</v>
      </c>
      <c r="G6" s="43" t="s">
        <v>19</v>
      </c>
      <c r="H6" s="48" t="s">
        <v>20</v>
      </c>
      <c r="I6" s="43" t="s">
        <v>26</v>
      </c>
      <c r="J6" s="45" t="s">
        <v>28</v>
      </c>
      <c r="K6" s="45" t="s">
        <v>65</v>
      </c>
      <c r="L6" s="43" t="s">
        <v>34</v>
      </c>
      <c r="M6" s="43" t="s">
        <v>35</v>
      </c>
      <c r="N6" s="43" t="s">
        <v>36</v>
      </c>
      <c r="O6" s="43" t="s">
        <v>37</v>
      </c>
      <c r="P6" s="43" t="s">
        <v>67</v>
      </c>
      <c r="Q6" s="43" t="s">
        <v>39</v>
      </c>
      <c r="R6" s="43" t="s">
        <v>40</v>
      </c>
      <c r="S6" s="43" t="s">
        <v>41</v>
      </c>
      <c r="T6" s="43" t="s">
        <v>42</v>
      </c>
      <c r="U6" s="43" t="s">
        <v>43</v>
      </c>
      <c r="V6" s="43" t="s">
        <v>44</v>
      </c>
      <c r="W6" s="43" t="s">
        <v>69</v>
      </c>
      <c r="X6" s="43" t="s">
        <v>70</v>
      </c>
      <c r="Y6" s="43" t="s">
        <v>71</v>
      </c>
      <c r="Z6" s="43" t="s">
        <v>45</v>
      </c>
      <c r="AA6" s="43" t="s">
        <v>46</v>
      </c>
      <c r="AB6" s="43" t="s">
        <v>47</v>
      </c>
      <c r="AC6" s="43" t="s">
        <v>48</v>
      </c>
      <c r="AD6" s="43" t="s">
        <v>49</v>
      </c>
      <c r="AE6" s="57"/>
    </row>
    <row r="7" ht="15.75" customHeight="1">
      <c r="A7" s="59" t="s">
        <v>76</v>
      </c>
      <c r="B7" s="59" t="s">
        <v>78</v>
      </c>
      <c r="C7" s="59" t="s">
        <v>79</v>
      </c>
      <c r="D7" s="59" t="s">
        <v>83</v>
      </c>
      <c r="E7" s="59" t="s">
        <v>84</v>
      </c>
      <c r="F7" s="59" t="s">
        <v>85</v>
      </c>
      <c r="G7" s="61" t="s">
        <v>86</v>
      </c>
      <c r="H7" s="59" t="s">
        <v>87</v>
      </c>
      <c r="I7" s="59" t="s">
        <v>89</v>
      </c>
      <c r="J7" s="59" t="s">
        <v>90</v>
      </c>
      <c r="K7" s="59" t="s">
        <v>91</v>
      </c>
      <c r="L7" s="59" t="s">
        <v>92</v>
      </c>
      <c r="M7" s="59" t="s">
        <v>93</v>
      </c>
      <c r="N7" s="59" t="s">
        <v>94</v>
      </c>
      <c r="O7" s="59" t="s">
        <v>95</v>
      </c>
      <c r="P7" s="59" t="s">
        <v>96</v>
      </c>
      <c r="Q7" s="59" t="s">
        <v>98</v>
      </c>
      <c r="R7" s="59" t="s">
        <v>99</v>
      </c>
      <c r="S7" s="59" t="s">
        <v>100</v>
      </c>
      <c r="T7" s="59" t="s">
        <v>102</v>
      </c>
      <c r="U7" s="59" t="s">
        <v>103</v>
      </c>
      <c r="V7" s="59" t="s">
        <v>104</v>
      </c>
      <c r="W7" s="59" t="s">
        <v>105</v>
      </c>
      <c r="X7" s="59" t="s">
        <v>106</v>
      </c>
      <c r="Y7" s="59" t="s">
        <v>107</v>
      </c>
      <c r="Z7" s="65" t="s">
        <v>109</v>
      </c>
      <c r="AA7" s="59" t="s">
        <v>110</v>
      </c>
      <c r="AB7" s="59" t="s">
        <v>111</v>
      </c>
      <c r="AC7" s="59" t="s">
        <v>113</v>
      </c>
      <c r="AD7" s="59" t="s">
        <v>115</v>
      </c>
      <c r="AE7" s="69"/>
    </row>
    <row r="8" ht="15.75" customHeight="1">
      <c r="A8" s="70"/>
      <c r="B8" s="70"/>
      <c r="C8" s="70"/>
      <c r="D8" s="72" t="s">
        <v>120</v>
      </c>
      <c r="E8" s="70"/>
      <c r="F8" s="72" t="s">
        <v>120</v>
      </c>
      <c r="G8" s="76" t="s">
        <v>123</v>
      </c>
      <c r="H8" s="70"/>
      <c r="I8" s="76" t="s">
        <v>129</v>
      </c>
      <c r="J8" s="76" t="s">
        <v>129</v>
      </c>
      <c r="K8" s="70"/>
      <c r="L8" s="76" t="s">
        <v>131</v>
      </c>
      <c r="M8" s="76" t="s">
        <v>135</v>
      </c>
      <c r="N8" s="76" t="s">
        <v>135</v>
      </c>
      <c r="O8" s="76" t="s">
        <v>135</v>
      </c>
      <c r="P8" s="70"/>
      <c r="Q8" s="76" t="s">
        <v>135</v>
      </c>
      <c r="R8" s="76" t="s">
        <v>139</v>
      </c>
      <c r="S8" s="76" t="s">
        <v>140</v>
      </c>
      <c r="T8" s="76" t="s">
        <v>141</v>
      </c>
      <c r="U8" s="76" t="s">
        <v>135</v>
      </c>
      <c r="V8" s="76" t="s">
        <v>135</v>
      </c>
      <c r="W8" s="72" t="s">
        <v>120</v>
      </c>
      <c r="X8" s="72" t="s">
        <v>120</v>
      </c>
      <c r="Y8" s="72" t="s">
        <v>120</v>
      </c>
      <c r="Z8" s="76" t="s">
        <v>148</v>
      </c>
      <c r="AA8" s="76" t="s">
        <v>149</v>
      </c>
      <c r="AB8" s="76" t="s">
        <v>149</v>
      </c>
      <c r="AC8" s="85" t="s">
        <v>150</v>
      </c>
      <c r="AD8" s="76" t="s">
        <v>153</v>
      </c>
      <c r="AE8" s="69"/>
    </row>
    <row r="9" ht="15.75" customHeight="1">
      <c r="A9" s="7"/>
      <c r="B9" s="7"/>
      <c r="C9" s="5"/>
      <c r="D9" s="7"/>
      <c r="E9" s="7"/>
      <c r="F9" s="7"/>
      <c r="G9" s="7"/>
      <c r="H9" s="7"/>
      <c r="I9" s="7"/>
      <c r="J9" s="7"/>
      <c r="K9" s="7"/>
      <c r="L9" s="7"/>
      <c r="M9" s="7"/>
      <c r="N9" s="7"/>
      <c r="O9" s="7"/>
      <c r="P9" s="7"/>
      <c r="Q9" s="7"/>
      <c r="R9" s="7"/>
      <c r="S9" s="7"/>
      <c r="T9" s="7"/>
      <c r="U9" s="7"/>
      <c r="V9" s="7"/>
      <c r="W9" s="7"/>
      <c r="X9" s="7"/>
      <c r="Y9" s="7"/>
      <c r="Z9" s="7"/>
      <c r="AA9" s="7"/>
      <c r="AB9" s="7"/>
      <c r="AC9" s="7"/>
      <c r="AD9" s="7"/>
      <c r="AE9" s="7"/>
    </row>
    <row r="10" ht="15.75" customHeight="1">
      <c r="A10" s="87" t="s">
        <v>160</v>
      </c>
      <c r="B10" s="88"/>
      <c r="C10" s="89"/>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1"/>
    </row>
    <row r="11" ht="15.75" customHeight="1">
      <c r="A11" s="7"/>
      <c r="B11" s="7"/>
      <c r="C11" s="5"/>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row>
    <row r="12" ht="15.75" customHeight="1">
      <c r="A12" s="96" t="s">
        <v>173</v>
      </c>
      <c r="B12" s="97" t="s">
        <v>175</v>
      </c>
      <c r="C12" s="98" t="s">
        <v>176</v>
      </c>
      <c r="D12" s="97"/>
      <c r="E12" s="97"/>
      <c r="F12" s="97"/>
      <c r="G12" s="97"/>
      <c r="H12" s="97" t="s">
        <v>180</v>
      </c>
      <c r="I12" s="97"/>
      <c r="J12" s="97"/>
      <c r="K12" s="97"/>
      <c r="L12" s="97"/>
      <c r="M12" s="97"/>
      <c r="N12" s="97"/>
      <c r="O12" s="97"/>
      <c r="P12" s="97"/>
      <c r="Q12" s="97"/>
      <c r="R12" s="97"/>
      <c r="S12" s="97"/>
      <c r="T12" s="97"/>
      <c r="U12" s="97"/>
      <c r="V12" s="97"/>
      <c r="W12" s="97"/>
      <c r="X12" s="97"/>
      <c r="Y12" s="97"/>
      <c r="Z12" s="97"/>
      <c r="AA12" s="97"/>
      <c r="AB12" s="97"/>
      <c r="AC12" s="97"/>
      <c r="AD12" s="97"/>
      <c r="AE12" s="91"/>
    </row>
    <row r="13" ht="15.75" customHeight="1">
      <c r="A13" s="96" t="s">
        <v>173</v>
      </c>
      <c r="B13" s="97" t="s">
        <v>175</v>
      </c>
      <c r="C13" s="98" t="s">
        <v>184</v>
      </c>
      <c r="D13" s="97"/>
      <c r="E13" s="97"/>
      <c r="F13" s="97"/>
      <c r="G13" s="97"/>
      <c r="H13" s="98" t="s">
        <v>190</v>
      </c>
      <c r="I13" s="97"/>
      <c r="J13" s="97"/>
      <c r="K13" s="97"/>
      <c r="L13" s="97"/>
      <c r="M13" s="97"/>
      <c r="N13" s="97"/>
      <c r="O13" s="97"/>
      <c r="P13" s="97"/>
      <c r="Q13" s="97"/>
      <c r="R13" s="97"/>
      <c r="S13" s="97"/>
      <c r="T13" s="97"/>
      <c r="U13" s="97"/>
      <c r="V13" s="97"/>
      <c r="W13" s="97"/>
      <c r="X13" s="97"/>
      <c r="Y13" s="97"/>
      <c r="Z13" s="97"/>
      <c r="AA13" s="97"/>
      <c r="AB13" s="97"/>
      <c r="AC13" s="97"/>
      <c r="AD13" s="97"/>
      <c r="AE13" s="91"/>
    </row>
    <row r="14" ht="15.75" customHeight="1">
      <c r="A14" s="96" t="s">
        <v>173</v>
      </c>
      <c r="B14" s="97" t="s">
        <v>175</v>
      </c>
      <c r="C14" s="98" t="s">
        <v>197</v>
      </c>
      <c r="D14" s="97"/>
      <c r="E14" s="97"/>
      <c r="F14" s="97"/>
      <c r="G14" s="97"/>
      <c r="H14" s="97" t="s">
        <v>201</v>
      </c>
      <c r="I14" s="97"/>
      <c r="J14" s="97"/>
      <c r="K14" s="97"/>
      <c r="L14" s="97"/>
      <c r="M14" s="97"/>
      <c r="N14" s="97"/>
      <c r="O14" s="97"/>
      <c r="P14" s="97"/>
      <c r="Q14" s="97"/>
      <c r="R14" s="97"/>
      <c r="S14" s="97"/>
      <c r="T14" s="97"/>
      <c r="U14" s="97"/>
      <c r="V14" s="97"/>
      <c r="W14" s="97"/>
      <c r="X14" s="97"/>
      <c r="Y14" s="97"/>
      <c r="Z14" s="97"/>
      <c r="AA14" s="97"/>
      <c r="AB14" s="97"/>
      <c r="AC14" s="97"/>
      <c r="AD14" s="97"/>
      <c r="AE14" s="91"/>
    </row>
    <row r="15" ht="15.75" customHeight="1">
      <c r="A15" s="96" t="s">
        <v>173</v>
      </c>
      <c r="B15" s="97" t="s">
        <v>175</v>
      </c>
      <c r="C15" s="98" t="s">
        <v>197</v>
      </c>
      <c r="D15" s="97"/>
      <c r="E15" s="97"/>
      <c r="F15" s="97"/>
      <c r="G15" s="97"/>
      <c r="H15" s="97" t="s">
        <v>212</v>
      </c>
      <c r="I15" s="97"/>
      <c r="J15" s="97"/>
      <c r="K15" s="97"/>
      <c r="L15" s="97"/>
      <c r="M15" s="97"/>
      <c r="N15" s="97"/>
      <c r="O15" s="97"/>
      <c r="P15" s="97"/>
      <c r="Q15" s="97"/>
      <c r="R15" s="97"/>
      <c r="S15" s="97"/>
      <c r="T15" s="97"/>
      <c r="U15" s="97"/>
      <c r="V15" s="97"/>
      <c r="W15" s="97"/>
      <c r="X15" s="97"/>
      <c r="Y15" s="97"/>
      <c r="Z15" s="97"/>
      <c r="AA15" s="97"/>
      <c r="AB15" s="97"/>
      <c r="AC15" s="97"/>
      <c r="AD15" s="97"/>
      <c r="AE15" s="91"/>
    </row>
    <row r="16" ht="15.75" customHeight="1">
      <c r="A16" s="96" t="s">
        <v>220</v>
      </c>
      <c r="B16" s="97" t="s">
        <v>175</v>
      </c>
      <c r="C16" s="98" t="s">
        <v>221</v>
      </c>
      <c r="D16" s="96"/>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1"/>
    </row>
    <row r="17" ht="15.75" customHeight="1">
      <c r="A17" s="96" t="s">
        <v>220</v>
      </c>
      <c r="B17" s="97" t="s">
        <v>175</v>
      </c>
      <c r="C17" s="98" t="s">
        <v>232</v>
      </c>
      <c r="D17" s="97"/>
      <c r="E17" s="97"/>
      <c r="F17" s="97"/>
      <c r="G17" s="97"/>
      <c r="H17" s="97" t="s">
        <v>238</v>
      </c>
      <c r="I17" s="97"/>
      <c r="J17" s="97"/>
      <c r="K17" s="97"/>
      <c r="L17" s="97"/>
      <c r="M17" s="97"/>
      <c r="N17" s="97"/>
      <c r="O17" s="97"/>
      <c r="P17" s="97"/>
      <c r="Q17" s="97"/>
      <c r="R17" s="97"/>
      <c r="S17" s="97"/>
      <c r="T17" s="97"/>
      <c r="U17" s="97"/>
      <c r="V17" s="97"/>
      <c r="W17" s="97"/>
      <c r="X17" s="97"/>
      <c r="Y17" s="97"/>
      <c r="Z17" s="97"/>
      <c r="AA17" s="97"/>
      <c r="AB17" s="97"/>
      <c r="AC17" s="97"/>
      <c r="AD17" s="97"/>
      <c r="AE17" s="91"/>
    </row>
    <row r="18" ht="15.75" customHeight="1">
      <c r="A18" s="96" t="s">
        <v>247</v>
      </c>
      <c r="B18" s="97" t="s">
        <v>175</v>
      </c>
      <c r="C18" s="98" t="s">
        <v>252</v>
      </c>
      <c r="D18" s="96"/>
      <c r="E18" s="97"/>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c r="AE18" s="91"/>
    </row>
    <row r="19" ht="15.75" customHeight="1">
      <c r="A19" s="96" t="s">
        <v>261</v>
      </c>
      <c r="B19" s="97" t="s">
        <v>175</v>
      </c>
      <c r="C19" s="98" t="s">
        <v>265</v>
      </c>
      <c r="D19" s="96"/>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1"/>
    </row>
    <row r="20" ht="15.75" customHeight="1">
      <c r="A20" s="96" t="s">
        <v>277</v>
      </c>
      <c r="B20" s="97" t="s">
        <v>175</v>
      </c>
      <c r="C20" s="98" t="s">
        <v>280</v>
      </c>
      <c r="D20" s="96"/>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1"/>
    </row>
    <row r="21" ht="15.75" customHeight="1">
      <c r="A21" s="96" t="s">
        <v>277</v>
      </c>
      <c r="B21" s="97" t="s">
        <v>175</v>
      </c>
      <c r="C21" s="98" t="s">
        <v>286</v>
      </c>
      <c r="D21" s="97"/>
      <c r="E21" s="97"/>
      <c r="F21" s="97"/>
      <c r="G21" s="97"/>
      <c r="H21" s="97" t="s">
        <v>287</v>
      </c>
      <c r="I21" s="97"/>
      <c r="J21" s="97"/>
      <c r="K21" s="97"/>
      <c r="L21" s="97"/>
      <c r="M21" s="97"/>
      <c r="N21" s="97"/>
      <c r="O21" s="97"/>
      <c r="P21" s="97"/>
      <c r="Q21" s="97"/>
      <c r="R21" s="97"/>
      <c r="S21" s="97"/>
      <c r="T21" s="97"/>
      <c r="U21" s="97"/>
      <c r="V21" s="97"/>
      <c r="W21" s="97"/>
      <c r="X21" s="97"/>
      <c r="Y21" s="97"/>
      <c r="Z21" s="97"/>
      <c r="AA21" s="97"/>
      <c r="AB21" s="97"/>
      <c r="AC21" s="97"/>
      <c r="AD21" s="97"/>
      <c r="AE21" s="91"/>
    </row>
    <row r="22" ht="15.75" customHeight="1">
      <c r="A22" s="96" t="s">
        <v>277</v>
      </c>
      <c r="B22" s="97" t="s">
        <v>175</v>
      </c>
      <c r="C22" s="98" t="s">
        <v>296</v>
      </c>
      <c r="D22" s="97"/>
      <c r="E22" s="97"/>
      <c r="F22" s="97"/>
      <c r="G22" s="97"/>
      <c r="H22" s="97" t="s">
        <v>297</v>
      </c>
      <c r="I22" s="97"/>
      <c r="J22" s="97"/>
      <c r="K22" s="97"/>
      <c r="L22" s="97"/>
      <c r="M22" s="97"/>
      <c r="N22" s="97"/>
      <c r="O22" s="97"/>
      <c r="P22" s="97"/>
      <c r="Q22" s="97"/>
      <c r="R22" s="97"/>
      <c r="S22" s="97"/>
      <c r="T22" s="97"/>
      <c r="U22" s="97"/>
      <c r="V22" s="97"/>
      <c r="W22" s="97"/>
      <c r="X22" s="97"/>
      <c r="Y22" s="97"/>
      <c r="Z22" s="97"/>
      <c r="AA22" s="97"/>
      <c r="AB22" s="97"/>
      <c r="AC22" s="97"/>
      <c r="AD22" s="97"/>
      <c r="AE22" s="91"/>
    </row>
    <row r="23" ht="15.75" customHeight="1">
      <c r="A23" s="96" t="s">
        <v>277</v>
      </c>
      <c r="B23" s="97" t="s">
        <v>175</v>
      </c>
      <c r="C23" s="98" t="s">
        <v>312</v>
      </c>
      <c r="D23" s="97"/>
      <c r="E23" s="97"/>
      <c r="F23" s="97"/>
      <c r="G23" s="97"/>
      <c r="H23" s="97" t="s">
        <v>319</v>
      </c>
      <c r="I23" s="97"/>
      <c r="J23" s="97"/>
      <c r="K23" s="97"/>
      <c r="L23" s="97"/>
      <c r="M23" s="97"/>
      <c r="N23" s="97"/>
      <c r="O23" s="97"/>
      <c r="P23" s="97"/>
      <c r="Q23" s="97"/>
      <c r="R23" s="97"/>
      <c r="S23" s="97"/>
      <c r="T23" s="97"/>
      <c r="U23" s="97"/>
      <c r="V23" s="97"/>
      <c r="W23" s="97"/>
      <c r="X23" s="97"/>
      <c r="Y23" s="97"/>
      <c r="Z23" s="97"/>
      <c r="AA23" s="97"/>
      <c r="AB23" s="97"/>
      <c r="AC23" s="97"/>
      <c r="AD23" s="97"/>
      <c r="AE23" s="91"/>
    </row>
    <row r="24" ht="15.75" customHeight="1">
      <c r="A24" s="96" t="s">
        <v>277</v>
      </c>
      <c r="B24" s="97" t="s">
        <v>175</v>
      </c>
      <c r="C24" s="98" t="s">
        <v>329</v>
      </c>
      <c r="D24" s="97"/>
      <c r="E24" s="97"/>
      <c r="F24" s="97"/>
      <c r="G24" s="97"/>
      <c r="H24" s="97" t="s">
        <v>330</v>
      </c>
      <c r="I24" s="97"/>
      <c r="J24" s="97"/>
      <c r="K24" s="97"/>
      <c r="L24" s="97"/>
      <c r="M24" s="97"/>
      <c r="N24" s="97"/>
      <c r="O24" s="97"/>
      <c r="P24" s="97"/>
      <c r="Q24" s="97"/>
      <c r="R24" s="97"/>
      <c r="S24" s="97"/>
      <c r="T24" s="97"/>
      <c r="U24" s="97"/>
      <c r="V24" s="97"/>
      <c r="W24" s="97"/>
      <c r="X24" s="97"/>
      <c r="Y24" s="97"/>
      <c r="Z24" s="97"/>
      <c r="AA24" s="97"/>
      <c r="AB24" s="97"/>
      <c r="AC24" s="97"/>
      <c r="AD24" s="97"/>
      <c r="AE24" s="91"/>
    </row>
    <row r="25" ht="15.75" customHeight="1">
      <c r="A25" s="96" t="s">
        <v>277</v>
      </c>
      <c r="B25" s="97" t="s">
        <v>175</v>
      </c>
      <c r="C25" s="98" t="s">
        <v>336</v>
      </c>
      <c r="D25" s="97"/>
      <c r="E25" s="97"/>
      <c r="F25" s="97"/>
      <c r="G25" s="97"/>
      <c r="H25" s="97" t="s">
        <v>337</v>
      </c>
      <c r="I25" s="97"/>
      <c r="J25" s="97"/>
      <c r="K25" s="97"/>
      <c r="L25" s="97"/>
      <c r="M25" s="97"/>
      <c r="N25" s="97"/>
      <c r="O25" s="97"/>
      <c r="P25" s="97"/>
      <c r="Q25" s="97"/>
      <c r="R25" s="97"/>
      <c r="S25" s="97"/>
      <c r="T25" s="97"/>
      <c r="U25" s="97"/>
      <c r="V25" s="97"/>
      <c r="W25" s="97"/>
      <c r="X25" s="97"/>
      <c r="Y25" s="97"/>
      <c r="Z25" s="97"/>
      <c r="AA25" s="97"/>
      <c r="AB25" s="97"/>
      <c r="AC25" s="97"/>
      <c r="AD25" s="97"/>
      <c r="AE25" s="91"/>
    </row>
    <row r="26" ht="15.75" customHeight="1">
      <c r="A26" s="96" t="s">
        <v>277</v>
      </c>
      <c r="B26" s="97" t="s">
        <v>175</v>
      </c>
      <c r="C26" s="98" t="s">
        <v>343</v>
      </c>
      <c r="D26" s="97"/>
      <c r="E26" s="97"/>
      <c r="F26" s="97"/>
      <c r="G26" s="97"/>
      <c r="H26" s="97" t="s">
        <v>345</v>
      </c>
      <c r="I26" s="97"/>
      <c r="J26" s="97"/>
      <c r="K26" s="97"/>
      <c r="L26" s="97"/>
      <c r="M26" s="97"/>
      <c r="N26" s="97"/>
      <c r="O26" s="97"/>
      <c r="P26" s="97"/>
      <c r="Q26" s="97"/>
      <c r="R26" s="97"/>
      <c r="S26" s="97"/>
      <c r="T26" s="97"/>
      <c r="U26" s="97"/>
      <c r="V26" s="97"/>
      <c r="W26" s="97"/>
      <c r="X26" s="97"/>
      <c r="Y26" s="97"/>
      <c r="Z26" s="97"/>
      <c r="AA26" s="97"/>
      <c r="AB26" s="97"/>
      <c r="AC26" s="97"/>
      <c r="AD26" s="97"/>
      <c r="AE26" s="91"/>
    </row>
    <row r="27" ht="15.75" customHeight="1">
      <c r="A27" s="96" t="s">
        <v>277</v>
      </c>
      <c r="B27" s="97" t="s">
        <v>175</v>
      </c>
      <c r="C27" s="98" t="s">
        <v>349</v>
      </c>
      <c r="D27" s="97"/>
      <c r="E27" s="97"/>
      <c r="F27" s="97"/>
      <c r="G27" s="97"/>
      <c r="H27" s="97" t="s">
        <v>351</v>
      </c>
      <c r="I27" s="97"/>
      <c r="J27" s="97"/>
      <c r="K27" s="97"/>
      <c r="L27" s="97"/>
      <c r="M27" s="97"/>
      <c r="N27" s="97"/>
      <c r="O27" s="97"/>
      <c r="P27" s="97"/>
      <c r="Q27" s="97"/>
      <c r="R27" s="97"/>
      <c r="S27" s="97"/>
      <c r="T27" s="97"/>
      <c r="U27" s="97"/>
      <c r="V27" s="97"/>
      <c r="W27" s="97"/>
      <c r="X27" s="97"/>
      <c r="Y27" s="97"/>
      <c r="Z27" s="97"/>
      <c r="AA27" s="97"/>
      <c r="AB27" s="97"/>
      <c r="AC27" s="97"/>
      <c r="AD27" s="97"/>
      <c r="AE27" s="91"/>
    </row>
    <row r="28" ht="15.75" customHeight="1">
      <c r="A28" s="96" t="s">
        <v>277</v>
      </c>
      <c r="B28" s="97" t="s">
        <v>175</v>
      </c>
      <c r="C28" s="98" t="s">
        <v>359</v>
      </c>
      <c r="D28" s="97"/>
      <c r="E28" s="97"/>
      <c r="F28" s="97"/>
      <c r="G28" s="97"/>
      <c r="H28" s="97" t="s">
        <v>361</v>
      </c>
      <c r="I28" s="97"/>
      <c r="J28" s="97"/>
      <c r="K28" s="97"/>
      <c r="L28" s="97"/>
      <c r="M28" s="97"/>
      <c r="N28" s="97"/>
      <c r="O28" s="97"/>
      <c r="P28" s="97"/>
      <c r="Q28" s="97"/>
      <c r="R28" s="97"/>
      <c r="S28" s="97"/>
      <c r="T28" s="97"/>
      <c r="U28" s="97"/>
      <c r="V28" s="97"/>
      <c r="W28" s="97"/>
      <c r="X28" s="97"/>
      <c r="Y28" s="97"/>
      <c r="Z28" s="97"/>
      <c r="AA28" s="97"/>
      <c r="AB28" s="97"/>
      <c r="AC28" s="97"/>
      <c r="AD28" s="97"/>
      <c r="AE28" s="91"/>
    </row>
    <row r="29" ht="15.75" customHeight="1">
      <c r="A29" s="96" t="s">
        <v>277</v>
      </c>
      <c r="B29" s="97" t="s">
        <v>175</v>
      </c>
      <c r="C29" s="98" t="s">
        <v>369</v>
      </c>
      <c r="D29" s="97"/>
      <c r="E29" s="97"/>
      <c r="F29" s="97"/>
      <c r="G29" s="97"/>
      <c r="H29" s="97" t="s">
        <v>372</v>
      </c>
      <c r="I29" s="97"/>
      <c r="J29" s="97"/>
      <c r="K29" s="97"/>
      <c r="L29" s="97"/>
      <c r="M29" s="97"/>
      <c r="N29" s="97"/>
      <c r="O29" s="97"/>
      <c r="P29" s="97"/>
      <c r="Q29" s="97"/>
      <c r="R29" s="97"/>
      <c r="S29" s="97"/>
      <c r="T29" s="97"/>
      <c r="U29" s="97"/>
      <c r="V29" s="97"/>
      <c r="W29" s="97"/>
      <c r="X29" s="97"/>
      <c r="Y29" s="97"/>
      <c r="Z29" s="97"/>
      <c r="AA29" s="97"/>
      <c r="AB29" s="97"/>
      <c r="AC29" s="97"/>
      <c r="AD29" s="97"/>
      <c r="AE29" s="91"/>
    </row>
    <row r="30" ht="15.75" customHeight="1">
      <c r="A30" s="96" t="s">
        <v>277</v>
      </c>
      <c r="B30" s="97" t="s">
        <v>175</v>
      </c>
      <c r="C30" s="98" t="s">
        <v>380</v>
      </c>
      <c r="D30" s="97"/>
      <c r="E30" s="97"/>
      <c r="F30" s="97"/>
      <c r="G30" s="97"/>
      <c r="H30" s="97" t="s">
        <v>383</v>
      </c>
      <c r="I30" s="97"/>
      <c r="J30" s="97"/>
      <c r="K30" s="97"/>
      <c r="L30" s="97"/>
      <c r="M30" s="97"/>
      <c r="N30" s="97"/>
      <c r="O30" s="97"/>
      <c r="P30" s="97"/>
      <c r="Q30" s="97"/>
      <c r="R30" s="97"/>
      <c r="S30" s="97"/>
      <c r="T30" s="97"/>
      <c r="U30" s="97"/>
      <c r="V30" s="97"/>
      <c r="W30" s="97"/>
      <c r="X30" s="97"/>
      <c r="Y30" s="97"/>
      <c r="Z30" s="97"/>
      <c r="AA30" s="97"/>
      <c r="AB30" s="97"/>
      <c r="AC30" s="97"/>
      <c r="AD30" s="97"/>
      <c r="AE30" s="91"/>
    </row>
    <row r="31" ht="15.75" customHeight="1">
      <c r="A31" s="96" t="s">
        <v>277</v>
      </c>
      <c r="B31" s="97" t="s">
        <v>175</v>
      </c>
      <c r="C31" s="98" t="s">
        <v>392</v>
      </c>
      <c r="D31" s="97"/>
      <c r="E31" s="97"/>
      <c r="F31" s="97"/>
      <c r="G31" s="97"/>
      <c r="H31" s="97" t="s">
        <v>394</v>
      </c>
      <c r="I31" s="97"/>
      <c r="J31" s="97"/>
      <c r="K31" s="97"/>
      <c r="L31" s="97"/>
      <c r="M31" s="97"/>
      <c r="N31" s="97"/>
      <c r="O31" s="97"/>
      <c r="P31" s="97"/>
      <c r="Q31" s="97"/>
      <c r="R31" s="97"/>
      <c r="S31" s="97"/>
      <c r="T31" s="97"/>
      <c r="U31" s="97"/>
      <c r="V31" s="97"/>
      <c r="W31" s="97"/>
      <c r="X31" s="97"/>
      <c r="Y31" s="97"/>
      <c r="Z31" s="97"/>
      <c r="AA31" s="97"/>
      <c r="AB31" s="97"/>
      <c r="AC31" s="97"/>
      <c r="AD31" s="97"/>
      <c r="AE31" s="91"/>
    </row>
    <row r="32" ht="15.75" customHeight="1">
      <c r="A32" s="96" t="s">
        <v>277</v>
      </c>
      <c r="B32" s="97" t="s">
        <v>175</v>
      </c>
      <c r="C32" s="167" t="s">
        <v>403</v>
      </c>
      <c r="D32" s="97"/>
      <c r="E32" s="97"/>
      <c r="F32" s="97"/>
      <c r="G32" s="97"/>
      <c r="H32" s="97" t="s">
        <v>405</v>
      </c>
      <c r="I32" s="97"/>
      <c r="J32" s="97"/>
      <c r="K32" s="97"/>
      <c r="L32" s="97"/>
      <c r="M32" s="97"/>
      <c r="N32" s="97"/>
      <c r="O32" s="97"/>
      <c r="P32" s="97"/>
      <c r="Q32" s="97"/>
      <c r="R32" s="97"/>
      <c r="S32" s="97"/>
      <c r="T32" s="97"/>
      <c r="U32" s="97"/>
      <c r="V32" s="97"/>
      <c r="W32" s="97"/>
      <c r="X32" s="97"/>
      <c r="Y32" s="97"/>
      <c r="Z32" s="97"/>
      <c r="AA32" s="97"/>
      <c r="AB32" s="97"/>
      <c r="AC32" s="97"/>
      <c r="AD32" s="97"/>
      <c r="AE32" s="91"/>
    </row>
    <row r="33" ht="15.75" customHeight="1">
      <c r="A33" s="96" t="s">
        <v>277</v>
      </c>
      <c r="B33" s="97" t="s">
        <v>175</v>
      </c>
      <c r="C33" s="98" t="s">
        <v>413</v>
      </c>
      <c r="D33" s="97"/>
      <c r="E33" s="97"/>
      <c r="F33" s="97"/>
      <c r="G33" s="97"/>
      <c r="H33" s="97" t="s">
        <v>417</v>
      </c>
      <c r="I33" s="97"/>
      <c r="J33" s="97"/>
      <c r="K33" s="97"/>
      <c r="L33" s="97"/>
      <c r="M33" s="97"/>
      <c r="N33" s="97"/>
      <c r="O33" s="97"/>
      <c r="P33" s="97"/>
      <c r="Q33" s="97"/>
      <c r="R33" s="97"/>
      <c r="S33" s="97"/>
      <c r="T33" s="97"/>
      <c r="U33" s="97"/>
      <c r="V33" s="97"/>
      <c r="W33" s="97"/>
      <c r="X33" s="97"/>
      <c r="Y33" s="97"/>
      <c r="Z33" s="97"/>
      <c r="AA33" s="97"/>
      <c r="AB33" s="97"/>
      <c r="AC33" s="97"/>
      <c r="AD33" s="97"/>
      <c r="AE33" s="91"/>
    </row>
    <row r="34" ht="15.75" customHeight="1">
      <c r="A34" s="96" t="s">
        <v>277</v>
      </c>
      <c r="B34" s="97" t="s">
        <v>175</v>
      </c>
      <c r="C34" s="98" t="s">
        <v>428</v>
      </c>
      <c r="D34" s="97"/>
      <c r="E34" s="97"/>
      <c r="F34" s="97"/>
      <c r="G34" s="97"/>
      <c r="H34" s="97" t="s">
        <v>429</v>
      </c>
      <c r="I34" s="97"/>
      <c r="J34" s="97"/>
      <c r="K34" s="97"/>
      <c r="L34" s="97"/>
      <c r="M34" s="97"/>
      <c r="N34" s="97"/>
      <c r="O34" s="97"/>
      <c r="P34" s="97"/>
      <c r="Q34" s="97"/>
      <c r="R34" s="97"/>
      <c r="S34" s="97"/>
      <c r="T34" s="97"/>
      <c r="U34" s="97"/>
      <c r="V34" s="97"/>
      <c r="W34" s="97"/>
      <c r="X34" s="97"/>
      <c r="Y34" s="97"/>
      <c r="Z34" s="97"/>
      <c r="AA34" s="97"/>
      <c r="AB34" s="97"/>
      <c r="AC34" s="97"/>
      <c r="AD34" s="97"/>
      <c r="AE34" s="91"/>
    </row>
    <row r="35" ht="15.75" customHeight="1">
      <c r="A35" s="96" t="s">
        <v>436</v>
      </c>
      <c r="B35" s="97" t="s">
        <v>175</v>
      </c>
      <c r="C35" s="98" t="s">
        <v>437</v>
      </c>
      <c r="D35" s="96"/>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1"/>
    </row>
    <row r="36" ht="15.75" customHeight="1">
      <c r="A36" s="96" t="s">
        <v>436</v>
      </c>
      <c r="B36" s="97" t="s">
        <v>175</v>
      </c>
      <c r="C36" s="98" t="s">
        <v>454</v>
      </c>
      <c r="D36" s="97"/>
      <c r="E36" s="97"/>
      <c r="F36" s="97"/>
      <c r="G36" s="97"/>
      <c r="H36" s="97" t="s">
        <v>337</v>
      </c>
      <c r="I36" s="97"/>
      <c r="J36" s="97"/>
      <c r="K36" s="97"/>
      <c r="L36" s="97"/>
      <c r="M36" s="97"/>
      <c r="N36" s="97"/>
      <c r="O36" s="97"/>
      <c r="P36" s="97"/>
      <c r="Q36" s="97"/>
      <c r="R36" s="97"/>
      <c r="S36" s="97"/>
      <c r="T36" s="97"/>
      <c r="U36" s="97"/>
      <c r="V36" s="97"/>
      <c r="W36" s="97"/>
      <c r="X36" s="97"/>
      <c r="Y36" s="97"/>
      <c r="Z36" s="97"/>
      <c r="AA36" s="97"/>
      <c r="AB36" s="97"/>
      <c r="AC36" s="97"/>
      <c r="AD36" s="97"/>
      <c r="AE36" s="91"/>
    </row>
    <row r="37" ht="15.75" customHeight="1">
      <c r="A37" s="96" t="s">
        <v>436</v>
      </c>
      <c r="B37" s="97" t="s">
        <v>175</v>
      </c>
      <c r="C37" s="98" t="s">
        <v>462</v>
      </c>
      <c r="D37" s="97"/>
      <c r="E37" s="97"/>
      <c r="F37" s="97"/>
      <c r="G37" s="97"/>
      <c r="H37" s="97" t="s">
        <v>345</v>
      </c>
      <c r="I37" s="97"/>
      <c r="J37" s="97"/>
      <c r="K37" s="97"/>
      <c r="L37" s="97"/>
      <c r="M37" s="97"/>
      <c r="N37" s="97"/>
      <c r="O37" s="97"/>
      <c r="P37" s="97"/>
      <c r="Q37" s="97"/>
      <c r="R37" s="97"/>
      <c r="S37" s="97"/>
      <c r="T37" s="97"/>
      <c r="U37" s="97"/>
      <c r="V37" s="97"/>
      <c r="W37" s="97"/>
      <c r="X37" s="97"/>
      <c r="Y37" s="97"/>
      <c r="Z37" s="97"/>
      <c r="AA37" s="97"/>
      <c r="AB37" s="97"/>
      <c r="AC37" s="97"/>
      <c r="AD37" s="97"/>
      <c r="AE37" s="91"/>
    </row>
    <row r="38" ht="15.75" customHeight="1">
      <c r="A38" s="96" t="s">
        <v>436</v>
      </c>
      <c r="B38" s="97" t="s">
        <v>175</v>
      </c>
      <c r="C38" s="98" t="s">
        <v>472</v>
      </c>
      <c r="D38" s="97"/>
      <c r="E38" s="97"/>
      <c r="F38" s="97"/>
      <c r="G38" s="97"/>
      <c r="H38" s="97" t="s">
        <v>351</v>
      </c>
      <c r="I38" s="97"/>
      <c r="J38" s="97"/>
      <c r="K38" s="97"/>
      <c r="L38" s="97"/>
      <c r="M38" s="97"/>
      <c r="N38" s="97"/>
      <c r="O38" s="97"/>
      <c r="P38" s="97"/>
      <c r="Q38" s="97"/>
      <c r="R38" s="97"/>
      <c r="S38" s="97"/>
      <c r="T38" s="97"/>
      <c r="U38" s="97"/>
      <c r="V38" s="97"/>
      <c r="W38" s="97"/>
      <c r="X38" s="97"/>
      <c r="Y38" s="97"/>
      <c r="Z38" s="97"/>
      <c r="AA38" s="97"/>
      <c r="AB38" s="97"/>
      <c r="AC38" s="97"/>
      <c r="AD38" s="97"/>
      <c r="AE38" s="91"/>
    </row>
    <row r="39" ht="15.75" customHeight="1">
      <c r="A39" s="96" t="s">
        <v>436</v>
      </c>
      <c r="B39" s="97" t="s">
        <v>175</v>
      </c>
      <c r="C39" s="98" t="s">
        <v>481</v>
      </c>
      <c r="D39" s="97"/>
      <c r="E39" s="97"/>
      <c r="F39" s="97"/>
      <c r="G39" s="97"/>
      <c r="H39" s="97" t="s">
        <v>383</v>
      </c>
      <c r="I39" s="97"/>
      <c r="J39" s="97"/>
      <c r="K39" s="97"/>
      <c r="L39" s="97"/>
      <c r="M39" s="97"/>
      <c r="N39" s="97"/>
      <c r="O39" s="97"/>
      <c r="P39" s="97"/>
      <c r="Q39" s="97"/>
      <c r="R39" s="97"/>
      <c r="S39" s="97"/>
      <c r="T39" s="97"/>
      <c r="U39" s="97"/>
      <c r="V39" s="97"/>
      <c r="W39" s="97"/>
      <c r="X39" s="97"/>
      <c r="Y39" s="97"/>
      <c r="Z39" s="97"/>
      <c r="AA39" s="97"/>
      <c r="AB39" s="97"/>
      <c r="AC39" s="97"/>
      <c r="AD39" s="97"/>
      <c r="AE39" s="91"/>
    </row>
    <row r="40" ht="15.75" customHeight="1">
      <c r="A40" s="96" t="s">
        <v>436</v>
      </c>
      <c r="B40" s="97" t="s">
        <v>175</v>
      </c>
      <c r="C40" s="98" t="s">
        <v>493</v>
      </c>
      <c r="D40" s="97"/>
      <c r="E40" s="97"/>
      <c r="F40" s="97"/>
      <c r="G40" s="97"/>
      <c r="H40" s="97" t="s">
        <v>394</v>
      </c>
      <c r="I40" s="97"/>
      <c r="J40" s="97"/>
      <c r="K40" s="97"/>
      <c r="L40" s="97"/>
      <c r="M40" s="97"/>
      <c r="N40" s="97"/>
      <c r="O40" s="97"/>
      <c r="P40" s="97"/>
      <c r="Q40" s="97"/>
      <c r="R40" s="97"/>
      <c r="S40" s="97"/>
      <c r="T40" s="97"/>
      <c r="U40" s="97"/>
      <c r="V40" s="97"/>
      <c r="W40" s="97"/>
      <c r="X40" s="97"/>
      <c r="Y40" s="97"/>
      <c r="Z40" s="97"/>
      <c r="AA40" s="97"/>
      <c r="AB40" s="97"/>
      <c r="AC40" s="97"/>
      <c r="AD40" s="97"/>
      <c r="AE40" s="91"/>
    </row>
    <row r="41" ht="15.75" customHeight="1">
      <c r="A41" s="96" t="s">
        <v>436</v>
      </c>
      <c r="B41" s="97" t="s">
        <v>175</v>
      </c>
      <c r="C41" s="167" t="s">
        <v>504</v>
      </c>
      <c r="D41" s="97"/>
      <c r="E41" s="97"/>
      <c r="F41" s="97"/>
      <c r="G41" s="97"/>
      <c r="H41" s="97" t="s">
        <v>405</v>
      </c>
      <c r="I41" s="97"/>
      <c r="J41" s="97"/>
      <c r="K41" s="97"/>
      <c r="L41" s="97"/>
      <c r="M41" s="97"/>
      <c r="N41" s="97"/>
      <c r="O41" s="97"/>
      <c r="P41" s="97"/>
      <c r="Q41" s="97"/>
      <c r="R41" s="97"/>
      <c r="S41" s="97"/>
      <c r="T41" s="97"/>
      <c r="U41" s="97"/>
      <c r="V41" s="97"/>
      <c r="W41" s="97"/>
      <c r="X41" s="97"/>
      <c r="Y41" s="97"/>
      <c r="Z41" s="97"/>
      <c r="AA41" s="97"/>
      <c r="AB41" s="97"/>
      <c r="AC41" s="97"/>
      <c r="AD41" s="97"/>
      <c r="AE41" s="91"/>
    </row>
    <row r="42" ht="15.75" customHeight="1">
      <c r="A42" s="96" t="s">
        <v>436</v>
      </c>
      <c r="B42" s="97" t="s">
        <v>175</v>
      </c>
      <c r="C42" s="98" t="s">
        <v>512</v>
      </c>
      <c r="D42" s="97"/>
      <c r="E42" s="97"/>
      <c r="F42" s="97"/>
      <c r="G42" s="97"/>
      <c r="H42" s="97" t="s">
        <v>417</v>
      </c>
      <c r="I42" s="97"/>
      <c r="J42" s="97"/>
      <c r="K42" s="97"/>
      <c r="L42" s="97"/>
      <c r="M42" s="97"/>
      <c r="N42" s="97"/>
      <c r="O42" s="97"/>
      <c r="P42" s="97"/>
      <c r="Q42" s="97"/>
      <c r="R42" s="97"/>
      <c r="S42" s="97"/>
      <c r="T42" s="97"/>
      <c r="U42" s="97"/>
      <c r="V42" s="97"/>
      <c r="W42" s="97"/>
      <c r="X42" s="97"/>
      <c r="Y42" s="97"/>
      <c r="Z42" s="97"/>
      <c r="AA42" s="97"/>
      <c r="AB42" s="97"/>
      <c r="AC42" s="97"/>
      <c r="AD42" s="97"/>
      <c r="AE42" s="91"/>
    </row>
    <row r="43" ht="15.75" customHeight="1">
      <c r="A43" s="96" t="s">
        <v>436</v>
      </c>
      <c r="B43" s="97" t="s">
        <v>175</v>
      </c>
      <c r="C43" s="98" t="s">
        <v>525</v>
      </c>
      <c r="D43" s="97"/>
      <c r="E43" s="97"/>
      <c r="F43" s="97"/>
      <c r="G43" s="97"/>
      <c r="H43" s="97" t="s">
        <v>429</v>
      </c>
      <c r="I43" s="97"/>
      <c r="J43" s="97"/>
      <c r="K43" s="97"/>
      <c r="L43" s="97"/>
      <c r="M43" s="97"/>
      <c r="N43" s="97"/>
      <c r="O43" s="97"/>
      <c r="P43" s="97"/>
      <c r="Q43" s="97"/>
      <c r="R43" s="97"/>
      <c r="S43" s="97"/>
      <c r="T43" s="97"/>
      <c r="U43" s="97"/>
      <c r="V43" s="97"/>
      <c r="W43" s="97"/>
      <c r="X43" s="97"/>
      <c r="Y43" s="97"/>
      <c r="Z43" s="97"/>
      <c r="AA43" s="97"/>
      <c r="AB43" s="97"/>
      <c r="AC43" s="97"/>
      <c r="AD43" s="97"/>
      <c r="AE43" s="91"/>
    </row>
    <row r="44" ht="15.75" customHeight="1">
      <c r="A44" s="96" t="s">
        <v>535</v>
      </c>
      <c r="B44" s="97" t="s">
        <v>175</v>
      </c>
      <c r="C44" s="98" t="s">
        <v>537</v>
      </c>
      <c r="D44" s="96"/>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1"/>
    </row>
    <row r="45" ht="15.75" customHeight="1">
      <c r="A45" s="96" t="s">
        <v>541</v>
      </c>
      <c r="B45" s="97" t="s">
        <v>175</v>
      </c>
      <c r="C45" s="98" t="s">
        <v>543</v>
      </c>
      <c r="D45" s="186"/>
      <c r="E45" s="97"/>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1"/>
    </row>
    <row r="46" ht="15.75" customHeight="1">
      <c r="A46" s="96" t="s">
        <v>557</v>
      </c>
      <c r="B46" s="97" t="s">
        <v>175</v>
      </c>
      <c r="C46" s="98" t="s">
        <v>559</v>
      </c>
      <c r="D46" s="96"/>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1"/>
    </row>
    <row r="47" ht="15.75" customHeight="1">
      <c r="A47" s="96" t="s">
        <v>565</v>
      </c>
      <c r="B47" s="97" t="s">
        <v>175</v>
      </c>
      <c r="C47" s="98" t="s">
        <v>568</v>
      </c>
      <c r="D47" s="96"/>
      <c r="E47" s="97"/>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1"/>
    </row>
    <row r="48" ht="15.75" customHeight="1">
      <c r="A48" s="96" t="s">
        <v>571</v>
      </c>
      <c r="B48" s="97" t="s">
        <v>175</v>
      </c>
      <c r="C48" s="98" t="s">
        <v>573</v>
      </c>
      <c r="D48" s="96"/>
      <c r="E48" s="97"/>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1"/>
    </row>
    <row r="49" ht="15.75" customHeight="1">
      <c r="A49" s="96" t="s">
        <v>571</v>
      </c>
      <c r="B49" s="97" t="s">
        <v>175</v>
      </c>
      <c r="C49" s="98" t="s">
        <v>577</v>
      </c>
      <c r="D49" s="97"/>
      <c r="E49" s="97"/>
      <c r="F49" s="97"/>
      <c r="G49" s="97"/>
      <c r="H49" s="97" t="s">
        <v>579</v>
      </c>
      <c r="I49" s="97"/>
      <c r="J49" s="97"/>
      <c r="K49" s="97"/>
      <c r="L49" s="97"/>
      <c r="M49" s="97"/>
      <c r="N49" s="97"/>
      <c r="O49" s="97"/>
      <c r="P49" s="97"/>
      <c r="Q49" s="97"/>
      <c r="R49" s="97"/>
      <c r="S49" s="97"/>
      <c r="T49" s="97"/>
      <c r="U49" s="97"/>
      <c r="V49" s="97"/>
      <c r="W49" s="97"/>
      <c r="X49" s="97"/>
      <c r="Y49" s="97"/>
      <c r="Z49" s="97"/>
      <c r="AA49" s="97"/>
      <c r="AB49" s="97"/>
      <c r="AC49" s="97"/>
      <c r="AD49" s="97"/>
      <c r="AE49" s="91"/>
    </row>
    <row r="50" ht="15.75" customHeight="1">
      <c r="A50" s="96" t="s">
        <v>582</v>
      </c>
      <c r="B50" s="97" t="s">
        <v>175</v>
      </c>
      <c r="C50" s="98" t="s">
        <v>584</v>
      </c>
      <c r="D50" s="96"/>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1"/>
    </row>
    <row r="51" ht="15.75" customHeight="1">
      <c r="A51" s="96" t="s">
        <v>582</v>
      </c>
      <c r="B51" s="97" t="s">
        <v>175</v>
      </c>
      <c r="C51" s="98" t="s">
        <v>585</v>
      </c>
      <c r="D51" s="97"/>
      <c r="E51" s="97"/>
      <c r="F51" s="97"/>
      <c r="G51" s="97"/>
      <c r="H51" s="97" t="s">
        <v>579</v>
      </c>
      <c r="I51" s="97"/>
      <c r="J51" s="97"/>
      <c r="K51" s="97"/>
      <c r="L51" s="97"/>
      <c r="M51" s="97"/>
      <c r="N51" s="97"/>
      <c r="O51" s="97"/>
      <c r="P51" s="97"/>
      <c r="Q51" s="97"/>
      <c r="R51" s="97"/>
      <c r="S51" s="97"/>
      <c r="T51" s="97"/>
      <c r="U51" s="97"/>
      <c r="V51" s="97"/>
      <c r="W51" s="97"/>
      <c r="X51" s="97"/>
      <c r="Y51" s="97"/>
      <c r="Z51" s="97"/>
      <c r="AA51" s="97"/>
      <c r="AB51" s="97"/>
      <c r="AC51" s="97"/>
      <c r="AD51" s="97"/>
      <c r="AE51" s="91"/>
    </row>
    <row r="52" ht="15.75" customHeight="1">
      <c r="A52" s="96" t="s">
        <v>589</v>
      </c>
      <c r="B52" s="97" t="s">
        <v>175</v>
      </c>
      <c r="C52" s="98" t="s">
        <v>592</v>
      </c>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1"/>
    </row>
    <row r="53" ht="15.75" customHeight="1">
      <c r="A53" s="96" t="s">
        <v>8</v>
      </c>
      <c r="B53" s="97" t="s">
        <v>175</v>
      </c>
      <c r="C53" s="98" t="s">
        <v>597</v>
      </c>
      <c r="D53" s="97"/>
      <c r="E53" s="97"/>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1"/>
    </row>
    <row r="54" ht="15.75" customHeight="1">
      <c r="A54" s="96" t="s">
        <v>8</v>
      </c>
      <c r="B54" s="97" t="s">
        <v>175</v>
      </c>
      <c r="C54" s="98" t="s">
        <v>598</v>
      </c>
      <c r="D54" s="97"/>
      <c r="E54" s="97"/>
      <c r="F54" s="97"/>
      <c r="G54" s="97"/>
      <c r="H54" s="97" t="s">
        <v>601</v>
      </c>
      <c r="I54" s="97"/>
      <c r="J54" s="97"/>
      <c r="K54" s="97"/>
      <c r="L54" s="97"/>
      <c r="M54" s="97"/>
      <c r="N54" s="97"/>
      <c r="O54" s="97"/>
      <c r="P54" s="97"/>
      <c r="Q54" s="97"/>
      <c r="R54" s="97"/>
      <c r="S54" s="97"/>
      <c r="T54" s="97"/>
      <c r="U54" s="97"/>
      <c r="V54" s="97"/>
      <c r="W54" s="97"/>
      <c r="X54" s="97"/>
      <c r="Y54" s="97"/>
      <c r="Z54" s="97"/>
      <c r="AA54" s="97"/>
      <c r="AB54" s="97"/>
      <c r="AC54" s="97"/>
      <c r="AD54" s="97"/>
      <c r="AE54" s="91"/>
    </row>
    <row r="55" ht="15.75" customHeight="1">
      <c r="A55" s="96" t="s">
        <v>8</v>
      </c>
      <c r="B55" s="97" t="s">
        <v>175</v>
      </c>
      <c r="C55" s="98" t="s">
        <v>609</v>
      </c>
      <c r="D55" s="97"/>
      <c r="E55" s="97"/>
      <c r="F55" s="97"/>
      <c r="G55" s="97"/>
      <c r="H55" s="97" t="s">
        <v>611</v>
      </c>
      <c r="I55" s="97"/>
      <c r="J55" s="97"/>
      <c r="K55" s="97"/>
      <c r="L55" s="97"/>
      <c r="M55" s="97"/>
      <c r="N55" s="97"/>
      <c r="O55" s="97"/>
      <c r="P55" s="97"/>
      <c r="Q55" s="97"/>
      <c r="R55" s="97"/>
      <c r="S55" s="97"/>
      <c r="T55" s="97"/>
      <c r="U55" s="97"/>
      <c r="V55" s="97"/>
      <c r="W55" s="97"/>
      <c r="X55" s="97"/>
      <c r="Y55" s="97"/>
      <c r="Z55" s="97"/>
      <c r="AA55" s="97"/>
      <c r="AB55" s="97"/>
      <c r="AC55" s="97"/>
      <c r="AD55" s="97"/>
      <c r="AE55" s="91"/>
    </row>
    <row r="56" ht="15.75" customHeight="1">
      <c r="A56" s="96" t="s">
        <v>8</v>
      </c>
      <c r="B56" s="97" t="s">
        <v>175</v>
      </c>
      <c r="C56" s="98" t="s">
        <v>630</v>
      </c>
      <c r="D56" s="97"/>
      <c r="E56" s="97"/>
      <c r="F56" s="97"/>
      <c r="G56" s="97"/>
      <c r="H56" s="97" t="s">
        <v>634</v>
      </c>
      <c r="I56" s="97"/>
      <c r="J56" s="97"/>
      <c r="K56" s="97"/>
      <c r="L56" s="97"/>
      <c r="M56" s="97"/>
      <c r="N56" s="97"/>
      <c r="O56" s="97"/>
      <c r="P56" s="97"/>
      <c r="Q56" s="97"/>
      <c r="R56" s="97"/>
      <c r="S56" s="97"/>
      <c r="T56" s="97"/>
      <c r="U56" s="97"/>
      <c r="V56" s="97"/>
      <c r="W56" s="97"/>
      <c r="X56" s="97"/>
      <c r="Y56" s="97"/>
      <c r="Z56" s="97"/>
      <c r="AA56" s="97"/>
      <c r="AB56" s="97"/>
      <c r="AC56" s="97"/>
      <c r="AD56" s="97"/>
      <c r="AE56" s="91"/>
    </row>
    <row r="57" ht="15.75" customHeight="1">
      <c r="A57" s="96" t="s">
        <v>659</v>
      </c>
      <c r="B57" s="97" t="s">
        <v>175</v>
      </c>
      <c r="C57" s="98" t="s">
        <v>667</v>
      </c>
      <c r="D57" s="97"/>
      <c r="E57" s="97"/>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1"/>
    </row>
    <row r="58" ht="15.75" customHeight="1">
      <c r="A58" s="96" t="s">
        <v>679</v>
      </c>
      <c r="B58" s="97" t="s">
        <v>175</v>
      </c>
      <c r="C58" s="98" t="s">
        <v>681</v>
      </c>
      <c r="D58" s="97"/>
      <c r="E58" s="97"/>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1"/>
    </row>
    <row r="59" ht="15.75" customHeight="1">
      <c r="A59" s="96" t="s">
        <v>692</v>
      </c>
      <c r="B59" s="97" t="s">
        <v>175</v>
      </c>
      <c r="C59" s="98" t="s">
        <v>695</v>
      </c>
      <c r="D59" s="97"/>
      <c r="E59" s="97"/>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1"/>
    </row>
    <row r="60" ht="15.75" customHeight="1">
      <c r="A60" s="96" t="s">
        <v>46</v>
      </c>
      <c r="B60" s="97" t="s">
        <v>175</v>
      </c>
      <c r="C60" s="98" t="s">
        <v>704</v>
      </c>
      <c r="D60" s="97"/>
      <c r="E60" s="97"/>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1"/>
    </row>
    <row r="61" ht="15.75" customHeight="1">
      <c r="A61" s="96" t="s">
        <v>54</v>
      </c>
      <c r="B61" s="97" t="s">
        <v>175</v>
      </c>
      <c r="C61" s="98"/>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1"/>
    </row>
    <row r="62" ht="15.75" customHeight="1">
      <c r="A62" s="96" t="s">
        <v>60</v>
      </c>
      <c r="B62" s="97" t="s">
        <v>175</v>
      </c>
      <c r="C62" s="98"/>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1"/>
    </row>
    <row r="63" ht="15.75" customHeight="1">
      <c r="A63" s="96" t="s">
        <v>68</v>
      </c>
      <c r="B63" s="97" t="s">
        <v>175</v>
      </c>
      <c r="C63" s="98"/>
      <c r="D63" s="97"/>
      <c r="E63" s="97"/>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1"/>
    </row>
    <row r="64" ht="15.75" customHeight="1">
      <c r="A64" s="96" t="s">
        <v>751</v>
      </c>
      <c r="B64" s="97" t="s">
        <v>175</v>
      </c>
      <c r="C64" s="98"/>
      <c r="D64" s="97"/>
      <c r="E64" s="97"/>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1"/>
    </row>
    <row r="65" ht="15.75" customHeight="1">
      <c r="A65" s="96" t="s">
        <v>766</v>
      </c>
      <c r="B65" s="97" t="s">
        <v>175</v>
      </c>
      <c r="C65" s="98"/>
      <c r="D65" s="97"/>
      <c r="E65" s="97"/>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1"/>
    </row>
    <row r="66" ht="15.75" customHeight="1">
      <c r="A66" s="214" t="s">
        <v>168</v>
      </c>
      <c r="B66" s="97" t="s">
        <v>175</v>
      </c>
      <c r="C66" s="98"/>
      <c r="D66" s="97"/>
      <c r="E66" s="97"/>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1"/>
    </row>
    <row r="67" ht="15.75" customHeight="1">
      <c r="A67" s="96" t="s">
        <v>75</v>
      </c>
      <c r="B67" s="97" t="s">
        <v>175</v>
      </c>
      <c r="C67" s="98"/>
      <c r="D67" s="97"/>
      <c r="E67" s="97"/>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1"/>
    </row>
    <row r="68" ht="15.75" customHeight="1">
      <c r="A68" s="96" t="s">
        <v>820</v>
      </c>
      <c r="B68" s="97" t="s">
        <v>175</v>
      </c>
      <c r="C68" s="98"/>
      <c r="D68" s="97"/>
      <c r="E68" s="97"/>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1"/>
    </row>
    <row r="69" ht="15.75" customHeight="1">
      <c r="A69" s="96" t="s">
        <v>112</v>
      </c>
      <c r="B69" s="97" t="s">
        <v>175</v>
      </c>
      <c r="C69" s="98"/>
      <c r="D69" s="97"/>
      <c r="E69" s="97"/>
      <c r="F69" s="97"/>
      <c r="G69" s="97"/>
      <c r="H69" s="97"/>
      <c r="I69" s="97"/>
      <c r="J69" s="97"/>
      <c r="K69" s="97"/>
      <c r="L69" s="97"/>
      <c r="M69" s="97"/>
      <c r="N69" s="97"/>
      <c r="O69" s="97"/>
      <c r="P69" s="97"/>
      <c r="Q69" s="97"/>
      <c r="R69" s="97" t="s">
        <v>854</v>
      </c>
      <c r="S69" s="97"/>
      <c r="T69" s="97"/>
      <c r="U69" s="97"/>
      <c r="V69" s="97"/>
      <c r="W69" s="97"/>
      <c r="X69" s="97"/>
      <c r="Y69" s="97"/>
      <c r="Z69" s="97"/>
      <c r="AA69" s="97"/>
      <c r="AB69" s="97"/>
      <c r="AC69" s="97"/>
      <c r="AD69" s="97"/>
      <c r="AE69" s="91"/>
    </row>
    <row r="70" ht="15.75" customHeight="1">
      <c r="A70" s="96" t="s">
        <v>256</v>
      </c>
      <c r="B70" s="97" t="s">
        <v>175</v>
      </c>
      <c r="C70" s="98"/>
      <c r="D70" s="97"/>
      <c r="E70" s="97"/>
      <c r="F70" s="97"/>
      <c r="G70" s="97"/>
      <c r="H70" s="97"/>
      <c r="I70" s="97"/>
      <c r="J70" s="97"/>
      <c r="K70" s="97"/>
      <c r="L70" s="97"/>
      <c r="M70" s="97"/>
      <c r="N70" s="97"/>
      <c r="O70" s="97"/>
      <c r="P70" s="97"/>
      <c r="Q70" s="97"/>
      <c r="R70" s="97" t="s">
        <v>873</v>
      </c>
      <c r="S70" s="97"/>
      <c r="T70" s="97"/>
      <c r="U70" s="97"/>
      <c r="V70" s="97"/>
      <c r="W70" s="97"/>
      <c r="X70" s="97"/>
      <c r="Y70" s="97"/>
      <c r="Z70" s="97"/>
      <c r="AA70" s="97"/>
      <c r="AB70" s="97"/>
      <c r="AC70" s="97"/>
      <c r="AD70" s="97"/>
      <c r="AE70" s="91"/>
    </row>
    <row r="71" ht="15.75" customHeight="1">
      <c r="A71" s="96" t="s">
        <v>136</v>
      </c>
      <c r="B71" s="97" t="s">
        <v>175</v>
      </c>
      <c r="C71" s="98"/>
      <c r="D71" s="97"/>
      <c r="E71" s="97"/>
      <c r="F71" s="97"/>
      <c r="G71" s="97"/>
      <c r="H71" s="97" t="s">
        <v>887</v>
      </c>
      <c r="I71" s="97"/>
      <c r="J71" s="97"/>
      <c r="K71" s="97"/>
      <c r="L71" s="97"/>
      <c r="M71" s="97"/>
      <c r="N71" s="97"/>
      <c r="O71" s="97"/>
      <c r="P71" s="97"/>
      <c r="Q71" s="97"/>
      <c r="R71" s="97"/>
      <c r="S71" s="97"/>
      <c r="T71" s="97"/>
      <c r="U71" s="97"/>
      <c r="V71" s="97"/>
      <c r="W71" s="97"/>
      <c r="X71" s="97"/>
      <c r="Y71" s="97"/>
      <c r="Z71" s="97"/>
      <c r="AA71" s="97"/>
      <c r="AB71" s="97"/>
      <c r="AC71" s="97"/>
      <c r="AD71" s="97"/>
      <c r="AE71" s="91"/>
    </row>
    <row r="72" ht="15.75" customHeight="1">
      <c r="A72" s="97" t="s">
        <v>136</v>
      </c>
      <c r="B72" s="97" t="s">
        <v>175</v>
      </c>
      <c r="C72" s="98"/>
      <c r="D72" s="97"/>
      <c r="E72" s="97"/>
      <c r="F72" s="97"/>
      <c r="G72" s="97"/>
      <c r="H72" s="97" t="s">
        <v>910</v>
      </c>
      <c r="I72" s="97"/>
      <c r="J72" s="97"/>
      <c r="K72" s="97"/>
      <c r="L72" s="97"/>
      <c r="M72" s="97"/>
      <c r="N72" s="97"/>
      <c r="O72" s="97"/>
      <c r="P72" s="97"/>
      <c r="Q72" s="97"/>
      <c r="R72" s="97"/>
      <c r="S72" s="97"/>
      <c r="T72" s="97"/>
      <c r="U72" s="97"/>
      <c r="V72" s="97"/>
      <c r="W72" s="97"/>
      <c r="X72" s="97"/>
      <c r="Y72" s="97"/>
      <c r="Z72" s="97"/>
      <c r="AA72" s="97"/>
      <c r="AB72" s="97"/>
      <c r="AC72" s="97"/>
      <c r="AD72" s="97"/>
      <c r="AE72" s="91"/>
    </row>
    <row r="73" ht="15.75" customHeight="1">
      <c r="A73" s="96" t="s">
        <v>127</v>
      </c>
      <c r="B73" s="97" t="s">
        <v>175</v>
      </c>
      <c r="C73" s="98"/>
      <c r="D73" s="97"/>
      <c r="E73" s="97"/>
      <c r="F73" s="97"/>
      <c r="G73" s="97"/>
      <c r="H73" s="97" t="s">
        <v>929</v>
      </c>
      <c r="I73" s="97"/>
      <c r="J73" s="97"/>
      <c r="K73" s="97"/>
      <c r="L73" s="97"/>
      <c r="M73" s="97"/>
      <c r="N73" s="97"/>
      <c r="O73" s="97"/>
      <c r="P73" s="97"/>
      <c r="Q73" s="97"/>
      <c r="R73" s="97"/>
      <c r="S73" s="97"/>
      <c r="T73" s="97"/>
      <c r="U73" s="97"/>
      <c r="V73" s="97"/>
      <c r="W73" s="97"/>
      <c r="X73" s="97"/>
      <c r="Y73" s="97"/>
      <c r="Z73" s="97"/>
      <c r="AA73" s="97"/>
      <c r="AB73" s="97"/>
      <c r="AC73" s="97"/>
      <c r="AD73" s="97"/>
      <c r="AE73" s="91"/>
    </row>
    <row r="74" ht="15.75" customHeight="1">
      <c r="A74" s="96" t="s">
        <v>127</v>
      </c>
      <c r="B74" s="97" t="s">
        <v>175</v>
      </c>
      <c r="C74" s="98"/>
      <c r="D74" s="97"/>
      <c r="E74" s="97"/>
      <c r="F74" s="97"/>
      <c r="G74" s="97"/>
      <c r="H74" s="97" t="s">
        <v>945</v>
      </c>
      <c r="I74" s="97"/>
      <c r="J74" s="97"/>
      <c r="K74" s="97"/>
      <c r="L74" s="97"/>
      <c r="M74" s="97"/>
      <c r="N74" s="97"/>
      <c r="O74" s="97"/>
      <c r="P74" s="97"/>
      <c r="Q74" s="97"/>
      <c r="R74" s="97"/>
      <c r="S74" s="97"/>
      <c r="T74" s="97"/>
      <c r="U74" s="97"/>
      <c r="V74" s="97"/>
      <c r="W74" s="97"/>
      <c r="X74" s="97"/>
      <c r="Y74" s="97"/>
      <c r="Z74" s="97"/>
      <c r="AA74" s="97"/>
      <c r="AB74" s="97"/>
      <c r="AC74" s="97"/>
      <c r="AD74" s="97"/>
      <c r="AE74" s="91"/>
    </row>
    <row r="75" ht="15.75" customHeight="1">
      <c r="A75" s="96" t="s">
        <v>127</v>
      </c>
      <c r="B75" s="97" t="s">
        <v>175</v>
      </c>
      <c r="C75" s="98"/>
      <c r="D75" s="97"/>
      <c r="E75" s="97"/>
      <c r="F75" s="97"/>
      <c r="G75" s="97"/>
      <c r="H75" s="97" t="s">
        <v>971</v>
      </c>
      <c r="I75" s="97"/>
      <c r="J75" s="97"/>
      <c r="K75" s="97"/>
      <c r="L75" s="97"/>
      <c r="M75" s="97"/>
      <c r="N75" s="97"/>
      <c r="O75" s="97"/>
      <c r="P75" s="97"/>
      <c r="Q75" s="97"/>
      <c r="R75" s="97"/>
      <c r="S75" s="97"/>
      <c r="T75" s="97"/>
      <c r="U75" s="97"/>
      <c r="V75" s="97"/>
      <c r="W75" s="97"/>
      <c r="X75" s="97"/>
      <c r="Y75" s="97"/>
      <c r="Z75" s="97"/>
      <c r="AA75" s="97"/>
      <c r="AB75" s="97"/>
      <c r="AC75" s="97"/>
      <c r="AD75" s="97"/>
      <c r="AE75" s="91"/>
    </row>
    <row r="76" ht="15.75" customHeight="1">
      <c r="A76" s="96" t="s">
        <v>278</v>
      </c>
      <c r="B76" s="97" t="s">
        <v>979</v>
      </c>
      <c r="C76" s="98" t="s">
        <v>980</v>
      </c>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1"/>
    </row>
    <row r="77" ht="15.75" customHeight="1">
      <c r="A77" s="97" t="s">
        <v>1002</v>
      </c>
      <c r="B77" s="97"/>
      <c r="C77" s="98"/>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1"/>
    </row>
    <row r="78" ht="15.75" customHeight="1">
      <c r="A78" s="97" t="s">
        <v>331</v>
      </c>
      <c r="B78" s="97" t="s">
        <v>979</v>
      </c>
      <c r="C78" s="98"/>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1"/>
    </row>
    <row r="79" ht="15.75" customHeight="1">
      <c r="A79" s="96" t="s">
        <v>385</v>
      </c>
      <c r="B79" s="97" t="s">
        <v>1057</v>
      </c>
      <c r="C79" s="98" t="s">
        <v>1059</v>
      </c>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1"/>
    </row>
    <row r="80" ht="15.75" customHeight="1">
      <c r="A80" s="97" t="s">
        <v>1002</v>
      </c>
      <c r="B80" s="97"/>
      <c r="C80" s="98"/>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1"/>
    </row>
    <row r="81" ht="15.75" customHeight="1">
      <c r="A81" s="97" t="s">
        <v>450</v>
      </c>
      <c r="B81" s="97" t="s">
        <v>1057</v>
      </c>
      <c r="C81" s="98"/>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1"/>
    </row>
    <row r="82" ht="15.75" customHeight="1">
      <c r="A82" s="96" t="s">
        <v>385</v>
      </c>
      <c r="B82" s="97" t="s">
        <v>1057</v>
      </c>
      <c r="C82" s="98" t="s">
        <v>1144</v>
      </c>
      <c r="D82" s="97"/>
      <c r="E82" s="97"/>
      <c r="F82" s="97"/>
      <c r="G82" s="97"/>
      <c r="H82" s="97"/>
      <c r="I82" s="97"/>
      <c r="J82" s="97"/>
      <c r="K82" s="97"/>
      <c r="L82" s="97"/>
      <c r="M82" s="97"/>
      <c r="N82" s="97"/>
      <c r="O82" s="97"/>
      <c r="P82" s="97"/>
      <c r="Q82" s="97"/>
      <c r="R82" s="97"/>
      <c r="S82" s="228">
        <v>3.0</v>
      </c>
      <c r="T82" s="97"/>
      <c r="U82" s="97"/>
      <c r="V82" s="97"/>
      <c r="W82" s="97"/>
      <c r="X82" s="97"/>
      <c r="Y82" s="97"/>
      <c r="Z82" s="97"/>
      <c r="AA82" s="97"/>
      <c r="AB82" s="97"/>
      <c r="AC82" s="97"/>
      <c r="AD82" s="97"/>
      <c r="AE82" s="91"/>
    </row>
    <row r="83" ht="15.75" customHeight="1">
      <c r="A83" s="97" t="s">
        <v>1002</v>
      </c>
      <c r="B83" s="97"/>
      <c r="C83" s="98"/>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1"/>
    </row>
    <row r="84" ht="15.75" customHeight="1">
      <c r="A84" s="97" t="s">
        <v>450</v>
      </c>
      <c r="B84" s="97" t="s">
        <v>1057</v>
      </c>
      <c r="C84" s="98"/>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1"/>
    </row>
    <row r="85" ht="15.75" customHeight="1">
      <c r="A85" s="96" t="s">
        <v>1215</v>
      </c>
      <c r="B85" s="97" t="s">
        <v>175</v>
      </c>
      <c r="C85" s="98"/>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1"/>
    </row>
    <row r="86" ht="15.75" customHeight="1">
      <c r="A86" s="96" t="s">
        <v>1252</v>
      </c>
      <c r="B86" s="97" t="s">
        <v>175</v>
      </c>
      <c r="C86" s="98"/>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1"/>
    </row>
    <row r="87" ht="15.75" customHeight="1">
      <c r="A87" s="96" t="s">
        <v>1279</v>
      </c>
      <c r="B87" s="97" t="s">
        <v>175</v>
      </c>
      <c r="C87" s="98"/>
      <c r="D87" s="97"/>
      <c r="E87" s="97"/>
      <c r="F87" s="97"/>
      <c r="G87" s="97"/>
      <c r="H87" s="97" t="s">
        <v>1287</v>
      </c>
      <c r="I87" s="97"/>
      <c r="J87" s="97"/>
      <c r="K87" s="97"/>
      <c r="L87" s="97"/>
      <c r="M87" s="97"/>
      <c r="N87" s="97"/>
      <c r="O87" s="97"/>
      <c r="P87" s="97"/>
      <c r="Q87" s="97"/>
      <c r="R87" s="97"/>
      <c r="S87" s="97"/>
      <c r="T87" s="97"/>
      <c r="U87" s="97"/>
      <c r="V87" s="97"/>
      <c r="W87" s="97"/>
      <c r="X87" s="97"/>
      <c r="Y87" s="97"/>
      <c r="Z87" s="97"/>
      <c r="AA87" s="97"/>
      <c r="AB87" s="97"/>
      <c r="AC87" s="97"/>
      <c r="AD87" s="97"/>
      <c r="AE87" s="91"/>
    </row>
    <row r="88" ht="15.75" customHeight="1">
      <c r="A88" s="96" t="s">
        <v>1313</v>
      </c>
      <c r="B88" s="97" t="s">
        <v>175</v>
      </c>
      <c r="C88" s="98"/>
      <c r="D88" s="97"/>
      <c r="E88" s="97"/>
      <c r="F88" s="97"/>
      <c r="G88" s="97"/>
      <c r="H88" s="97" t="s">
        <v>1328</v>
      </c>
      <c r="I88" s="97"/>
      <c r="J88" s="97"/>
      <c r="K88" s="97"/>
      <c r="L88" s="97"/>
      <c r="M88" s="97"/>
      <c r="N88" s="97"/>
      <c r="O88" s="97"/>
      <c r="P88" s="97"/>
      <c r="Q88" s="97"/>
      <c r="R88" s="97"/>
      <c r="S88" s="97"/>
      <c r="T88" s="97"/>
      <c r="U88" s="97"/>
      <c r="V88" s="97"/>
      <c r="W88" s="97"/>
      <c r="X88" s="97"/>
      <c r="Y88" s="97"/>
      <c r="Z88" s="97"/>
      <c r="AA88" s="97"/>
      <c r="AB88" s="97"/>
      <c r="AC88" s="97"/>
      <c r="AD88" s="97"/>
      <c r="AE88" s="91"/>
    </row>
    <row r="89" ht="15.75" customHeight="1">
      <c r="A89" s="96" t="s">
        <v>1337</v>
      </c>
      <c r="B89" s="97" t="s">
        <v>175</v>
      </c>
      <c r="C89" s="98"/>
      <c r="D89" s="97"/>
      <c r="E89" s="97"/>
      <c r="F89" s="97"/>
      <c r="G89" s="97"/>
      <c r="H89" s="97" t="s">
        <v>1348</v>
      </c>
      <c r="I89" s="97"/>
      <c r="J89" s="97"/>
      <c r="K89" s="97"/>
      <c r="L89" s="97"/>
      <c r="M89" s="97"/>
      <c r="N89" s="97"/>
      <c r="O89" s="97"/>
      <c r="P89" s="97"/>
      <c r="Q89" s="97"/>
      <c r="R89" s="97"/>
      <c r="S89" s="97"/>
      <c r="T89" s="97"/>
      <c r="U89" s="97"/>
      <c r="V89" s="97"/>
      <c r="W89" s="97"/>
      <c r="X89" s="97"/>
      <c r="Y89" s="97"/>
      <c r="Z89" s="97"/>
      <c r="AA89" s="97"/>
      <c r="AB89" s="97"/>
      <c r="AC89" s="97"/>
      <c r="AD89" s="97"/>
      <c r="AE89" s="91"/>
    </row>
    <row r="90" ht="15.75" customHeight="1">
      <c r="C90" s="5"/>
    </row>
    <row r="91" ht="15.75" customHeight="1">
      <c r="A91" s="229" t="s">
        <v>1366</v>
      </c>
      <c r="B91" s="230"/>
      <c r="C91" s="231"/>
      <c r="D91" s="232"/>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ht="15.75" customHeight="1">
      <c r="A92" s="233" t="s">
        <v>1386</v>
      </c>
      <c r="B92" s="234"/>
      <c r="C92" s="230"/>
      <c r="D92" s="232"/>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ht="15.75" customHeight="1">
      <c r="C93" s="5"/>
    </row>
    <row r="94" ht="15.75" customHeight="1">
      <c r="A94" s="235" t="s">
        <v>1404</v>
      </c>
      <c r="B94" s="235" t="s">
        <v>1406</v>
      </c>
      <c r="C94" s="235" t="s">
        <v>1409</v>
      </c>
      <c r="D94" s="235" t="s">
        <v>1412</v>
      </c>
    </row>
    <row r="95" ht="15.75" customHeight="1">
      <c r="A95" s="236" t="s">
        <v>1416</v>
      </c>
      <c r="B95" s="236" t="s">
        <v>1420</v>
      </c>
      <c r="C95" s="236" t="s">
        <v>1422</v>
      </c>
      <c r="D95" s="236">
        <v>2.0</v>
      </c>
    </row>
    <row r="96" ht="15.75" customHeight="1">
      <c r="A96" s="236" t="s">
        <v>1423</v>
      </c>
      <c r="B96" s="236" t="s">
        <v>1424</v>
      </c>
      <c r="C96" s="237" t="str">
        <f>"3 - 2"</f>
        <v>3 - 2</v>
      </c>
      <c r="D96" s="236">
        <v>1.0</v>
      </c>
    </row>
    <row r="97" ht="15.75" customHeight="1">
      <c r="A97" s="236" t="s">
        <v>1435</v>
      </c>
      <c r="B97" s="236" t="s">
        <v>1438</v>
      </c>
      <c r="C97" s="236" t="s">
        <v>1440</v>
      </c>
      <c r="D97" s="236">
        <v>6.0</v>
      </c>
    </row>
    <row r="98" ht="15.75" customHeight="1">
      <c r="A98" s="236" t="s">
        <v>1442</v>
      </c>
      <c r="B98" s="236" t="s">
        <v>1443</v>
      </c>
      <c r="C98" s="236" t="s">
        <v>1446</v>
      </c>
      <c r="D98" s="236">
        <v>5.0</v>
      </c>
    </row>
    <row r="99" ht="15.75" customHeight="1">
      <c r="A99" s="236" t="s">
        <v>1449</v>
      </c>
      <c r="B99" s="236" t="s">
        <v>1450</v>
      </c>
      <c r="C99" s="236" t="s">
        <v>1451</v>
      </c>
      <c r="D99" s="236">
        <v>1.0</v>
      </c>
    </row>
    <row r="100" ht="15.75" customHeight="1">
      <c r="A100" s="236" t="s">
        <v>1456</v>
      </c>
      <c r="B100" s="236" t="s">
        <v>1457</v>
      </c>
      <c r="C100" s="236" t="s">
        <v>1458</v>
      </c>
      <c r="D100" s="236" t="s">
        <v>1459</v>
      </c>
    </row>
    <row r="101" ht="15.75" customHeight="1">
      <c r="A101" s="236" t="s">
        <v>1462</v>
      </c>
      <c r="B101" s="236" t="s">
        <v>1464</v>
      </c>
      <c r="C101" s="236" t="s">
        <v>1467</v>
      </c>
      <c r="D101" s="236" t="s">
        <v>1459</v>
      </c>
    </row>
    <row r="102" ht="15.75" customHeight="1">
      <c r="A102" s="236" t="s">
        <v>1472</v>
      </c>
      <c r="B102" s="236" t="s">
        <v>1475</v>
      </c>
      <c r="C102" s="236" t="s">
        <v>1476</v>
      </c>
      <c r="D102" s="236" t="s">
        <v>1459</v>
      </c>
    </row>
    <row r="103" ht="15.75" customHeight="1">
      <c r="A103" s="236" t="s">
        <v>1477</v>
      </c>
      <c r="B103" s="236" t="s">
        <v>1478</v>
      </c>
      <c r="C103" s="236" t="s">
        <v>1479</v>
      </c>
      <c r="D103" s="236" t="s">
        <v>1459</v>
      </c>
    </row>
    <row r="104" ht="15.75" customHeight="1">
      <c r="A104" s="236" t="s">
        <v>1483</v>
      </c>
      <c r="B104" s="236" t="s">
        <v>1484</v>
      </c>
      <c r="C104" s="236" t="s">
        <v>1488</v>
      </c>
      <c r="D104" s="236" t="s">
        <v>1459</v>
      </c>
    </row>
    <row r="105" ht="15.75" customHeight="1">
      <c r="A105" s="236" t="s">
        <v>1493</v>
      </c>
      <c r="B105" s="236" t="s">
        <v>1496</v>
      </c>
      <c r="C105" s="236" t="s">
        <v>1497</v>
      </c>
      <c r="D105" s="236" t="s">
        <v>1459</v>
      </c>
    </row>
    <row r="106" ht="15.75" customHeight="1">
      <c r="A106" s="236" t="s">
        <v>1499</v>
      </c>
      <c r="B106" s="236" t="s">
        <v>1501</v>
      </c>
      <c r="C106" s="236" t="s">
        <v>1504</v>
      </c>
      <c r="D106" s="236" t="s">
        <v>1459</v>
      </c>
    </row>
    <row r="107" ht="15.75" customHeight="1">
      <c r="A107" s="236" t="s">
        <v>1511</v>
      </c>
      <c r="B107" s="236" t="s">
        <v>1513</v>
      </c>
      <c r="C107" s="236" t="s">
        <v>1515</v>
      </c>
      <c r="D107" s="236" t="s">
        <v>1459</v>
      </c>
    </row>
    <row r="108" ht="15.75" customHeight="1">
      <c r="A108" s="236" t="s">
        <v>1516</v>
      </c>
      <c r="B108" s="236" t="s">
        <v>1518</v>
      </c>
      <c r="C108" s="236" t="s">
        <v>1521</v>
      </c>
      <c r="D108" s="236" t="s">
        <v>1524</v>
      </c>
    </row>
    <row r="109" ht="15.75" customHeight="1">
      <c r="A109" s="243"/>
      <c r="B109" s="243"/>
      <c r="C109" s="244"/>
      <c r="D109" s="243"/>
    </row>
    <row r="110" ht="15.75" customHeight="1">
      <c r="A110" s="243"/>
      <c r="B110" s="235" t="s">
        <v>1533</v>
      </c>
      <c r="C110" s="235" t="s">
        <v>1409</v>
      </c>
      <c r="D110" s="243"/>
    </row>
    <row r="111" ht="15.75" customHeight="1">
      <c r="A111" s="243"/>
      <c r="B111" s="236" t="s">
        <v>1536</v>
      </c>
      <c r="C111" s="236" t="s">
        <v>1537</v>
      </c>
      <c r="D111" s="243"/>
    </row>
    <row r="112" ht="15.75" customHeight="1">
      <c r="A112" s="243"/>
      <c r="B112" s="236" t="s">
        <v>1539</v>
      </c>
      <c r="C112" s="245" t="s">
        <v>1540</v>
      </c>
      <c r="D112" s="243"/>
    </row>
    <row r="113" ht="15.75" customHeight="1">
      <c r="A113" s="243"/>
      <c r="B113" s="246" t="s">
        <v>1543</v>
      </c>
      <c r="C113" s="247" t="s">
        <v>1544</v>
      </c>
      <c r="D113" s="243"/>
    </row>
    <row r="114" ht="15.75" customHeight="1">
      <c r="A114" s="243"/>
      <c r="B114" s="247" t="s">
        <v>1544</v>
      </c>
      <c r="C114" s="247" t="s">
        <v>1544</v>
      </c>
      <c r="D114" s="243"/>
    </row>
    <row r="115" ht="15.75" customHeight="1">
      <c r="A115" s="243"/>
      <c r="B115" s="247" t="s">
        <v>1545</v>
      </c>
      <c r="C115" s="247" t="s">
        <v>1547</v>
      </c>
      <c r="D115" s="243"/>
    </row>
    <row r="116" ht="15.75" customHeight="1">
      <c r="A116" s="243"/>
      <c r="B116" s="247" t="s">
        <v>1550</v>
      </c>
      <c r="C116" s="247" t="s">
        <v>1551</v>
      </c>
      <c r="D116" s="243"/>
    </row>
    <row r="117" ht="15.75" customHeight="1">
      <c r="A117" s="243"/>
      <c r="B117" s="247" t="s">
        <v>1555</v>
      </c>
      <c r="C117" s="247" t="s">
        <v>1556</v>
      </c>
      <c r="D117" s="243"/>
    </row>
    <row r="118" ht="15.75" customHeight="1">
      <c r="A118" s="243"/>
      <c r="B118" s="247" t="s">
        <v>1560</v>
      </c>
      <c r="C118" s="247" t="s">
        <v>1561</v>
      </c>
      <c r="D118" s="243"/>
    </row>
    <row r="119" ht="15.75" customHeight="1">
      <c r="A119" s="243"/>
      <c r="B119" s="247" t="s">
        <v>1567</v>
      </c>
      <c r="C119" s="247" t="s">
        <v>1570</v>
      </c>
      <c r="D119" s="243"/>
    </row>
    <row r="120" ht="15.75" customHeight="1">
      <c r="A120" s="243"/>
      <c r="B120" s="247" t="s">
        <v>1571</v>
      </c>
      <c r="C120" s="247" t="s">
        <v>1572</v>
      </c>
      <c r="D120" s="243"/>
    </row>
    <row r="121" ht="15.75" customHeight="1">
      <c r="A121" s="243"/>
      <c r="B121" s="247" t="s">
        <v>1576</v>
      </c>
      <c r="C121" s="247" t="s">
        <v>1577</v>
      </c>
      <c r="D121" s="243"/>
    </row>
    <row r="122" ht="15.75" customHeight="1">
      <c r="A122" s="243"/>
      <c r="B122" s="247" t="s">
        <v>1581</v>
      </c>
      <c r="C122" s="247" t="s">
        <v>1581</v>
      </c>
      <c r="D122" s="243"/>
    </row>
    <row r="123" ht="15.75" customHeight="1">
      <c r="A123" s="243"/>
      <c r="B123" s="247" t="s">
        <v>1588</v>
      </c>
      <c r="C123" s="247" t="s">
        <v>1590</v>
      </c>
      <c r="D123" s="243"/>
    </row>
    <row r="124" ht="15.75" customHeight="1">
      <c r="A124" s="243"/>
      <c r="B124" s="247" t="s">
        <v>1595</v>
      </c>
      <c r="C124" s="247" t="s">
        <v>1597</v>
      </c>
      <c r="D124" s="243"/>
    </row>
    <row r="125" ht="15.75" customHeight="1">
      <c r="A125" s="243"/>
      <c r="B125" s="247" t="s">
        <v>1602</v>
      </c>
      <c r="C125" s="247" t="s">
        <v>1605</v>
      </c>
      <c r="D125" s="243"/>
    </row>
    <row r="126" ht="15.75" customHeight="1">
      <c r="A126" s="243"/>
      <c r="B126" s="247" t="s">
        <v>1609</v>
      </c>
      <c r="C126" s="247" t="s">
        <v>1610</v>
      </c>
      <c r="D126" s="243"/>
    </row>
    <row r="127" ht="15.75" customHeight="1">
      <c r="A127" s="243"/>
      <c r="B127" s="247" t="s">
        <v>1613</v>
      </c>
      <c r="C127" s="247" t="s">
        <v>1615</v>
      </c>
      <c r="D127" s="243"/>
    </row>
    <row r="128" ht="15.75" customHeight="1">
      <c r="A128" s="243"/>
      <c r="B128" s="247" t="s">
        <v>1622</v>
      </c>
      <c r="C128" s="247" t="s">
        <v>1625</v>
      </c>
      <c r="D128" s="243"/>
    </row>
    <row r="129" ht="15.75" customHeight="1">
      <c r="A129" s="243"/>
      <c r="B129" s="247" t="s">
        <v>1630</v>
      </c>
      <c r="C129" s="247" t="s">
        <v>1631</v>
      </c>
      <c r="D129" s="243"/>
    </row>
    <row r="130" ht="15.75" customHeight="1">
      <c r="A130" s="243"/>
      <c r="B130" s="247" t="s">
        <v>1635</v>
      </c>
      <c r="C130" s="247" t="s">
        <v>1636</v>
      </c>
      <c r="D130" s="243"/>
    </row>
    <row r="131" ht="15.75" customHeight="1">
      <c r="A131" s="243"/>
      <c r="B131" s="247" t="s">
        <v>1640</v>
      </c>
      <c r="C131" s="247" t="s">
        <v>1643</v>
      </c>
      <c r="D131" s="243"/>
    </row>
    <row r="132" ht="15.75" customHeight="1">
      <c r="A132" s="243"/>
      <c r="B132" s="247" t="s">
        <v>1647</v>
      </c>
      <c r="C132" s="247" t="s">
        <v>1649</v>
      </c>
      <c r="D132" s="243"/>
    </row>
    <row r="133" ht="15.75" customHeight="1">
      <c r="A133" s="243"/>
      <c r="B133" s="247" t="s">
        <v>1651</v>
      </c>
      <c r="C133" s="247" t="s">
        <v>1654</v>
      </c>
      <c r="D133" s="243"/>
    </row>
    <row r="134" ht="15.75" customHeight="1">
      <c r="A134" s="243"/>
      <c r="B134" s="248" t="s">
        <v>1656</v>
      </c>
      <c r="C134" s="248" t="s">
        <v>1657</v>
      </c>
      <c r="D134" s="243"/>
    </row>
    <row r="135" ht="15.75" customHeight="1">
      <c r="A135" s="243"/>
      <c r="B135" s="248" t="s">
        <v>1659</v>
      </c>
      <c r="C135" s="248" t="s">
        <v>873</v>
      </c>
      <c r="D135" s="243"/>
    </row>
    <row r="136" ht="15.75" customHeight="1">
      <c r="A136" s="243"/>
      <c r="B136" s="248" t="s">
        <v>1666</v>
      </c>
      <c r="C136" s="248" t="s">
        <v>1666</v>
      </c>
      <c r="D136" s="243"/>
    </row>
    <row r="137" ht="15.75" customHeight="1">
      <c r="A137" s="243"/>
      <c r="B137" s="248" t="s">
        <v>122</v>
      </c>
      <c r="C137" s="248" t="s">
        <v>122</v>
      </c>
      <c r="D137" s="243"/>
    </row>
    <row r="138" ht="15.75" customHeight="1">
      <c r="A138" s="243"/>
      <c r="B138" s="248" t="s">
        <v>1670</v>
      </c>
      <c r="C138" s="248" t="s">
        <v>1671</v>
      </c>
      <c r="D138" s="243"/>
    </row>
    <row r="139" ht="15.75" customHeight="1">
      <c r="A139" s="243"/>
      <c r="B139" s="248" t="s">
        <v>1673</v>
      </c>
      <c r="C139" s="248" t="s">
        <v>1674</v>
      </c>
      <c r="D139" s="243"/>
    </row>
    <row r="140" ht="15.75" customHeight="1">
      <c r="A140" s="243"/>
      <c r="B140" s="248" t="s">
        <v>1676</v>
      </c>
      <c r="C140" s="248" t="s">
        <v>1677</v>
      </c>
      <c r="D140" s="243"/>
    </row>
    <row r="141" ht="15.75" customHeight="1">
      <c r="A141" s="243"/>
      <c r="B141" s="248" t="s">
        <v>1681</v>
      </c>
      <c r="C141" s="248" t="s">
        <v>1683</v>
      </c>
      <c r="D141" s="243"/>
    </row>
    <row r="142" ht="15.75" customHeight="1">
      <c r="A142" s="243"/>
      <c r="B142" s="248" t="s">
        <v>1685</v>
      </c>
      <c r="C142" s="248" t="s">
        <v>1686</v>
      </c>
      <c r="D142" s="243"/>
    </row>
    <row r="143" ht="15.75" customHeight="1">
      <c r="A143" s="243"/>
      <c r="B143" s="248" t="s">
        <v>154</v>
      </c>
      <c r="C143" s="248" t="s">
        <v>154</v>
      </c>
      <c r="D143" s="243"/>
    </row>
    <row r="144" ht="15.75" customHeight="1">
      <c r="A144" s="252"/>
      <c r="B144" s="253" t="s">
        <v>1696</v>
      </c>
      <c r="C144" s="253" t="s">
        <v>1700</v>
      </c>
      <c r="D144" s="252"/>
    </row>
    <row r="145" ht="15.75" customHeight="1">
      <c r="A145" s="7"/>
      <c r="B145" s="254"/>
      <c r="C145" s="254"/>
      <c r="D145" s="7"/>
      <c r="E145" s="7"/>
    </row>
    <row r="146" ht="15.75" customHeight="1">
      <c r="A146" s="7"/>
      <c r="B146" s="254"/>
      <c r="C146" s="254"/>
      <c r="D146" s="7"/>
      <c r="E146" s="7"/>
    </row>
    <row r="147" ht="15.75" customHeight="1">
      <c r="A147" s="7"/>
      <c r="B147" s="254"/>
      <c r="C147" s="254"/>
      <c r="D147" s="7"/>
      <c r="E147" s="7"/>
    </row>
    <row r="148" ht="15.75" customHeight="1">
      <c r="A148" s="7"/>
      <c r="B148" s="254"/>
      <c r="C148" s="254"/>
      <c r="D148" s="7"/>
      <c r="E148" s="7"/>
    </row>
    <row r="149" ht="15.75" customHeight="1">
      <c r="A149" s="7"/>
      <c r="B149" s="254"/>
      <c r="C149" s="254"/>
      <c r="D149" s="7"/>
      <c r="E149" s="7"/>
    </row>
    <row r="150" ht="15.75" customHeight="1">
      <c r="A150" s="7"/>
      <c r="B150" s="254"/>
      <c r="C150" s="254"/>
      <c r="D150" s="7"/>
      <c r="E150" s="7"/>
    </row>
    <row r="151" ht="15.75" customHeight="1">
      <c r="A151" s="7"/>
      <c r="B151" s="254"/>
      <c r="C151" s="254"/>
      <c r="D151" s="7"/>
      <c r="E151" s="7"/>
    </row>
    <row r="152" ht="15.75" customHeight="1">
      <c r="A152" s="7"/>
      <c r="B152" s="254"/>
      <c r="C152" s="254"/>
      <c r="D152" s="7"/>
      <c r="E152" s="7"/>
    </row>
    <row r="153" ht="15.75" customHeight="1">
      <c r="A153" s="7"/>
      <c r="B153" s="254"/>
      <c r="C153" s="254"/>
      <c r="D153" s="7"/>
      <c r="E153" s="7"/>
    </row>
    <row r="154" ht="15.75" customHeight="1">
      <c r="A154" s="7"/>
      <c r="B154" s="254"/>
      <c r="C154" s="254"/>
      <c r="D154" s="7"/>
      <c r="E154" s="7"/>
    </row>
    <row r="155" ht="15.75" customHeight="1">
      <c r="A155" s="7"/>
      <c r="B155" s="254"/>
      <c r="C155" s="254"/>
      <c r="D155" s="7"/>
      <c r="E155" s="7"/>
    </row>
    <row r="156" ht="15.75" customHeight="1">
      <c r="A156" s="7"/>
      <c r="B156" s="7"/>
      <c r="C156" s="5"/>
      <c r="D156" s="7"/>
      <c r="E156" s="7"/>
    </row>
    <row r="157" ht="15.75" customHeight="1">
      <c r="A157" s="7"/>
      <c r="B157" s="7"/>
      <c r="C157" s="5"/>
      <c r="D157" s="7"/>
      <c r="E157" s="7"/>
    </row>
    <row r="158" ht="15.75" customHeight="1">
      <c r="A158" s="7"/>
      <c r="B158" s="7"/>
      <c r="C158" s="5"/>
      <c r="D158" s="7"/>
      <c r="E158" s="7"/>
    </row>
    <row r="159" ht="15.75" customHeight="1">
      <c r="A159" s="7"/>
      <c r="B159" s="7"/>
      <c r="C159" s="5"/>
      <c r="D159" s="7"/>
      <c r="E159" s="7"/>
    </row>
    <row r="160" ht="15.75" customHeight="1">
      <c r="A160" s="7"/>
      <c r="B160" s="7"/>
      <c r="C160" s="5"/>
      <c r="D160" s="7"/>
      <c r="E160" s="7"/>
    </row>
    <row r="161" ht="15.75" customHeight="1">
      <c r="C161" s="5"/>
    </row>
    <row r="162" ht="15.75" customHeight="1">
      <c r="C162" s="5"/>
    </row>
    <row r="163" ht="15.75" customHeight="1">
      <c r="C163" s="5"/>
    </row>
    <row r="164" ht="15.75" customHeight="1">
      <c r="C164" s="5"/>
    </row>
    <row r="165" ht="15.75" customHeight="1">
      <c r="C165" s="5"/>
    </row>
    <row r="166" ht="15.75" customHeight="1">
      <c r="C166" s="5"/>
    </row>
    <row r="167" ht="15.75" customHeight="1">
      <c r="C167" s="5"/>
    </row>
    <row r="168" ht="15.75" customHeight="1">
      <c r="C168" s="5"/>
    </row>
    <row r="169" ht="15.75" customHeight="1">
      <c r="C169" s="5"/>
    </row>
    <row r="170" ht="15.75" customHeight="1">
      <c r="C170" s="5"/>
    </row>
    <row r="171" ht="15.75" customHeight="1">
      <c r="C171" s="5"/>
    </row>
    <row r="172" ht="15.75" customHeight="1">
      <c r="C172" s="5"/>
    </row>
    <row r="173" ht="15.75" customHeight="1">
      <c r="C173" s="5"/>
    </row>
    <row r="174" ht="15.75" customHeight="1">
      <c r="C174" s="5"/>
    </row>
    <row r="175" ht="15.75" customHeight="1">
      <c r="C175" s="5"/>
    </row>
    <row r="176" ht="15.75" customHeight="1">
      <c r="C176" s="5"/>
    </row>
    <row r="177" ht="15.75" customHeight="1">
      <c r="C177" s="5"/>
    </row>
    <row r="178" ht="15.75" customHeight="1">
      <c r="C178" s="5"/>
    </row>
    <row r="179" ht="15.75" customHeight="1">
      <c r="C179" s="5"/>
    </row>
    <row r="180" ht="15.75" customHeight="1">
      <c r="C180" s="5"/>
    </row>
    <row r="181" ht="15.75" customHeight="1">
      <c r="C181" s="5"/>
    </row>
    <row r="182" ht="15.75" customHeight="1">
      <c r="C182" s="5"/>
    </row>
    <row r="183" ht="15.75" customHeight="1">
      <c r="C183" s="5"/>
    </row>
    <row r="184" ht="15.75" customHeight="1">
      <c r="C184" s="5"/>
    </row>
    <row r="185" ht="15.75" customHeight="1">
      <c r="C185" s="5"/>
    </row>
    <row r="186" ht="15.75" customHeight="1">
      <c r="C186" s="5"/>
    </row>
    <row r="187" ht="15.75" customHeight="1">
      <c r="C187" s="5"/>
    </row>
    <row r="188" ht="15.75" customHeight="1">
      <c r="C188" s="5"/>
    </row>
    <row r="189" ht="15.75" customHeight="1">
      <c r="C189" s="5"/>
    </row>
    <row r="190" ht="15.75" customHeight="1">
      <c r="C190" s="5"/>
    </row>
    <row r="191" ht="15.75" customHeight="1">
      <c r="C191" s="5"/>
    </row>
    <row r="192" ht="15.75" customHeight="1">
      <c r="C192" s="5"/>
    </row>
    <row r="193" ht="15.75" customHeight="1">
      <c r="C193" s="5"/>
    </row>
    <row r="194" ht="15.75" customHeight="1">
      <c r="C194" s="5"/>
    </row>
    <row r="195" ht="15.75" customHeight="1">
      <c r="C195" s="5"/>
    </row>
    <row r="196" ht="15.75" customHeight="1">
      <c r="C196" s="5"/>
    </row>
    <row r="197" ht="15.75" customHeight="1">
      <c r="C197" s="5"/>
    </row>
    <row r="198" ht="15.75" customHeight="1">
      <c r="C198" s="5"/>
    </row>
    <row r="199" ht="15.75" customHeight="1">
      <c r="C199" s="5"/>
    </row>
    <row r="200" ht="15.75" customHeight="1">
      <c r="C200" s="5"/>
    </row>
    <row r="201" ht="15.75" customHeight="1">
      <c r="C201" s="5"/>
    </row>
    <row r="202" ht="15.75" customHeight="1">
      <c r="C202" s="5"/>
    </row>
    <row r="203" ht="15.75" customHeight="1">
      <c r="C203" s="5"/>
    </row>
    <row r="204" ht="15.75" customHeight="1">
      <c r="C204" s="5"/>
    </row>
    <row r="205" ht="15.75" customHeight="1">
      <c r="C205" s="5"/>
    </row>
    <row r="206" ht="15.75" customHeight="1">
      <c r="C206" s="5"/>
    </row>
    <row r="207" ht="15.75" customHeight="1">
      <c r="C207" s="5"/>
    </row>
    <row r="208" ht="15.75" customHeight="1">
      <c r="C208" s="5"/>
    </row>
    <row r="209" ht="15.75" customHeight="1">
      <c r="C209" s="5"/>
    </row>
    <row r="210" ht="15.75" customHeight="1">
      <c r="C210" s="5"/>
    </row>
    <row r="211" ht="15.75" customHeight="1">
      <c r="C211" s="5"/>
    </row>
    <row r="212" ht="15.75" customHeight="1">
      <c r="C212" s="5"/>
    </row>
    <row r="213" ht="15.75" customHeight="1">
      <c r="C213" s="5"/>
    </row>
    <row r="214" ht="15.75" customHeight="1">
      <c r="C214" s="5"/>
    </row>
    <row r="215" ht="15.75" customHeight="1">
      <c r="C215" s="5"/>
    </row>
    <row r="216" ht="15.75" customHeight="1">
      <c r="C216" s="5"/>
    </row>
    <row r="217" ht="15.75" customHeight="1">
      <c r="C217" s="5"/>
    </row>
    <row r="218" ht="15.75" customHeight="1">
      <c r="C218" s="5"/>
    </row>
    <row r="219" ht="15.75" customHeight="1">
      <c r="C219" s="5"/>
    </row>
    <row r="220" ht="15.75" customHeight="1">
      <c r="C220" s="5"/>
    </row>
    <row r="221" ht="15.75" customHeight="1">
      <c r="C221" s="5"/>
    </row>
    <row r="222" ht="15.75" customHeight="1">
      <c r="C222" s="5"/>
    </row>
    <row r="223" ht="15.75" customHeight="1">
      <c r="C223" s="5"/>
    </row>
    <row r="224" ht="15.75" customHeight="1">
      <c r="C224" s="5"/>
    </row>
    <row r="225" ht="15.75" customHeight="1">
      <c r="C225" s="5"/>
    </row>
    <row r="226" ht="15.75" customHeight="1">
      <c r="C226" s="5"/>
    </row>
    <row r="227" ht="15.75" customHeight="1">
      <c r="C227" s="5"/>
    </row>
    <row r="228" ht="15.75" customHeight="1">
      <c r="C228" s="5"/>
    </row>
    <row r="229" ht="15.75" customHeight="1">
      <c r="C229" s="5"/>
    </row>
    <row r="230" ht="15.75" customHeight="1">
      <c r="C230" s="5"/>
    </row>
    <row r="231" ht="15.75" customHeight="1">
      <c r="C231" s="5"/>
    </row>
    <row r="232" ht="15.75" customHeight="1">
      <c r="C232" s="5"/>
    </row>
    <row r="233" ht="15.75" customHeight="1">
      <c r="C233" s="5"/>
    </row>
    <row r="234" ht="15.75" customHeight="1">
      <c r="C234" s="5"/>
    </row>
    <row r="235" ht="15.75" customHeight="1">
      <c r="C235" s="5"/>
    </row>
    <row r="236" ht="15.75" customHeight="1">
      <c r="C236" s="5"/>
    </row>
    <row r="237" ht="15.75" customHeight="1">
      <c r="C237" s="5"/>
    </row>
    <row r="238" ht="15.75" customHeight="1">
      <c r="C238" s="5"/>
    </row>
    <row r="239" ht="15.75" customHeight="1">
      <c r="C239" s="5"/>
    </row>
    <row r="240" ht="15.75" customHeight="1">
      <c r="C240" s="5"/>
    </row>
    <row r="241" ht="15.75" customHeight="1">
      <c r="C241" s="5"/>
    </row>
    <row r="242" ht="15.75" customHeight="1">
      <c r="C242" s="5"/>
    </row>
    <row r="243" ht="15.75" customHeight="1">
      <c r="C243" s="5"/>
    </row>
    <row r="244" ht="15.75" customHeight="1">
      <c r="C244" s="5"/>
    </row>
    <row r="245" ht="15.75" customHeight="1">
      <c r="C245" s="5"/>
    </row>
    <row r="246" ht="15.75" customHeight="1">
      <c r="C246" s="5"/>
    </row>
    <row r="247" ht="15.75" customHeight="1">
      <c r="C247" s="5"/>
    </row>
    <row r="248" ht="15.75" customHeight="1">
      <c r="C248" s="5"/>
    </row>
    <row r="249" ht="15.75" customHeight="1">
      <c r="C249" s="5"/>
    </row>
    <row r="250" ht="15.75" customHeight="1">
      <c r="C250" s="5"/>
    </row>
    <row r="251" ht="15.75" customHeight="1">
      <c r="C251" s="5"/>
    </row>
    <row r="252" ht="15.75" customHeight="1">
      <c r="C252" s="5"/>
    </row>
    <row r="253" ht="15.75" customHeight="1">
      <c r="C253" s="5"/>
    </row>
    <row r="254" ht="15.75" customHeight="1">
      <c r="C254" s="5"/>
    </row>
    <row r="255" ht="15.75" customHeight="1">
      <c r="C255" s="5"/>
    </row>
    <row r="256" ht="15.75" customHeight="1">
      <c r="C256" s="5"/>
    </row>
    <row r="257" ht="15.75" customHeight="1">
      <c r="C257" s="5"/>
    </row>
    <row r="258" ht="15.75" customHeight="1">
      <c r="C258" s="5"/>
    </row>
    <row r="259" ht="15.75" customHeight="1">
      <c r="C259" s="5"/>
    </row>
    <row r="260" ht="15.75" customHeight="1">
      <c r="C260" s="5"/>
    </row>
    <row r="261" ht="15.75" customHeight="1">
      <c r="C261" s="5"/>
    </row>
    <row r="262" ht="15.75" customHeight="1">
      <c r="C262" s="5"/>
    </row>
    <row r="263" ht="15.75" customHeight="1">
      <c r="C263" s="5"/>
    </row>
    <row r="264" ht="15.75" customHeight="1">
      <c r="C264" s="5"/>
    </row>
    <row r="265" ht="15.75" customHeight="1">
      <c r="C265" s="5"/>
    </row>
    <row r="266" ht="15.75" customHeight="1">
      <c r="C266" s="5"/>
    </row>
    <row r="267" ht="15.75" customHeight="1">
      <c r="C267" s="5"/>
    </row>
    <row r="268" ht="15.75" customHeight="1">
      <c r="C268" s="5"/>
    </row>
    <row r="269" ht="15.75" customHeight="1">
      <c r="C269" s="5"/>
    </row>
    <row r="270" ht="15.75" customHeight="1">
      <c r="C270" s="5"/>
    </row>
    <row r="271" ht="15.75" customHeight="1">
      <c r="C271" s="5"/>
    </row>
    <row r="272" ht="15.75" customHeight="1">
      <c r="C272" s="5"/>
    </row>
    <row r="273" ht="15.75" customHeight="1">
      <c r="C273" s="5"/>
    </row>
    <row r="274" ht="15.75" customHeight="1">
      <c r="C274" s="5"/>
    </row>
    <row r="275" ht="15.75" customHeight="1">
      <c r="C275" s="5"/>
    </row>
    <row r="276" ht="15.75" customHeight="1">
      <c r="C276" s="5"/>
    </row>
    <row r="277" ht="15.75" customHeight="1">
      <c r="C277" s="5"/>
    </row>
    <row r="278" ht="15.75" customHeight="1">
      <c r="C278" s="5"/>
    </row>
    <row r="279" ht="15.75" customHeight="1">
      <c r="C279" s="5"/>
    </row>
    <row r="280" ht="15.75" customHeight="1">
      <c r="C280" s="5"/>
    </row>
    <row r="281" ht="15.75" customHeight="1">
      <c r="C281" s="5"/>
    </row>
    <row r="282" ht="15.75" customHeight="1">
      <c r="C282" s="5"/>
    </row>
    <row r="283" ht="15.75" customHeight="1">
      <c r="C283" s="5"/>
    </row>
    <row r="284" ht="15.75" customHeight="1">
      <c r="C284" s="5"/>
    </row>
    <row r="285" ht="15.75" customHeight="1">
      <c r="C285" s="5"/>
    </row>
    <row r="286" ht="15.75" customHeight="1">
      <c r="C286" s="5"/>
    </row>
    <row r="287" ht="15.75" customHeight="1">
      <c r="C287" s="5"/>
    </row>
    <row r="288" ht="15.75" customHeight="1">
      <c r="C288" s="5"/>
    </row>
    <row r="289" ht="15.75" customHeight="1">
      <c r="C289" s="5"/>
    </row>
    <row r="290" ht="15.75" customHeight="1">
      <c r="C290" s="5"/>
    </row>
    <row r="291" ht="15.75" customHeight="1">
      <c r="C291" s="5"/>
    </row>
    <row r="292" ht="15.75" customHeight="1">
      <c r="C292" s="5"/>
    </row>
    <row r="293" ht="15.75" customHeight="1">
      <c r="C293" s="5"/>
    </row>
    <row r="294" ht="15.75" customHeight="1">
      <c r="C294" s="5"/>
    </row>
    <row r="295" ht="15.75" customHeight="1">
      <c r="C295" s="5"/>
    </row>
    <row r="296" ht="15.75" customHeight="1">
      <c r="C296" s="5"/>
    </row>
    <row r="297" ht="15.75" customHeight="1">
      <c r="C297" s="5"/>
    </row>
    <row r="298" ht="15.75" customHeight="1">
      <c r="C298" s="5"/>
    </row>
    <row r="299" ht="15.75" customHeight="1">
      <c r="C299" s="5"/>
    </row>
    <row r="300" ht="15.75" customHeight="1">
      <c r="C300" s="5"/>
    </row>
    <row r="301" ht="15.75" customHeight="1">
      <c r="C301" s="5"/>
    </row>
    <row r="302" ht="15.75" customHeight="1">
      <c r="C302" s="5"/>
    </row>
    <row r="303" ht="15.75" customHeight="1">
      <c r="C303" s="5"/>
    </row>
    <row r="304" ht="15.75" customHeight="1">
      <c r="C304" s="5"/>
    </row>
    <row r="305" ht="15.75" customHeight="1">
      <c r="C305" s="5"/>
    </row>
    <row r="306" ht="15.75" customHeight="1">
      <c r="C306" s="5"/>
    </row>
    <row r="307" ht="15.75" customHeight="1">
      <c r="C307" s="5"/>
    </row>
    <row r="308" ht="15.75" customHeight="1">
      <c r="C308" s="5"/>
    </row>
    <row r="309" ht="15.75" customHeight="1">
      <c r="C309" s="5"/>
    </row>
    <row r="310" ht="15.75" customHeight="1">
      <c r="C310" s="5"/>
    </row>
    <row r="311" ht="15.75" customHeight="1">
      <c r="C311" s="5"/>
    </row>
    <row r="312" ht="15.75" customHeight="1">
      <c r="C312" s="5"/>
    </row>
    <row r="313" ht="15.75" customHeight="1">
      <c r="C313" s="5"/>
    </row>
    <row r="314" ht="15.75" customHeight="1">
      <c r="C314" s="5"/>
    </row>
    <row r="315" ht="15.75" customHeight="1">
      <c r="C315" s="5"/>
    </row>
    <row r="316" ht="15.75" customHeight="1">
      <c r="C316" s="5"/>
    </row>
    <row r="317" ht="15.75" customHeight="1">
      <c r="C317" s="5"/>
    </row>
    <row r="318" ht="15.75" customHeight="1">
      <c r="C318" s="5"/>
    </row>
    <row r="319" ht="15.75" customHeight="1">
      <c r="C319" s="5"/>
    </row>
    <row r="320" ht="15.75" customHeight="1">
      <c r="C320" s="5"/>
    </row>
    <row r="321" ht="15.75" customHeight="1">
      <c r="C321" s="5"/>
    </row>
    <row r="322" ht="15.75" customHeight="1">
      <c r="C322" s="5"/>
    </row>
    <row r="323" ht="15.75" customHeight="1">
      <c r="C323" s="5"/>
    </row>
    <row r="324" ht="15.75" customHeight="1">
      <c r="C324" s="5"/>
    </row>
    <row r="325" ht="15.75" customHeight="1">
      <c r="C325" s="5"/>
    </row>
    <row r="326" ht="15.75" customHeight="1">
      <c r="C326" s="5"/>
    </row>
    <row r="327" ht="15.75" customHeight="1">
      <c r="C327" s="5"/>
    </row>
    <row r="328" ht="15.75" customHeight="1">
      <c r="C328" s="5"/>
    </row>
    <row r="329" ht="15.75" customHeight="1">
      <c r="C329" s="5"/>
    </row>
    <row r="330" ht="15.75" customHeight="1">
      <c r="C330" s="5"/>
    </row>
    <row r="331" ht="15.75" customHeight="1">
      <c r="C331" s="5"/>
    </row>
    <row r="332" ht="15.75" customHeight="1">
      <c r="C332" s="5"/>
    </row>
    <row r="333" ht="15.75" customHeight="1">
      <c r="C333" s="5"/>
    </row>
    <row r="334" ht="15.75" customHeight="1">
      <c r="C334" s="5"/>
    </row>
    <row r="335" ht="15.75" customHeight="1">
      <c r="C335" s="5"/>
    </row>
    <row r="336" ht="15.75" customHeight="1">
      <c r="C336" s="5"/>
    </row>
    <row r="337" ht="15.75" customHeight="1">
      <c r="C337" s="5"/>
    </row>
    <row r="338" ht="15.75" customHeight="1">
      <c r="C338" s="5"/>
    </row>
    <row r="339" ht="15.75" customHeight="1">
      <c r="C339" s="5"/>
    </row>
    <row r="340" ht="15.75" customHeight="1">
      <c r="C340" s="5"/>
    </row>
    <row r="341" ht="15.75" customHeight="1">
      <c r="C341" s="5"/>
    </row>
    <row r="342" ht="15.75" customHeight="1">
      <c r="C342" s="5"/>
    </row>
    <row r="343" ht="15.75" customHeight="1">
      <c r="C343" s="5"/>
    </row>
    <row r="344" ht="15.75" customHeight="1">
      <c r="C344" s="5"/>
    </row>
    <row r="345" ht="15.75" customHeight="1">
      <c r="C345" s="5"/>
    </row>
    <row r="346" ht="15.75" customHeight="1">
      <c r="C346" s="5"/>
    </row>
    <row r="347" ht="15.75" customHeight="1">
      <c r="C347" s="5"/>
    </row>
    <row r="348" ht="15.75" customHeight="1">
      <c r="C348" s="5"/>
    </row>
    <row r="349" ht="15.75" customHeight="1">
      <c r="C349" s="5"/>
    </row>
    <row r="350" ht="15.75" customHeight="1">
      <c r="C350" s="5"/>
    </row>
    <row r="351" ht="15.75" customHeight="1">
      <c r="C351" s="5"/>
    </row>
    <row r="352" ht="15.75" customHeight="1">
      <c r="C352" s="5"/>
    </row>
    <row r="353" ht="15.75" customHeight="1">
      <c r="C353" s="5"/>
    </row>
    <row r="354" ht="15.75" customHeight="1">
      <c r="C354" s="5"/>
    </row>
    <row r="355" ht="15.75" customHeight="1">
      <c r="C355" s="5"/>
    </row>
    <row r="356" ht="15.75" customHeight="1">
      <c r="C356" s="5"/>
    </row>
    <row r="357" ht="15.75" customHeight="1">
      <c r="C357" s="5"/>
    </row>
    <row r="358" ht="15.75" customHeight="1">
      <c r="C358" s="5"/>
    </row>
    <row r="359" ht="15.75" customHeight="1">
      <c r="C359" s="5"/>
    </row>
    <row r="360" ht="15.75" customHeight="1">
      <c r="C360" s="5"/>
    </row>
    <row r="361" ht="15.75" customHeight="1">
      <c r="C361" s="5"/>
    </row>
    <row r="362" ht="15.75" customHeight="1">
      <c r="C362" s="5"/>
    </row>
    <row r="363" ht="15.75" customHeight="1">
      <c r="C363" s="5"/>
    </row>
    <row r="364" ht="15.75" customHeight="1">
      <c r="C364" s="5"/>
    </row>
    <row r="365" ht="15.75" customHeight="1">
      <c r="C365" s="5"/>
    </row>
    <row r="366" ht="15.75" customHeight="1">
      <c r="C366" s="5"/>
    </row>
    <row r="367" ht="15.75" customHeight="1">
      <c r="C367" s="5"/>
    </row>
    <row r="368" ht="15.75" customHeight="1">
      <c r="C368" s="5"/>
    </row>
    <row r="369" ht="15.75" customHeight="1">
      <c r="C369" s="5"/>
    </row>
    <row r="370" ht="15.75" customHeight="1">
      <c r="C370" s="5"/>
    </row>
    <row r="371" ht="15.75" customHeight="1">
      <c r="C371" s="5"/>
    </row>
    <row r="372" ht="15.75" customHeight="1">
      <c r="C372" s="5"/>
    </row>
    <row r="373" ht="15.75" customHeight="1">
      <c r="C373" s="5"/>
    </row>
    <row r="374" ht="15.75" customHeight="1">
      <c r="C374" s="5"/>
    </row>
    <row r="375" ht="15.75" customHeight="1">
      <c r="C375" s="5"/>
    </row>
    <row r="376" ht="15.75" customHeight="1">
      <c r="C376" s="5"/>
    </row>
    <row r="377" ht="15.75" customHeight="1">
      <c r="C377" s="5"/>
    </row>
    <row r="378" ht="15.75" customHeight="1">
      <c r="C378" s="5"/>
    </row>
    <row r="379" ht="15.75" customHeight="1">
      <c r="C379" s="5"/>
    </row>
    <row r="380" ht="15.75" customHeight="1">
      <c r="C380" s="5"/>
    </row>
    <row r="381" ht="15.75" customHeight="1">
      <c r="C381" s="5"/>
    </row>
    <row r="382" ht="15.75" customHeight="1">
      <c r="C382" s="5"/>
    </row>
    <row r="383" ht="15.75" customHeight="1">
      <c r="C383" s="5"/>
    </row>
    <row r="384" ht="15.75" customHeight="1">
      <c r="C384" s="5"/>
    </row>
    <row r="385" ht="15.75" customHeight="1">
      <c r="C385" s="5"/>
    </row>
    <row r="386" ht="15.75" customHeight="1">
      <c r="C386" s="5"/>
    </row>
    <row r="387" ht="15.75" customHeight="1">
      <c r="C387" s="5"/>
    </row>
    <row r="388" ht="15.75" customHeight="1">
      <c r="C388" s="5"/>
    </row>
    <row r="389" ht="15.75" customHeight="1">
      <c r="C389" s="5"/>
    </row>
    <row r="390" ht="15.75" customHeight="1">
      <c r="C390" s="5"/>
    </row>
    <row r="391" ht="15.75" customHeight="1">
      <c r="C391" s="5"/>
    </row>
    <row r="392" ht="15.75" customHeight="1">
      <c r="C392" s="5"/>
    </row>
    <row r="393" ht="15.75" customHeight="1">
      <c r="C393" s="5"/>
    </row>
    <row r="394" ht="15.75" customHeight="1">
      <c r="C394" s="5"/>
    </row>
    <row r="395" ht="15.75" customHeight="1">
      <c r="C395" s="5"/>
    </row>
    <row r="396" ht="15.75" customHeight="1">
      <c r="C396" s="5"/>
    </row>
    <row r="397" ht="15.75" customHeight="1">
      <c r="C397" s="5"/>
    </row>
    <row r="398" ht="15.75" customHeight="1">
      <c r="C398" s="5"/>
    </row>
    <row r="399" ht="15.75" customHeight="1">
      <c r="C399" s="5"/>
    </row>
    <row r="400" ht="15.75" customHeight="1">
      <c r="C400" s="5"/>
    </row>
    <row r="401" ht="15.75" customHeight="1">
      <c r="C401" s="5"/>
    </row>
    <row r="402" ht="15.75" customHeight="1">
      <c r="C402" s="5"/>
    </row>
    <row r="403" ht="15.75" customHeight="1">
      <c r="C403" s="5"/>
    </row>
    <row r="404" ht="15.75" customHeight="1">
      <c r="C404" s="5"/>
    </row>
    <row r="405" ht="15.75" customHeight="1">
      <c r="C405" s="5"/>
    </row>
    <row r="406" ht="15.75" customHeight="1">
      <c r="C406" s="5"/>
    </row>
    <row r="407" ht="15.75" customHeight="1">
      <c r="C407" s="5"/>
    </row>
    <row r="408" ht="15.75" customHeight="1">
      <c r="C408" s="5"/>
    </row>
    <row r="409" ht="15.75" customHeight="1">
      <c r="C409" s="5"/>
    </row>
    <row r="410" ht="15.75" customHeight="1">
      <c r="C410" s="5"/>
    </row>
    <row r="411" ht="15.75" customHeight="1">
      <c r="C411" s="5"/>
    </row>
    <row r="412" ht="15.75" customHeight="1">
      <c r="C412" s="5"/>
    </row>
    <row r="413" ht="15.75" customHeight="1">
      <c r="C413" s="5"/>
    </row>
    <row r="414" ht="15.75" customHeight="1">
      <c r="C414" s="5"/>
    </row>
    <row r="415" ht="15.75" customHeight="1">
      <c r="C415" s="5"/>
    </row>
    <row r="416" ht="15.75" customHeight="1">
      <c r="C416" s="5"/>
    </row>
    <row r="417" ht="15.75" customHeight="1">
      <c r="C417" s="5"/>
    </row>
    <row r="418" ht="15.75" customHeight="1">
      <c r="C418" s="5"/>
    </row>
    <row r="419" ht="15.75" customHeight="1">
      <c r="C419" s="5"/>
    </row>
    <row r="420" ht="15.75" customHeight="1">
      <c r="C420" s="5"/>
    </row>
    <row r="421" ht="15.75" customHeight="1">
      <c r="C421" s="5"/>
    </row>
    <row r="422" ht="15.75" customHeight="1">
      <c r="C422" s="5"/>
    </row>
    <row r="423" ht="15.75" customHeight="1">
      <c r="C423" s="5"/>
    </row>
    <row r="424" ht="15.75" customHeight="1">
      <c r="C424" s="5"/>
    </row>
    <row r="425" ht="15.75" customHeight="1">
      <c r="C425" s="5"/>
    </row>
    <row r="426" ht="15.75" customHeight="1">
      <c r="C426" s="5"/>
    </row>
    <row r="427" ht="15.75" customHeight="1">
      <c r="C427" s="5"/>
    </row>
    <row r="428" ht="15.75" customHeight="1">
      <c r="C428" s="5"/>
    </row>
    <row r="429" ht="15.75" customHeight="1">
      <c r="C429" s="5"/>
    </row>
    <row r="430" ht="15.75" customHeight="1">
      <c r="C430" s="5"/>
    </row>
    <row r="431" ht="15.75" customHeight="1">
      <c r="C431" s="5"/>
    </row>
    <row r="432" ht="15.75" customHeight="1">
      <c r="C432" s="5"/>
    </row>
    <row r="433" ht="15.75" customHeight="1">
      <c r="C433" s="5"/>
    </row>
    <row r="434" ht="15.75" customHeight="1">
      <c r="C434" s="5"/>
    </row>
    <row r="435" ht="15.75" customHeight="1">
      <c r="C435" s="5"/>
    </row>
    <row r="436" ht="15.75" customHeight="1">
      <c r="C436" s="5"/>
    </row>
    <row r="437" ht="15.75" customHeight="1">
      <c r="C437" s="5"/>
    </row>
    <row r="438" ht="15.75" customHeight="1">
      <c r="C438" s="5"/>
    </row>
    <row r="439" ht="15.75" customHeight="1">
      <c r="C439" s="5"/>
    </row>
    <row r="440" ht="15.75" customHeight="1">
      <c r="C440" s="5"/>
    </row>
    <row r="441" ht="15.75" customHeight="1">
      <c r="C441" s="5"/>
    </row>
    <row r="442" ht="15.75" customHeight="1">
      <c r="C442" s="5"/>
    </row>
    <row r="443" ht="15.75" customHeight="1">
      <c r="C443" s="5"/>
    </row>
    <row r="444" ht="15.75" customHeight="1">
      <c r="C444" s="5"/>
    </row>
    <row r="445" ht="15.75" customHeight="1">
      <c r="C445" s="5"/>
    </row>
    <row r="446" ht="15.75" customHeight="1">
      <c r="C446" s="5"/>
    </row>
    <row r="447" ht="15.75" customHeight="1">
      <c r="C447" s="5"/>
    </row>
    <row r="448" ht="15.75" customHeight="1">
      <c r="C448" s="5"/>
    </row>
    <row r="449" ht="15.75" customHeight="1">
      <c r="C449" s="5"/>
    </row>
    <row r="450" ht="15.75" customHeight="1">
      <c r="C450" s="5"/>
    </row>
    <row r="451" ht="15.75" customHeight="1">
      <c r="C451" s="5"/>
    </row>
    <row r="452" ht="15.75" customHeight="1">
      <c r="C452" s="5"/>
    </row>
    <row r="453" ht="15.75" customHeight="1">
      <c r="C453" s="5"/>
    </row>
    <row r="454" ht="15.75" customHeight="1">
      <c r="C454" s="5"/>
    </row>
    <row r="455" ht="15.75" customHeight="1">
      <c r="C455" s="5"/>
    </row>
    <row r="456" ht="15.75" customHeight="1">
      <c r="C456" s="5"/>
    </row>
    <row r="457" ht="15.75" customHeight="1">
      <c r="C457" s="5"/>
    </row>
    <row r="458" ht="15.75" customHeight="1">
      <c r="C458" s="5"/>
    </row>
    <row r="459" ht="15.75" customHeight="1">
      <c r="C459" s="5"/>
    </row>
    <row r="460" ht="15.75" customHeight="1">
      <c r="C460" s="5"/>
    </row>
    <row r="461" ht="15.75" customHeight="1">
      <c r="C461" s="5"/>
    </row>
    <row r="462" ht="15.75" customHeight="1">
      <c r="C462" s="5"/>
    </row>
    <row r="463" ht="15.75" customHeight="1">
      <c r="C463" s="5"/>
    </row>
    <row r="464" ht="15.75" customHeight="1">
      <c r="C464" s="5"/>
    </row>
    <row r="465" ht="15.75" customHeight="1">
      <c r="C465" s="5"/>
    </row>
    <row r="466" ht="15.75" customHeight="1">
      <c r="C466" s="5"/>
    </row>
    <row r="467" ht="15.75" customHeight="1">
      <c r="C467" s="5"/>
    </row>
    <row r="468" ht="15.75" customHeight="1">
      <c r="C468" s="5"/>
    </row>
    <row r="469" ht="15.75" customHeight="1">
      <c r="C469" s="5"/>
    </row>
    <row r="470" ht="15.75" customHeight="1">
      <c r="C470" s="5"/>
    </row>
    <row r="471" ht="15.75" customHeight="1">
      <c r="C471" s="5"/>
    </row>
    <row r="472" ht="15.75" customHeight="1">
      <c r="C472" s="5"/>
    </row>
    <row r="473" ht="15.75" customHeight="1">
      <c r="C473" s="5"/>
    </row>
    <row r="474" ht="15.75" customHeight="1">
      <c r="C474" s="5"/>
    </row>
    <row r="475" ht="15.75" customHeight="1">
      <c r="C475" s="5"/>
    </row>
    <row r="476" ht="15.75" customHeight="1">
      <c r="C476" s="5"/>
    </row>
    <row r="477" ht="15.75" customHeight="1">
      <c r="C477" s="5"/>
    </row>
    <row r="478" ht="15.75" customHeight="1">
      <c r="C478" s="5"/>
    </row>
    <row r="479" ht="15.75" customHeight="1">
      <c r="C479" s="5"/>
    </row>
    <row r="480" ht="15.75" customHeight="1">
      <c r="C480" s="5"/>
    </row>
    <row r="481" ht="15.75" customHeight="1">
      <c r="C481" s="5"/>
    </row>
    <row r="482" ht="15.75" customHeight="1">
      <c r="C482" s="5"/>
    </row>
    <row r="483" ht="15.75" customHeight="1">
      <c r="C483" s="5"/>
    </row>
    <row r="484" ht="15.75" customHeight="1">
      <c r="C484" s="5"/>
    </row>
    <row r="485" ht="15.75" customHeight="1">
      <c r="C485" s="5"/>
    </row>
    <row r="486" ht="15.75" customHeight="1">
      <c r="C486" s="5"/>
    </row>
    <row r="487" ht="15.75" customHeight="1">
      <c r="C487" s="5"/>
    </row>
    <row r="488" ht="15.75" customHeight="1">
      <c r="C488" s="5"/>
    </row>
    <row r="489" ht="15.75" customHeight="1">
      <c r="C489" s="5"/>
    </row>
    <row r="490" ht="15.75" customHeight="1">
      <c r="C490" s="5"/>
    </row>
    <row r="491" ht="15.75" customHeight="1">
      <c r="C491" s="5"/>
    </row>
    <row r="492" ht="15.75" customHeight="1">
      <c r="C492" s="5"/>
    </row>
    <row r="493" ht="15.75" customHeight="1">
      <c r="C493" s="5"/>
    </row>
    <row r="494" ht="15.75" customHeight="1">
      <c r="C494" s="5"/>
    </row>
    <row r="495" ht="15.75" customHeight="1">
      <c r="C495" s="5"/>
    </row>
    <row r="496" ht="15.75" customHeight="1">
      <c r="C496" s="5"/>
    </row>
    <row r="497" ht="15.75" customHeight="1">
      <c r="C497" s="5"/>
    </row>
    <row r="498" ht="15.75" customHeight="1">
      <c r="C498" s="5"/>
    </row>
    <row r="499" ht="15.75" customHeight="1">
      <c r="C499" s="5"/>
    </row>
    <row r="500" ht="15.75" customHeight="1">
      <c r="C500" s="5"/>
    </row>
    <row r="501" ht="15.75" customHeight="1">
      <c r="C501" s="5"/>
    </row>
    <row r="502" ht="15.75" customHeight="1">
      <c r="C502" s="5"/>
    </row>
    <row r="503" ht="15.75" customHeight="1">
      <c r="C503" s="5"/>
    </row>
    <row r="504" ht="15.75" customHeight="1">
      <c r="C504" s="5"/>
    </row>
    <row r="505" ht="15.75" customHeight="1">
      <c r="C505" s="5"/>
    </row>
    <row r="506" ht="15.75" customHeight="1">
      <c r="C506" s="5"/>
    </row>
    <row r="507" ht="15.75" customHeight="1">
      <c r="C507" s="5"/>
    </row>
    <row r="508" ht="15.75" customHeight="1">
      <c r="C508" s="5"/>
    </row>
    <row r="509" ht="15.75" customHeight="1">
      <c r="C509" s="5"/>
    </row>
    <row r="510" ht="15.75" customHeight="1">
      <c r="C510" s="5"/>
    </row>
    <row r="511" ht="15.75" customHeight="1">
      <c r="C511" s="5"/>
    </row>
    <row r="512" ht="15.75" customHeight="1">
      <c r="C512" s="5"/>
    </row>
    <row r="513" ht="15.75" customHeight="1">
      <c r="C513" s="5"/>
    </row>
    <row r="514" ht="15.75" customHeight="1">
      <c r="C514" s="5"/>
    </row>
    <row r="515" ht="15.75" customHeight="1">
      <c r="C515" s="5"/>
    </row>
    <row r="516" ht="15.75" customHeight="1">
      <c r="C516" s="5"/>
    </row>
    <row r="517" ht="15.75" customHeight="1">
      <c r="C517" s="5"/>
    </row>
    <row r="518" ht="15.75" customHeight="1">
      <c r="C518" s="5"/>
    </row>
    <row r="519" ht="15.75" customHeight="1">
      <c r="C519" s="5"/>
    </row>
    <row r="520" ht="15.75" customHeight="1">
      <c r="C520" s="5"/>
    </row>
    <row r="521" ht="15.75" customHeight="1">
      <c r="C521" s="5"/>
    </row>
    <row r="522" ht="15.75" customHeight="1">
      <c r="C522" s="5"/>
    </row>
    <row r="523" ht="15.75" customHeight="1">
      <c r="C523" s="5"/>
    </row>
    <row r="524" ht="15.75" customHeight="1">
      <c r="C524" s="5"/>
    </row>
    <row r="525" ht="15.75" customHeight="1">
      <c r="C525" s="5"/>
    </row>
    <row r="526" ht="15.75" customHeight="1">
      <c r="C526" s="5"/>
    </row>
    <row r="527" ht="15.75" customHeight="1">
      <c r="C527" s="5"/>
    </row>
    <row r="528" ht="15.75" customHeight="1">
      <c r="C528" s="5"/>
    </row>
    <row r="529" ht="15.75" customHeight="1">
      <c r="C529" s="5"/>
    </row>
    <row r="530" ht="15.75" customHeight="1">
      <c r="C530" s="5"/>
    </row>
    <row r="531" ht="15.75" customHeight="1">
      <c r="C531" s="5"/>
    </row>
    <row r="532" ht="15.75" customHeight="1">
      <c r="C532" s="5"/>
    </row>
    <row r="533" ht="15.75" customHeight="1">
      <c r="C533" s="5"/>
    </row>
    <row r="534" ht="15.75" customHeight="1">
      <c r="C534" s="5"/>
    </row>
    <row r="535" ht="15.75" customHeight="1">
      <c r="C535" s="5"/>
    </row>
    <row r="536" ht="15.75" customHeight="1">
      <c r="C536" s="5"/>
    </row>
    <row r="537" ht="15.75" customHeight="1">
      <c r="C537" s="5"/>
    </row>
    <row r="538" ht="15.75" customHeight="1">
      <c r="C538" s="5"/>
    </row>
    <row r="539" ht="15.75" customHeight="1">
      <c r="C539" s="5"/>
    </row>
    <row r="540" ht="15.75" customHeight="1">
      <c r="C540" s="5"/>
    </row>
    <row r="541" ht="15.75" customHeight="1">
      <c r="C541" s="5"/>
    </row>
    <row r="542" ht="15.75" customHeight="1">
      <c r="C542" s="5"/>
    </row>
    <row r="543" ht="15.75" customHeight="1">
      <c r="C543" s="5"/>
    </row>
    <row r="544" ht="15.75" customHeight="1">
      <c r="C544" s="5"/>
    </row>
    <row r="545" ht="15.75" customHeight="1">
      <c r="C545" s="5"/>
    </row>
    <row r="546" ht="15.75" customHeight="1">
      <c r="C546" s="5"/>
    </row>
    <row r="547" ht="15.75" customHeight="1">
      <c r="C547" s="5"/>
    </row>
    <row r="548" ht="15.75" customHeight="1">
      <c r="C548" s="5"/>
    </row>
    <row r="549" ht="15.75" customHeight="1">
      <c r="C549" s="5"/>
    </row>
    <row r="550" ht="15.75" customHeight="1">
      <c r="C550" s="5"/>
    </row>
    <row r="551" ht="15.75" customHeight="1">
      <c r="C551" s="5"/>
    </row>
    <row r="552" ht="15.75" customHeight="1">
      <c r="C552" s="5"/>
    </row>
    <row r="553" ht="15.75" customHeight="1">
      <c r="C553" s="5"/>
    </row>
    <row r="554" ht="15.75" customHeight="1">
      <c r="C554" s="5"/>
    </row>
    <row r="555" ht="15.75" customHeight="1">
      <c r="C555" s="5"/>
    </row>
    <row r="556" ht="15.75" customHeight="1">
      <c r="C556" s="5"/>
    </row>
    <row r="557" ht="15.75" customHeight="1">
      <c r="C557" s="5"/>
    </row>
    <row r="558" ht="15.75" customHeight="1">
      <c r="C558" s="5"/>
    </row>
    <row r="559" ht="15.75" customHeight="1">
      <c r="C559" s="5"/>
    </row>
    <row r="560" ht="15.75" customHeight="1">
      <c r="C560" s="5"/>
    </row>
    <row r="561" ht="15.75" customHeight="1">
      <c r="C561" s="5"/>
    </row>
    <row r="562" ht="15.75" customHeight="1">
      <c r="C562" s="5"/>
    </row>
    <row r="563" ht="15.75" customHeight="1">
      <c r="C563" s="5"/>
    </row>
    <row r="564" ht="15.75" customHeight="1">
      <c r="C564" s="5"/>
    </row>
    <row r="565" ht="15.75" customHeight="1">
      <c r="C565" s="5"/>
    </row>
    <row r="566" ht="15.75" customHeight="1">
      <c r="C566" s="5"/>
    </row>
    <row r="567" ht="15.75" customHeight="1">
      <c r="C567" s="5"/>
    </row>
    <row r="568" ht="15.75" customHeight="1">
      <c r="C568" s="5"/>
    </row>
    <row r="569" ht="15.75" customHeight="1">
      <c r="C569" s="5"/>
    </row>
    <row r="570" ht="15.75" customHeight="1">
      <c r="C570" s="5"/>
    </row>
    <row r="571" ht="15.75" customHeight="1">
      <c r="C571" s="5"/>
    </row>
    <row r="572" ht="15.75" customHeight="1">
      <c r="C572" s="5"/>
    </row>
    <row r="573" ht="15.75" customHeight="1">
      <c r="C573" s="5"/>
    </row>
    <row r="574" ht="15.75" customHeight="1">
      <c r="C574" s="5"/>
    </row>
    <row r="575" ht="15.75" customHeight="1">
      <c r="C575" s="5"/>
    </row>
    <row r="576" ht="15.75" customHeight="1">
      <c r="C576" s="5"/>
    </row>
    <row r="577" ht="15.75" customHeight="1">
      <c r="C577" s="5"/>
    </row>
    <row r="578" ht="15.75" customHeight="1">
      <c r="C578" s="5"/>
    </row>
    <row r="579" ht="15.75" customHeight="1">
      <c r="C579" s="5"/>
    </row>
    <row r="580" ht="15.75" customHeight="1">
      <c r="C580" s="5"/>
    </row>
    <row r="581" ht="15.75" customHeight="1">
      <c r="C581" s="5"/>
    </row>
    <row r="582" ht="15.75" customHeight="1">
      <c r="C582" s="5"/>
    </row>
    <row r="583" ht="15.75" customHeight="1">
      <c r="C583" s="5"/>
    </row>
    <row r="584" ht="15.75" customHeight="1">
      <c r="C584" s="5"/>
    </row>
    <row r="585" ht="15.75" customHeight="1">
      <c r="C585" s="5"/>
    </row>
    <row r="586" ht="15.75" customHeight="1">
      <c r="C586" s="5"/>
    </row>
    <row r="587" ht="15.75" customHeight="1">
      <c r="C587" s="5"/>
    </row>
    <row r="588" ht="15.75" customHeight="1">
      <c r="C588" s="5"/>
    </row>
    <row r="589" ht="15.75" customHeight="1">
      <c r="C589" s="5"/>
    </row>
    <row r="590" ht="15.75" customHeight="1">
      <c r="C590" s="5"/>
    </row>
    <row r="591" ht="15.75" customHeight="1">
      <c r="C591" s="5"/>
    </row>
    <row r="592" ht="15.75" customHeight="1">
      <c r="C592" s="5"/>
    </row>
    <row r="593" ht="15.75" customHeight="1">
      <c r="C593" s="5"/>
    </row>
    <row r="594" ht="15.75" customHeight="1">
      <c r="C594" s="5"/>
    </row>
    <row r="595" ht="15.75" customHeight="1">
      <c r="C595" s="5"/>
    </row>
    <row r="596" ht="15.75" customHeight="1">
      <c r="C596" s="5"/>
    </row>
    <row r="597" ht="15.75" customHeight="1">
      <c r="C597" s="5"/>
    </row>
    <row r="598" ht="15.75" customHeight="1">
      <c r="C598" s="5"/>
    </row>
    <row r="599" ht="15.75" customHeight="1">
      <c r="C599" s="5"/>
    </row>
    <row r="600" ht="15.75" customHeight="1">
      <c r="C600" s="5"/>
    </row>
    <row r="601" ht="15.75" customHeight="1">
      <c r="C601" s="5"/>
    </row>
    <row r="602" ht="15.75" customHeight="1">
      <c r="C602" s="5"/>
    </row>
    <row r="603" ht="15.75" customHeight="1">
      <c r="C603" s="5"/>
    </row>
    <row r="604" ht="15.75" customHeight="1">
      <c r="C604" s="5"/>
    </row>
    <row r="605" ht="15.75" customHeight="1">
      <c r="C605" s="5"/>
    </row>
    <row r="606" ht="15.75" customHeight="1">
      <c r="C606" s="5"/>
    </row>
    <row r="607" ht="15.75" customHeight="1">
      <c r="C607" s="5"/>
    </row>
    <row r="608" ht="15.75" customHeight="1">
      <c r="C608" s="5"/>
    </row>
    <row r="609" ht="15.75" customHeight="1">
      <c r="C609" s="5"/>
    </row>
    <row r="610" ht="15.75" customHeight="1">
      <c r="C610" s="5"/>
    </row>
    <row r="611" ht="15.75" customHeight="1">
      <c r="C611" s="5"/>
    </row>
    <row r="612" ht="15.75" customHeight="1">
      <c r="C612" s="5"/>
    </row>
    <row r="613" ht="15.75" customHeight="1">
      <c r="C613" s="5"/>
    </row>
    <row r="614" ht="15.75" customHeight="1">
      <c r="C614" s="5"/>
    </row>
    <row r="615" ht="15.75" customHeight="1">
      <c r="C615" s="5"/>
    </row>
    <row r="616" ht="15.75" customHeight="1">
      <c r="C616" s="5"/>
    </row>
    <row r="617" ht="15.75" customHeight="1">
      <c r="C617" s="5"/>
    </row>
    <row r="618" ht="15.75" customHeight="1">
      <c r="C618" s="5"/>
    </row>
    <row r="619" ht="15.75" customHeight="1">
      <c r="C619" s="5"/>
    </row>
    <row r="620" ht="15.75" customHeight="1">
      <c r="C620" s="5"/>
    </row>
    <row r="621" ht="15.75" customHeight="1">
      <c r="C621" s="5"/>
    </row>
    <row r="622" ht="15.75" customHeight="1">
      <c r="C622" s="5"/>
    </row>
    <row r="623" ht="15.75" customHeight="1">
      <c r="C623" s="5"/>
    </row>
    <row r="624" ht="15.75" customHeight="1">
      <c r="C624" s="5"/>
    </row>
    <row r="625" ht="15.75" customHeight="1">
      <c r="C625" s="5"/>
    </row>
    <row r="626" ht="15.75" customHeight="1">
      <c r="C626" s="5"/>
    </row>
    <row r="627" ht="15.75" customHeight="1">
      <c r="C627" s="5"/>
    </row>
    <row r="628" ht="15.75" customHeight="1">
      <c r="C628" s="5"/>
    </row>
    <row r="629" ht="15.75" customHeight="1">
      <c r="C629" s="5"/>
    </row>
    <row r="630" ht="15.75" customHeight="1">
      <c r="C630" s="5"/>
    </row>
    <row r="631" ht="15.75" customHeight="1">
      <c r="C631" s="5"/>
    </row>
    <row r="632" ht="15.75" customHeight="1">
      <c r="C632" s="5"/>
    </row>
    <row r="633" ht="15.75" customHeight="1">
      <c r="C633" s="5"/>
    </row>
    <row r="634" ht="15.75" customHeight="1">
      <c r="C634" s="5"/>
    </row>
    <row r="635" ht="15.75" customHeight="1">
      <c r="C635" s="5"/>
    </row>
    <row r="636" ht="15.75" customHeight="1">
      <c r="C636" s="5"/>
    </row>
    <row r="637" ht="15.75" customHeight="1">
      <c r="C637" s="5"/>
    </row>
    <row r="638" ht="15.75" customHeight="1">
      <c r="C638" s="5"/>
    </row>
    <row r="639" ht="15.75" customHeight="1">
      <c r="C639" s="5"/>
    </row>
    <row r="640" ht="15.75" customHeight="1">
      <c r="C640" s="5"/>
    </row>
    <row r="641" ht="15.75" customHeight="1">
      <c r="C641" s="5"/>
    </row>
    <row r="642" ht="15.75" customHeight="1">
      <c r="C642" s="5"/>
    </row>
    <row r="643" ht="15.75" customHeight="1">
      <c r="C643" s="5"/>
    </row>
    <row r="644" ht="15.75" customHeight="1">
      <c r="C644" s="5"/>
    </row>
    <row r="645" ht="15.75" customHeight="1">
      <c r="C645" s="5"/>
    </row>
    <row r="646" ht="15.75" customHeight="1">
      <c r="C646" s="5"/>
    </row>
    <row r="647" ht="15.75" customHeight="1">
      <c r="C647" s="5"/>
    </row>
    <row r="648" ht="15.75" customHeight="1">
      <c r="C648" s="5"/>
    </row>
    <row r="649" ht="15.75" customHeight="1">
      <c r="C649" s="5"/>
    </row>
    <row r="650" ht="15.75" customHeight="1">
      <c r="C650" s="5"/>
    </row>
    <row r="651" ht="15.75" customHeight="1">
      <c r="C651" s="5"/>
    </row>
    <row r="652" ht="15.75" customHeight="1">
      <c r="C652" s="5"/>
    </row>
    <row r="653" ht="15.75" customHeight="1">
      <c r="C653" s="5"/>
    </row>
    <row r="654" ht="15.75" customHeight="1">
      <c r="C654" s="5"/>
    </row>
    <row r="655" ht="15.75" customHeight="1">
      <c r="C655" s="5"/>
    </row>
    <row r="656" ht="15.75" customHeight="1">
      <c r="C656" s="5"/>
    </row>
    <row r="657" ht="15.75" customHeight="1">
      <c r="C657" s="5"/>
    </row>
    <row r="658" ht="15.75" customHeight="1">
      <c r="C658" s="5"/>
    </row>
    <row r="659" ht="15.75" customHeight="1">
      <c r="C659" s="5"/>
    </row>
    <row r="660" ht="15.75" customHeight="1">
      <c r="C660" s="5"/>
    </row>
    <row r="661" ht="15.75" customHeight="1">
      <c r="C661" s="5"/>
    </row>
    <row r="662" ht="15.75" customHeight="1">
      <c r="C662" s="5"/>
    </row>
    <row r="663" ht="15.75" customHeight="1">
      <c r="C663" s="5"/>
    </row>
    <row r="664" ht="15.75" customHeight="1">
      <c r="C664" s="5"/>
    </row>
    <row r="665" ht="15.75" customHeight="1">
      <c r="C665" s="5"/>
    </row>
    <row r="666" ht="15.75" customHeight="1">
      <c r="C666" s="5"/>
    </row>
    <row r="667" ht="15.75" customHeight="1">
      <c r="C667" s="5"/>
    </row>
    <row r="668" ht="15.75" customHeight="1">
      <c r="C668" s="5"/>
    </row>
    <row r="669" ht="15.75" customHeight="1">
      <c r="C669" s="5"/>
    </row>
    <row r="670" ht="15.75" customHeight="1">
      <c r="C670" s="5"/>
    </row>
    <row r="671" ht="15.75" customHeight="1">
      <c r="C671" s="5"/>
    </row>
    <row r="672" ht="15.75" customHeight="1">
      <c r="C672" s="5"/>
    </row>
    <row r="673" ht="15.75" customHeight="1">
      <c r="C673" s="5"/>
    </row>
    <row r="674" ht="15.75" customHeight="1">
      <c r="C674" s="5"/>
    </row>
    <row r="675" ht="15.75" customHeight="1">
      <c r="C675" s="5"/>
    </row>
    <row r="676" ht="15.75" customHeight="1">
      <c r="C676" s="5"/>
    </row>
    <row r="677" ht="15.75" customHeight="1">
      <c r="C677" s="5"/>
    </row>
    <row r="678" ht="15.75" customHeight="1">
      <c r="C678" s="5"/>
    </row>
    <row r="679" ht="15.75" customHeight="1">
      <c r="C679" s="5"/>
    </row>
    <row r="680" ht="15.75" customHeight="1">
      <c r="C680" s="5"/>
    </row>
    <row r="681" ht="15.75" customHeight="1">
      <c r="C681" s="5"/>
    </row>
    <row r="682" ht="15.75" customHeight="1">
      <c r="C682" s="5"/>
    </row>
    <row r="683" ht="15.75" customHeight="1">
      <c r="C683" s="5"/>
    </row>
    <row r="684" ht="15.75" customHeight="1">
      <c r="C684" s="5"/>
    </row>
    <row r="685" ht="15.75" customHeight="1">
      <c r="C685" s="5"/>
    </row>
    <row r="686" ht="15.75" customHeight="1">
      <c r="C686" s="5"/>
    </row>
    <row r="687" ht="15.75" customHeight="1">
      <c r="C687" s="5"/>
    </row>
    <row r="688" ht="15.75" customHeight="1">
      <c r="C688" s="5"/>
    </row>
    <row r="689" ht="15.75" customHeight="1">
      <c r="C689" s="5"/>
    </row>
    <row r="690" ht="15.75" customHeight="1">
      <c r="C690" s="5"/>
    </row>
    <row r="691" ht="15.75" customHeight="1">
      <c r="C691" s="5"/>
    </row>
    <row r="692" ht="15.75" customHeight="1">
      <c r="C692" s="5"/>
    </row>
    <row r="693" ht="15.75" customHeight="1">
      <c r="C693" s="5"/>
    </row>
    <row r="694" ht="15.75" customHeight="1">
      <c r="C694" s="5"/>
    </row>
    <row r="695" ht="15.75" customHeight="1">
      <c r="C695" s="5"/>
    </row>
    <row r="696" ht="15.75" customHeight="1">
      <c r="C696" s="5"/>
    </row>
    <row r="697" ht="15.75" customHeight="1">
      <c r="C697" s="5"/>
    </row>
    <row r="698" ht="15.75" customHeight="1">
      <c r="C698" s="5"/>
    </row>
    <row r="699" ht="15.75" customHeight="1">
      <c r="C699" s="5"/>
    </row>
    <row r="700" ht="15.75" customHeight="1">
      <c r="C700" s="5"/>
    </row>
    <row r="701" ht="15.75" customHeight="1">
      <c r="C701" s="5"/>
    </row>
    <row r="702" ht="15.75" customHeight="1">
      <c r="C702" s="5"/>
    </row>
    <row r="703" ht="15.75" customHeight="1">
      <c r="C703" s="5"/>
    </row>
    <row r="704" ht="15.75" customHeight="1">
      <c r="C704" s="5"/>
    </row>
    <row r="705" ht="15.75" customHeight="1">
      <c r="C705" s="5"/>
    </row>
    <row r="706" ht="15.75" customHeight="1">
      <c r="C706" s="5"/>
    </row>
    <row r="707" ht="15.75" customHeight="1">
      <c r="C707" s="5"/>
    </row>
    <row r="708" ht="15.75" customHeight="1">
      <c r="C708" s="5"/>
    </row>
    <row r="709" ht="15.75" customHeight="1">
      <c r="C709" s="5"/>
    </row>
    <row r="710" ht="15.75" customHeight="1">
      <c r="C710" s="5"/>
    </row>
    <row r="711" ht="15.75" customHeight="1">
      <c r="C711" s="5"/>
    </row>
    <row r="712" ht="15.75" customHeight="1">
      <c r="C712" s="5"/>
    </row>
    <row r="713" ht="15.75" customHeight="1">
      <c r="C713" s="5"/>
    </row>
    <row r="714" ht="15.75" customHeight="1">
      <c r="C714" s="5"/>
    </row>
    <row r="715" ht="15.75" customHeight="1">
      <c r="C715" s="5"/>
    </row>
    <row r="716" ht="15.75" customHeight="1">
      <c r="C716" s="5"/>
    </row>
    <row r="717" ht="15.75" customHeight="1">
      <c r="C717" s="5"/>
    </row>
    <row r="718" ht="15.75" customHeight="1">
      <c r="C718" s="5"/>
    </row>
    <row r="719" ht="15.75" customHeight="1">
      <c r="C719" s="5"/>
    </row>
    <row r="720" ht="15.75" customHeight="1">
      <c r="C720" s="5"/>
    </row>
    <row r="721" ht="15.75" customHeight="1">
      <c r="C721" s="5"/>
    </row>
    <row r="722" ht="15.75" customHeight="1">
      <c r="C722" s="5"/>
    </row>
    <row r="723" ht="15.75" customHeight="1">
      <c r="C723" s="5"/>
    </row>
    <row r="724" ht="15.75" customHeight="1">
      <c r="C724" s="5"/>
    </row>
    <row r="725" ht="15.75" customHeight="1">
      <c r="C725" s="5"/>
    </row>
    <row r="726" ht="15.75" customHeight="1">
      <c r="C726" s="5"/>
    </row>
    <row r="727" ht="15.75" customHeight="1">
      <c r="C727" s="5"/>
    </row>
    <row r="728" ht="15.75" customHeight="1">
      <c r="C728" s="5"/>
    </row>
    <row r="729" ht="15.75" customHeight="1">
      <c r="C729" s="5"/>
    </row>
    <row r="730" ht="15.75" customHeight="1">
      <c r="C730" s="5"/>
    </row>
    <row r="731" ht="15.75" customHeight="1">
      <c r="C731" s="5"/>
    </row>
    <row r="732" ht="15.75" customHeight="1">
      <c r="C732" s="5"/>
    </row>
    <row r="733" ht="15.75" customHeight="1">
      <c r="C733" s="5"/>
    </row>
    <row r="734" ht="15.75" customHeight="1">
      <c r="C734" s="5"/>
    </row>
    <row r="735" ht="15.75" customHeight="1">
      <c r="C735" s="5"/>
    </row>
    <row r="736" ht="15.75" customHeight="1">
      <c r="C736" s="5"/>
    </row>
    <row r="737" ht="15.75" customHeight="1">
      <c r="C737" s="5"/>
    </row>
    <row r="738" ht="15.75" customHeight="1">
      <c r="C738" s="5"/>
    </row>
    <row r="739" ht="15.75" customHeight="1">
      <c r="C739" s="5"/>
    </row>
    <row r="740" ht="15.75" customHeight="1">
      <c r="C740" s="5"/>
    </row>
    <row r="741" ht="15.75" customHeight="1">
      <c r="C741" s="5"/>
    </row>
    <row r="742" ht="15.75" customHeight="1">
      <c r="C742" s="5"/>
    </row>
    <row r="743" ht="15.75" customHeight="1">
      <c r="C743" s="5"/>
    </row>
    <row r="744" ht="15.75" customHeight="1">
      <c r="C744" s="5"/>
    </row>
    <row r="745" ht="15.75" customHeight="1">
      <c r="C745" s="5"/>
    </row>
    <row r="746" ht="15.75" customHeight="1">
      <c r="C746" s="5"/>
    </row>
    <row r="747" ht="15.75" customHeight="1">
      <c r="C747" s="5"/>
    </row>
    <row r="748" ht="15.75" customHeight="1">
      <c r="C748" s="5"/>
    </row>
    <row r="749" ht="15.75" customHeight="1">
      <c r="C749" s="5"/>
    </row>
    <row r="750" ht="15.75" customHeight="1">
      <c r="C750" s="5"/>
    </row>
    <row r="751" ht="15.75" customHeight="1">
      <c r="C751" s="5"/>
    </row>
    <row r="752" ht="15.75" customHeight="1">
      <c r="C752" s="5"/>
    </row>
    <row r="753" ht="15.75" customHeight="1">
      <c r="C753" s="5"/>
    </row>
    <row r="754" ht="15.75" customHeight="1">
      <c r="C754" s="5"/>
    </row>
    <row r="755" ht="15.75" customHeight="1">
      <c r="C755" s="5"/>
    </row>
    <row r="756" ht="15.75" customHeight="1">
      <c r="C756" s="5"/>
    </row>
    <row r="757" ht="15.75" customHeight="1">
      <c r="C757" s="5"/>
    </row>
    <row r="758" ht="15.75" customHeight="1">
      <c r="C758" s="5"/>
    </row>
    <row r="759" ht="15.75" customHeight="1">
      <c r="C759" s="5"/>
    </row>
    <row r="760" ht="15.75" customHeight="1">
      <c r="C760" s="5"/>
    </row>
    <row r="761" ht="15.75" customHeight="1">
      <c r="C761" s="5"/>
    </row>
    <row r="762" ht="15.75" customHeight="1">
      <c r="C762" s="5"/>
    </row>
    <row r="763" ht="15.75" customHeight="1">
      <c r="C763" s="5"/>
    </row>
    <row r="764" ht="15.75" customHeight="1">
      <c r="C764" s="5"/>
    </row>
    <row r="765" ht="15.75" customHeight="1">
      <c r="C765" s="5"/>
    </row>
    <row r="766" ht="15.75" customHeight="1">
      <c r="C766" s="5"/>
    </row>
    <row r="767" ht="15.75" customHeight="1">
      <c r="C767" s="5"/>
    </row>
    <row r="768" ht="15.75" customHeight="1">
      <c r="C768" s="5"/>
    </row>
    <row r="769" ht="15.75" customHeight="1">
      <c r="C769" s="5"/>
    </row>
    <row r="770" ht="15.75" customHeight="1">
      <c r="C770" s="5"/>
    </row>
    <row r="771" ht="15.75" customHeight="1">
      <c r="C771" s="5"/>
    </row>
    <row r="772" ht="15.75" customHeight="1">
      <c r="C772" s="5"/>
    </row>
    <row r="773" ht="15.75" customHeight="1">
      <c r="C773" s="5"/>
    </row>
    <row r="774" ht="15.75" customHeight="1">
      <c r="C774" s="5"/>
    </row>
    <row r="775" ht="15.75" customHeight="1">
      <c r="C775" s="5"/>
    </row>
    <row r="776" ht="15.75" customHeight="1">
      <c r="C776" s="5"/>
    </row>
    <row r="777" ht="15.75" customHeight="1">
      <c r="C777" s="5"/>
    </row>
    <row r="778" ht="15.75" customHeight="1">
      <c r="C778" s="5"/>
    </row>
    <row r="779" ht="15.75" customHeight="1">
      <c r="C779" s="5"/>
    </row>
    <row r="780" ht="15.75" customHeight="1">
      <c r="C780" s="5"/>
    </row>
    <row r="781" ht="15.75" customHeight="1">
      <c r="C781" s="5"/>
    </row>
    <row r="782" ht="15.75" customHeight="1">
      <c r="C782" s="5"/>
    </row>
    <row r="783" ht="15.75" customHeight="1">
      <c r="C783" s="5"/>
    </row>
    <row r="784" ht="15.75" customHeight="1">
      <c r="C784" s="5"/>
    </row>
    <row r="785" ht="15.75" customHeight="1">
      <c r="C785" s="5"/>
    </row>
    <row r="786" ht="15.75" customHeight="1">
      <c r="C786" s="5"/>
    </row>
    <row r="787" ht="15.75" customHeight="1">
      <c r="C787" s="5"/>
    </row>
    <row r="788" ht="15.75" customHeight="1">
      <c r="C788" s="5"/>
    </row>
    <row r="789" ht="15.75" customHeight="1">
      <c r="C789" s="5"/>
    </row>
    <row r="790" ht="15.75" customHeight="1">
      <c r="C790" s="5"/>
    </row>
    <row r="791" ht="15.75" customHeight="1">
      <c r="C791" s="5"/>
    </row>
    <row r="792" ht="15.75" customHeight="1">
      <c r="C792" s="5"/>
    </row>
    <row r="793" ht="15.75" customHeight="1">
      <c r="C793" s="5"/>
    </row>
    <row r="794" ht="15.75" customHeight="1">
      <c r="C794" s="5"/>
    </row>
    <row r="795" ht="15.75" customHeight="1">
      <c r="C795" s="5"/>
    </row>
    <row r="796" ht="15.75" customHeight="1">
      <c r="C796" s="5"/>
    </row>
    <row r="797" ht="15.75" customHeight="1">
      <c r="C797" s="5"/>
    </row>
    <row r="798" ht="15.75" customHeight="1">
      <c r="C798" s="5"/>
    </row>
    <row r="799" ht="15.75" customHeight="1">
      <c r="C799" s="5"/>
    </row>
    <row r="800" ht="15.75" customHeight="1">
      <c r="C800" s="5"/>
    </row>
    <row r="801" ht="15.75" customHeight="1">
      <c r="C801" s="5"/>
    </row>
    <row r="802" ht="15.75" customHeight="1">
      <c r="C802" s="5"/>
    </row>
    <row r="803" ht="15.75" customHeight="1">
      <c r="C803" s="5"/>
    </row>
    <row r="804" ht="15.75" customHeight="1">
      <c r="C804" s="5"/>
    </row>
    <row r="805" ht="15.75" customHeight="1">
      <c r="C805" s="5"/>
    </row>
    <row r="806" ht="15.75" customHeight="1">
      <c r="C806" s="5"/>
    </row>
    <row r="807" ht="15.75" customHeight="1">
      <c r="C807" s="5"/>
    </row>
    <row r="808" ht="15.75" customHeight="1">
      <c r="C808" s="5"/>
    </row>
    <row r="809" ht="15.75" customHeight="1">
      <c r="C809" s="5"/>
    </row>
    <row r="810" ht="15.75" customHeight="1">
      <c r="C810" s="5"/>
    </row>
    <row r="811" ht="15.75" customHeight="1">
      <c r="C811" s="5"/>
    </row>
    <row r="812" ht="15.75" customHeight="1">
      <c r="C812" s="5"/>
    </row>
    <row r="813" ht="15.75" customHeight="1">
      <c r="C813" s="5"/>
    </row>
    <row r="814" ht="15.75" customHeight="1">
      <c r="C814" s="5"/>
    </row>
    <row r="815" ht="15.75" customHeight="1">
      <c r="C815" s="5"/>
    </row>
    <row r="816" ht="15.75" customHeight="1">
      <c r="C816" s="5"/>
    </row>
    <row r="817" ht="15.75" customHeight="1">
      <c r="C817" s="5"/>
    </row>
    <row r="818" ht="15.75" customHeight="1">
      <c r="C818" s="5"/>
    </row>
    <row r="819" ht="15.75" customHeight="1">
      <c r="C819" s="5"/>
    </row>
    <row r="820" ht="15.75" customHeight="1">
      <c r="C820" s="5"/>
    </row>
    <row r="821" ht="15.75" customHeight="1">
      <c r="C821" s="5"/>
    </row>
    <row r="822" ht="15.75" customHeight="1">
      <c r="C822" s="5"/>
    </row>
    <row r="823" ht="15.75" customHeight="1">
      <c r="C823" s="5"/>
    </row>
    <row r="824" ht="15.75" customHeight="1">
      <c r="C824" s="5"/>
    </row>
    <row r="825" ht="15.75" customHeight="1">
      <c r="C825" s="5"/>
    </row>
    <row r="826" ht="15.75" customHeight="1">
      <c r="C826" s="5"/>
    </row>
    <row r="827" ht="15.75" customHeight="1">
      <c r="C827" s="5"/>
    </row>
    <row r="828" ht="15.75" customHeight="1">
      <c r="C828" s="5"/>
    </row>
    <row r="829" ht="15.75" customHeight="1">
      <c r="C829" s="5"/>
    </row>
    <row r="830" ht="15.75" customHeight="1">
      <c r="C830" s="5"/>
    </row>
    <row r="831" ht="15.75" customHeight="1">
      <c r="C831" s="5"/>
    </row>
    <row r="832" ht="15.75" customHeight="1">
      <c r="C832" s="5"/>
    </row>
    <row r="833" ht="15.75" customHeight="1">
      <c r="C833" s="5"/>
    </row>
    <row r="834" ht="15.75" customHeight="1">
      <c r="C834" s="5"/>
    </row>
    <row r="835" ht="15.75" customHeight="1">
      <c r="C835" s="5"/>
    </row>
    <row r="836" ht="15.75" customHeight="1">
      <c r="C836" s="5"/>
    </row>
    <row r="837" ht="15.75" customHeight="1">
      <c r="C837" s="5"/>
    </row>
    <row r="838" ht="15.75" customHeight="1">
      <c r="C838" s="5"/>
    </row>
    <row r="839" ht="15.75" customHeight="1">
      <c r="C839" s="5"/>
    </row>
    <row r="840" ht="15.75" customHeight="1">
      <c r="C840" s="5"/>
    </row>
    <row r="841" ht="15.75" customHeight="1">
      <c r="C841" s="5"/>
    </row>
    <row r="842" ht="15.75" customHeight="1">
      <c r="C842" s="5"/>
    </row>
    <row r="843" ht="15.75" customHeight="1">
      <c r="C843" s="5"/>
    </row>
    <row r="844" ht="15.75" customHeight="1">
      <c r="C844" s="5"/>
    </row>
    <row r="845" ht="15.75" customHeight="1">
      <c r="C845" s="5"/>
    </row>
    <row r="846" ht="15.75" customHeight="1">
      <c r="C846" s="5"/>
    </row>
    <row r="847" ht="15.75" customHeight="1">
      <c r="C847" s="5"/>
    </row>
    <row r="848" ht="15.75" customHeight="1">
      <c r="C848" s="5"/>
    </row>
    <row r="849" ht="15.75" customHeight="1">
      <c r="C849" s="5"/>
    </row>
    <row r="850" ht="15.75" customHeight="1">
      <c r="C850" s="5"/>
    </row>
    <row r="851" ht="15.75" customHeight="1">
      <c r="C851" s="5"/>
    </row>
    <row r="852" ht="15.75" customHeight="1">
      <c r="C852" s="5"/>
    </row>
    <row r="853" ht="15.75" customHeight="1">
      <c r="C853" s="5"/>
    </row>
    <row r="854" ht="15.75" customHeight="1">
      <c r="C854" s="5"/>
    </row>
    <row r="855" ht="15.75" customHeight="1">
      <c r="C855" s="5"/>
    </row>
    <row r="856" ht="15.75" customHeight="1">
      <c r="C856" s="5"/>
    </row>
    <row r="857" ht="15.75" customHeight="1">
      <c r="C857" s="5"/>
    </row>
    <row r="858" ht="15.75" customHeight="1">
      <c r="C858" s="5"/>
    </row>
    <row r="859" ht="15.75" customHeight="1">
      <c r="C859" s="5"/>
    </row>
    <row r="860" ht="15.75" customHeight="1">
      <c r="C860" s="5"/>
    </row>
    <row r="861" ht="15.75" customHeight="1">
      <c r="C861" s="5"/>
    </row>
    <row r="862" ht="15.75" customHeight="1">
      <c r="C862" s="5"/>
    </row>
    <row r="863" ht="15.75" customHeight="1">
      <c r="C863" s="5"/>
    </row>
    <row r="864" ht="15.75" customHeight="1">
      <c r="C864" s="5"/>
    </row>
    <row r="865" ht="15.75" customHeight="1">
      <c r="C865" s="5"/>
    </row>
    <row r="866" ht="15.75" customHeight="1">
      <c r="C866" s="5"/>
    </row>
    <row r="867" ht="15.75" customHeight="1">
      <c r="C867" s="5"/>
    </row>
    <row r="868" ht="15.75" customHeight="1">
      <c r="C868" s="5"/>
    </row>
    <row r="869" ht="15.75" customHeight="1">
      <c r="C869" s="5"/>
    </row>
    <row r="870" ht="15.75" customHeight="1">
      <c r="C870" s="5"/>
    </row>
    <row r="871" ht="15.75" customHeight="1">
      <c r="C871" s="5"/>
    </row>
    <row r="872" ht="15.75" customHeight="1">
      <c r="C872" s="5"/>
    </row>
    <row r="873" ht="15.75" customHeight="1">
      <c r="C873" s="5"/>
    </row>
    <row r="874" ht="15.75" customHeight="1">
      <c r="C874" s="5"/>
    </row>
    <row r="875" ht="15.75" customHeight="1">
      <c r="C875" s="5"/>
    </row>
    <row r="876" ht="15.75" customHeight="1">
      <c r="C876" s="5"/>
    </row>
    <row r="877" ht="15.75" customHeight="1">
      <c r="C877" s="5"/>
    </row>
    <row r="878" ht="15.75" customHeight="1">
      <c r="C878" s="5"/>
    </row>
    <row r="879" ht="15.75" customHeight="1">
      <c r="C879" s="5"/>
    </row>
    <row r="880" ht="15.75" customHeight="1">
      <c r="C880" s="5"/>
    </row>
    <row r="881" ht="15.75" customHeight="1">
      <c r="C881" s="5"/>
    </row>
    <row r="882" ht="15.75" customHeight="1">
      <c r="C882" s="5"/>
    </row>
    <row r="883" ht="15.75" customHeight="1">
      <c r="C883" s="5"/>
    </row>
    <row r="884" ht="15.75" customHeight="1">
      <c r="C884" s="5"/>
    </row>
    <row r="885" ht="15.75" customHeight="1">
      <c r="C885" s="5"/>
    </row>
    <row r="886" ht="15.75" customHeight="1">
      <c r="C886" s="5"/>
    </row>
    <row r="887" ht="15.75" customHeight="1">
      <c r="C887" s="5"/>
    </row>
    <row r="888" ht="15.75" customHeight="1">
      <c r="C888" s="5"/>
    </row>
    <row r="889" ht="15.75" customHeight="1">
      <c r="C889" s="5"/>
    </row>
    <row r="890" ht="15.75" customHeight="1">
      <c r="C890" s="5"/>
    </row>
    <row r="891" ht="15.75" customHeight="1">
      <c r="C891" s="5"/>
    </row>
    <row r="892" ht="15.75" customHeight="1">
      <c r="C892" s="5"/>
    </row>
    <row r="893" ht="15.75" customHeight="1">
      <c r="C893" s="5"/>
    </row>
    <row r="894" ht="15.75" customHeight="1">
      <c r="C894" s="5"/>
    </row>
    <row r="895" ht="15.75" customHeight="1">
      <c r="C895" s="5"/>
    </row>
    <row r="896" ht="15.75" customHeight="1">
      <c r="C896" s="5"/>
    </row>
    <row r="897" ht="15.75" customHeight="1">
      <c r="C897" s="5"/>
    </row>
    <row r="898" ht="15.75" customHeight="1">
      <c r="C898" s="5"/>
    </row>
    <row r="899" ht="15.75" customHeight="1">
      <c r="C899" s="5"/>
    </row>
    <row r="900" ht="15.75" customHeight="1">
      <c r="C900" s="5"/>
    </row>
    <row r="901" ht="15.75" customHeight="1">
      <c r="C901" s="5"/>
    </row>
    <row r="902" ht="15.75" customHeight="1">
      <c r="C902" s="5"/>
    </row>
    <row r="903" ht="15.75" customHeight="1">
      <c r="C903" s="5"/>
    </row>
    <row r="904" ht="15.75" customHeight="1">
      <c r="C904" s="5"/>
    </row>
    <row r="905" ht="15.75" customHeight="1">
      <c r="C905" s="5"/>
    </row>
    <row r="906" ht="15.75" customHeight="1">
      <c r="C906" s="5"/>
    </row>
    <row r="907" ht="15.75" customHeight="1">
      <c r="C907" s="5"/>
    </row>
    <row r="908" ht="15.75" customHeight="1">
      <c r="C908" s="5"/>
    </row>
    <row r="909" ht="15.75" customHeight="1">
      <c r="C909" s="5"/>
    </row>
    <row r="910" ht="15.75" customHeight="1">
      <c r="C910" s="5"/>
    </row>
    <row r="911" ht="15.75" customHeight="1">
      <c r="C911" s="5"/>
    </row>
    <row r="912" ht="15.75" customHeight="1">
      <c r="C912" s="5"/>
    </row>
    <row r="913" ht="15.75" customHeight="1">
      <c r="C913" s="5"/>
    </row>
    <row r="914" ht="15.75" customHeight="1">
      <c r="C914" s="5"/>
    </row>
    <row r="915" ht="15.75" customHeight="1">
      <c r="C915" s="5"/>
    </row>
    <row r="916" ht="15.75" customHeight="1">
      <c r="C916" s="5"/>
    </row>
    <row r="917" ht="15.75" customHeight="1">
      <c r="C917" s="5"/>
    </row>
    <row r="918" ht="15.75" customHeight="1">
      <c r="C918" s="5"/>
    </row>
    <row r="919" ht="15.75" customHeight="1">
      <c r="C919" s="5"/>
    </row>
    <row r="920" ht="15.75" customHeight="1">
      <c r="C920" s="5"/>
    </row>
    <row r="921" ht="15.75" customHeight="1">
      <c r="C921" s="5"/>
    </row>
    <row r="922" ht="15.75" customHeight="1">
      <c r="C922" s="5"/>
    </row>
    <row r="923" ht="15.75" customHeight="1">
      <c r="C923" s="5"/>
    </row>
    <row r="924" ht="15.75" customHeight="1">
      <c r="C924" s="5"/>
    </row>
    <row r="925" ht="15.75" customHeight="1">
      <c r="C925" s="5"/>
    </row>
    <row r="926" ht="15.75" customHeight="1">
      <c r="C926" s="5"/>
    </row>
    <row r="927" ht="15.75" customHeight="1">
      <c r="C927" s="5"/>
    </row>
    <row r="928" ht="15.75" customHeight="1">
      <c r="C928" s="5"/>
    </row>
    <row r="929" ht="15.75" customHeight="1">
      <c r="C929" s="5"/>
    </row>
    <row r="930" ht="15.75" customHeight="1">
      <c r="C930" s="5"/>
    </row>
    <row r="931" ht="15.75" customHeight="1">
      <c r="C931" s="5"/>
    </row>
    <row r="932" ht="15.75" customHeight="1">
      <c r="C932" s="5"/>
    </row>
    <row r="933" ht="15.75" customHeight="1">
      <c r="C933" s="5"/>
    </row>
    <row r="934" ht="15.75" customHeight="1">
      <c r="C934" s="5"/>
    </row>
    <row r="935" ht="15.75" customHeight="1">
      <c r="C935" s="5"/>
    </row>
    <row r="936" ht="15.75" customHeight="1">
      <c r="C936" s="5"/>
    </row>
    <row r="937" ht="15.75" customHeight="1">
      <c r="C937" s="5"/>
    </row>
    <row r="938" ht="15.75" customHeight="1">
      <c r="C938" s="5"/>
    </row>
    <row r="939" ht="15.75" customHeight="1">
      <c r="C939" s="5"/>
    </row>
    <row r="940" ht="15.75" customHeight="1">
      <c r="C940" s="5"/>
    </row>
    <row r="941" ht="15.75" customHeight="1">
      <c r="C941" s="5"/>
    </row>
    <row r="942" ht="15.75" customHeight="1">
      <c r="C942" s="5"/>
    </row>
    <row r="943" ht="15.75" customHeight="1">
      <c r="C943" s="5"/>
    </row>
    <row r="944" ht="15.75" customHeight="1">
      <c r="C944" s="5"/>
    </row>
    <row r="945" ht="15.75" customHeight="1">
      <c r="C945" s="5"/>
    </row>
    <row r="946" ht="15.75" customHeight="1">
      <c r="C946" s="5"/>
    </row>
    <row r="947" ht="15.75" customHeight="1">
      <c r="C947" s="5"/>
    </row>
    <row r="948" ht="15.75" customHeight="1">
      <c r="C948" s="5"/>
    </row>
    <row r="949" ht="15.75" customHeight="1">
      <c r="C949" s="5"/>
    </row>
    <row r="950" ht="15.75" customHeight="1">
      <c r="C950" s="5"/>
    </row>
    <row r="951" ht="15.75" customHeight="1">
      <c r="C951" s="5"/>
    </row>
    <row r="952" ht="15.75" customHeight="1">
      <c r="C952" s="5"/>
    </row>
    <row r="953" ht="15.75" customHeight="1">
      <c r="C953" s="5"/>
    </row>
    <row r="954" ht="15.75" customHeight="1">
      <c r="C954" s="5"/>
    </row>
    <row r="955" ht="15.75" customHeight="1">
      <c r="C955" s="5"/>
    </row>
    <row r="956" ht="15.75" customHeight="1">
      <c r="C956" s="5"/>
    </row>
    <row r="957" ht="15.75" customHeight="1">
      <c r="C957" s="5"/>
    </row>
    <row r="958" ht="15.75" customHeight="1">
      <c r="C958" s="5"/>
    </row>
    <row r="959" ht="15.75" customHeight="1">
      <c r="C959" s="5"/>
    </row>
    <row r="960" ht="15.75" customHeight="1">
      <c r="C960" s="5"/>
    </row>
    <row r="961" ht="15.75" customHeight="1">
      <c r="C961" s="5"/>
    </row>
    <row r="962" ht="15.75" customHeight="1">
      <c r="C962" s="5"/>
    </row>
    <row r="963" ht="15.75" customHeight="1">
      <c r="C963" s="5"/>
    </row>
    <row r="964" ht="15.75" customHeight="1">
      <c r="C964" s="5"/>
    </row>
    <row r="965" ht="15.75" customHeight="1">
      <c r="C965" s="5"/>
    </row>
    <row r="966" ht="15.75" customHeight="1">
      <c r="C966" s="5"/>
    </row>
    <row r="967" ht="15.75" customHeight="1">
      <c r="C967" s="5"/>
    </row>
    <row r="968" ht="15.75" customHeight="1">
      <c r="C968" s="5"/>
    </row>
    <row r="969" ht="15.75" customHeight="1">
      <c r="C969" s="5"/>
    </row>
    <row r="970" ht="15.75" customHeight="1">
      <c r="C970" s="5"/>
    </row>
    <row r="971" ht="15.75" customHeight="1">
      <c r="C971" s="5"/>
    </row>
    <row r="972" ht="15.75" customHeight="1">
      <c r="C972" s="5"/>
    </row>
    <row r="973" ht="15.75" customHeight="1">
      <c r="C973" s="5"/>
    </row>
    <row r="974" ht="15.75" customHeight="1">
      <c r="C974" s="5"/>
    </row>
    <row r="975" ht="15.75" customHeight="1">
      <c r="C975" s="5"/>
    </row>
    <row r="976" ht="15.75" customHeight="1">
      <c r="C976" s="5"/>
    </row>
    <row r="977" ht="15.75" customHeight="1">
      <c r="C977" s="5"/>
    </row>
    <row r="978" ht="15.75" customHeight="1">
      <c r="C978" s="5"/>
    </row>
    <row r="979" ht="15.75" customHeight="1">
      <c r="C979" s="5"/>
    </row>
    <row r="980" ht="15.75" customHeight="1">
      <c r="C980" s="5"/>
    </row>
    <row r="981" ht="15.75" customHeight="1">
      <c r="C981" s="5"/>
    </row>
    <row r="982" ht="15.75" customHeight="1">
      <c r="C982" s="5"/>
    </row>
    <row r="983" ht="15.75" customHeight="1">
      <c r="C983" s="5"/>
    </row>
    <row r="984" ht="15.75" customHeight="1">
      <c r="C984" s="5"/>
    </row>
    <row r="985" ht="15.75" customHeight="1">
      <c r="C985" s="5"/>
    </row>
    <row r="986" ht="15.75" customHeight="1">
      <c r="C986" s="5"/>
    </row>
    <row r="987" ht="15.75" customHeight="1">
      <c r="C987" s="5"/>
    </row>
    <row r="988" ht="15.75" customHeight="1">
      <c r="C988" s="5"/>
    </row>
    <row r="989" ht="15.75" customHeight="1">
      <c r="C989" s="5"/>
    </row>
    <row r="990" ht="15.75" customHeight="1">
      <c r="C990" s="5"/>
    </row>
    <row r="991" ht="15.75" customHeight="1">
      <c r="C991" s="5"/>
    </row>
    <row r="992" ht="15.75" customHeight="1">
      <c r="C992" s="5"/>
    </row>
    <row r="993" ht="15.75" customHeight="1">
      <c r="C993" s="5"/>
    </row>
    <row r="994" ht="15.75" customHeight="1">
      <c r="C994" s="5"/>
    </row>
    <row r="995" ht="15.75" customHeight="1">
      <c r="C995" s="5"/>
    </row>
    <row r="996" ht="15.75" customHeight="1">
      <c r="C996" s="5"/>
    </row>
    <row r="997" ht="15.75" customHeight="1">
      <c r="C997" s="5"/>
    </row>
    <row r="998" ht="15.75" customHeight="1">
      <c r="C998" s="5"/>
    </row>
    <row r="999" ht="15.75" customHeight="1">
      <c r="C999" s="5"/>
    </row>
    <row r="1000" ht="15.75" customHeight="1">
      <c r="C1000" s="5"/>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2" t="s">
        <v>182</v>
      </c>
      <c r="B1" s="4"/>
      <c r="C1" s="7"/>
      <c r="D1" s="7"/>
      <c r="E1" s="7"/>
      <c r="F1" s="7"/>
      <c r="G1" s="7"/>
      <c r="H1" s="7"/>
      <c r="I1" s="7"/>
      <c r="J1" s="7"/>
      <c r="K1" s="7"/>
      <c r="L1" s="7"/>
      <c r="M1" s="7"/>
      <c r="N1" s="7"/>
      <c r="O1" s="7"/>
      <c r="P1" s="7"/>
      <c r="Q1" s="7"/>
      <c r="R1" s="7"/>
      <c r="S1" s="7"/>
      <c r="T1" s="7"/>
      <c r="U1" s="7"/>
      <c r="V1" s="7"/>
      <c r="W1" s="7"/>
      <c r="X1" s="7"/>
      <c r="Y1" s="7"/>
      <c r="Z1" s="7"/>
    </row>
    <row r="2" ht="18.0" customHeight="1">
      <c r="A2" s="105"/>
      <c r="B2" s="106"/>
      <c r="C2" s="7"/>
      <c r="D2" s="7"/>
      <c r="E2" s="7"/>
      <c r="F2" s="7"/>
      <c r="G2" s="7"/>
      <c r="H2" s="7"/>
      <c r="I2" s="7"/>
      <c r="J2" s="7"/>
      <c r="K2" s="7"/>
      <c r="L2" s="7"/>
      <c r="M2" s="7"/>
      <c r="N2" s="7"/>
      <c r="O2" s="7"/>
      <c r="P2" s="7"/>
      <c r="Q2" s="7"/>
      <c r="R2" s="7"/>
      <c r="S2" s="7"/>
      <c r="T2" s="7"/>
      <c r="U2" s="7"/>
      <c r="V2" s="7"/>
      <c r="W2" s="7"/>
      <c r="X2" s="7"/>
      <c r="Y2" s="7"/>
      <c r="Z2" s="7"/>
    </row>
    <row r="3" ht="36.0" customHeight="1">
      <c r="A3" s="29" t="s">
        <v>198</v>
      </c>
      <c r="B3" s="19"/>
      <c r="C3" s="7"/>
      <c r="D3" s="7"/>
      <c r="E3" s="7"/>
      <c r="F3" s="7"/>
      <c r="G3" s="7"/>
      <c r="H3" s="7"/>
      <c r="I3" s="7"/>
      <c r="J3" s="7"/>
      <c r="K3" s="7"/>
      <c r="L3" s="7"/>
      <c r="M3" s="7"/>
      <c r="N3" s="7"/>
      <c r="O3" s="7"/>
      <c r="P3" s="7"/>
      <c r="Q3" s="7"/>
      <c r="R3" s="7"/>
      <c r="S3" s="7"/>
      <c r="T3" s="7"/>
      <c r="U3" s="7"/>
      <c r="V3" s="7"/>
      <c r="W3" s="7"/>
      <c r="X3" s="7"/>
      <c r="Y3" s="7"/>
      <c r="Z3" s="7"/>
    </row>
    <row r="4" ht="18.75" customHeight="1">
      <c r="A4" s="111" t="s">
        <v>204</v>
      </c>
      <c r="B4" s="19"/>
      <c r="C4" s="7"/>
      <c r="D4" s="7"/>
      <c r="E4" s="7"/>
      <c r="F4" s="7"/>
      <c r="G4" s="7"/>
      <c r="H4" s="7"/>
      <c r="I4" s="7"/>
      <c r="J4" s="7"/>
      <c r="K4" s="7"/>
      <c r="L4" s="7"/>
      <c r="M4" s="7"/>
      <c r="N4" s="7"/>
      <c r="O4" s="7"/>
      <c r="P4" s="7"/>
      <c r="Q4" s="7"/>
      <c r="R4" s="7"/>
      <c r="S4" s="7"/>
      <c r="T4" s="7"/>
      <c r="U4" s="7"/>
      <c r="V4" s="7"/>
      <c r="W4" s="7"/>
      <c r="X4" s="7"/>
      <c r="Y4" s="7"/>
      <c r="Z4" s="7"/>
    </row>
    <row r="5" ht="18.75" customHeight="1">
      <c r="A5" s="111" t="s">
        <v>209</v>
      </c>
      <c r="B5" s="19"/>
      <c r="C5" s="7"/>
      <c r="D5" s="7"/>
      <c r="E5" s="7"/>
      <c r="F5" s="7"/>
      <c r="G5" s="7"/>
      <c r="H5" s="7"/>
      <c r="I5" s="7"/>
      <c r="J5" s="7"/>
      <c r="K5" s="7"/>
      <c r="L5" s="7"/>
      <c r="M5" s="7"/>
      <c r="N5" s="7"/>
      <c r="O5" s="7"/>
      <c r="P5" s="7"/>
      <c r="Q5" s="7"/>
      <c r="R5" s="7"/>
      <c r="S5" s="7"/>
      <c r="T5" s="7"/>
      <c r="U5" s="7"/>
      <c r="V5" s="7"/>
      <c r="W5" s="7"/>
      <c r="X5" s="7"/>
      <c r="Y5" s="7"/>
      <c r="Z5" s="7"/>
    </row>
    <row r="6" ht="19.5" customHeight="1">
      <c r="A6" s="35" t="s">
        <v>215</v>
      </c>
      <c r="B6" s="36"/>
      <c r="C6" s="7"/>
      <c r="D6" s="7"/>
      <c r="E6" s="7"/>
      <c r="F6" s="7"/>
      <c r="G6" s="7"/>
      <c r="H6" s="7"/>
      <c r="I6" s="7"/>
      <c r="J6" s="7"/>
      <c r="K6" s="7"/>
      <c r="L6" s="7"/>
      <c r="M6" s="7"/>
      <c r="N6" s="7"/>
      <c r="O6" s="7"/>
      <c r="P6" s="7"/>
      <c r="Q6" s="7"/>
      <c r="R6" s="7"/>
      <c r="S6" s="7"/>
      <c r="T6" s="7"/>
      <c r="U6" s="7"/>
      <c r="V6" s="7"/>
      <c r="W6" s="7"/>
      <c r="X6" s="7"/>
      <c r="Y6" s="7"/>
      <c r="Z6" s="7"/>
    </row>
    <row r="7" ht="15.75" customHeight="1">
      <c r="A7" s="7"/>
      <c r="B7" s="7"/>
      <c r="C7" s="7"/>
      <c r="D7" s="7"/>
      <c r="E7" s="7"/>
      <c r="F7" s="7"/>
      <c r="G7" s="7"/>
      <c r="H7" s="7"/>
      <c r="I7" s="7"/>
      <c r="J7" s="7"/>
      <c r="K7" s="7"/>
      <c r="L7" s="7"/>
      <c r="M7" s="7"/>
      <c r="N7" s="7"/>
      <c r="O7" s="7"/>
      <c r="P7" s="7"/>
      <c r="Q7" s="7"/>
      <c r="R7" s="7"/>
      <c r="S7" s="7"/>
      <c r="T7" s="7"/>
      <c r="U7" s="7"/>
      <c r="V7" s="7"/>
      <c r="W7" s="7"/>
      <c r="X7" s="7"/>
      <c r="Y7" s="7"/>
      <c r="Z7" s="7"/>
    </row>
    <row r="8" ht="18.0" customHeight="1">
      <c r="A8" s="113" t="s">
        <v>0</v>
      </c>
      <c r="B8" s="113" t="s">
        <v>4</v>
      </c>
      <c r="C8" s="115" t="s">
        <v>5</v>
      </c>
      <c r="D8" s="115" t="s">
        <v>58</v>
      </c>
      <c r="E8" s="113" t="s">
        <v>8</v>
      </c>
      <c r="F8" s="113" t="s">
        <v>226</v>
      </c>
      <c r="G8" s="113" t="s">
        <v>9</v>
      </c>
      <c r="H8" s="57"/>
      <c r="I8" s="57"/>
      <c r="J8" s="57"/>
      <c r="K8" s="57"/>
      <c r="L8" s="57"/>
      <c r="M8" s="57"/>
      <c r="N8" s="57"/>
      <c r="O8" s="57"/>
      <c r="P8" s="57"/>
      <c r="Q8" s="57"/>
      <c r="R8" s="57"/>
      <c r="S8" s="57"/>
      <c r="T8" s="57"/>
      <c r="U8" s="57"/>
      <c r="V8" s="57"/>
      <c r="W8" s="57"/>
      <c r="X8" s="57"/>
      <c r="Y8" s="57"/>
      <c r="Z8" s="57"/>
    </row>
    <row r="9" ht="15.75" customHeight="1">
      <c r="A9" s="120" t="s">
        <v>231</v>
      </c>
      <c r="B9" s="120" t="s">
        <v>235</v>
      </c>
      <c r="C9" s="120" t="s">
        <v>239</v>
      </c>
      <c r="D9" s="120" t="s">
        <v>240</v>
      </c>
      <c r="E9" s="120" t="s">
        <v>241</v>
      </c>
      <c r="F9" s="120" t="s">
        <v>242</v>
      </c>
      <c r="G9" s="120" t="s">
        <v>243</v>
      </c>
      <c r="H9" s="120"/>
      <c r="I9" s="122"/>
      <c r="J9" s="122"/>
      <c r="K9" s="122"/>
      <c r="L9" s="122"/>
      <c r="M9" s="122"/>
      <c r="N9" s="122"/>
      <c r="O9" s="122"/>
      <c r="P9" s="122"/>
      <c r="Q9" s="122"/>
      <c r="R9" s="122"/>
      <c r="S9" s="122"/>
      <c r="T9" s="122"/>
      <c r="U9" s="122"/>
      <c r="V9" s="122"/>
      <c r="W9" s="122"/>
      <c r="X9" s="122"/>
      <c r="Y9" s="122"/>
      <c r="Z9" s="122"/>
    </row>
    <row r="10" ht="15.75" customHeight="1">
      <c r="A10" s="124"/>
      <c r="B10" s="124"/>
      <c r="C10" s="124"/>
      <c r="D10" s="125" t="s">
        <v>120</v>
      </c>
      <c r="E10" s="126" t="s">
        <v>141</v>
      </c>
      <c r="F10" s="124"/>
      <c r="G10" s="126" t="s">
        <v>148</v>
      </c>
      <c r="H10" s="124"/>
      <c r="I10" s="124"/>
      <c r="J10" s="124"/>
      <c r="K10" s="124"/>
      <c r="L10" s="124"/>
      <c r="M10" s="124"/>
      <c r="N10" s="124"/>
      <c r="O10" s="124"/>
      <c r="P10" s="124"/>
      <c r="Q10" s="124"/>
      <c r="R10" s="124"/>
      <c r="S10" s="124"/>
      <c r="T10" s="124"/>
      <c r="U10" s="124"/>
      <c r="V10" s="124"/>
      <c r="W10" s="124"/>
      <c r="X10" s="124"/>
      <c r="Y10" s="124"/>
      <c r="Z10" s="124"/>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66" t="s">
        <v>401</v>
      </c>
      <c r="B1" s="168"/>
      <c r="C1" s="169"/>
      <c r="D1" s="169"/>
      <c r="E1" s="169"/>
      <c r="F1" s="169"/>
      <c r="G1" s="7"/>
      <c r="H1" s="7"/>
      <c r="I1" s="7"/>
      <c r="J1" s="7"/>
      <c r="K1" s="7"/>
      <c r="L1" s="7"/>
      <c r="M1" s="7"/>
      <c r="N1" s="7"/>
      <c r="O1" s="7"/>
      <c r="P1" s="7"/>
      <c r="Q1" s="7"/>
      <c r="R1" s="7"/>
      <c r="S1" s="7"/>
      <c r="T1" s="7"/>
      <c r="U1" s="7"/>
      <c r="V1" s="7"/>
      <c r="W1" s="7"/>
      <c r="X1" s="7"/>
      <c r="Y1" s="7"/>
      <c r="Z1" s="7"/>
    </row>
    <row r="2" ht="15.75" customHeight="1">
      <c r="A2" s="170"/>
      <c r="B2" s="171"/>
      <c r="C2" s="169"/>
      <c r="D2" s="169"/>
      <c r="E2" s="169"/>
      <c r="F2" s="169"/>
      <c r="G2" s="7"/>
      <c r="H2" s="7"/>
      <c r="I2" s="7"/>
      <c r="J2" s="7"/>
      <c r="K2" s="7"/>
      <c r="L2" s="7"/>
      <c r="M2" s="7"/>
      <c r="N2" s="7"/>
      <c r="O2" s="7"/>
      <c r="P2" s="7"/>
      <c r="Q2" s="7"/>
      <c r="R2" s="7"/>
      <c r="S2" s="7"/>
      <c r="T2" s="7"/>
      <c r="U2" s="7"/>
      <c r="V2" s="7"/>
      <c r="W2" s="7"/>
      <c r="X2" s="7"/>
      <c r="Y2" s="7"/>
      <c r="Z2" s="7"/>
    </row>
    <row r="3" ht="54.75" customHeight="1">
      <c r="A3" s="172" t="s">
        <v>416</v>
      </c>
      <c r="B3" s="173"/>
      <c r="C3" s="169"/>
      <c r="D3" s="169"/>
      <c r="E3" s="169"/>
      <c r="F3" s="169"/>
      <c r="G3" s="7"/>
      <c r="H3" s="7"/>
      <c r="I3" s="7"/>
      <c r="J3" s="7"/>
      <c r="K3" s="7"/>
      <c r="L3" s="7"/>
      <c r="M3" s="7"/>
      <c r="N3" s="7"/>
      <c r="O3" s="7"/>
      <c r="P3" s="7"/>
      <c r="Q3" s="7"/>
      <c r="R3" s="7"/>
      <c r="S3" s="7"/>
      <c r="T3" s="7"/>
      <c r="U3" s="7"/>
      <c r="V3" s="7"/>
      <c r="W3" s="7"/>
      <c r="X3" s="7"/>
      <c r="Y3" s="7"/>
      <c r="Z3" s="7"/>
    </row>
    <row r="4" ht="15.75" customHeight="1">
      <c r="A4" s="169"/>
      <c r="B4" s="169"/>
      <c r="C4" s="169"/>
      <c r="D4" s="169"/>
      <c r="E4" s="169"/>
      <c r="F4" s="169"/>
      <c r="G4" s="7"/>
      <c r="H4" s="7"/>
      <c r="I4" s="7"/>
      <c r="J4" s="7"/>
      <c r="K4" s="7"/>
      <c r="L4" s="7"/>
      <c r="M4" s="7"/>
      <c r="N4" s="7"/>
      <c r="O4" s="7"/>
      <c r="P4" s="7"/>
      <c r="Q4" s="7"/>
      <c r="R4" s="7"/>
      <c r="S4" s="7"/>
      <c r="T4" s="7"/>
      <c r="U4" s="7"/>
      <c r="V4" s="7"/>
      <c r="W4" s="7"/>
      <c r="X4" s="7"/>
      <c r="Y4" s="7"/>
      <c r="Z4" s="7"/>
    </row>
    <row r="5" ht="18.0" customHeight="1">
      <c r="A5" s="174" t="s">
        <v>1</v>
      </c>
      <c r="B5" s="174" t="s">
        <v>12</v>
      </c>
      <c r="C5" s="174" t="s">
        <v>13</v>
      </c>
      <c r="D5" s="174" t="s">
        <v>21</v>
      </c>
      <c r="E5" s="174" t="s">
        <v>22</v>
      </c>
      <c r="F5" s="175" t="s">
        <v>23</v>
      </c>
      <c r="G5" s="176"/>
      <c r="H5" s="177"/>
      <c r="I5" s="176"/>
      <c r="J5" s="176"/>
      <c r="K5" s="176"/>
      <c r="L5" s="176"/>
      <c r="M5" s="176"/>
      <c r="N5" s="176"/>
      <c r="O5" s="176"/>
      <c r="P5" s="176"/>
      <c r="Q5" s="176"/>
      <c r="R5" s="176"/>
      <c r="S5" s="176"/>
      <c r="T5" s="176"/>
      <c r="U5" s="176"/>
      <c r="V5" s="176"/>
      <c r="W5" s="176"/>
      <c r="X5" s="176"/>
      <c r="Y5" s="176"/>
      <c r="Z5" s="176"/>
    </row>
    <row r="6" ht="15.75" customHeight="1">
      <c r="A6" s="59" t="s">
        <v>440</v>
      </c>
      <c r="B6" s="59" t="s">
        <v>442</v>
      </c>
      <c r="C6" s="59" t="s">
        <v>445</v>
      </c>
      <c r="D6" s="59" t="s">
        <v>447</v>
      </c>
      <c r="E6" s="59" t="s">
        <v>448</v>
      </c>
      <c r="F6" s="59" t="s">
        <v>449</v>
      </c>
      <c r="G6" s="69"/>
      <c r="H6" s="69"/>
      <c r="I6" s="69"/>
      <c r="J6" s="69"/>
      <c r="K6" s="69"/>
      <c r="L6" s="69"/>
      <c r="M6" s="69"/>
      <c r="N6" s="69"/>
      <c r="O6" s="69"/>
      <c r="P6" s="69"/>
      <c r="Q6" s="69"/>
      <c r="R6" s="69"/>
      <c r="S6" s="69"/>
      <c r="T6" s="69"/>
      <c r="U6" s="69"/>
      <c r="V6" s="69"/>
      <c r="W6" s="69"/>
      <c r="X6" s="69"/>
      <c r="Y6" s="69"/>
      <c r="Z6" s="69"/>
    </row>
    <row r="7" ht="15.75" customHeight="1">
      <c r="A7" s="85" t="s">
        <v>455</v>
      </c>
      <c r="B7" s="179"/>
      <c r="C7" s="85" t="s">
        <v>460</v>
      </c>
      <c r="D7" s="85" t="s">
        <v>150</v>
      </c>
      <c r="E7" s="85" t="s">
        <v>150</v>
      </c>
      <c r="F7" s="85" t="s">
        <v>120</v>
      </c>
      <c r="G7" s="69"/>
      <c r="H7" s="69"/>
      <c r="I7" s="69"/>
      <c r="J7" s="69"/>
      <c r="K7" s="69"/>
      <c r="L7" s="69"/>
      <c r="M7" s="69"/>
      <c r="N7" s="69"/>
      <c r="O7" s="69"/>
      <c r="P7" s="69"/>
      <c r="Q7" s="69"/>
      <c r="R7" s="69"/>
      <c r="S7" s="69"/>
      <c r="T7" s="69"/>
      <c r="U7" s="69"/>
      <c r="V7" s="69"/>
      <c r="W7" s="69"/>
      <c r="X7" s="69"/>
      <c r="Y7" s="69"/>
      <c r="Z7" s="69"/>
    </row>
    <row r="8" ht="15.75" customHeight="1">
      <c r="A8" s="180"/>
      <c r="B8" s="180"/>
      <c r="C8" s="180"/>
      <c r="D8" s="180"/>
      <c r="E8" s="180"/>
      <c r="F8" s="180"/>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5" width="36.89"/>
  </cols>
  <sheetData>
    <row r="1">
      <c r="A1" s="11" t="s">
        <v>3</v>
      </c>
      <c r="B1" s="14" t="s">
        <v>14</v>
      </c>
      <c r="C1" s="14" t="s">
        <v>5</v>
      </c>
      <c r="D1" s="14" t="s">
        <v>6</v>
      </c>
      <c r="E1" s="14" t="s">
        <v>7</v>
      </c>
      <c r="F1" s="188"/>
      <c r="G1" s="188"/>
      <c r="H1" s="188"/>
      <c r="I1" s="188"/>
      <c r="J1" s="188"/>
      <c r="K1" s="188"/>
      <c r="L1" s="188"/>
    </row>
    <row r="2" hidden="1">
      <c r="A2" s="189" t="s">
        <v>54</v>
      </c>
      <c r="B2" s="189" t="s">
        <v>56</v>
      </c>
      <c r="C2" s="190"/>
      <c r="D2" s="190"/>
      <c r="E2" s="190"/>
      <c r="F2" s="191"/>
      <c r="G2" s="188" t="str">
        <f>IFERROR(__xludf.DUMMYFUNCTION("TRIM(REGEXREPLACE(C2, ""[0-9]+[a-f]?\."", """"))"),"")</f>
        <v/>
      </c>
      <c r="H2" s="188" t="str">
        <f>IFERROR(__xludf.DUMMYFUNCTION("TRIM(REGEXREPLACE(D2, ""[0-9]+[a-f]?\."", """"))"),"")</f>
        <v/>
      </c>
      <c r="I2" s="188" t="str">
        <f>IFERROR(__xludf.DUMMYFUNCTION("TRIM(REGEXREPLACE(E2, ""[0-9]+[a-f]?\."", """"))"),"")</f>
        <v/>
      </c>
      <c r="J2" s="188"/>
      <c r="K2" s="188"/>
      <c r="L2" s="188"/>
    </row>
    <row r="3" hidden="1">
      <c r="A3" s="189" t="s">
        <v>60</v>
      </c>
      <c r="B3" s="189" t="s">
        <v>62</v>
      </c>
      <c r="C3" s="190"/>
      <c r="D3" s="190"/>
      <c r="E3" s="190"/>
      <c r="F3" s="191"/>
      <c r="G3" s="188" t="str">
        <f>IFERROR(__xludf.DUMMYFUNCTION("TRIM(REGEXREPLACE(C3, ""[0-9]+[a-f]?\."", """"))"),"")</f>
        <v/>
      </c>
      <c r="H3" s="188" t="str">
        <f>IFERROR(__xludf.DUMMYFUNCTION("TRIM(REGEXREPLACE(D3, ""[0-9]+[a-f]?\."", """"))"),"")</f>
        <v/>
      </c>
      <c r="I3" s="188" t="str">
        <f>IFERROR(__xludf.DUMMYFUNCTION("TRIM(REGEXREPLACE(E3, ""[0-9]+[a-f]?\."", """"))"),"")</f>
        <v/>
      </c>
      <c r="J3" s="188"/>
      <c r="K3" s="188"/>
      <c r="L3" s="192"/>
    </row>
    <row r="4" hidden="1">
      <c r="A4" s="189" t="s">
        <v>68</v>
      </c>
      <c r="B4" s="189" t="s">
        <v>68</v>
      </c>
      <c r="C4" s="190"/>
      <c r="D4" s="190"/>
      <c r="E4" s="190"/>
      <c r="F4" s="191"/>
      <c r="G4" s="188" t="str">
        <f>IFERROR(__xludf.DUMMYFUNCTION("TRIM(REGEXREPLACE(C4, ""[0-9]+[a-f]?\."", """"))"),"")</f>
        <v/>
      </c>
      <c r="H4" s="188" t="str">
        <f>IFERROR(__xludf.DUMMYFUNCTION("TRIM(REGEXREPLACE(D4, ""[0-9]+[a-f]?\."", """"))"),"")</f>
        <v/>
      </c>
      <c r="I4" s="188" t="str">
        <f>IFERROR(__xludf.DUMMYFUNCTION("TRIM(REGEXREPLACE(E4, ""[0-9]+[a-f]?\."", """"))"),"")</f>
        <v/>
      </c>
      <c r="J4" s="188"/>
      <c r="K4" s="188"/>
      <c r="L4" s="188"/>
    </row>
    <row r="5" hidden="1">
      <c r="A5" s="189" t="s">
        <v>75</v>
      </c>
      <c r="B5" s="189" t="s">
        <v>77</v>
      </c>
      <c r="C5" s="190"/>
      <c r="D5" s="190"/>
      <c r="E5" s="190"/>
      <c r="F5" s="191"/>
      <c r="G5" s="188" t="str">
        <f>IFERROR(__xludf.DUMMYFUNCTION("TRIM(REGEXREPLACE(C5, ""[0-9]+[a-f]?\."", """"))"),"")</f>
        <v/>
      </c>
      <c r="H5" s="188" t="str">
        <f>IFERROR(__xludf.DUMMYFUNCTION("TRIM(REGEXREPLACE(D5, ""[0-9]+[a-f]?\."", """"))"),"")</f>
        <v/>
      </c>
      <c r="I5" s="188" t="str">
        <f>IFERROR(__xludf.DUMMYFUNCTION("TRIM(REGEXREPLACE(E5, ""[0-9]+[a-f]?\."", """"))"),"")</f>
        <v/>
      </c>
      <c r="J5" s="188"/>
      <c r="K5" s="188"/>
      <c r="L5" s="192"/>
    </row>
    <row r="6" hidden="1">
      <c r="A6" s="189" t="s">
        <v>88</v>
      </c>
      <c r="B6" s="189" t="s">
        <v>88</v>
      </c>
      <c r="C6" s="190"/>
      <c r="D6" s="190"/>
      <c r="E6" s="190"/>
      <c r="F6" s="191"/>
      <c r="G6" s="188" t="str">
        <f>IFERROR(__xludf.DUMMYFUNCTION("TRIM(REGEXREPLACE(C6, ""[0-9]+[a-f]?\."", """"))"),"")</f>
        <v/>
      </c>
      <c r="H6" s="188" t="str">
        <f>IFERROR(__xludf.DUMMYFUNCTION("TRIM(REGEXREPLACE(D6, ""[0-9]+[a-f]?\."", """"))"),"")</f>
        <v/>
      </c>
      <c r="I6" s="188" t="str">
        <f>IFERROR(__xludf.DUMMYFUNCTION("TRIM(REGEXREPLACE(E6, ""[0-9]+[a-f]?\."", """"))"),"")</f>
        <v/>
      </c>
      <c r="J6" s="188"/>
      <c r="K6" s="188"/>
      <c r="L6" s="192"/>
    </row>
    <row r="7" hidden="1">
      <c r="A7" s="189" t="s">
        <v>112</v>
      </c>
      <c r="B7" s="189" t="s">
        <v>114</v>
      </c>
      <c r="C7" s="190"/>
      <c r="D7" s="190"/>
      <c r="E7" s="190"/>
      <c r="F7" s="191"/>
      <c r="G7" s="188" t="str">
        <f>IFERROR(__xludf.DUMMYFUNCTION("TRIM(REGEXREPLACE(C7, ""[0-9]+[a-f]?\."", """"))"),"")</f>
        <v/>
      </c>
      <c r="H7" s="188" t="str">
        <f>IFERROR(__xludf.DUMMYFUNCTION("TRIM(REGEXREPLACE(D7, ""[0-9]+[a-f]?\."", """"))"),"")</f>
        <v/>
      </c>
      <c r="I7" s="188" t="str">
        <f>IFERROR(__xludf.DUMMYFUNCTION("TRIM(REGEXREPLACE(E7, ""[0-9]+[a-f]?\."", """"))"),"")</f>
        <v/>
      </c>
      <c r="J7" s="188"/>
      <c r="K7" s="188"/>
      <c r="L7" s="192"/>
    </row>
    <row r="8" hidden="1">
      <c r="A8" s="189" t="s">
        <v>112</v>
      </c>
      <c r="B8" s="189" t="s">
        <v>121</v>
      </c>
      <c r="C8" s="190"/>
      <c r="D8" s="190"/>
      <c r="E8" s="190"/>
      <c r="F8" s="191"/>
      <c r="G8" s="188" t="str">
        <f>IFERROR(__xludf.DUMMYFUNCTION("TRIM(REGEXREPLACE(C8, ""[0-9]+[a-f]?\."", """"))"),"")</f>
        <v/>
      </c>
      <c r="H8" s="188" t="str">
        <f>IFERROR(__xludf.DUMMYFUNCTION("TRIM(REGEXREPLACE(D8, ""[0-9]+[a-f]?\."", """"))"),"")</f>
        <v/>
      </c>
      <c r="I8" s="188" t="str">
        <f>IFERROR(__xludf.DUMMYFUNCTION("TRIM(REGEXREPLACE(E8, ""[0-9]+[a-f]?\."", """"))"),"")</f>
        <v/>
      </c>
      <c r="J8" s="188"/>
      <c r="K8" s="188"/>
      <c r="L8" s="192"/>
    </row>
    <row r="9" hidden="1">
      <c r="A9" s="194" t="s">
        <v>136</v>
      </c>
      <c r="B9" s="194" t="s">
        <v>137</v>
      </c>
      <c r="C9" s="190" t="s">
        <v>602</v>
      </c>
      <c r="D9" s="190"/>
      <c r="E9" s="190"/>
      <c r="F9" s="191"/>
      <c r="G9" s="188" t="str">
        <f>IFERROR(__xludf.DUMMYFUNCTION("TRIM(REGEXREPLACE(C9, ""[0-9]+[a-f]?\."", """"))"),"Question Durations")</f>
        <v>Question Durations</v>
      </c>
      <c r="H9" s="188" t="str">
        <f>IFERROR(__xludf.DUMMYFUNCTION("TRIM(REGEXREPLACE(D9, ""[0-9]+[a-f]?\."", """"))"),"")</f>
        <v/>
      </c>
      <c r="I9" s="188" t="str">
        <f>IFERROR(__xludf.DUMMYFUNCTION("TRIM(REGEXREPLACE(E9, ""[0-9]+[a-f]?\."", """"))"),"")</f>
        <v/>
      </c>
      <c r="J9" s="188"/>
      <c r="K9" s="188"/>
      <c r="L9" s="188"/>
    </row>
    <row r="10">
      <c r="A10" s="194" t="s">
        <v>46</v>
      </c>
      <c r="B10" s="194" t="s">
        <v>266</v>
      </c>
      <c r="C10" s="190" t="s">
        <v>605</v>
      </c>
      <c r="D10" s="190"/>
      <c r="E10" s="190"/>
      <c r="F10" s="195">
        <v>1.0</v>
      </c>
      <c r="G10" s="188" t="str">
        <f>IFERROR(__xludf.DUMMYFUNCTION("TRIM(REGEXREPLACE(C10, ""[0-9]+[a-f]?\."", """"))"),"Endline Survey")</f>
        <v>Endline Survey</v>
      </c>
      <c r="H10" s="188" t="str">
        <f>IFERROR(__xludf.DUMMYFUNCTION("TRIM(REGEXREPLACE(D10, ""[0-9]+[a-f]?\."", """"))"),"")</f>
        <v/>
      </c>
      <c r="I10" s="188" t="str">
        <f>IFERROR(__xludf.DUMMYFUNCTION("TRIM(REGEXREPLACE(E10, ""[0-9]+[a-f]?\."", """"))"),"")</f>
        <v/>
      </c>
      <c r="J10" s="188" t="s">
        <v>605</v>
      </c>
      <c r="K10" s="188" t="s">
        <v>607</v>
      </c>
      <c r="L10" s="188" t="s">
        <v>607</v>
      </c>
    </row>
    <row r="11" hidden="1">
      <c r="A11" s="189"/>
      <c r="B11" s="189"/>
      <c r="C11" s="190"/>
      <c r="D11" s="190"/>
      <c r="E11" s="190"/>
      <c r="F11" s="191"/>
      <c r="G11" s="188" t="str">
        <f>IFERROR(__xludf.DUMMYFUNCTION("TRIM(REGEXREPLACE(C11, ""[0-9]+[a-f]?\."", """"))"),"")</f>
        <v/>
      </c>
      <c r="H11" s="188" t="str">
        <f>IFERROR(__xludf.DUMMYFUNCTION("TRIM(REGEXREPLACE(D11, ""[0-9]+[a-f]?\."", """"))"),"")</f>
        <v/>
      </c>
      <c r="I11" s="188" t="str">
        <f>IFERROR(__xludf.DUMMYFUNCTION("TRIM(REGEXREPLACE(E11, ""[0-9]+[a-f]?\."", """"))"),"")</f>
        <v/>
      </c>
      <c r="J11" s="188"/>
      <c r="K11" s="188"/>
      <c r="L11" s="192"/>
    </row>
    <row r="12" hidden="1">
      <c r="A12" s="197" t="s">
        <v>256</v>
      </c>
      <c r="B12" s="198" t="s">
        <v>258</v>
      </c>
      <c r="C12" s="190"/>
      <c r="D12" s="190"/>
      <c r="E12" s="190"/>
      <c r="F12" s="191"/>
      <c r="G12" s="188" t="str">
        <f>IFERROR(__xludf.DUMMYFUNCTION("TRIM(REGEXREPLACE(C12, ""[0-9]+[a-f]?\."", """"))"),"")</f>
        <v/>
      </c>
      <c r="H12" s="188" t="str">
        <f>IFERROR(__xludf.DUMMYFUNCTION("TRIM(REGEXREPLACE(D12, ""[0-9]+[a-f]?\."", """"))"),"")</f>
        <v/>
      </c>
      <c r="I12" s="188" t="str">
        <f>IFERROR(__xludf.DUMMYFUNCTION("TRIM(REGEXREPLACE(E12, ""[0-9]+[a-f]?\."", """"))"),"")</f>
        <v/>
      </c>
      <c r="J12" s="188"/>
      <c r="K12" s="188"/>
      <c r="L12" s="188"/>
    </row>
    <row r="13" hidden="1">
      <c r="A13" s="194" t="s">
        <v>278</v>
      </c>
      <c r="B13" s="194" t="s">
        <v>291</v>
      </c>
      <c r="C13" s="190" t="s">
        <v>292</v>
      </c>
      <c r="D13" s="190"/>
      <c r="E13" s="190"/>
      <c r="F13" s="195">
        <v>2.0</v>
      </c>
      <c r="G13" s="188" t="str">
        <f>IFERROR(__xludf.DUMMYFUNCTION("TRIM(REGEXREPLACE(C13, ""[0-9]+[a-f]?\."", """"))"),"Enumerator Questions")</f>
        <v>Enumerator Questions</v>
      </c>
      <c r="H13" s="188" t="str">
        <f>IFERROR(__xludf.DUMMYFUNCTION("TRIM(REGEXREPLACE(D13, ""[0-9]+[a-f]?\."", """"))"),"")</f>
        <v/>
      </c>
      <c r="I13" s="188" t="str">
        <f>IFERROR(__xludf.DUMMYFUNCTION("TRIM(REGEXREPLACE(E13, ""[0-9]+[a-f]?\."", """"))"),"")</f>
        <v/>
      </c>
      <c r="J13" s="188" t="s">
        <v>302</v>
      </c>
      <c r="K13" s="188" t="s">
        <v>303</v>
      </c>
      <c r="L13" s="188" t="s">
        <v>617</v>
      </c>
    </row>
    <row r="14">
      <c r="A14" s="199" t="s">
        <v>618</v>
      </c>
      <c r="B14" s="200" t="s">
        <v>126</v>
      </c>
      <c r="C14" s="190" t="s">
        <v>619</v>
      </c>
      <c r="D14" s="190" t="s">
        <v>621</v>
      </c>
      <c r="E14" s="190" t="s">
        <v>624</v>
      </c>
      <c r="F14" s="195">
        <v>2.0</v>
      </c>
      <c r="G14" s="188" t="str">
        <f>IFERROR(__xludf.DUMMYFUNCTION("TRIM(REGEXREPLACE(C14, ""[0-9]+[a-f]?\."", """"))"),"Who is your team leader?")</f>
        <v>Who is your team leader?</v>
      </c>
      <c r="H14" s="188" t="str">
        <f>IFERROR(__xludf.DUMMYFUNCTION("TRIM(REGEXREPLACE(D14, ""[0-9]+[a-f]?\."", """"))"),"Qui est votre chef d'équipe?")</f>
        <v>Qui est votre chef d'équipe?</v>
      </c>
      <c r="I14" s="188" t="str">
        <f>IFERROR(__xludf.DUMMYFUNCTION("TRIM(REGEXREPLACE(E14, ""[0-9]+[a-f]?\."", """"))"),"Wanene shugaban tahiyar ku ?")</f>
        <v>Wanene shugaban tahiyar ku ?</v>
      </c>
      <c r="J14" s="188" t="s">
        <v>626</v>
      </c>
      <c r="K14" s="188" t="s">
        <v>627</v>
      </c>
      <c r="L14" s="188" t="s">
        <v>628</v>
      </c>
    </row>
    <row r="15">
      <c r="A15" s="194" t="s">
        <v>629</v>
      </c>
      <c r="B15" s="194" t="s">
        <v>173</v>
      </c>
      <c r="C15" s="190" t="s">
        <v>631</v>
      </c>
      <c r="D15" s="190" t="s">
        <v>632</v>
      </c>
      <c r="E15" s="190" t="s">
        <v>633</v>
      </c>
      <c r="F15" s="195">
        <v>3.0</v>
      </c>
      <c r="G15" s="188" t="str">
        <f>IFERROR(__xludf.DUMMYFUNCTION("TRIM(REGEXREPLACE(C15, ""[0-9]+[a-f]?\."", """"))"),"What is your name?")</f>
        <v>What is your name?</v>
      </c>
      <c r="H15" s="188" t="str">
        <f>IFERROR(__xludf.DUMMYFUNCTION("TRIM(REGEXREPLACE(D15, ""[0-9]+[a-f]?\."", """"))"),"Quel est votre nom?")</f>
        <v>Quel est votre nom?</v>
      </c>
      <c r="I15" s="188" t="str">
        <f>IFERROR(__xludf.DUMMYFUNCTION("TRIM(REGEXREPLACE(E15, ""[0-9]+[a-f]?\."", """"))"),"Menene sunanka?")</f>
        <v>Menene sunanka?</v>
      </c>
      <c r="J15" s="188" t="s">
        <v>639</v>
      </c>
      <c r="K15" s="188" t="s">
        <v>641</v>
      </c>
      <c r="L15" s="188" t="s">
        <v>642</v>
      </c>
    </row>
    <row r="16" hidden="1">
      <c r="A16" s="194" t="s">
        <v>112</v>
      </c>
      <c r="B16" s="194" t="s">
        <v>643</v>
      </c>
      <c r="C16" s="190" t="s">
        <v>644</v>
      </c>
      <c r="D16" s="190"/>
      <c r="E16" s="190"/>
      <c r="F16" s="195">
        <v>4.0</v>
      </c>
      <c r="G16" s="188" t="str">
        <f>IFERROR(__xludf.DUMMYFUNCTION("TRIM(REGEXREPLACE(C16, ""[0-9]+[a-f]?\."", """"))"),"CALC: Pull enumerator name")</f>
        <v>CALC: Pull enumerator name</v>
      </c>
      <c r="H16" s="188" t="str">
        <f>IFERROR(__xludf.DUMMYFUNCTION("TRIM(REGEXREPLACE(D16, ""[0-9]+[a-f]?\."", """"))"),"")</f>
        <v/>
      </c>
      <c r="I16" s="188" t="str">
        <f>IFERROR(__xludf.DUMMYFUNCTION("TRIM(REGEXREPLACE(E16, ""[0-9]+[a-f]?\."", """"))"),"")</f>
        <v/>
      </c>
      <c r="J16" s="188" t="s">
        <v>631</v>
      </c>
      <c r="K16" s="188" t="s">
        <v>632</v>
      </c>
      <c r="L16" s="188" t="s">
        <v>633</v>
      </c>
    </row>
    <row r="17">
      <c r="A17" s="194" t="s">
        <v>629</v>
      </c>
      <c r="B17" s="194" t="s">
        <v>646</v>
      </c>
      <c r="C17" s="190" t="s">
        <v>647</v>
      </c>
      <c r="D17" s="190" t="s">
        <v>648</v>
      </c>
      <c r="E17" s="190" t="s">
        <v>650</v>
      </c>
      <c r="F17" s="195">
        <v>4.0</v>
      </c>
      <c r="G17" s="188" t="str">
        <f>IFERROR(__xludf.DUMMYFUNCTION("TRIM(REGEXREPLACE(C17, ""[0-9]+[a-f]?\."", """"))"),"What is your partner's name?")</f>
        <v>What is your partner's name?</v>
      </c>
      <c r="H17" s="188" t="str">
        <f>IFERROR(__xludf.DUMMYFUNCTION("TRIM(REGEXREPLACE(D17, ""[0-9]+[a-f]?\."", """"))"),"Quel est le nom de votre binôme?")</f>
        <v>Quel est le nom de votre binôme?</v>
      </c>
      <c r="I17" s="188" t="str">
        <f>IFERROR(__xludf.DUMMYFUNCTION("TRIM(REGEXREPLACE(E17, ""[0-9]+[a-f]?\."", """"))"),"Menene sunan abokin aikinka")</f>
        <v>Menene sunan abokin aikinka</v>
      </c>
      <c r="J17" s="188" t="s">
        <v>653</v>
      </c>
      <c r="K17" s="188" t="s">
        <v>654</v>
      </c>
      <c r="L17" s="188" t="s">
        <v>655</v>
      </c>
    </row>
    <row r="18" hidden="1">
      <c r="A18" s="194" t="s">
        <v>112</v>
      </c>
      <c r="B18" s="194" t="s">
        <v>656</v>
      </c>
      <c r="C18" s="190" t="s">
        <v>644</v>
      </c>
      <c r="D18" s="190"/>
      <c r="E18" s="190"/>
      <c r="F18" s="195">
        <v>5.0</v>
      </c>
      <c r="G18" s="188" t="str">
        <f>IFERROR(__xludf.DUMMYFUNCTION("TRIM(REGEXREPLACE(C18, ""[0-9]+[a-f]?\."", """"))"),"CALC: Pull enumerator name")</f>
        <v>CALC: Pull enumerator name</v>
      </c>
      <c r="H18" s="188" t="str">
        <f>IFERROR(__xludf.DUMMYFUNCTION("TRIM(REGEXREPLACE(D18, ""[0-9]+[a-f]?\."", """"))"),"")</f>
        <v/>
      </c>
      <c r="I18" s="188" t="str">
        <f>IFERROR(__xludf.DUMMYFUNCTION("TRIM(REGEXREPLACE(E18, ""[0-9]+[a-f]?\."", """"))"),"")</f>
        <v/>
      </c>
      <c r="J18" s="188" t="s">
        <v>647</v>
      </c>
      <c r="K18" s="188" t="s">
        <v>648</v>
      </c>
      <c r="L18" s="188" t="s">
        <v>650</v>
      </c>
    </row>
    <row r="19">
      <c r="A19" s="194" t="s">
        <v>660</v>
      </c>
      <c r="B19" s="194" t="s">
        <v>155</v>
      </c>
      <c r="C19" s="190" t="s">
        <v>664</v>
      </c>
      <c r="D19" s="190" t="s">
        <v>665</v>
      </c>
      <c r="E19" s="190" t="s">
        <v>666</v>
      </c>
      <c r="F19" s="195">
        <v>5.0</v>
      </c>
      <c r="G19" s="188" t="str">
        <f>IFERROR(__xludf.DUMMYFUNCTION("TRIM(REGEXREPLACE(C19, ""[0-9]+[a-f]?\."", """"))"),"What commune are you surveying in?")</f>
        <v>What commune are you surveying in?</v>
      </c>
      <c r="H19" s="188" t="str">
        <f>IFERROR(__xludf.DUMMYFUNCTION("TRIM(REGEXREPLACE(D19, ""[0-9]+[a-f]?\."", """"))"),"Quelle est votre commune de travail ?")</f>
        <v>Quelle est votre commune de travail ?</v>
      </c>
      <c r="I19" s="188" t="str">
        <f>IFERROR(__xludf.DUMMYFUNCTION("TRIM(REGEXREPLACE(E19, ""[0-9]+[a-f]?\."", """"))"),"Cikin wane komin kake aiki?")</f>
        <v>Cikin wane komin kake aiki?</v>
      </c>
      <c r="J19" s="188" t="s">
        <v>669</v>
      </c>
      <c r="K19" s="188" t="s">
        <v>670</v>
      </c>
      <c r="L19" s="188" t="s">
        <v>671</v>
      </c>
    </row>
    <row r="20" hidden="1">
      <c r="A20" s="194" t="s">
        <v>112</v>
      </c>
      <c r="B20" s="194" t="s">
        <v>157</v>
      </c>
      <c r="C20" s="190" t="s">
        <v>672</v>
      </c>
      <c r="D20" s="190"/>
      <c r="E20" s="190"/>
      <c r="F20" s="195">
        <v>6.0</v>
      </c>
      <c r="G20" s="188" t="str">
        <f>IFERROR(__xludf.DUMMYFUNCTION("TRIM(REGEXREPLACE(C20, ""[0-9]+[a-f]?\."", """"))"),"CALC: Pull commune name")</f>
        <v>CALC: Pull commune name</v>
      </c>
      <c r="H20" s="188" t="str">
        <f>IFERROR(__xludf.DUMMYFUNCTION("TRIM(REGEXREPLACE(D20, ""[0-9]+[a-f]?\."", """"))"),"")</f>
        <v/>
      </c>
      <c r="I20" s="188" t="str">
        <f>IFERROR(__xludf.DUMMYFUNCTION("TRIM(REGEXREPLACE(E20, ""[0-9]+[a-f]?\."", """"))"),"")</f>
        <v/>
      </c>
      <c r="J20" s="188" t="s">
        <v>664</v>
      </c>
      <c r="K20" s="188" t="s">
        <v>665</v>
      </c>
      <c r="L20" s="188" t="s">
        <v>666</v>
      </c>
    </row>
    <row r="21" hidden="1">
      <c r="A21" s="201" t="s">
        <v>112</v>
      </c>
      <c r="B21" s="202" t="s">
        <v>673</v>
      </c>
      <c r="C21" s="190"/>
      <c r="D21" s="190"/>
      <c r="E21" s="190"/>
      <c r="F21" s="191"/>
      <c r="G21" s="188" t="str">
        <f>IFERROR(__xludf.DUMMYFUNCTION("TRIM(REGEXREPLACE(C21, ""[0-9]+[a-f]?\."", """"))"),"")</f>
        <v/>
      </c>
      <c r="H21" s="188" t="str">
        <f>IFERROR(__xludf.DUMMYFUNCTION("TRIM(REGEXREPLACE(D21, ""[0-9]+[a-f]?\."", """"))"),"")</f>
        <v/>
      </c>
      <c r="I21" s="188" t="str">
        <f>IFERROR(__xludf.DUMMYFUNCTION("TRIM(REGEXREPLACE(E21, ""[0-9]+[a-f]?\."", """"))"),"")</f>
        <v/>
      </c>
      <c r="J21" s="188"/>
      <c r="K21" s="188"/>
      <c r="L21" s="192"/>
    </row>
    <row r="22" hidden="1">
      <c r="A22" s="194" t="s">
        <v>112</v>
      </c>
      <c r="B22" s="194" t="s">
        <v>156</v>
      </c>
      <c r="C22" s="190"/>
      <c r="D22" s="190"/>
      <c r="E22" s="190"/>
      <c r="F22" s="191"/>
      <c r="G22" s="188" t="str">
        <f>IFERROR(__xludf.DUMMYFUNCTION("TRIM(REGEXREPLACE(C22, ""[0-9]+[a-f]?\."", """"))"),"")</f>
        <v/>
      </c>
      <c r="H22" s="188" t="str">
        <f>IFERROR(__xludf.DUMMYFUNCTION("TRIM(REGEXREPLACE(D22, ""[0-9]+[a-f]?\."", """"))"),"")</f>
        <v/>
      </c>
      <c r="I22" s="188" t="str">
        <f>IFERROR(__xludf.DUMMYFUNCTION("TRIM(REGEXREPLACE(E22, ""[0-9]+[a-f]?\."", """"))"),"")</f>
        <v/>
      </c>
      <c r="J22" s="188"/>
      <c r="K22" s="188"/>
      <c r="L22" s="192"/>
    </row>
    <row r="23">
      <c r="A23" s="194" t="s">
        <v>685</v>
      </c>
      <c r="B23" s="194" t="s">
        <v>162</v>
      </c>
      <c r="C23" s="190" t="s">
        <v>686</v>
      </c>
      <c r="D23" s="190" t="s">
        <v>687</v>
      </c>
      <c r="E23" s="190" t="s">
        <v>688</v>
      </c>
      <c r="F23" s="195">
        <v>6.0</v>
      </c>
      <c r="G23" s="188" t="str">
        <f>IFERROR(__xludf.DUMMYFUNCTION("TRIM(REGEXREPLACE(C23, ""[0-9]+[a-f]?\."", """"))"),"What village/neighborhood are you surveying in?")</f>
        <v>What village/neighborhood are you surveying in?</v>
      </c>
      <c r="H23" s="188" t="str">
        <f>IFERROR(__xludf.DUMMYFUNCTION("TRIM(REGEXREPLACE(D23, ""[0-9]+[a-f]?\."", """"))"),"Dans quelle ville/village faites-vous votre enquête ?")</f>
        <v>Dans quelle ville/village faites-vous votre enquête ?</v>
      </c>
      <c r="I23" s="188" t="str">
        <f>IFERROR(__xludf.DUMMYFUNCTION("TRIM(REGEXREPLACE(E23, ""[0-9]+[a-f]?\."", """"))"),"Cikin wane gari kake binciken?")</f>
        <v>Cikin wane gari kake binciken?</v>
      </c>
      <c r="J23" s="188" t="s">
        <v>690</v>
      </c>
      <c r="K23" s="188" t="s">
        <v>691</v>
      </c>
      <c r="L23" s="188" t="s">
        <v>693</v>
      </c>
    </row>
    <row r="24" hidden="1">
      <c r="A24" s="194" t="s">
        <v>112</v>
      </c>
      <c r="B24" s="194" t="s">
        <v>164</v>
      </c>
      <c r="C24" s="190" t="s">
        <v>694</v>
      </c>
      <c r="D24" s="190"/>
      <c r="E24" s="190"/>
      <c r="F24" s="195">
        <v>7.0</v>
      </c>
      <c r="G24" s="188" t="str">
        <f>IFERROR(__xludf.DUMMYFUNCTION("TRIM(REGEXREPLACE(C24, ""[0-9]+[a-f]?\."", """"))"),"CALC: Pull locality name")</f>
        <v>CALC: Pull locality name</v>
      </c>
      <c r="H24" s="188" t="str">
        <f>IFERROR(__xludf.DUMMYFUNCTION("TRIM(REGEXREPLACE(D24, ""[0-9]+[a-f]?\."", """"))"),"")</f>
        <v/>
      </c>
      <c r="I24" s="188" t="str">
        <f>IFERROR(__xludf.DUMMYFUNCTION("TRIM(REGEXREPLACE(E24, ""[0-9]+[a-f]?\."", """"))"),"")</f>
        <v/>
      </c>
      <c r="J24" s="188" t="s">
        <v>686</v>
      </c>
      <c r="K24" s="188" t="s">
        <v>687</v>
      </c>
      <c r="L24" s="188" t="s">
        <v>688</v>
      </c>
    </row>
    <row r="25" hidden="1">
      <c r="A25" s="194" t="s">
        <v>112</v>
      </c>
      <c r="B25" s="194" t="s">
        <v>697</v>
      </c>
      <c r="C25" s="190"/>
      <c r="D25" s="190"/>
      <c r="E25" s="190"/>
      <c r="F25" s="191"/>
      <c r="G25" s="188" t="str">
        <f>IFERROR(__xludf.DUMMYFUNCTION("TRIM(REGEXREPLACE(C25, ""[0-9]+[a-f]?\."", """"))"),"")</f>
        <v/>
      </c>
      <c r="H25" s="188" t="str">
        <f>IFERROR(__xludf.DUMMYFUNCTION("TRIM(REGEXREPLACE(D25, ""[0-9]+[a-f]?\."", """"))"),"")</f>
        <v/>
      </c>
      <c r="I25" s="188" t="str">
        <f>IFERROR(__xludf.DUMMYFUNCTION("TRIM(REGEXREPLACE(E25, ""[0-9]+[a-f]?\."", """"))"),"")</f>
        <v/>
      </c>
      <c r="J25" s="188"/>
      <c r="K25" s="188"/>
      <c r="L25" s="192"/>
    </row>
    <row r="26" hidden="1">
      <c r="A26" s="194" t="s">
        <v>112</v>
      </c>
      <c r="B26" s="194" t="s">
        <v>700</v>
      </c>
      <c r="C26" s="190"/>
      <c r="D26" s="190"/>
      <c r="E26" s="190"/>
      <c r="F26" s="191"/>
      <c r="G26" s="188" t="str">
        <f>IFERROR(__xludf.DUMMYFUNCTION("TRIM(REGEXREPLACE(C26, ""[0-9]+[a-f]?\."", """"))"),"")</f>
        <v/>
      </c>
      <c r="H26" s="188" t="str">
        <f>IFERROR(__xludf.DUMMYFUNCTION("TRIM(REGEXREPLACE(D26, ""[0-9]+[a-f]?\."", """"))"),"")</f>
        <v/>
      </c>
      <c r="I26" s="188" t="str">
        <f>IFERROR(__xludf.DUMMYFUNCTION("TRIM(REGEXREPLACE(E26, ""[0-9]+[a-f]?\."", """"))"),"")</f>
        <v/>
      </c>
      <c r="J26" s="188"/>
      <c r="K26" s="188"/>
      <c r="L26" s="192"/>
    </row>
    <row r="27" hidden="1">
      <c r="A27" s="194" t="s">
        <v>331</v>
      </c>
      <c r="B27" s="194" t="s">
        <v>291</v>
      </c>
      <c r="C27" s="190" t="s">
        <v>292</v>
      </c>
      <c r="D27" s="190"/>
      <c r="E27" s="190"/>
      <c r="F27" s="191"/>
      <c r="G27" s="188" t="str">
        <f>IFERROR(__xludf.DUMMYFUNCTION("TRIM(REGEXREPLACE(C27, ""[0-9]+[a-f]?\."", """"))"),"Enumerator Questions")</f>
        <v>Enumerator Questions</v>
      </c>
      <c r="H27" s="188" t="str">
        <f>IFERROR(__xludf.DUMMYFUNCTION("TRIM(REGEXREPLACE(D27, ""[0-9]+[a-f]?\."", """"))"),"")</f>
        <v/>
      </c>
      <c r="I27" s="188" t="str">
        <f>IFERROR(__xludf.DUMMYFUNCTION("TRIM(REGEXREPLACE(E27, ""[0-9]+[a-f]?\."", """"))"),"")</f>
        <v/>
      </c>
      <c r="J27" s="188"/>
      <c r="K27" s="188"/>
      <c r="L27" s="192"/>
    </row>
    <row r="28" hidden="1">
      <c r="A28" s="189"/>
      <c r="B28" s="189"/>
      <c r="C28" s="190"/>
      <c r="D28" s="190"/>
      <c r="E28" s="190"/>
      <c r="F28" s="191"/>
      <c r="G28" s="188" t="str">
        <f>IFERROR(__xludf.DUMMYFUNCTION("TRIM(REGEXREPLACE(C28, ""[0-9]+[a-f]?\."", """"))"),"")</f>
        <v/>
      </c>
      <c r="H28" s="188" t="str">
        <f>IFERROR(__xludf.DUMMYFUNCTION("TRIM(REGEXREPLACE(D28, ""[0-9]+[a-f]?\."", """"))"),"")</f>
        <v/>
      </c>
      <c r="I28" s="188" t="str">
        <f>IFERROR(__xludf.DUMMYFUNCTION("TRIM(REGEXREPLACE(E28, ""[0-9]+[a-f]?\."", """"))"),"")</f>
        <v/>
      </c>
      <c r="J28" s="188"/>
      <c r="K28" s="188"/>
      <c r="L28" s="192"/>
    </row>
    <row r="29" hidden="1">
      <c r="A29" s="194" t="s">
        <v>278</v>
      </c>
      <c r="B29" s="194" t="s">
        <v>272</v>
      </c>
      <c r="C29" s="190"/>
      <c r="D29" s="190"/>
      <c r="E29" s="190"/>
      <c r="F29" s="191"/>
      <c r="G29" s="188" t="str">
        <f>IFERROR(__xludf.DUMMYFUNCTION("TRIM(REGEXREPLACE(C29, ""[0-9]+[a-f]?\."", """"))"),"")</f>
        <v/>
      </c>
      <c r="H29" s="188" t="str">
        <f>IFERROR(__xludf.DUMMYFUNCTION("TRIM(REGEXREPLACE(D29, ""[0-9]+[a-f]?\."", """"))"),"")</f>
        <v/>
      </c>
      <c r="I29" s="188" t="str">
        <f>IFERROR(__xludf.DUMMYFUNCTION("TRIM(REGEXREPLACE(E29, ""[0-9]+[a-f]?\."", """"))"),"")</f>
        <v/>
      </c>
      <c r="J29" s="188"/>
      <c r="K29" s="188"/>
      <c r="L29" s="192"/>
    </row>
    <row r="30" hidden="1">
      <c r="A30" s="201" t="s">
        <v>112</v>
      </c>
      <c r="B30" s="203" t="s">
        <v>706</v>
      </c>
      <c r="C30" s="68"/>
      <c r="D30" s="68"/>
      <c r="E30" s="68"/>
      <c r="F30" s="191"/>
      <c r="G30" s="188" t="str">
        <f>IFERROR(__xludf.DUMMYFUNCTION("TRIM(REGEXREPLACE(C30, ""[0-9]+[a-f]?\."", """"))"),"")</f>
        <v/>
      </c>
      <c r="H30" s="188" t="str">
        <f>IFERROR(__xludf.DUMMYFUNCTION("TRIM(REGEXREPLACE(D30, ""[0-9]+[a-f]?\."", """"))"),"")</f>
        <v/>
      </c>
      <c r="I30" s="188" t="str">
        <f>IFERROR(__xludf.DUMMYFUNCTION("TRIM(REGEXREPLACE(E30, ""[0-9]+[a-f]?\."", """"))"),"")</f>
        <v/>
      </c>
      <c r="J30" s="188"/>
      <c r="K30" s="188"/>
      <c r="L30" s="192"/>
    </row>
    <row r="31" hidden="1">
      <c r="A31" s="201" t="s">
        <v>112</v>
      </c>
      <c r="B31" s="203" t="s">
        <v>711</v>
      </c>
      <c r="C31" s="68"/>
      <c r="D31" s="68"/>
      <c r="E31" s="68"/>
      <c r="F31" s="191"/>
      <c r="G31" s="188" t="str">
        <f>IFERROR(__xludf.DUMMYFUNCTION("TRIM(REGEXREPLACE(C31, ""[0-9]+[a-f]?\."", """"))"),"")</f>
        <v/>
      </c>
      <c r="H31" s="188" t="str">
        <f>IFERROR(__xludf.DUMMYFUNCTION("TRIM(REGEXREPLACE(D31, ""[0-9]+[a-f]?\."", """"))"),"")</f>
        <v/>
      </c>
      <c r="I31" s="188" t="str">
        <f>IFERROR(__xludf.DUMMYFUNCTION("TRIM(REGEXREPLACE(E31, ""[0-9]+[a-f]?\."", """"))"),"")</f>
        <v/>
      </c>
      <c r="J31" s="188"/>
      <c r="K31" s="188"/>
      <c r="L31" s="192"/>
    </row>
    <row r="32" hidden="1">
      <c r="A32" s="201" t="s">
        <v>112</v>
      </c>
      <c r="B32" s="203" t="s">
        <v>713</v>
      </c>
      <c r="C32" s="68"/>
      <c r="D32" s="68"/>
      <c r="E32" s="68"/>
      <c r="F32" s="191"/>
      <c r="G32" s="188" t="str">
        <f>IFERROR(__xludf.DUMMYFUNCTION("TRIM(REGEXREPLACE(C32, ""[0-9]+[a-f]?\."", """"))"),"")</f>
        <v/>
      </c>
      <c r="H32" s="188" t="str">
        <f>IFERROR(__xludf.DUMMYFUNCTION("TRIM(REGEXREPLACE(D32, ""[0-9]+[a-f]?\."", """"))"),"")</f>
        <v/>
      </c>
      <c r="I32" s="188" t="str">
        <f>IFERROR(__xludf.DUMMYFUNCTION("TRIM(REGEXREPLACE(E32, ""[0-9]+[a-f]?\."", """"))"),"")</f>
        <v/>
      </c>
      <c r="J32" s="188"/>
      <c r="K32" s="188"/>
      <c r="L32" s="188"/>
    </row>
    <row r="33" hidden="1">
      <c r="A33" s="201" t="s">
        <v>112</v>
      </c>
      <c r="B33" s="203" t="s">
        <v>716</v>
      </c>
      <c r="C33" s="68"/>
      <c r="D33" s="68"/>
      <c r="E33" s="68"/>
      <c r="F33" s="195">
        <v>8.0</v>
      </c>
      <c r="G33" s="188" t="str">
        <f>IFERROR(__xludf.DUMMYFUNCTION("TRIM(REGEXREPLACE(C33, ""[0-9]+[a-f]?\."", """"))"),"")</f>
        <v/>
      </c>
      <c r="H33" s="188" t="str">
        <f>IFERROR(__xludf.DUMMYFUNCTION("TRIM(REGEXREPLACE(D33, ""[0-9]+[a-f]?\."", """"))"),"")</f>
        <v/>
      </c>
      <c r="I33" s="188" t="str">
        <f>IFERROR(__xludf.DUMMYFUNCTION("TRIM(REGEXREPLACE(E33, ""[0-9]+[a-f]?\."", """"))"),"")</f>
        <v/>
      </c>
      <c r="J33" s="188" t="s">
        <v>717</v>
      </c>
      <c r="K33" s="188" t="s">
        <v>718</v>
      </c>
      <c r="L33" s="188" t="s">
        <v>718</v>
      </c>
    </row>
    <row r="34" hidden="1">
      <c r="A34" s="201" t="s">
        <v>112</v>
      </c>
      <c r="B34" s="203" t="s">
        <v>719</v>
      </c>
      <c r="C34" s="68"/>
      <c r="D34" s="68"/>
      <c r="E34" s="68"/>
      <c r="F34" s="195">
        <v>8.0</v>
      </c>
      <c r="G34" s="188" t="str">
        <f>IFERROR(__xludf.DUMMYFUNCTION("TRIM(REGEXREPLACE(C34, ""[0-9]+[a-f]?\."", """"))"),"")</f>
        <v/>
      </c>
      <c r="H34" s="188" t="str">
        <f>IFERROR(__xludf.DUMMYFUNCTION("TRIM(REGEXREPLACE(D34, ""[0-9]+[a-f]?\."", """"))"),"")</f>
        <v/>
      </c>
      <c r="I34" s="188" t="str">
        <f>IFERROR(__xludf.DUMMYFUNCTION("TRIM(REGEXREPLACE(E34, ""[0-9]+[a-f]?\."", """"))"),"")</f>
        <v/>
      </c>
      <c r="J34" s="188" t="s">
        <v>717</v>
      </c>
      <c r="K34" s="188" t="s">
        <v>724</v>
      </c>
      <c r="L34" s="188" t="s">
        <v>726</v>
      </c>
    </row>
    <row r="35" hidden="1">
      <c r="A35" s="201" t="s">
        <v>112</v>
      </c>
      <c r="B35" s="203" t="s">
        <v>727</v>
      </c>
      <c r="C35" s="68"/>
      <c r="D35" s="68"/>
      <c r="E35" s="68"/>
      <c r="F35" s="191"/>
      <c r="G35" s="188" t="str">
        <f>IFERROR(__xludf.DUMMYFUNCTION("TRIM(REGEXREPLACE(C35, ""[0-9]+[a-f]?\."", """"))"),"")</f>
        <v/>
      </c>
      <c r="H35" s="188" t="str">
        <f>IFERROR(__xludf.DUMMYFUNCTION("TRIM(REGEXREPLACE(D35, ""[0-9]+[a-f]?\."", """"))"),"")</f>
        <v/>
      </c>
      <c r="I35" s="188" t="str">
        <f>IFERROR(__xludf.DUMMYFUNCTION("TRIM(REGEXREPLACE(E35, ""[0-9]+[a-f]?\."", """"))"),"")</f>
        <v/>
      </c>
      <c r="J35" s="188"/>
      <c r="K35" s="188"/>
      <c r="L35" s="192"/>
    </row>
    <row r="36" hidden="1">
      <c r="A36" s="201" t="s">
        <v>112</v>
      </c>
      <c r="B36" s="203" t="s">
        <v>728</v>
      </c>
      <c r="C36" s="68"/>
      <c r="D36" s="68"/>
      <c r="E36" s="68"/>
      <c r="F36" s="191"/>
      <c r="G36" s="188" t="str">
        <f>IFERROR(__xludf.DUMMYFUNCTION("TRIM(REGEXREPLACE(C36, ""[0-9]+[a-f]?\."", """"))"),"")</f>
        <v/>
      </c>
      <c r="H36" s="188" t="str">
        <f>IFERROR(__xludf.DUMMYFUNCTION("TRIM(REGEXREPLACE(D36, ""[0-9]+[a-f]?\."", """"))"),"")</f>
        <v/>
      </c>
      <c r="I36" s="188" t="str">
        <f>IFERROR(__xludf.DUMMYFUNCTION("TRIM(REGEXREPLACE(E36, ""[0-9]+[a-f]?\."", """"))"),"")</f>
        <v/>
      </c>
      <c r="J36" s="188"/>
      <c r="K36" s="188"/>
      <c r="L36" s="192"/>
    </row>
    <row r="37" hidden="1">
      <c r="A37" s="201" t="s">
        <v>112</v>
      </c>
      <c r="B37" s="203" t="s">
        <v>731</v>
      </c>
      <c r="C37" s="68"/>
      <c r="D37" s="68"/>
      <c r="E37" s="68"/>
      <c r="F37" s="191"/>
      <c r="G37" s="188" t="str">
        <f>IFERROR(__xludf.DUMMYFUNCTION("TRIM(REGEXREPLACE(C37, ""[0-9]+[a-f]?\."", """"))"),"")</f>
        <v/>
      </c>
      <c r="H37" s="188" t="str">
        <f>IFERROR(__xludf.DUMMYFUNCTION("TRIM(REGEXREPLACE(D37, ""[0-9]+[a-f]?\."", """"))"),"")</f>
        <v/>
      </c>
      <c r="I37" s="188" t="str">
        <f>IFERROR(__xludf.DUMMYFUNCTION("TRIM(REGEXREPLACE(E37, ""[0-9]+[a-f]?\."", """"))"),"")</f>
        <v/>
      </c>
      <c r="J37" s="188"/>
      <c r="K37" s="188"/>
      <c r="L37" s="192"/>
    </row>
    <row r="38" hidden="1">
      <c r="A38" s="201" t="s">
        <v>112</v>
      </c>
      <c r="B38" s="203" t="s">
        <v>734</v>
      </c>
      <c r="C38" s="68"/>
      <c r="D38" s="68"/>
      <c r="E38" s="68"/>
      <c r="F38" s="191"/>
      <c r="G38" s="188" t="str">
        <f>IFERROR(__xludf.DUMMYFUNCTION("TRIM(REGEXREPLACE(C38, ""[0-9]+[a-f]?\."", """"))"),"")</f>
        <v/>
      </c>
      <c r="H38" s="188" t="str">
        <f>IFERROR(__xludf.DUMMYFUNCTION("TRIM(REGEXREPLACE(D38, ""[0-9]+[a-f]?\."", """"))"),"")</f>
        <v/>
      </c>
      <c r="I38" s="188" t="str">
        <f>IFERROR(__xludf.DUMMYFUNCTION("TRIM(REGEXREPLACE(E38, ""[0-9]+[a-f]?\."", """"))"),"")</f>
        <v/>
      </c>
      <c r="J38" s="188"/>
      <c r="K38" s="188"/>
      <c r="L38" s="192"/>
    </row>
    <row r="39">
      <c r="A39" s="194" t="s">
        <v>735</v>
      </c>
      <c r="B39" s="194" t="s">
        <v>214</v>
      </c>
      <c r="C39" s="190" t="s">
        <v>717</v>
      </c>
      <c r="D39" s="190" t="s">
        <v>724</v>
      </c>
      <c r="E39" s="190" t="s">
        <v>726</v>
      </c>
      <c r="F39" s="195">
        <v>7.0</v>
      </c>
      <c r="G39" s="188" t="str">
        <f>IFERROR(__xludf.DUMMYFUNCTION("TRIM(REGEXREPLACE(C39, ""[0-9]+[a-f]?\."", """"))"),"Select the Household ID number:")</f>
        <v>Select the Household ID number:</v>
      </c>
      <c r="H39" s="188" t="str">
        <f>IFERROR(__xludf.DUMMYFUNCTION("TRIM(REGEXREPLACE(D39, ""[0-9]+[a-f]?\."", """"))"),"Sélectionnez le numéro d'identification du ménage :")</f>
        <v>Sélectionnez le numéro d'identification du ménage :</v>
      </c>
      <c r="I39" s="188" t="str">
        <f>IFERROR(__xludf.DUMMYFUNCTION("TRIM(REGEXREPLACE(E39, ""[0-9]+[a-f]?\."", """"))"),"Zaɓi lambar ID na Gida:")</f>
        <v>Zaɓi lambar ID na Gida:</v>
      </c>
      <c r="J39" s="188" t="s">
        <v>740</v>
      </c>
      <c r="K39" s="188" t="s">
        <v>741</v>
      </c>
      <c r="L39" s="188" t="s">
        <v>742</v>
      </c>
    </row>
    <row r="40" hidden="1">
      <c r="A40" s="210" t="s">
        <v>112</v>
      </c>
      <c r="B40" s="211" t="s">
        <v>168</v>
      </c>
      <c r="C40" s="190"/>
      <c r="D40" s="190"/>
      <c r="E40" s="190"/>
      <c r="F40" s="191"/>
      <c r="G40" s="188" t="str">
        <f>IFERROR(__xludf.DUMMYFUNCTION("TRIM(REGEXREPLACE(C40, ""[0-9]+[a-f]?\."", """"))"),"")</f>
        <v/>
      </c>
      <c r="H40" s="188" t="str">
        <f>IFERROR(__xludf.DUMMYFUNCTION("TRIM(REGEXREPLACE(D40, ""[0-9]+[a-f]?\."", """"))"),"")</f>
        <v/>
      </c>
      <c r="I40" s="188" t="str">
        <f>IFERROR(__xludf.DUMMYFUNCTION("TRIM(REGEXREPLACE(E40, ""[0-9]+[a-f]?\."", """"))"),"")</f>
        <v/>
      </c>
      <c r="J40" s="188"/>
      <c r="K40" s="188"/>
      <c r="L40" s="192"/>
    </row>
    <row r="41" hidden="1">
      <c r="A41" s="210" t="s">
        <v>112</v>
      </c>
      <c r="B41" s="211" t="s">
        <v>749</v>
      </c>
      <c r="C41" s="190"/>
      <c r="D41" s="190"/>
      <c r="E41" s="190"/>
      <c r="F41" s="191"/>
      <c r="G41" s="188" t="str">
        <f>IFERROR(__xludf.DUMMYFUNCTION("TRIM(REGEXREPLACE(C41, ""[0-9]+[a-f]?\."", """"))"),"")</f>
        <v/>
      </c>
      <c r="H41" s="188" t="str">
        <f>IFERROR(__xludf.DUMMYFUNCTION("TRIM(REGEXREPLACE(D41, ""[0-9]+[a-f]?\."", """"))"),"")</f>
        <v/>
      </c>
      <c r="I41" s="188" t="str">
        <f>IFERROR(__xludf.DUMMYFUNCTION("TRIM(REGEXREPLACE(E41, ""[0-9]+[a-f]?\."", """"))"),"")</f>
        <v/>
      </c>
      <c r="J41" s="188"/>
      <c r="K41" s="188"/>
      <c r="L41" s="192"/>
    </row>
    <row r="42" hidden="1">
      <c r="A42" s="210" t="s">
        <v>112</v>
      </c>
      <c r="B42" s="211" t="s">
        <v>185</v>
      </c>
      <c r="C42" s="190"/>
      <c r="D42" s="190"/>
      <c r="E42" s="190"/>
      <c r="F42" s="191"/>
      <c r="G42" s="188" t="str">
        <f>IFERROR(__xludf.DUMMYFUNCTION("TRIM(REGEXREPLACE(C42, ""[0-9]+[a-f]?\."", """"))"),"")</f>
        <v/>
      </c>
      <c r="H42" s="188" t="str">
        <f>IFERROR(__xludf.DUMMYFUNCTION("TRIM(REGEXREPLACE(D42, ""[0-9]+[a-f]?\."", """"))"),"")</f>
        <v/>
      </c>
      <c r="I42" s="188" t="str">
        <f>IFERROR(__xludf.DUMMYFUNCTION("TRIM(REGEXREPLACE(E42, ""[0-9]+[a-f]?\."", """"))"),"")</f>
        <v/>
      </c>
      <c r="J42" s="188"/>
      <c r="K42" s="188"/>
      <c r="L42" s="192"/>
    </row>
    <row r="43" hidden="1">
      <c r="A43" s="210" t="s">
        <v>112</v>
      </c>
      <c r="B43" s="213" t="s">
        <v>755</v>
      </c>
      <c r="C43" s="190"/>
      <c r="D43" s="190"/>
      <c r="E43" s="190"/>
      <c r="F43" s="191"/>
      <c r="G43" s="188" t="str">
        <f>IFERROR(__xludf.DUMMYFUNCTION("TRIM(REGEXREPLACE(C43, ""[0-9]+[a-f]?\."", """"))"),"")</f>
        <v/>
      </c>
      <c r="H43" s="188" t="str">
        <f>IFERROR(__xludf.DUMMYFUNCTION("TRIM(REGEXREPLACE(D43, ""[0-9]+[a-f]?\."", """"))"),"")</f>
        <v/>
      </c>
      <c r="I43" s="188" t="str">
        <f>IFERROR(__xludf.DUMMYFUNCTION("TRIM(REGEXREPLACE(E43, ""[0-9]+[a-f]?\."", """"))"),"")</f>
        <v/>
      </c>
      <c r="J43" s="188"/>
      <c r="K43" s="188"/>
      <c r="L43" s="192"/>
    </row>
    <row r="44" hidden="1">
      <c r="A44" s="210" t="s">
        <v>112</v>
      </c>
      <c r="B44" s="211" t="s">
        <v>202</v>
      </c>
      <c r="C44" s="190"/>
      <c r="D44" s="190"/>
      <c r="E44" s="190"/>
      <c r="F44" s="191"/>
      <c r="G44" s="188" t="str">
        <f>IFERROR(__xludf.DUMMYFUNCTION("TRIM(REGEXREPLACE(C44, ""[0-9]+[a-f]?\."", """"))"),"")</f>
        <v/>
      </c>
      <c r="H44" s="188" t="str">
        <f>IFERROR(__xludf.DUMMYFUNCTION("TRIM(REGEXREPLACE(D44, ""[0-9]+[a-f]?\."", """"))"),"")</f>
        <v/>
      </c>
      <c r="I44" s="188" t="str">
        <f>IFERROR(__xludf.DUMMYFUNCTION("TRIM(REGEXREPLACE(E44, ""[0-9]+[a-f]?\."", """"))"),"")</f>
        <v/>
      </c>
      <c r="J44" s="188"/>
      <c r="K44" s="188"/>
      <c r="L44" s="192"/>
    </row>
    <row r="45" hidden="1">
      <c r="A45" s="210" t="s">
        <v>112</v>
      </c>
      <c r="B45" s="211" t="s">
        <v>229</v>
      </c>
      <c r="C45" s="190"/>
      <c r="D45" s="190"/>
      <c r="E45" s="190"/>
      <c r="F45" s="191"/>
      <c r="G45" s="188" t="str">
        <f>IFERROR(__xludf.DUMMYFUNCTION("TRIM(REGEXREPLACE(C45, ""[0-9]+[a-f]?\."", """"))"),"")</f>
        <v/>
      </c>
      <c r="H45" s="188" t="str">
        <f>IFERROR(__xludf.DUMMYFUNCTION("TRIM(REGEXREPLACE(D45, ""[0-9]+[a-f]?\."", """"))"),"")</f>
        <v/>
      </c>
      <c r="I45" s="188" t="str">
        <f>IFERROR(__xludf.DUMMYFUNCTION("TRIM(REGEXREPLACE(E45, ""[0-9]+[a-f]?\."", """"))"),"")</f>
        <v/>
      </c>
      <c r="J45" s="188"/>
      <c r="K45" s="188"/>
      <c r="L45" s="192"/>
    </row>
    <row r="46" hidden="1">
      <c r="A46" s="210" t="s">
        <v>112</v>
      </c>
      <c r="B46" s="211" t="s">
        <v>771</v>
      </c>
      <c r="C46" s="190"/>
      <c r="D46" s="190"/>
      <c r="E46" s="190"/>
      <c r="F46" s="191"/>
      <c r="G46" s="188" t="str">
        <f>IFERROR(__xludf.DUMMYFUNCTION("TRIM(REGEXREPLACE(C46, ""[0-9]+[a-f]?\."", """"))"),"")</f>
        <v/>
      </c>
      <c r="H46" s="188" t="str">
        <f>IFERROR(__xludf.DUMMYFUNCTION("TRIM(REGEXREPLACE(D46, ""[0-9]+[a-f]?\."", """"))"),"")</f>
        <v/>
      </c>
      <c r="I46" s="188" t="str">
        <f>IFERROR(__xludf.DUMMYFUNCTION("TRIM(REGEXREPLACE(E46, ""[0-9]+[a-f]?\."", """"))"),"")</f>
        <v/>
      </c>
      <c r="J46" s="188"/>
      <c r="K46" s="188"/>
      <c r="L46" s="192"/>
    </row>
    <row r="47" hidden="1">
      <c r="A47" s="210" t="s">
        <v>112</v>
      </c>
      <c r="B47" s="211" t="s">
        <v>250</v>
      </c>
      <c r="C47" s="190"/>
      <c r="D47" s="190"/>
      <c r="E47" s="190"/>
      <c r="F47" s="195">
        <v>9.0</v>
      </c>
      <c r="G47" s="188" t="str">
        <f>IFERROR(__xludf.DUMMYFUNCTION("TRIM(REGEXREPLACE(C47, ""[0-9]+[a-f]?\."", """"))"),"")</f>
        <v/>
      </c>
      <c r="H47" s="188" t="str">
        <f>IFERROR(__xludf.DUMMYFUNCTION("TRIM(REGEXREPLACE(D47, ""[0-9]+[a-f]?\."", """"))"),"")</f>
        <v/>
      </c>
      <c r="I47" s="188" t="str">
        <f>IFERROR(__xludf.DUMMYFUNCTION("TRIM(REGEXREPLACE(E47, ""[0-9]+[a-f]?\."", """"))"),"")</f>
        <v/>
      </c>
      <c r="J47" s="188" t="s">
        <v>778</v>
      </c>
      <c r="K47" s="188" t="s">
        <v>780</v>
      </c>
      <c r="L47" s="188" t="s">
        <v>780</v>
      </c>
    </row>
    <row r="48" hidden="1">
      <c r="A48" s="210" t="s">
        <v>112</v>
      </c>
      <c r="B48" s="211" t="s">
        <v>210</v>
      </c>
      <c r="C48" s="190"/>
      <c r="D48" s="190"/>
      <c r="E48" s="190"/>
      <c r="F48" s="195">
        <v>1.0</v>
      </c>
      <c r="G48" s="188" t="str">
        <f>IFERROR(__xludf.DUMMYFUNCTION("TRIM(REGEXREPLACE(C48, ""[0-9]+[a-f]?\."", """"))"),"")</f>
        <v/>
      </c>
      <c r="H48" s="188" t="str">
        <f>IFERROR(__xludf.DUMMYFUNCTION("TRIM(REGEXREPLACE(D48, ""[0-9]+[a-f]?\."", """"))"),"")</f>
        <v/>
      </c>
      <c r="I48" s="188" t="str">
        <f>IFERROR(__xludf.DUMMYFUNCTION("TRIM(REGEXREPLACE(E48, ""[0-9]+[a-f]?\."", """"))"),"")</f>
        <v/>
      </c>
      <c r="J48" s="188" t="str">
        <f t="shared" ref="J48:L48" si="1">$F48 &amp; ". "&amp;G48</f>
        <v>1. </v>
      </c>
      <c r="K48" s="188" t="str">
        <f t="shared" si="1"/>
        <v>1. </v>
      </c>
      <c r="L48" s="188" t="str">
        <f t="shared" si="1"/>
        <v>1. </v>
      </c>
    </row>
    <row r="49" hidden="1">
      <c r="A49" s="210" t="s">
        <v>112</v>
      </c>
      <c r="B49" s="211" t="s">
        <v>788</v>
      </c>
      <c r="C49" s="190"/>
      <c r="D49" s="190"/>
      <c r="E49" s="190"/>
      <c r="F49" s="195">
        <v>10.0</v>
      </c>
      <c r="G49" s="188" t="str">
        <f>IFERROR(__xludf.DUMMYFUNCTION("TRIM(REGEXREPLACE(C49, ""[0-9]+[a-f]?\."", """"))"),"")</f>
        <v/>
      </c>
      <c r="H49" s="188" t="str">
        <f>IFERROR(__xludf.DUMMYFUNCTION("TRIM(REGEXREPLACE(D49, ""[0-9]+[a-f]?\."", """"))"),"")</f>
        <v/>
      </c>
      <c r="I49" s="188" t="str">
        <f>IFERROR(__xludf.DUMMYFUNCTION("TRIM(REGEXREPLACE(E49, ""[0-9]+[a-f]?\."", """"))"),"")</f>
        <v/>
      </c>
      <c r="J49" s="188" t="s">
        <v>790</v>
      </c>
      <c r="K49" s="188" t="s">
        <v>791</v>
      </c>
      <c r="L49" s="188" t="s">
        <v>792</v>
      </c>
    </row>
    <row r="50" hidden="1">
      <c r="A50" s="210" t="s">
        <v>112</v>
      </c>
      <c r="B50" s="211" t="s">
        <v>793</v>
      </c>
      <c r="C50" s="190"/>
      <c r="D50" s="190"/>
      <c r="E50" s="190"/>
      <c r="F50" s="195">
        <v>11.0</v>
      </c>
      <c r="G50" s="188" t="str">
        <f>IFERROR(__xludf.DUMMYFUNCTION("TRIM(REGEXREPLACE(C50, ""[0-9]+[a-f]?\."", """"))"),"")</f>
        <v/>
      </c>
      <c r="H50" s="188" t="str">
        <f>IFERROR(__xludf.DUMMYFUNCTION("TRIM(REGEXREPLACE(D50, ""[0-9]+[a-f]?\."", """"))"),"")</f>
        <v/>
      </c>
      <c r="I50" s="188" t="str">
        <f>IFERROR(__xludf.DUMMYFUNCTION("TRIM(REGEXREPLACE(E50, ""[0-9]+[a-f]?\."", """"))"),"")</f>
        <v/>
      </c>
      <c r="J50" s="188" t="s">
        <v>796</v>
      </c>
      <c r="K50" s="188" t="s">
        <v>797</v>
      </c>
      <c r="L50" s="188" t="s">
        <v>798</v>
      </c>
    </row>
    <row r="51" hidden="1">
      <c r="A51" s="210" t="s">
        <v>112</v>
      </c>
      <c r="B51" s="211" t="s">
        <v>223</v>
      </c>
      <c r="C51" s="190"/>
      <c r="D51" s="190"/>
      <c r="E51" s="190"/>
      <c r="F51" s="195">
        <v>12.0</v>
      </c>
      <c r="G51" s="188" t="str">
        <f>IFERROR(__xludf.DUMMYFUNCTION("TRIM(REGEXREPLACE(C51, ""[0-9]+[a-f]?\."", """"))"),"")</f>
        <v/>
      </c>
      <c r="H51" s="188" t="str">
        <f>IFERROR(__xludf.DUMMYFUNCTION("TRIM(REGEXREPLACE(D51, ""[0-9]+[a-f]?\."", """"))"),"")</f>
        <v/>
      </c>
      <c r="I51" s="188" t="str">
        <f>IFERROR(__xludf.DUMMYFUNCTION("TRIM(REGEXREPLACE(E51, ""[0-9]+[a-f]?\."", """"))"),"")</f>
        <v/>
      </c>
      <c r="J51" s="188" t="s">
        <v>801</v>
      </c>
      <c r="K51" s="188" t="s">
        <v>802</v>
      </c>
      <c r="L51" s="188" t="s">
        <v>803</v>
      </c>
    </row>
    <row r="52" hidden="1">
      <c r="A52" s="210" t="s">
        <v>112</v>
      </c>
      <c r="B52" s="211" t="s">
        <v>804</v>
      </c>
      <c r="C52" s="190"/>
      <c r="D52" s="190"/>
      <c r="E52" s="190"/>
      <c r="F52" s="195">
        <v>2.0</v>
      </c>
      <c r="G52" s="188" t="str">
        <f>IFERROR(__xludf.DUMMYFUNCTION("TRIM(REGEXREPLACE(C52, ""[0-9]+[a-f]?\."", """"))"),"")</f>
        <v/>
      </c>
      <c r="H52" s="188" t="str">
        <f>IFERROR(__xludf.DUMMYFUNCTION("TRIM(REGEXREPLACE(D52, ""[0-9]+[a-f]?\."", """"))"),"")</f>
        <v/>
      </c>
      <c r="I52" s="188" t="str">
        <f>IFERROR(__xludf.DUMMYFUNCTION("TRIM(REGEXREPLACE(E52, ""[0-9]+[a-f]?\."", """"))"),"")</f>
        <v/>
      </c>
      <c r="J52" s="188" t="str">
        <f t="shared" ref="J52:L52" si="2">$F52 &amp; ". "&amp;G52</f>
        <v>2. </v>
      </c>
      <c r="K52" s="188" t="str">
        <f t="shared" si="2"/>
        <v>2. </v>
      </c>
      <c r="L52" s="188" t="str">
        <f t="shared" si="2"/>
        <v>2. </v>
      </c>
    </row>
    <row r="53" hidden="1">
      <c r="A53" s="201" t="s">
        <v>112</v>
      </c>
      <c r="B53" s="203" t="s">
        <v>808</v>
      </c>
      <c r="C53" s="190"/>
      <c r="D53" s="190"/>
      <c r="E53" s="190"/>
      <c r="F53" s="195">
        <v>14.0</v>
      </c>
      <c r="G53" s="188" t="str">
        <f>IFERROR(__xludf.DUMMYFUNCTION("TRIM(REGEXREPLACE(C53, ""[0-9]+[a-f]?\."", """"))"),"")</f>
        <v/>
      </c>
      <c r="H53" s="188" t="str">
        <f>IFERROR(__xludf.DUMMYFUNCTION("TRIM(REGEXREPLACE(D53, ""[0-9]+[a-f]?\."", """"))"),"")</f>
        <v/>
      </c>
      <c r="I53" s="188" t="str">
        <f>IFERROR(__xludf.DUMMYFUNCTION("TRIM(REGEXREPLACE(E53, ""[0-9]+[a-f]?\."", """"))"),"")</f>
        <v/>
      </c>
      <c r="J53" s="188" t="s">
        <v>813</v>
      </c>
      <c r="K53" s="188" t="s">
        <v>814</v>
      </c>
      <c r="L53" s="188" t="s">
        <v>814</v>
      </c>
    </row>
    <row r="54" hidden="1">
      <c r="A54" s="221" t="s">
        <v>112</v>
      </c>
      <c r="B54" s="198" t="s">
        <v>817</v>
      </c>
      <c r="C54" s="190"/>
      <c r="D54" s="190"/>
      <c r="E54" s="190"/>
      <c r="F54" s="195">
        <v>3.0</v>
      </c>
      <c r="G54" s="188" t="str">
        <f>IFERROR(__xludf.DUMMYFUNCTION("TRIM(REGEXREPLACE(C54, ""[0-9]+[a-f]?\."", """"))"),"")</f>
        <v/>
      </c>
      <c r="H54" s="188" t="str">
        <f>IFERROR(__xludf.DUMMYFUNCTION("TRIM(REGEXREPLACE(D54, ""[0-9]+[a-f]?\."", """"))"),"")</f>
        <v/>
      </c>
      <c r="I54" s="188" t="str">
        <f>IFERROR(__xludf.DUMMYFUNCTION("TRIM(REGEXREPLACE(E54, ""[0-9]+[a-f]?\."", """"))"),"")</f>
        <v/>
      </c>
      <c r="J54" s="188" t="str">
        <f t="shared" ref="J54:L54" si="3">$F54 &amp; ". "&amp;G54</f>
        <v>3. </v>
      </c>
      <c r="K54" s="188" t="str">
        <f t="shared" si="3"/>
        <v>3. </v>
      </c>
      <c r="L54" s="188" t="str">
        <f t="shared" si="3"/>
        <v>3. </v>
      </c>
    </row>
    <row r="55" hidden="1">
      <c r="A55" s="222" t="s">
        <v>385</v>
      </c>
      <c r="B55" s="223" t="s">
        <v>823</v>
      </c>
      <c r="C55" s="190" t="s">
        <v>824</v>
      </c>
      <c r="D55" s="190"/>
      <c r="E55" s="190"/>
      <c r="F55" s="191"/>
      <c r="G55" s="188" t="str">
        <f>IFERROR(__xludf.DUMMYFUNCTION("TRIM(REGEXREPLACE(C55, ""[0-9]+[a-f]?\."", """"))"),"Create line separate list of hh members")</f>
        <v>Create line separate list of hh members</v>
      </c>
      <c r="H55" s="188" t="str">
        <f>IFERROR(__xludf.DUMMYFUNCTION("TRIM(REGEXREPLACE(D55, ""[0-9]+[a-f]?\."", """"))"),"")</f>
        <v/>
      </c>
      <c r="I55" s="188" t="str">
        <f>IFERROR(__xludf.DUMMYFUNCTION("TRIM(REGEXREPLACE(E55, ""[0-9]+[a-f]?\."", """"))"),"")</f>
        <v/>
      </c>
      <c r="J55" s="188"/>
      <c r="K55" s="188"/>
      <c r="L55" s="192"/>
    </row>
    <row r="56" hidden="1">
      <c r="A56" s="197" t="s">
        <v>112</v>
      </c>
      <c r="B56" s="198" t="s">
        <v>827</v>
      </c>
      <c r="C56" s="190"/>
      <c r="D56" s="190"/>
      <c r="E56" s="190"/>
      <c r="F56" s="191"/>
      <c r="G56" s="188" t="str">
        <f>IFERROR(__xludf.DUMMYFUNCTION("TRIM(REGEXREPLACE(C56, ""[0-9]+[a-f]?\."", """"))"),"")</f>
        <v/>
      </c>
      <c r="H56" s="188" t="str">
        <f>IFERROR(__xludf.DUMMYFUNCTION("TRIM(REGEXREPLACE(D56, ""[0-9]+[a-f]?\."", """"))"),"")</f>
        <v/>
      </c>
      <c r="I56" s="188" t="str">
        <f>IFERROR(__xludf.DUMMYFUNCTION("TRIM(REGEXREPLACE(E56, ""[0-9]+[a-f]?\."", """"))"),"")</f>
        <v/>
      </c>
      <c r="J56" s="188"/>
      <c r="K56" s="188"/>
      <c r="L56" s="192"/>
    </row>
    <row r="57" hidden="1">
      <c r="A57" s="197" t="s">
        <v>112</v>
      </c>
      <c r="B57" s="198" t="s">
        <v>831</v>
      </c>
      <c r="C57" s="190"/>
      <c r="D57" s="190"/>
      <c r="E57" s="190"/>
      <c r="F57" s="195">
        <v>12.0</v>
      </c>
      <c r="G57" s="188" t="str">
        <f>IFERROR(__xludf.DUMMYFUNCTION("TRIM(REGEXREPLACE(C57, ""[0-9]+[a-f]?\."", """"))"),"")</f>
        <v/>
      </c>
      <c r="H57" s="188" t="str">
        <f>IFERROR(__xludf.DUMMYFUNCTION("TRIM(REGEXREPLACE(D57, ""[0-9]+[a-f]?\."", """"))"),"")</f>
        <v/>
      </c>
      <c r="I57" s="188" t="str">
        <f>IFERROR(__xludf.DUMMYFUNCTION("TRIM(REGEXREPLACE(E57, ""[0-9]+[a-f]?\."", """"))"),"")</f>
        <v/>
      </c>
      <c r="J57" s="188" t="s">
        <v>836</v>
      </c>
      <c r="K57" s="188" t="s">
        <v>837</v>
      </c>
      <c r="L57" s="188" t="s">
        <v>837</v>
      </c>
    </row>
    <row r="58" hidden="1">
      <c r="A58" s="197" t="s">
        <v>112</v>
      </c>
      <c r="B58" s="198" t="s">
        <v>838</v>
      </c>
      <c r="C58" s="190"/>
      <c r="D58" s="190"/>
      <c r="E58" s="190"/>
      <c r="F58" s="191"/>
      <c r="G58" s="188" t="str">
        <f>IFERROR(__xludf.DUMMYFUNCTION("TRIM(REGEXREPLACE(C58, ""[0-9]+[a-f]?\."", """"))"),"")</f>
        <v/>
      </c>
      <c r="H58" s="188" t="str">
        <f>IFERROR(__xludf.DUMMYFUNCTION("TRIM(REGEXREPLACE(D58, ""[0-9]+[a-f]?\."", """"))"),"")</f>
        <v/>
      </c>
      <c r="I58" s="188" t="str">
        <f>IFERROR(__xludf.DUMMYFUNCTION("TRIM(REGEXREPLACE(E58, ""[0-9]+[a-f]?\."", """"))"),"")</f>
        <v/>
      </c>
      <c r="J58" s="188"/>
      <c r="K58" s="188"/>
      <c r="L58" s="192"/>
    </row>
    <row r="59" hidden="1">
      <c r="A59" s="197" t="s">
        <v>112</v>
      </c>
      <c r="B59" s="198" t="s">
        <v>839</v>
      </c>
      <c r="C59" s="190"/>
      <c r="D59" s="190"/>
      <c r="E59" s="190"/>
      <c r="F59" s="195">
        <v>13.0</v>
      </c>
      <c r="G59" s="188" t="str">
        <f>IFERROR(__xludf.DUMMYFUNCTION("TRIM(REGEXREPLACE(C59, ""[0-9]+[a-f]?\."", """"))"),"")</f>
        <v/>
      </c>
      <c r="H59" s="188" t="str">
        <f>IFERROR(__xludf.DUMMYFUNCTION("TRIM(REGEXREPLACE(D59, ""[0-9]+[a-f]?\."", """"))"),"")</f>
        <v/>
      </c>
      <c r="I59" s="188" t="str">
        <f>IFERROR(__xludf.DUMMYFUNCTION("TRIM(REGEXREPLACE(E59, ""[0-9]+[a-f]?\."", """"))"),"")</f>
        <v/>
      </c>
      <c r="J59" s="188" t="s">
        <v>842</v>
      </c>
      <c r="K59" s="188" t="s">
        <v>844</v>
      </c>
      <c r="L59" s="188" t="s">
        <v>845</v>
      </c>
    </row>
    <row r="60" hidden="1">
      <c r="A60" s="197" t="s">
        <v>112</v>
      </c>
      <c r="B60" s="198" t="s">
        <v>848</v>
      </c>
      <c r="C60" s="190"/>
      <c r="D60" s="190"/>
      <c r="E60" s="190"/>
      <c r="F60" s="195">
        <v>15.0</v>
      </c>
      <c r="G60" s="188" t="str">
        <f>IFERROR(__xludf.DUMMYFUNCTION("TRIM(REGEXREPLACE(C60, ""[0-9]+[a-f]?\."", """"))"),"")</f>
        <v/>
      </c>
      <c r="H60" s="188" t="str">
        <f>IFERROR(__xludf.DUMMYFUNCTION("TRIM(REGEXREPLACE(D60, ""[0-9]+[a-f]?\."", """"))"),"")</f>
        <v/>
      </c>
      <c r="I60" s="188" t="str">
        <f>IFERROR(__xludf.DUMMYFUNCTION("TRIM(REGEXREPLACE(E60, ""[0-9]+[a-f]?\."", """"))"),"")</f>
        <v/>
      </c>
      <c r="J60" s="188" t="s">
        <v>850</v>
      </c>
      <c r="K60" s="188" t="s">
        <v>851</v>
      </c>
      <c r="L60" s="188" t="s">
        <v>851</v>
      </c>
    </row>
    <row r="61" hidden="1">
      <c r="A61" s="222" t="s">
        <v>450</v>
      </c>
      <c r="B61" s="224" t="s">
        <v>823</v>
      </c>
      <c r="C61" s="190"/>
      <c r="D61" s="190"/>
      <c r="E61" s="190"/>
      <c r="F61" s="195">
        <v>15.0</v>
      </c>
      <c r="G61" s="188" t="str">
        <f>IFERROR(__xludf.DUMMYFUNCTION("TRIM(REGEXREPLACE(C61, ""[0-9]+[a-f]?\."", """"))"),"")</f>
        <v/>
      </c>
      <c r="H61" s="188" t="str">
        <f>IFERROR(__xludf.DUMMYFUNCTION("TRIM(REGEXREPLACE(D61, ""[0-9]+[a-f]?\."", """"))"),"")</f>
        <v/>
      </c>
      <c r="I61" s="188" t="str">
        <f>IFERROR(__xludf.DUMMYFUNCTION("TRIM(REGEXREPLACE(E61, ""[0-9]+[a-f]?\."", """"))"),"")</f>
        <v/>
      </c>
      <c r="J61" s="188" t="s">
        <v>855</v>
      </c>
      <c r="K61" s="188" t="s">
        <v>856</v>
      </c>
      <c r="L61" s="188" t="s">
        <v>857</v>
      </c>
    </row>
    <row r="62" hidden="1">
      <c r="A62" s="197" t="s">
        <v>112</v>
      </c>
      <c r="B62" s="198" t="s">
        <v>858</v>
      </c>
      <c r="C62" s="190"/>
      <c r="D62" s="190"/>
      <c r="E62" s="190"/>
      <c r="F62" s="195">
        <v>4.0</v>
      </c>
      <c r="G62" s="188" t="str">
        <f>IFERROR(__xludf.DUMMYFUNCTION("TRIM(REGEXREPLACE(C62, ""[0-9]+[a-f]?\."", """"))"),"")</f>
        <v/>
      </c>
      <c r="H62" s="188" t="str">
        <f>IFERROR(__xludf.DUMMYFUNCTION("TRIM(REGEXREPLACE(D62, ""[0-9]+[a-f]?\."", """"))"),"")</f>
        <v/>
      </c>
      <c r="I62" s="188" t="str">
        <f>IFERROR(__xludf.DUMMYFUNCTION("TRIM(REGEXREPLACE(E62, ""[0-9]+[a-f]?\."", """"))"),"")</f>
        <v/>
      </c>
      <c r="J62" s="188" t="str">
        <f t="shared" ref="J62:L62" si="4">$F62 &amp; ". "&amp;G62</f>
        <v>4. </v>
      </c>
      <c r="K62" s="188" t="str">
        <f t="shared" si="4"/>
        <v>4. </v>
      </c>
      <c r="L62" s="188" t="str">
        <f t="shared" si="4"/>
        <v>4. </v>
      </c>
    </row>
    <row r="63" hidden="1">
      <c r="A63" s="197" t="s">
        <v>112</v>
      </c>
      <c r="B63" s="198" t="s">
        <v>861</v>
      </c>
      <c r="C63" s="190"/>
      <c r="D63" s="190"/>
      <c r="E63" s="190"/>
      <c r="F63" s="195">
        <v>17.0</v>
      </c>
      <c r="G63" s="188" t="str">
        <f>IFERROR(__xludf.DUMMYFUNCTION("TRIM(REGEXREPLACE(C63, ""[0-9]+[a-f]?\."", """"))"),"")</f>
        <v/>
      </c>
      <c r="H63" s="188" t="str">
        <f>IFERROR(__xludf.DUMMYFUNCTION("TRIM(REGEXREPLACE(D63, ""[0-9]+[a-f]?\."", """"))"),"")</f>
        <v/>
      </c>
      <c r="I63" s="188" t="str">
        <f>IFERROR(__xludf.DUMMYFUNCTION("TRIM(REGEXREPLACE(E63, ""[0-9]+[a-f]?\."", """"))"),"")</f>
        <v/>
      </c>
      <c r="J63" s="188" t="s">
        <v>862</v>
      </c>
      <c r="K63" s="188" t="s">
        <v>863</v>
      </c>
      <c r="L63" s="188" t="s">
        <v>863</v>
      </c>
    </row>
    <row r="64" hidden="1">
      <c r="A64" s="197" t="s">
        <v>112</v>
      </c>
      <c r="B64" s="225" t="s">
        <v>866</v>
      </c>
      <c r="C64" s="190"/>
      <c r="D64" s="190"/>
      <c r="E64" s="190"/>
      <c r="F64" s="195">
        <v>18.0</v>
      </c>
      <c r="G64" s="188" t="str">
        <f>IFERROR(__xludf.DUMMYFUNCTION("TRIM(REGEXREPLACE(C64, ""[0-9]+[a-f]?\."", """"))"),"")</f>
        <v/>
      </c>
      <c r="H64" s="188" t="str">
        <f>IFERROR(__xludf.DUMMYFUNCTION("TRIM(REGEXREPLACE(D64, ""[0-9]+[a-f]?\."", """"))"),"")</f>
        <v/>
      </c>
      <c r="I64" s="188" t="str">
        <f>IFERROR(__xludf.DUMMYFUNCTION("TRIM(REGEXREPLACE(E64, ""[0-9]+[a-f]?\."", """"))"),"")</f>
        <v/>
      </c>
      <c r="J64" s="188" t="s">
        <v>868</v>
      </c>
      <c r="K64" s="188" t="s">
        <v>869</v>
      </c>
      <c r="L64" s="188" t="s">
        <v>871</v>
      </c>
    </row>
    <row r="65" hidden="1">
      <c r="A65" s="197" t="s">
        <v>112</v>
      </c>
      <c r="B65" s="225" t="s">
        <v>874</v>
      </c>
      <c r="C65" s="190"/>
      <c r="D65" s="190"/>
      <c r="E65" s="190"/>
      <c r="F65" s="195">
        <v>16.0</v>
      </c>
      <c r="G65" s="188" t="str">
        <f>IFERROR(__xludf.DUMMYFUNCTION("TRIM(REGEXREPLACE(C65, ""[0-9]+[a-f]?\."", """"))"),"")</f>
        <v/>
      </c>
      <c r="H65" s="188" t="str">
        <f>IFERROR(__xludf.DUMMYFUNCTION("TRIM(REGEXREPLACE(D65, ""[0-9]+[a-f]?\."", """"))"),"")</f>
        <v/>
      </c>
      <c r="I65" s="188" t="str">
        <f>IFERROR(__xludf.DUMMYFUNCTION("TRIM(REGEXREPLACE(E65, ""[0-9]+[a-f]?\."", """"))"),"")</f>
        <v/>
      </c>
      <c r="J65" s="188" t="s">
        <v>876</v>
      </c>
      <c r="K65" s="188" t="s">
        <v>878</v>
      </c>
      <c r="L65" s="188" t="s">
        <v>879</v>
      </c>
    </row>
    <row r="66" hidden="1">
      <c r="A66" s="127"/>
      <c r="B66" s="139"/>
      <c r="C66" s="190"/>
      <c r="D66" s="190"/>
      <c r="E66" s="190"/>
      <c r="F66" s="195">
        <v>5.0</v>
      </c>
      <c r="G66" s="188" t="str">
        <f>IFERROR(__xludf.DUMMYFUNCTION("TRIM(REGEXREPLACE(C66, ""[0-9]+[a-f]?\."", """"))"),"")</f>
        <v/>
      </c>
      <c r="H66" s="188" t="str">
        <f>IFERROR(__xludf.DUMMYFUNCTION("TRIM(REGEXREPLACE(D66, ""[0-9]+[a-f]?\."", """"))"),"")</f>
        <v/>
      </c>
      <c r="I66" s="188" t="str">
        <f>IFERROR(__xludf.DUMMYFUNCTION("TRIM(REGEXREPLACE(E66, ""[0-9]+[a-f]?\."", """"))"),"")</f>
        <v/>
      </c>
      <c r="J66" s="188" t="str">
        <f t="shared" ref="J66:L66" si="5">$F66 &amp; ". "&amp;G66</f>
        <v>5. </v>
      </c>
      <c r="K66" s="188" t="str">
        <f t="shared" si="5"/>
        <v>5. </v>
      </c>
      <c r="L66" s="188" t="str">
        <f t="shared" si="5"/>
        <v>5. </v>
      </c>
    </row>
    <row r="67" hidden="1">
      <c r="A67" s="197" t="s">
        <v>112</v>
      </c>
      <c r="B67" s="198" t="s">
        <v>882</v>
      </c>
      <c r="C67" s="190"/>
      <c r="D67" s="190"/>
      <c r="E67" s="190"/>
      <c r="F67" s="195">
        <v>18.0</v>
      </c>
      <c r="G67" s="188" t="str">
        <f>IFERROR(__xludf.DUMMYFUNCTION("TRIM(REGEXREPLACE(C67, ""[0-9]+[a-f]?\."", """"))"),"")</f>
        <v/>
      </c>
      <c r="H67" s="188" t="str">
        <f>IFERROR(__xludf.DUMMYFUNCTION("TRIM(REGEXREPLACE(D67, ""[0-9]+[a-f]?\."", """"))"),"")</f>
        <v/>
      </c>
      <c r="I67" s="188" t="str">
        <f>IFERROR(__xludf.DUMMYFUNCTION("TRIM(REGEXREPLACE(E67, ""[0-9]+[a-f]?\."", """"))"),"")</f>
        <v/>
      </c>
      <c r="J67" s="188" t="s">
        <v>868</v>
      </c>
      <c r="K67" s="188" t="s">
        <v>869</v>
      </c>
      <c r="L67" s="188" t="s">
        <v>871</v>
      </c>
    </row>
    <row r="68" hidden="1">
      <c r="A68" s="197" t="s">
        <v>112</v>
      </c>
      <c r="B68" s="198" t="s">
        <v>886</v>
      </c>
      <c r="C68" s="190"/>
      <c r="D68" s="190"/>
      <c r="E68" s="190"/>
      <c r="F68" s="195">
        <v>6.0</v>
      </c>
      <c r="G68" s="188" t="str">
        <f>IFERROR(__xludf.DUMMYFUNCTION("TRIM(REGEXREPLACE(C68, ""[0-9]+[a-f]?\."", """"))"),"")</f>
        <v/>
      </c>
      <c r="H68" s="188" t="str">
        <f>IFERROR(__xludf.DUMMYFUNCTION("TRIM(REGEXREPLACE(D68, ""[0-9]+[a-f]?\."", """"))"),"")</f>
        <v/>
      </c>
      <c r="I68" s="188" t="str">
        <f>IFERROR(__xludf.DUMMYFUNCTION("TRIM(REGEXREPLACE(E68, ""[0-9]+[a-f]?\."", """"))"),"")</f>
        <v/>
      </c>
      <c r="J68" s="188" t="str">
        <f t="shared" ref="J68:L68" si="6">$F68 &amp; ". "&amp;G68</f>
        <v>6. </v>
      </c>
      <c r="K68" s="188" t="str">
        <f t="shared" si="6"/>
        <v>6. </v>
      </c>
      <c r="L68" s="188" t="str">
        <f t="shared" si="6"/>
        <v>6. </v>
      </c>
    </row>
    <row r="69" hidden="1">
      <c r="A69" s="197" t="s">
        <v>112</v>
      </c>
      <c r="B69" s="198" t="s">
        <v>892</v>
      </c>
      <c r="C69" s="190"/>
      <c r="D69" s="190"/>
      <c r="E69" s="190"/>
      <c r="F69" s="195">
        <v>20.0</v>
      </c>
      <c r="G69" s="188" t="str">
        <f>IFERROR(__xludf.DUMMYFUNCTION("TRIM(REGEXREPLACE(C69, ""[0-9]+[a-f]?\."", """"))"),"")</f>
        <v/>
      </c>
      <c r="H69" s="188" t="str">
        <f>IFERROR(__xludf.DUMMYFUNCTION("TRIM(REGEXREPLACE(D69, ""[0-9]+[a-f]?\."", """"))"),"")</f>
        <v/>
      </c>
      <c r="I69" s="188" t="str">
        <f>IFERROR(__xludf.DUMMYFUNCTION("TRIM(REGEXREPLACE(E69, ""[0-9]+[a-f]?\."", """"))"),"")</f>
        <v/>
      </c>
      <c r="J69" s="188" t="s">
        <v>893</v>
      </c>
      <c r="K69" s="188" t="s">
        <v>894</v>
      </c>
      <c r="L69" s="188" t="s">
        <v>896</v>
      </c>
    </row>
    <row r="70" hidden="1">
      <c r="A70" s="197" t="s">
        <v>112</v>
      </c>
      <c r="B70" s="198" t="s">
        <v>898</v>
      </c>
      <c r="C70" s="190"/>
      <c r="D70" s="190"/>
      <c r="E70" s="190"/>
      <c r="F70" s="195">
        <v>21.0</v>
      </c>
      <c r="G70" s="188" t="str">
        <f>IFERROR(__xludf.DUMMYFUNCTION("TRIM(REGEXREPLACE(C70, ""[0-9]+[a-f]?\."", """"))"),"")</f>
        <v/>
      </c>
      <c r="H70" s="188" t="str">
        <f>IFERROR(__xludf.DUMMYFUNCTION("TRIM(REGEXREPLACE(D70, ""[0-9]+[a-f]?\."", """"))"),"")</f>
        <v/>
      </c>
      <c r="I70" s="188" t="str">
        <f>IFERROR(__xludf.DUMMYFUNCTION("TRIM(REGEXREPLACE(E70, ""[0-9]+[a-f]?\."", """"))"),"")</f>
        <v/>
      </c>
      <c r="J70" s="188" t="s">
        <v>902</v>
      </c>
      <c r="K70" s="188" t="s">
        <v>903</v>
      </c>
      <c r="L70" s="188" t="s">
        <v>905</v>
      </c>
    </row>
    <row r="71" hidden="1">
      <c r="A71" s="197" t="s">
        <v>112</v>
      </c>
      <c r="B71" s="198" t="s">
        <v>906</v>
      </c>
      <c r="C71" s="190"/>
      <c r="D71" s="190"/>
      <c r="E71" s="190"/>
      <c r="F71" s="195">
        <v>22.0</v>
      </c>
      <c r="G71" s="188" t="str">
        <f>IFERROR(__xludf.DUMMYFUNCTION("TRIM(REGEXREPLACE(C71, ""[0-9]+[a-f]?\."", """"))"),"")</f>
        <v/>
      </c>
      <c r="H71" s="188" t="str">
        <f>IFERROR(__xludf.DUMMYFUNCTION("TRIM(REGEXREPLACE(D71, ""[0-9]+[a-f]?\."", """"))"),"")</f>
        <v/>
      </c>
      <c r="I71" s="188" t="str">
        <f>IFERROR(__xludf.DUMMYFUNCTION("TRIM(REGEXREPLACE(E71, ""[0-9]+[a-f]?\."", """"))"),"")</f>
        <v/>
      </c>
      <c r="J71" s="188" t="s">
        <v>907</v>
      </c>
      <c r="K71" s="188" t="s">
        <v>908</v>
      </c>
      <c r="L71" s="188" t="s">
        <v>909</v>
      </c>
    </row>
    <row r="72" hidden="1">
      <c r="A72" s="197" t="s">
        <v>112</v>
      </c>
      <c r="B72" s="198" t="s">
        <v>911</v>
      </c>
      <c r="C72" s="190"/>
      <c r="D72" s="190"/>
      <c r="E72" s="190"/>
      <c r="F72" s="195">
        <v>23.0</v>
      </c>
      <c r="G72" s="188" t="str">
        <f>IFERROR(__xludf.DUMMYFUNCTION("TRIM(REGEXREPLACE(C72, ""[0-9]+[a-f]?\."", """"))"),"")</f>
        <v/>
      </c>
      <c r="H72" s="188" t="str">
        <f>IFERROR(__xludf.DUMMYFUNCTION("TRIM(REGEXREPLACE(D72, ""[0-9]+[a-f]?\."", """"))"),"")</f>
        <v/>
      </c>
      <c r="I72" s="188" t="str">
        <f>IFERROR(__xludf.DUMMYFUNCTION("TRIM(REGEXREPLACE(E72, ""[0-9]+[a-f]?\."", """"))"),"")</f>
        <v/>
      </c>
      <c r="J72" s="188" t="s">
        <v>914</v>
      </c>
      <c r="K72" s="188" t="s">
        <v>915</v>
      </c>
      <c r="L72" s="188" t="s">
        <v>916</v>
      </c>
    </row>
    <row r="73" hidden="1">
      <c r="A73" s="197" t="s">
        <v>112</v>
      </c>
      <c r="B73" s="198" t="s">
        <v>917</v>
      </c>
      <c r="C73" s="190"/>
      <c r="D73" s="190"/>
      <c r="E73" s="190"/>
      <c r="F73" s="195">
        <v>24.0</v>
      </c>
      <c r="G73" s="188" t="str">
        <f>IFERROR(__xludf.DUMMYFUNCTION("TRIM(REGEXREPLACE(C73, ""[0-9]+[a-f]?\."", """"))"),"")</f>
        <v/>
      </c>
      <c r="H73" s="188" t="str">
        <f>IFERROR(__xludf.DUMMYFUNCTION("TRIM(REGEXREPLACE(D73, ""[0-9]+[a-f]?\."", """"))"),"")</f>
        <v/>
      </c>
      <c r="I73" s="188" t="str">
        <f>IFERROR(__xludf.DUMMYFUNCTION("TRIM(REGEXREPLACE(E73, ""[0-9]+[a-f]?\."", """"))"),"")</f>
        <v/>
      </c>
      <c r="J73" s="188" t="s">
        <v>919</v>
      </c>
      <c r="K73" s="188" t="s">
        <v>920</v>
      </c>
      <c r="L73" s="188" t="s">
        <v>921</v>
      </c>
    </row>
    <row r="74" hidden="1">
      <c r="A74" s="197" t="s">
        <v>112</v>
      </c>
      <c r="B74" s="198" t="s">
        <v>922</v>
      </c>
      <c r="C74" s="190"/>
      <c r="D74" s="190"/>
      <c r="E74" s="190"/>
      <c r="F74" s="195">
        <v>23.0</v>
      </c>
      <c r="G74" s="188" t="str">
        <f>IFERROR(__xludf.DUMMYFUNCTION("TRIM(REGEXREPLACE(C74, ""[0-9]+[a-f]?\."", """"))"),"")</f>
        <v/>
      </c>
      <c r="H74" s="188" t="str">
        <f>IFERROR(__xludf.DUMMYFUNCTION("TRIM(REGEXREPLACE(D74, ""[0-9]+[a-f]?\."", """"))"),"")</f>
        <v/>
      </c>
      <c r="I74" s="188" t="str">
        <f>IFERROR(__xludf.DUMMYFUNCTION("TRIM(REGEXREPLACE(E74, ""[0-9]+[a-f]?\."", """"))"),"")</f>
        <v/>
      </c>
      <c r="J74" s="188" t="s">
        <v>923</v>
      </c>
      <c r="K74" s="188" t="s">
        <v>924</v>
      </c>
      <c r="L74" s="188" t="s">
        <v>925</v>
      </c>
    </row>
    <row r="75" hidden="1">
      <c r="A75" s="197" t="s">
        <v>112</v>
      </c>
      <c r="B75" s="198" t="s">
        <v>926</v>
      </c>
      <c r="C75" s="190"/>
      <c r="D75" s="190"/>
      <c r="E75" s="190"/>
      <c r="F75" s="195">
        <v>7.0</v>
      </c>
      <c r="G75" s="188" t="str">
        <f>IFERROR(__xludf.DUMMYFUNCTION("TRIM(REGEXREPLACE(C75, ""[0-9]+[a-f]?\."", """"))"),"")</f>
        <v/>
      </c>
      <c r="H75" s="188" t="str">
        <f>IFERROR(__xludf.DUMMYFUNCTION("TRIM(REGEXREPLACE(D75, ""[0-9]+[a-f]?\."", """"))"),"")</f>
        <v/>
      </c>
      <c r="I75" s="188" t="str">
        <f>IFERROR(__xludf.DUMMYFUNCTION("TRIM(REGEXREPLACE(E75, ""[0-9]+[a-f]?\."", """"))"),"")</f>
        <v/>
      </c>
      <c r="J75" s="188" t="str">
        <f t="shared" ref="J75:L75" si="7">$F75 &amp; ". "&amp;G75</f>
        <v>7. </v>
      </c>
      <c r="K75" s="188" t="str">
        <f t="shared" si="7"/>
        <v>7. </v>
      </c>
      <c r="L75" s="188" t="str">
        <f t="shared" si="7"/>
        <v>7. </v>
      </c>
    </row>
    <row r="76" hidden="1">
      <c r="A76" s="197" t="s">
        <v>112</v>
      </c>
      <c r="B76" s="198" t="s">
        <v>931</v>
      </c>
      <c r="C76" s="190"/>
      <c r="D76" s="190"/>
      <c r="E76" s="190"/>
      <c r="F76" s="195">
        <v>24.0</v>
      </c>
      <c r="G76" s="188" t="str">
        <f>IFERROR(__xludf.DUMMYFUNCTION("TRIM(REGEXREPLACE(C76, ""[0-9]+[a-f]?\."", """"))"),"")</f>
        <v/>
      </c>
      <c r="H76" s="188" t="str">
        <f>IFERROR(__xludf.DUMMYFUNCTION("TRIM(REGEXREPLACE(D76, ""[0-9]+[a-f]?\."", """"))"),"")</f>
        <v/>
      </c>
      <c r="I76" s="188" t="str">
        <f>IFERROR(__xludf.DUMMYFUNCTION("TRIM(REGEXREPLACE(E76, ""[0-9]+[a-f]?\."", """"))"),"")</f>
        <v/>
      </c>
      <c r="J76" s="188" t="s">
        <v>919</v>
      </c>
      <c r="K76" s="188" t="s">
        <v>920</v>
      </c>
      <c r="L76" s="188" t="s">
        <v>921</v>
      </c>
    </row>
    <row r="77" hidden="1">
      <c r="A77" s="197" t="s">
        <v>112</v>
      </c>
      <c r="B77" s="198" t="s">
        <v>932</v>
      </c>
      <c r="C77" s="190"/>
      <c r="D77" s="190"/>
      <c r="E77" s="190"/>
      <c r="F77" s="195">
        <v>26.0</v>
      </c>
      <c r="G77" s="188" t="str">
        <f>IFERROR(__xludf.DUMMYFUNCTION("TRIM(REGEXREPLACE(C77, ""[0-9]+[a-f]?\."", """"))"),"")</f>
        <v/>
      </c>
      <c r="H77" s="188" t="str">
        <f>IFERROR(__xludf.DUMMYFUNCTION("TRIM(REGEXREPLACE(D77, ""[0-9]+[a-f]?\."", """"))"),"")</f>
        <v/>
      </c>
      <c r="I77" s="188" t="str">
        <f>IFERROR(__xludf.DUMMYFUNCTION("TRIM(REGEXREPLACE(E77, ""[0-9]+[a-f]?\."", """"))"),"")</f>
        <v/>
      </c>
      <c r="J77" s="188" t="s">
        <v>934</v>
      </c>
      <c r="K77" s="188" t="s">
        <v>936</v>
      </c>
      <c r="L77" s="188" t="s">
        <v>938</v>
      </c>
    </row>
    <row r="78" hidden="1">
      <c r="A78" s="197" t="s">
        <v>112</v>
      </c>
      <c r="B78" s="198" t="s">
        <v>940</v>
      </c>
      <c r="C78" s="190"/>
      <c r="D78" s="190"/>
      <c r="E78" s="190"/>
      <c r="F78" s="195">
        <v>27.0</v>
      </c>
      <c r="G78" s="188" t="str">
        <f>IFERROR(__xludf.DUMMYFUNCTION("TRIM(REGEXREPLACE(C78, ""[0-9]+[a-f]?\."", """"))"),"")</f>
        <v/>
      </c>
      <c r="H78" s="188" t="str">
        <f>IFERROR(__xludf.DUMMYFUNCTION("TRIM(REGEXREPLACE(D78, ""[0-9]+[a-f]?\."", """"))"),"")</f>
        <v/>
      </c>
      <c r="I78" s="188" t="str">
        <f>IFERROR(__xludf.DUMMYFUNCTION("TRIM(REGEXREPLACE(E78, ""[0-9]+[a-f]?\."", """"))"),"")</f>
        <v/>
      </c>
      <c r="J78" s="188" t="s">
        <v>941</v>
      </c>
      <c r="K78" s="188" t="s">
        <v>942</v>
      </c>
      <c r="L78" s="188" t="s">
        <v>943</v>
      </c>
    </row>
    <row r="79" hidden="1">
      <c r="A79" s="197" t="s">
        <v>112</v>
      </c>
      <c r="B79" s="198" t="s">
        <v>944</v>
      </c>
      <c r="C79" s="190"/>
      <c r="D79" s="190"/>
      <c r="E79" s="190"/>
      <c r="F79" s="195">
        <v>28.0</v>
      </c>
      <c r="G79" s="188" t="str">
        <f>IFERROR(__xludf.DUMMYFUNCTION("TRIM(REGEXREPLACE(C79, ""[0-9]+[a-f]?\."", """"))"),"")</f>
        <v/>
      </c>
      <c r="H79" s="188" t="str">
        <f>IFERROR(__xludf.DUMMYFUNCTION("TRIM(REGEXREPLACE(D79, ""[0-9]+[a-f]?\."", """"))"),"")</f>
        <v/>
      </c>
      <c r="I79" s="188" t="str">
        <f>IFERROR(__xludf.DUMMYFUNCTION("TRIM(REGEXREPLACE(E79, ""[0-9]+[a-f]?\."", """"))"),"")</f>
        <v/>
      </c>
      <c r="J79" s="188" t="s">
        <v>946</v>
      </c>
      <c r="K79" s="188" t="s">
        <v>947</v>
      </c>
      <c r="L79" s="188" t="s">
        <v>948</v>
      </c>
    </row>
    <row r="80" hidden="1">
      <c r="A80" s="197" t="s">
        <v>112</v>
      </c>
      <c r="B80" s="198" t="s">
        <v>949</v>
      </c>
      <c r="C80" s="190"/>
      <c r="D80" s="190"/>
      <c r="E80" s="190"/>
      <c r="F80" s="195">
        <v>29.0</v>
      </c>
      <c r="G80" s="188" t="str">
        <f>IFERROR(__xludf.DUMMYFUNCTION("TRIM(REGEXREPLACE(C80, ""[0-9]+[a-f]?\."", """"))"),"")</f>
        <v/>
      </c>
      <c r="H80" s="188" t="str">
        <f>IFERROR(__xludf.DUMMYFUNCTION("TRIM(REGEXREPLACE(D80, ""[0-9]+[a-f]?\."", """"))"),"")</f>
        <v/>
      </c>
      <c r="I80" s="188" t="str">
        <f>IFERROR(__xludf.DUMMYFUNCTION("TRIM(REGEXREPLACE(E80, ""[0-9]+[a-f]?\."", """"))"),"")</f>
        <v/>
      </c>
      <c r="J80" s="188" t="s">
        <v>953</v>
      </c>
      <c r="K80" s="188" t="s">
        <v>954</v>
      </c>
      <c r="L80" s="188" t="s">
        <v>955</v>
      </c>
    </row>
    <row r="81" hidden="1">
      <c r="A81" s="197" t="s">
        <v>112</v>
      </c>
      <c r="B81" s="198" t="s">
        <v>956</v>
      </c>
      <c r="C81" s="190"/>
      <c r="D81" s="190"/>
      <c r="E81" s="190"/>
      <c r="F81" s="195">
        <v>30.0</v>
      </c>
      <c r="G81" s="188" t="str">
        <f>IFERROR(__xludf.DUMMYFUNCTION("TRIM(REGEXREPLACE(C81, ""[0-9]+[a-f]?\."", """"))"),"")</f>
        <v/>
      </c>
      <c r="H81" s="188" t="str">
        <f>IFERROR(__xludf.DUMMYFUNCTION("TRIM(REGEXREPLACE(D81, ""[0-9]+[a-f]?\."", """"))"),"")</f>
        <v/>
      </c>
      <c r="I81" s="188" t="str">
        <f>IFERROR(__xludf.DUMMYFUNCTION("TRIM(REGEXREPLACE(E81, ""[0-9]+[a-f]?\."", """"))"),"")</f>
        <v/>
      </c>
      <c r="J81" s="188" t="s">
        <v>957</v>
      </c>
      <c r="K81" s="188" t="s">
        <v>959</v>
      </c>
      <c r="L81" s="188" t="s">
        <v>961</v>
      </c>
    </row>
    <row r="82" hidden="1">
      <c r="A82" s="197" t="s">
        <v>112</v>
      </c>
      <c r="B82" s="198" t="s">
        <v>963</v>
      </c>
      <c r="C82" s="190"/>
      <c r="D82" s="190"/>
      <c r="E82" s="190"/>
      <c r="F82" s="195">
        <v>25.0</v>
      </c>
      <c r="G82" s="188" t="str">
        <f>IFERROR(__xludf.DUMMYFUNCTION("TRIM(REGEXREPLACE(C82, ""[0-9]+[a-f]?\."", """"))"),"")</f>
        <v/>
      </c>
      <c r="H82" s="188" t="str">
        <f>IFERROR(__xludf.DUMMYFUNCTION("TRIM(REGEXREPLACE(D82, ""[0-9]+[a-f]?\."", """"))"),"")</f>
        <v/>
      </c>
      <c r="I82" s="188" t="str">
        <f>IFERROR(__xludf.DUMMYFUNCTION("TRIM(REGEXREPLACE(E82, ""[0-9]+[a-f]?\."", """"))"),"")</f>
        <v/>
      </c>
      <c r="J82" s="188" t="s">
        <v>966</v>
      </c>
      <c r="K82" s="188" t="s">
        <v>967</v>
      </c>
      <c r="L82" s="188" t="s">
        <v>969</v>
      </c>
    </row>
    <row r="83" hidden="1">
      <c r="A83" s="197" t="s">
        <v>112</v>
      </c>
      <c r="B83" s="198" t="s">
        <v>970</v>
      </c>
      <c r="C83" s="190"/>
      <c r="D83" s="190"/>
      <c r="E83" s="190"/>
      <c r="F83" s="195">
        <v>26.0</v>
      </c>
      <c r="G83" s="188" t="str">
        <f>IFERROR(__xludf.DUMMYFUNCTION("TRIM(REGEXREPLACE(C83, ""[0-9]+[a-f]?\."", """"))"),"")</f>
        <v/>
      </c>
      <c r="H83" s="188" t="str">
        <f>IFERROR(__xludf.DUMMYFUNCTION("TRIM(REGEXREPLACE(D83, ""[0-9]+[a-f]?\."", """"))"),"")</f>
        <v/>
      </c>
      <c r="I83" s="188" t="str">
        <f>IFERROR(__xludf.DUMMYFUNCTION("TRIM(REGEXREPLACE(E83, ""[0-9]+[a-f]?\."", """"))"),"")</f>
        <v/>
      </c>
      <c r="J83" s="188" t="s">
        <v>934</v>
      </c>
      <c r="K83" s="188" t="s">
        <v>936</v>
      </c>
      <c r="L83" s="188" t="s">
        <v>938</v>
      </c>
    </row>
    <row r="84" hidden="1">
      <c r="A84" s="197" t="s">
        <v>112</v>
      </c>
      <c r="B84" s="198" t="s">
        <v>972</v>
      </c>
      <c r="C84" s="190"/>
      <c r="D84" s="190"/>
      <c r="E84" s="190"/>
      <c r="F84" s="195">
        <v>27.0</v>
      </c>
      <c r="G84" s="188" t="str">
        <f>IFERROR(__xludf.DUMMYFUNCTION("TRIM(REGEXREPLACE(C84, ""[0-9]+[a-f]?\."", """"))"),"")</f>
        <v/>
      </c>
      <c r="H84" s="188" t="str">
        <f>IFERROR(__xludf.DUMMYFUNCTION("TRIM(REGEXREPLACE(D84, ""[0-9]+[a-f]?\."", """"))"),"")</f>
        <v/>
      </c>
      <c r="I84" s="188" t="str">
        <f>IFERROR(__xludf.DUMMYFUNCTION("TRIM(REGEXREPLACE(E84, ""[0-9]+[a-f]?\."", """"))"),"")</f>
        <v/>
      </c>
      <c r="J84" s="188" t="s">
        <v>941</v>
      </c>
      <c r="K84" s="188" t="s">
        <v>942</v>
      </c>
      <c r="L84" s="188" t="s">
        <v>943</v>
      </c>
    </row>
    <row r="85" hidden="1">
      <c r="A85" s="197" t="s">
        <v>112</v>
      </c>
      <c r="B85" s="198" t="s">
        <v>976</v>
      </c>
      <c r="C85" s="190"/>
      <c r="D85" s="190"/>
      <c r="E85" s="190"/>
      <c r="F85" s="195">
        <v>28.0</v>
      </c>
      <c r="G85" s="188" t="str">
        <f>IFERROR(__xludf.DUMMYFUNCTION("TRIM(REGEXREPLACE(C85, ""[0-9]+[a-f]?\."", """"))"),"")</f>
        <v/>
      </c>
      <c r="H85" s="188" t="str">
        <f>IFERROR(__xludf.DUMMYFUNCTION("TRIM(REGEXREPLACE(D85, ""[0-9]+[a-f]?\."", """"))"),"")</f>
        <v/>
      </c>
      <c r="I85" s="188" t="str">
        <f>IFERROR(__xludf.DUMMYFUNCTION("TRIM(REGEXREPLACE(E85, ""[0-9]+[a-f]?\."", """"))"),"")</f>
        <v/>
      </c>
      <c r="J85" s="188" t="s">
        <v>946</v>
      </c>
      <c r="K85" s="188" t="s">
        <v>947</v>
      </c>
      <c r="L85" s="188" t="s">
        <v>948</v>
      </c>
    </row>
    <row r="86" hidden="1">
      <c r="A86" s="197" t="s">
        <v>112</v>
      </c>
      <c r="B86" s="198" t="s">
        <v>977</v>
      </c>
      <c r="C86" s="190"/>
      <c r="D86" s="190"/>
      <c r="E86" s="190"/>
      <c r="F86" s="195">
        <v>29.0</v>
      </c>
      <c r="G86" s="188" t="str">
        <f>IFERROR(__xludf.DUMMYFUNCTION("TRIM(REGEXREPLACE(C86, ""[0-9]+[a-f]?\."", """"))"),"")</f>
        <v/>
      </c>
      <c r="H86" s="188" t="str">
        <f>IFERROR(__xludf.DUMMYFUNCTION("TRIM(REGEXREPLACE(D86, ""[0-9]+[a-f]?\."", """"))"),"")</f>
        <v/>
      </c>
      <c r="I86" s="188" t="str">
        <f>IFERROR(__xludf.DUMMYFUNCTION("TRIM(REGEXREPLACE(E86, ""[0-9]+[a-f]?\."", """"))"),"")</f>
        <v/>
      </c>
      <c r="J86" s="188" t="s">
        <v>953</v>
      </c>
      <c r="K86" s="188" t="s">
        <v>954</v>
      </c>
      <c r="L86" s="188" t="s">
        <v>955</v>
      </c>
    </row>
    <row r="87" hidden="1">
      <c r="A87" s="197" t="s">
        <v>112</v>
      </c>
      <c r="B87" s="198" t="s">
        <v>978</v>
      </c>
      <c r="C87" s="190"/>
      <c r="D87" s="190"/>
      <c r="E87" s="190"/>
      <c r="F87" s="195">
        <v>30.0</v>
      </c>
      <c r="G87" s="188" t="str">
        <f>IFERROR(__xludf.DUMMYFUNCTION("TRIM(REGEXREPLACE(C87, ""[0-9]+[a-f]?\."", """"))"),"")</f>
        <v/>
      </c>
      <c r="H87" s="188" t="str">
        <f>IFERROR(__xludf.DUMMYFUNCTION("TRIM(REGEXREPLACE(D87, ""[0-9]+[a-f]?\."", """"))"),"")</f>
        <v/>
      </c>
      <c r="I87" s="188" t="str">
        <f>IFERROR(__xludf.DUMMYFUNCTION("TRIM(REGEXREPLACE(E87, ""[0-9]+[a-f]?\."", """"))"),"")</f>
        <v/>
      </c>
      <c r="J87" s="188" t="s">
        <v>957</v>
      </c>
      <c r="K87" s="188" t="s">
        <v>959</v>
      </c>
      <c r="L87" s="188" t="s">
        <v>961</v>
      </c>
    </row>
    <row r="88" hidden="1">
      <c r="A88" s="197" t="s">
        <v>112</v>
      </c>
      <c r="B88" s="198" t="s">
        <v>981</v>
      </c>
      <c r="C88" s="190"/>
      <c r="D88" s="190"/>
      <c r="E88" s="190"/>
      <c r="F88" s="195">
        <v>31.0</v>
      </c>
      <c r="G88" s="188" t="str">
        <f>IFERROR(__xludf.DUMMYFUNCTION("TRIM(REGEXREPLACE(C88, ""[0-9]+[a-f]?\."", """"))"),"")</f>
        <v/>
      </c>
      <c r="H88" s="188" t="str">
        <f>IFERROR(__xludf.DUMMYFUNCTION("TRIM(REGEXREPLACE(D88, ""[0-9]+[a-f]?\."", """"))"),"")</f>
        <v/>
      </c>
      <c r="I88" s="188" t="str">
        <f>IFERROR(__xludf.DUMMYFUNCTION("TRIM(REGEXREPLACE(E88, ""[0-9]+[a-f]?\."", """"))"),"")</f>
        <v/>
      </c>
      <c r="J88" s="188" t="s">
        <v>984</v>
      </c>
      <c r="K88" s="188" t="s">
        <v>985</v>
      </c>
      <c r="L88" s="188" t="s">
        <v>986</v>
      </c>
    </row>
    <row r="89" hidden="1">
      <c r="A89" s="197" t="s">
        <v>112</v>
      </c>
      <c r="B89" s="198" t="s">
        <v>988</v>
      </c>
      <c r="C89" s="190"/>
      <c r="D89" s="190"/>
      <c r="E89" s="190"/>
      <c r="F89" s="195">
        <v>32.0</v>
      </c>
      <c r="G89" s="188" t="str">
        <f>IFERROR(__xludf.DUMMYFUNCTION("TRIM(REGEXREPLACE(C89, ""[0-9]+[a-f]?\."", """"))"),"")</f>
        <v/>
      </c>
      <c r="H89" s="188" t="str">
        <f>IFERROR(__xludf.DUMMYFUNCTION("TRIM(REGEXREPLACE(D89, ""[0-9]+[a-f]?\."", """"))"),"")</f>
        <v/>
      </c>
      <c r="I89" s="188" t="str">
        <f>IFERROR(__xludf.DUMMYFUNCTION("TRIM(REGEXREPLACE(E89, ""[0-9]+[a-f]?\."", """"))"),"")</f>
        <v/>
      </c>
      <c r="J89" s="188" t="s">
        <v>993</v>
      </c>
      <c r="K89" s="188" t="s">
        <v>995</v>
      </c>
      <c r="L89" s="188" t="s">
        <v>996</v>
      </c>
    </row>
    <row r="90" hidden="1">
      <c r="A90" s="197" t="s">
        <v>112</v>
      </c>
      <c r="B90" s="198" t="s">
        <v>997</v>
      </c>
      <c r="C90" s="190"/>
      <c r="D90" s="190"/>
      <c r="E90" s="190"/>
      <c r="F90" s="195">
        <v>33.0</v>
      </c>
      <c r="G90" s="188" t="str">
        <f>IFERROR(__xludf.DUMMYFUNCTION("TRIM(REGEXREPLACE(C90, ""[0-9]+[a-f]?\."", """"))"),"")</f>
        <v/>
      </c>
      <c r="H90" s="188" t="str">
        <f>IFERROR(__xludf.DUMMYFUNCTION("TRIM(REGEXREPLACE(D90, ""[0-9]+[a-f]?\."", """"))"),"")</f>
        <v/>
      </c>
      <c r="I90" s="188" t="str">
        <f>IFERROR(__xludf.DUMMYFUNCTION("TRIM(REGEXREPLACE(E90, ""[0-9]+[a-f]?\."", """"))"),"")</f>
        <v/>
      </c>
      <c r="J90" s="188" t="s">
        <v>998</v>
      </c>
      <c r="K90" s="188" t="s">
        <v>999</v>
      </c>
      <c r="L90" s="188" t="s">
        <v>1000</v>
      </c>
    </row>
    <row r="91" hidden="1">
      <c r="A91" s="197" t="s">
        <v>112</v>
      </c>
      <c r="B91" s="198" t="s">
        <v>1001</v>
      </c>
      <c r="C91" s="190"/>
      <c r="D91" s="190"/>
      <c r="E91" s="190"/>
      <c r="F91" s="195">
        <v>34.0</v>
      </c>
      <c r="G91" s="188" t="str">
        <f>IFERROR(__xludf.DUMMYFUNCTION("TRIM(REGEXREPLACE(C91, ""[0-9]+[a-f]?\."", """"))"),"")</f>
        <v/>
      </c>
      <c r="H91" s="188" t="str">
        <f>IFERROR(__xludf.DUMMYFUNCTION("TRIM(REGEXREPLACE(D91, ""[0-9]+[a-f]?\."", """"))"),"")</f>
        <v/>
      </c>
      <c r="I91" s="188" t="str">
        <f>IFERROR(__xludf.DUMMYFUNCTION("TRIM(REGEXREPLACE(E91, ""[0-9]+[a-f]?\."", """"))"),"")</f>
        <v/>
      </c>
      <c r="J91" s="188" t="s">
        <v>1005</v>
      </c>
      <c r="K91" s="188" t="s">
        <v>1006</v>
      </c>
      <c r="L91" s="188" t="s">
        <v>1008</v>
      </c>
    </row>
    <row r="92" hidden="1">
      <c r="A92" s="197" t="s">
        <v>112</v>
      </c>
      <c r="B92" s="198" t="s">
        <v>1011</v>
      </c>
      <c r="C92" s="190"/>
      <c r="D92" s="190"/>
      <c r="E92" s="190"/>
      <c r="F92" s="195">
        <v>35.0</v>
      </c>
      <c r="G92" s="188" t="str">
        <f>IFERROR(__xludf.DUMMYFUNCTION("TRIM(REGEXREPLACE(C92, ""[0-9]+[a-f]?\."", """"))"),"")</f>
        <v/>
      </c>
      <c r="H92" s="188" t="str">
        <f>IFERROR(__xludf.DUMMYFUNCTION("TRIM(REGEXREPLACE(D92, ""[0-9]+[a-f]?\."", """"))"),"")</f>
        <v/>
      </c>
      <c r="I92" s="188" t="str">
        <f>IFERROR(__xludf.DUMMYFUNCTION("TRIM(REGEXREPLACE(E92, ""[0-9]+[a-f]?\."", """"))"),"")</f>
        <v/>
      </c>
      <c r="J92" s="188" t="s">
        <v>1015</v>
      </c>
      <c r="K92" s="188" t="s">
        <v>1016</v>
      </c>
      <c r="L92" s="188" t="s">
        <v>1017</v>
      </c>
    </row>
    <row r="93" hidden="1">
      <c r="A93" s="197" t="s">
        <v>112</v>
      </c>
      <c r="B93" s="198" t="s">
        <v>1018</v>
      </c>
      <c r="C93" s="190"/>
      <c r="D93" s="190"/>
      <c r="E93" s="190"/>
      <c r="F93" s="195">
        <v>41.0</v>
      </c>
      <c r="G93" s="188" t="str">
        <f>IFERROR(__xludf.DUMMYFUNCTION("TRIM(REGEXREPLACE(C93, ""[0-9]+[a-f]?\."", """"))"),"")</f>
        <v/>
      </c>
      <c r="H93" s="188" t="str">
        <f>IFERROR(__xludf.DUMMYFUNCTION("TRIM(REGEXREPLACE(D93, ""[0-9]+[a-f]?\."", """"))"),"")</f>
        <v/>
      </c>
      <c r="I93" s="188" t="str">
        <f>IFERROR(__xludf.DUMMYFUNCTION("TRIM(REGEXREPLACE(E93, ""[0-9]+[a-f]?\."", """"))"),"")</f>
        <v/>
      </c>
      <c r="J93" s="188" t="s">
        <v>1019</v>
      </c>
      <c r="K93" s="188" t="s">
        <v>1020</v>
      </c>
      <c r="L93" s="188" t="s">
        <v>1021</v>
      </c>
    </row>
    <row r="94" hidden="1">
      <c r="A94" s="197" t="s">
        <v>112</v>
      </c>
      <c r="B94" s="198" t="s">
        <v>1024</v>
      </c>
      <c r="C94" s="190"/>
      <c r="D94" s="190"/>
      <c r="E94" s="190"/>
      <c r="F94" s="195">
        <v>8.0</v>
      </c>
      <c r="G94" s="188" t="str">
        <f>IFERROR(__xludf.DUMMYFUNCTION("TRIM(REGEXREPLACE(C94, ""[0-9]+[a-f]?\."", """"))"),"")</f>
        <v/>
      </c>
      <c r="H94" s="188" t="str">
        <f>IFERROR(__xludf.DUMMYFUNCTION("TRIM(REGEXREPLACE(D94, ""[0-9]+[a-f]?\."", """"))"),"")</f>
        <v/>
      </c>
      <c r="I94" s="188" t="str">
        <f>IFERROR(__xludf.DUMMYFUNCTION("TRIM(REGEXREPLACE(E94, ""[0-9]+[a-f]?\."", """"))"),"")</f>
        <v/>
      </c>
      <c r="J94" s="188" t="str">
        <f t="shared" ref="J94:L94" si="8">$F94 &amp; ". "&amp;G94</f>
        <v>8. </v>
      </c>
      <c r="K94" s="188" t="str">
        <f t="shared" si="8"/>
        <v>8. </v>
      </c>
      <c r="L94" s="188" t="str">
        <f t="shared" si="8"/>
        <v>8. </v>
      </c>
    </row>
    <row r="95" hidden="1">
      <c r="A95" s="197" t="s">
        <v>112</v>
      </c>
      <c r="B95" s="225" t="s">
        <v>1031</v>
      </c>
      <c r="C95" s="190"/>
      <c r="D95" s="190"/>
      <c r="E95" s="190"/>
      <c r="F95" s="195">
        <v>37.0</v>
      </c>
      <c r="G95" s="188" t="str">
        <f>IFERROR(__xludf.DUMMYFUNCTION("TRIM(REGEXREPLACE(C95, ""[0-9]+[a-f]?\."", """"))"),"")</f>
        <v/>
      </c>
      <c r="H95" s="188" t="str">
        <f>IFERROR(__xludf.DUMMYFUNCTION("TRIM(REGEXREPLACE(D95, ""[0-9]+[a-f]?\."", """"))"),"")</f>
        <v/>
      </c>
      <c r="I95" s="188" t="str">
        <f>IFERROR(__xludf.DUMMYFUNCTION("TRIM(REGEXREPLACE(E95, ""[0-9]+[a-f]?\."", """"))"),"")</f>
        <v/>
      </c>
      <c r="J95" s="188" t="s">
        <v>1035</v>
      </c>
      <c r="K95" s="188" t="s">
        <v>1036</v>
      </c>
      <c r="L95" s="188" t="s">
        <v>1037</v>
      </c>
    </row>
    <row r="96" hidden="1">
      <c r="A96" s="197" t="s">
        <v>112</v>
      </c>
      <c r="B96" s="225" t="s">
        <v>1038</v>
      </c>
      <c r="C96" s="190"/>
      <c r="D96" s="190"/>
      <c r="E96" s="190"/>
      <c r="F96" s="195">
        <v>38.0</v>
      </c>
      <c r="G96" s="188" t="str">
        <f>IFERROR(__xludf.DUMMYFUNCTION("TRIM(REGEXREPLACE(C96, ""[0-9]+[a-f]?\."", """"))"),"")</f>
        <v/>
      </c>
      <c r="H96" s="188" t="str">
        <f>IFERROR(__xludf.DUMMYFUNCTION("TRIM(REGEXREPLACE(D96, ""[0-9]+[a-f]?\."", """"))"),"")</f>
        <v/>
      </c>
      <c r="I96" s="188" t="str">
        <f>IFERROR(__xludf.DUMMYFUNCTION("TRIM(REGEXREPLACE(E96, ""[0-9]+[a-f]?\."", """"))"),"")</f>
        <v/>
      </c>
      <c r="J96" s="188" t="s">
        <v>1039</v>
      </c>
      <c r="K96" s="188" t="s">
        <v>1040</v>
      </c>
      <c r="L96" s="188" t="s">
        <v>1042</v>
      </c>
    </row>
    <row r="97" hidden="1">
      <c r="A97" s="197" t="s">
        <v>112</v>
      </c>
      <c r="B97" s="225" t="s">
        <v>1045</v>
      </c>
      <c r="C97" s="190"/>
      <c r="D97" s="190"/>
      <c r="E97" s="190"/>
      <c r="F97" s="195">
        <v>39.0</v>
      </c>
      <c r="G97" s="188" t="str">
        <f>IFERROR(__xludf.DUMMYFUNCTION("TRIM(REGEXREPLACE(C97, ""[0-9]+[a-f]?\."", """"))"),"")</f>
        <v/>
      </c>
      <c r="H97" s="188" t="str">
        <f>IFERROR(__xludf.DUMMYFUNCTION("TRIM(REGEXREPLACE(D97, ""[0-9]+[a-f]?\."", """"))"),"")</f>
        <v/>
      </c>
      <c r="I97" s="188" t="str">
        <f>IFERROR(__xludf.DUMMYFUNCTION("TRIM(REGEXREPLACE(E97, ""[0-9]+[a-f]?\."", """"))"),"")</f>
        <v/>
      </c>
      <c r="J97" s="188" t="s">
        <v>1048</v>
      </c>
      <c r="K97" s="188" t="s">
        <v>1048</v>
      </c>
      <c r="L97" s="188" t="s">
        <v>1049</v>
      </c>
    </row>
    <row r="98" hidden="1">
      <c r="A98" s="197" t="s">
        <v>112</v>
      </c>
      <c r="B98" s="225" t="s">
        <v>1050</v>
      </c>
      <c r="C98" s="190"/>
      <c r="D98" s="190"/>
      <c r="E98" s="190"/>
      <c r="F98" s="195">
        <v>40.0</v>
      </c>
      <c r="G98" s="188" t="str">
        <f>IFERROR(__xludf.DUMMYFUNCTION("TRIM(REGEXREPLACE(C98, ""[0-9]+[a-f]?\."", """"))"),"")</f>
        <v/>
      </c>
      <c r="H98" s="188" t="str">
        <f>IFERROR(__xludf.DUMMYFUNCTION("TRIM(REGEXREPLACE(D98, ""[0-9]+[a-f]?\."", """"))"),"")</f>
        <v/>
      </c>
      <c r="I98" s="188" t="str">
        <f>IFERROR(__xludf.DUMMYFUNCTION("TRIM(REGEXREPLACE(E98, ""[0-9]+[a-f]?\."", """"))"),"")</f>
        <v/>
      </c>
      <c r="J98" s="188" t="s">
        <v>1051</v>
      </c>
      <c r="K98" s="188" t="s">
        <v>1052</v>
      </c>
      <c r="L98" s="188" t="s">
        <v>1053</v>
      </c>
    </row>
    <row r="99" hidden="1">
      <c r="A99" s="197" t="s">
        <v>112</v>
      </c>
      <c r="B99" s="225" t="s">
        <v>1055</v>
      </c>
      <c r="C99" s="190"/>
      <c r="D99" s="190"/>
      <c r="E99" s="190"/>
      <c r="F99" s="195">
        <v>41.0</v>
      </c>
      <c r="G99" s="188" t="str">
        <f>IFERROR(__xludf.DUMMYFUNCTION("TRIM(REGEXREPLACE(C99, ""[0-9]+[a-f]?\."", """"))"),"")</f>
        <v/>
      </c>
      <c r="H99" s="188" t="str">
        <f>IFERROR(__xludf.DUMMYFUNCTION("TRIM(REGEXREPLACE(D99, ""[0-9]+[a-f]?\."", """"))"),"")</f>
        <v/>
      </c>
      <c r="I99" s="188" t="str">
        <f>IFERROR(__xludf.DUMMYFUNCTION("TRIM(REGEXREPLACE(E99, ""[0-9]+[a-f]?\."", """"))"),"")</f>
        <v/>
      </c>
      <c r="J99" s="188" t="s">
        <v>1019</v>
      </c>
      <c r="K99" s="188" t="s">
        <v>1020</v>
      </c>
      <c r="L99" s="188" t="s">
        <v>1021</v>
      </c>
    </row>
    <row r="100" hidden="1">
      <c r="A100" s="197" t="s">
        <v>112</v>
      </c>
      <c r="B100" s="225" t="s">
        <v>1065</v>
      </c>
      <c r="C100" s="190"/>
      <c r="D100" s="190"/>
      <c r="E100" s="190"/>
      <c r="F100" s="195">
        <v>42.0</v>
      </c>
      <c r="G100" s="188" t="str">
        <f>IFERROR(__xludf.DUMMYFUNCTION("TRIM(REGEXREPLACE(C100, ""[0-9]+[a-f]?\."", """"))"),"")</f>
        <v/>
      </c>
      <c r="H100" s="188" t="str">
        <f>IFERROR(__xludf.DUMMYFUNCTION("TRIM(REGEXREPLACE(D100, ""[0-9]+[a-f]?\."", """"))"),"")</f>
        <v/>
      </c>
      <c r="I100" s="188" t="str">
        <f>IFERROR(__xludf.DUMMYFUNCTION("TRIM(REGEXREPLACE(E100, ""[0-9]+[a-f]?\."", """"))"),"")</f>
        <v/>
      </c>
      <c r="J100" s="188" t="s">
        <v>1066</v>
      </c>
      <c r="K100" s="188" t="s">
        <v>1068</v>
      </c>
      <c r="L100" s="188" t="s">
        <v>1070</v>
      </c>
    </row>
    <row r="101" hidden="1">
      <c r="A101" s="197" t="s">
        <v>112</v>
      </c>
      <c r="B101" s="225" t="s">
        <v>1072</v>
      </c>
      <c r="C101" s="190"/>
      <c r="D101" s="190"/>
      <c r="E101" s="190"/>
      <c r="F101" s="195">
        <v>43.0</v>
      </c>
      <c r="G101" s="188" t="str">
        <f>IFERROR(__xludf.DUMMYFUNCTION("TRIM(REGEXREPLACE(C101, ""[0-9]+[a-f]?\."", """"))"),"")</f>
        <v/>
      </c>
      <c r="H101" s="188" t="str">
        <f>IFERROR(__xludf.DUMMYFUNCTION("TRIM(REGEXREPLACE(D101, ""[0-9]+[a-f]?\."", """"))"),"")</f>
        <v/>
      </c>
      <c r="I101" s="188" t="str">
        <f>IFERROR(__xludf.DUMMYFUNCTION("TRIM(REGEXREPLACE(E101, ""[0-9]+[a-f]?\."", """"))"),"")</f>
        <v/>
      </c>
      <c r="J101" s="188" t="s">
        <v>1073</v>
      </c>
      <c r="K101" s="188" t="s">
        <v>1074</v>
      </c>
      <c r="L101" s="188" t="s">
        <v>1075</v>
      </c>
    </row>
    <row r="102" hidden="1">
      <c r="A102" s="197" t="s">
        <v>112</v>
      </c>
      <c r="B102" s="225" t="s">
        <v>1076</v>
      </c>
      <c r="C102" s="190"/>
      <c r="D102" s="190"/>
      <c r="E102" s="190"/>
      <c r="F102" s="195">
        <v>47.0</v>
      </c>
      <c r="G102" s="188" t="str">
        <f>IFERROR(__xludf.DUMMYFUNCTION("TRIM(REGEXREPLACE(C102, ""[0-9]+[a-f]?\."", """"))"),"")</f>
        <v/>
      </c>
      <c r="H102" s="188" t="str">
        <f>IFERROR(__xludf.DUMMYFUNCTION("TRIM(REGEXREPLACE(D102, ""[0-9]+[a-f]?\."", """"))"),"")</f>
        <v/>
      </c>
      <c r="I102" s="188" t="str">
        <f>IFERROR(__xludf.DUMMYFUNCTION("TRIM(REGEXREPLACE(E102, ""[0-9]+[a-f]?\."", """"))"),"")</f>
        <v/>
      </c>
      <c r="J102" s="188" t="s">
        <v>1078</v>
      </c>
      <c r="K102" s="188" t="s">
        <v>1080</v>
      </c>
      <c r="L102" s="188" t="s">
        <v>1082</v>
      </c>
    </row>
    <row r="103" hidden="1">
      <c r="A103" s="197" t="s">
        <v>112</v>
      </c>
      <c r="B103" s="225" t="s">
        <v>1083</v>
      </c>
      <c r="C103" s="190"/>
      <c r="D103" s="190"/>
      <c r="E103" s="190"/>
      <c r="F103" s="195">
        <v>47.0</v>
      </c>
      <c r="G103" s="188" t="str">
        <f>IFERROR(__xludf.DUMMYFUNCTION("TRIM(REGEXREPLACE(C103, ""[0-9]+[a-f]?\."", """"))"),"")</f>
        <v/>
      </c>
      <c r="H103" s="188" t="str">
        <f>IFERROR(__xludf.DUMMYFUNCTION("TRIM(REGEXREPLACE(D103, ""[0-9]+[a-f]?\."", """"))"),"")</f>
        <v/>
      </c>
      <c r="I103" s="188" t="str">
        <f>IFERROR(__xludf.DUMMYFUNCTION("TRIM(REGEXREPLACE(E103, ""[0-9]+[a-f]?\."", """"))"),"")</f>
        <v/>
      </c>
      <c r="J103" s="188" t="s">
        <v>1084</v>
      </c>
      <c r="K103" s="188" t="s">
        <v>1085</v>
      </c>
      <c r="L103" s="188" t="s">
        <v>1086</v>
      </c>
    </row>
    <row r="104" hidden="1">
      <c r="A104" s="197" t="s">
        <v>112</v>
      </c>
      <c r="B104" s="225" t="s">
        <v>1087</v>
      </c>
      <c r="C104" s="190"/>
      <c r="D104" s="190"/>
      <c r="E104" s="190"/>
      <c r="F104" s="195">
        <v>44.0</v>
      </c>
      <c r="G104" s="188" t="str">
        <f>IFERROR(__xludf.DUMMYFUNCTION("TRIM(REGEXREPLACE(C104, ""[0-9]+[a-f]?\."", """"))"),"")</f>
        <v/>
      </c>
      <c r="H104" s="188" t="str">
        <f>IFERROR(__xludf.DUMMYFUNCTION("TRIM(REGEXREPLACE(D104, ""[0-9]+[a-f]?\."", """"))"),"")</f>
        <v/>
      </c>
      <c r="I104" s="188" t="str">
        <f>IFERROR(__xludf.DUMMYFUNCTION("TRIM(REGEXREPLACE(E104, ""[0-9]+[a-f]?\."", """"))"),"")</f>
        <v/>
      </c>
      <c r="J104" s="188" t="s">
        <v>1091</v>
      </c>
      <c r="K104" s="188" t="s">
        <v>1092</v>
      </c>
      <c r="L104" s="188" t="s">
        <v>1093</v>
      </c>
    </row>
    <row r="105" hidden="1">
      <c r="A105" s="197" t="s">
        <v>112</v>
      </c>
      <c r="B105" s="225" t="s">
        <v>1094</v>
      </c>
      <c r="C105" s="190"/>
      <c r="D105" s="190"/>
      <c r="E105" s="190"/>
      <c r="F105" s="195">
        <v>45.0</v>
      </c>
      <c r="G105" s="188" t="str">
        <f>IFERROR(__xludf.DUMMYFUNCTION("TRIM(REGEXREPLACE(C105, ""[0-9]+[a-f]?\."", """"))"),"")</f>
        <v/>
      </c>
      <c r="H105" s="188" t="str">
        <f>IFERROR(__xludf.DUMMYFUNCTION("TRIM(REGEXREPLACE(D105, ""[0-9]+[a-f]?\."", """"))"),"")</f>
        <v/>
      </c>
      <c r="I105" s="188" t="str">
        <f>IFERROR(__xludf.DUMMYFUNCTION("TRIM(REGEXREPLACE(E105, ""[0-9]+[a-f]?\."", """"))"),"")</f>
        <v/>
      </c>
      <c r="J105" s="188" t="s">
        <v>1097</v>
      </c>
      <c r="K105" s="188" t="s">
        <v>1098</v>
      </c>
      <c r="L105" s="188" t="s">
        <v>1099</v>
      </c>
    </row>
    <row r="106" hidden="1">
      <c r="A106" s="197" t="s">
        <v>112</v>
      </c>
      <c r="B106" s="225" t="s">
        <v>1100</v>
      </c>
      <c r="C106" s="190"/>
      <c r="D106" s="190"/>
      <c r="E106" s="190"/>
      <c r="F106" s="195">
        <v>46.0</v>
      </c>
      <c r="G106" s="188" t="str">
        <f>IFERROR(__xludf.DUMMYFUNCTION("TRIM(REGEXREPLACE(C106, ""[0-9]+[a-f]?\."", """"))"),"")</f>
        <v/>
      </c>
      <c r="H106" s="188" t="str">
        <f>IFERROR(__xludf.DUMMYFUNCTION("TRIM(REGEXREPLACE(D106, ""[0-9]+[a-f]?\."", """"))"),"")</f>
        <v/>
      </c>
      <c r="I106" s="188" t="str">
        <f>IFERROR(__xludf.DUMMYFUNCTION("TRIM(REGEXREPLACE(E106, ""[0-9]+[a-f]?\."", """"))"),"")</f>
        <v/>
      </c>
      <c r="J106" s="188" t="s">
        <v>1102</v>
      </c>
      <c r="K106" s="188" t="s">
        <v>1103</v>
      </c>
      <c r="L106" s="188" t="s">
        <v>1104</v>
      </c>
    </row>
    <row r="107" hidden="1">
      <c r="A107" s="197" t="s">
        <v>112</v>
      </c>
      <c r="B107" s="225" t="s">
        <v>1105</v>
      </c>
      <c r="C107" s="190"/>
      <c r="D107" s="190"/>
      <c r="E107" s="190"/>
      <c r="F107" s="195">
        <v>50.0</v>
      </c>
      <c r="G107" s="188" t="str">
        <f>IFERROR(__xludf.DUMMYFUNCTION("TRIM(REGEXREPLACE(C107, ""[0-9]+[a-f]?\."", """"))"),"")</f>
        <v/>
      </c>
      <c r="H107" s="188" t="str">
        <f>IFERROR(__xludf.DUMMYFUNCTION("TRIM(REGEXREPLACE(D107, ""[0-9]+[a-f]?\."", """"))"),"")</f>
        <v/>
      </c>
      <c r="I107" s="188" t="str">
        <f>IFERROR(__xludf.DUMMYFUNCTION("TRIM(REGEXREPLACE(E107, ""[0-9]+[a-f]?\."", """"))"),"")</f>
        <v/>
      </c>
      <c r="J107" s="188" t="s">
        <v>1106</v>
      </c>
      <c r="K107" s="188" t="s">
        <v>1107</v>
      </c>
      <c r="L107" s="188" t="s">
        <v>1108</v>
      </c>
    </row>
    <row r="108" hidden="1">
      <c r="A108" s="197" t="s">
        <v>112</v>
      </c>
      <c r="B108" s="225" t="s">
        <v>1110</v>
      </c>
      <c r="C108" s="190"/>
      <c r="D108" s="190"/>
      <c r="E108" s="190"/>
      <c r="F108" s="195">
        <v>51.0</v>
      </c>
      <c r="G108" s="188" t="str">
        <f>IFERROR(__xludf.DUMMYFUNCTION("TRIM(REGEXREPLACE(C108, ""[0-9]+[a-f]?\."", """"))"),"")</f>
        <v/>
      </c>
      <c r="H108" s="188" t="str">
        <f>IFERROR(__xludf.DUMMYFUNCTION("TRIM(REGEXREPLACE(D108, ""[0-9]+[a-f]?\."", """"))"),"")</f>
        <v/>
      </c>
      <c r="I108" s="188" t="str">
        <f>IFERROR(__xludf.DUMMYFUNCTION("TRIM(REGEXREPLACE(E108, ""[0-9]+[a-f]?\."", """"))"),"")</f>
        <v/>
      </c>
      <c r="J108" s="188" t="s">
        <v>1112</v>
      </c>
      <c r="K108" s="188" t="s">
        <v>1113</v>
      </c>
      <c r="L108" s="188" t="s">
        <v>1115</v>
      </c>
    </row>
    <row r="109" hidden="1">
      <c r="A109" s="197" t="s">
        <v>112</v>
      </c>
      <c r="B109" s="225" t="s">
        <v>1116</v>
      </c>
      <c r="C109" s="190"/>
      <c r="D109" s="190"/>
      <c r="E109" s="190"/>
      <c r="F109" s="195">
        <v>47.0</v>
      </c>
      <c r="G109" s="188" t="str">
        <f>IFERROR(__xludf.DUMMYFUNCTION("TRIM(REGEXREPLACE(C109, ""[0-9]+[a-f]?\."", """"))"),"")</f>
        <v/>
      </c>
      <c r="H109" s="188" t="str">
        <f>IFERROR(__xludf.DUMMYFUNCTION("TRIM(REGEXREPLACE(D109, ""[0-9]+[a-f]?\."", """"))"),"")</f>
        <v/>
      </c>
      <c r="I109" s="188" t="str">
        <f>IFERROR(__xludf.DUMMYFUNCTION("TRIM(REGEXREPLACE(E109, ""[0-9]+[a-f]?\."", """"))"),"")</f>
        <v/>
      </c>
      <c r="J109" s="188" t="s">
        <v>1117</v>
      </c>
      <c r="K109" s="188" t="s">
        <v>1118</v>
      </c>
      <c r="L109" s="188" t="s">
        <v>1119</v>
      </c>
    </row>
    <row r="110" hidden="1">
      <c r="A110" s="197" t="s">
        <v>112</v>
      </c>
      <c r="B110" s="225" t="s">
        <v>1120</v>
      </c>
      <c r="C110" s="190"/>
      <c r="D110" s="190"/>
      <c r="E110" s="190"/>
      <c r="F110" s="195">
        <v>48.0</v>
      </c>
      <c r="G110" s="188" t="str">
        <f>IFERROR(__xludf.DUMMYFUNCTION("TRIM(REGEXREPLACE(C110, ""[0-9]+[a-f]?\."", """"))"),"")</f>
        <v/>
      </c>
      <c r="H110" s="188" t="str">
        <f>IFERROR(__xludf.DUMMYFUNCTION("TRIM(REGEXREPLACE(D110, ""[0-9]+[a-f]?\."", """"))"),"")</f>
        <v/>
      </c>
      <c r="I110" s="188" t="str">
        <f>IFERROR(__xludf.DUMMYFUNCTION("TRIM(REGEXREPLACE(E110, ""[0-9]+[a-f]?\."", """"))"),"")</f>
        <v/>
      </c>
      <c r="J110" s="188" t="s">
        <v>1122</v>
      </c>
      <c r="K110" s="188" t="s">
        <v>1123</v>
      </c>
      <c r="L110" s="188" t="s">
        <v>1124</v>
      </c>
    </row>
    <row r="111" hidden="1">
      <c r="A111" s="197" t="s">
        <v>112</v>
      </c>
      <c r="B111" s="225" t="s">
        <v>1127</v>
      </c>
      <c r="C111" s="190"/>
      <c r="D111" s="190"/>
      <c r="E111" s="190"/>
      <c r="F111" s="195">
        <v>49.0</v>
      </c>
      <c r="G111" s="188" t="str">
        <f>IFERROR(__xludf.DUMMYFUNCTION("TRIM(REGEXREPLACE(C111, ""[0-9]+[a-f]?\."", """"))"),"")</f>
        <v/>
      </c>
      <c r="H111" s="188" t="str">
        <f>IFERROR(__xludf.DUMMYFUNCTION("TRIM(REGEXREPLACE(D111, ""[0-9]+[a-f]?\."", """"))"),"")</f>
        <v/>
      </c>
      <c r="I111" s="188" t="str">
        <f>IFERROR(__xludf.DUMMYFUNCTION("TRIM(REGEXREPLACE(E111, ""[0-9]+[a-f]?\."", """"))"),"")</f>
        <v/>
      </c>
      <c r="J111" s="188" t="s">
        <v>1129</v>
      </c>
      <c r="K111" s="188" t="s">
        <v>1130</v>
      </c>
      <c r="L111" s="188" t="s">
        <v>1131</v>
      </c>
    </row>
    <row r="112" hidden="1">
      <c r="A112" s="197" t="s">
        <v>112</v>
      </c>
      <c r="B112" s="225" t="s">
        <v>1132</v>
      </c>
      <c r="C112" s="190"/>
      <c r="D112" s="190"/>
      <c r="E112" s="190"/>
      <c r="F112" s="195">
        <v>50.0</v>
      </c>
      <c r="G112" s="188" t="str">
        <f>IFERROR(__xludf.DUMMYFUNCTION("TRIM(REGEXREPLACE(C112, ""[0-9]+[a-f]?\."", """"))"),"")</f>
        <v/>
      </c>
      <c r="H112" s="188" t="str">
        <f>IFERROR(__xludf.DUMMYFUNCTION("TRIM(REGEXREPLACE(D112, ""[0-9]+[a-f]?\."", """"))"),"")</f>
        <v/>
      </c>
      <c r="I112" s="188" t="str">
        <f>IFERROR(__xludf.DUMMYFUNCTION("TRIM(REGEXREPLACE(E112, ""[0-9]+[a-f]?\."", """"))"),"")</f>
        <v/>
      </c>
      <c r="J112" s="188" t="s">
        <v>1133</v>
      </c>
      <c r="K112" s="188" t="s">
        <v>1134</v>
      </c>
      <c r="L112" s="188" t="s">
        <v>1135</v>
      </c>
    </row>
    <row r="113" hidden="1">
      <c r="A113" s="197" t="s">
        <v>112</v>
      </c>
      <c r="B113" s="225" t="s">
        <v>1136</v>
      </c>
      <c r="C113" s="190"/>
      <c r="D113" s="190"/>
      <c r="E113" s="190"/>
      <c r="F113" s="195">
        <v>51.0</v>
      </c>
      <c r="G113" s="188" t="str">
        <f>IFERROR(__xludf.DUMMYFUNCTION("TRIM(REGEXREPLACE(C113, ""[0-9]+[a-f]?\."", """"))"),"")</f>
        <v/>
      </c>
      <c r="H113" s="188" t="str">
        <f>IFERROR(__xludf.DUMMYFUNCTION("TRIM(REGEXREPLACE(D113, ""[0-9]+[a-f]?\."", """"))"),"")</f>
        <v/>
      </c>
      <c r="I113" s="188" t="str">
        <f>IFERROR(__xludf.DUMMYFUNCTION("TRIM(REGEXREPLACE(E113, ""[0-9]+[a-f]?\."", """"))"),"")</f>
        <v/>
      </c>
      <c r="J113" s="188" t="s">
        <v>1138</v>
      </c>
      <c r="K113" s="188" t="s">
        <v>1139</v>
      </c>
      <c r="L113" s="188" t="s">
        <v>1141</v>
      </c>
    </row>
    <row r="114" hidden="1">
      <c r="A114" s="197" t="s">
        <v>112</v>
      </c>
      <c r="B114" s="225" t="s">
        <v>1143</v>
      </c>
      <c r="C114" s="190"/>
      <c r="D114" s="190"/>
      <c r="E114" s="190"/>
      <c r="F114" s="195">
        <v>52.0</v>
      </c>
      <c r="G114" s="188" t="str">
        <f>IFERROR(__xludf.DUMMYFUNCTION("TRIM(REGEXREPLACE(C114, ""[0-9]+[a-f]?\."", """"))"),"")</f>
        <v/>
      </c>
      <c r="H114" s="188" t="str">
        <f>IFERROR(__xludf.DUMMYFUNCTION("TRIM(REGEXREPLACE(D114, ""[0-9]+[a-f]?\."", """"))"),"")</f>
        <v/>
      </c>
      <c r="I114" s="188" t="str">
        <f>IFERROR(__xludf.DUMMYFUNCTION("TRIM(REGEXREPLACE(E114, ""[0-9]+[a-f]?\."", """"))"),"")</f>
        <v/>
      </c>
      <c r="J114" s="188" t="s">
        <v>1145</v>
      </c>
      <c r="K114" s="188" t="s">
        <v>1146</v>
      </c>
      <c r="L114" s="188" t="s">
        <v>1147</v>
      </c>
    </row>
    <row r="115" hidden="1">
      <c r="A115" s="197" t="s">
        <v>112</v>
      </c>
      <c r="B115" s="225" t="s">
        <v>1148</v>
      </c>
      <c r="C115" s="190"/>
      <c r="D115" s="190"/>
      <c r="E115" s="190"/>
      <c r="F115" s="195">
        <v>53.0</v>
      </c>
      <c r="G115" s="188" t="str">
        <f>IFERROR(__xludf.DUMMYFUNCTION("TRIM(REGEXREPLACE(C115, ""[0-9]+[a-f]?\."", """"))"),"")</f>
        <v/>
      </c>
      <c r="H115" s="188" t="str">
        <f>IFERROR(__xludf.DUMMYFUNCTION("TRIM(REGEXREPLACE(D115, ""[0-9]+[a-f]?\."", """"))"),"")</f>
        <v/>
      </c>
      <c r="I115" s="188" t="str">
        <f>IFERROR(__xludf.DUMMYFUNCTION("TRIM(REGEXREPLACE(E115, ""[0-9]+[a-f]?\."", """"))"),"")</f>
        <v/>
      </c>
      <c r="J115" s="188" t="s">
        <v>1149</v>
      </c>
      <c r="K115" s="188" t="s">
        <v>1151</v>
      </c>
      <c r="L115" s="188" t="s">
        <v>1152</v>
      </c>
    </row>
    <row r="116" hidden="1">
      <c r="A116" s="197" t="s">
        <v>112</v>
      </c>
      <c r="B116" s="225" t="s">
        <v>1154</v>
      </c>
      <c r="C116" s="190"/>
      <c r="D116" s="190"/>
      <c r="E116" s="190"/>
      <c r="F116" s="195">
        <v>54.0</v>
      </c>
      <c r="G116" s="188" t="str">
        <f>IFERROR(__xludf.DUMMYFUNCTION("TRIM(REGEXREPLACE(C116, ""[0-9]+[a-f]?\."", """"))"),"")</f>
        <v/>
      </c>
      <c r="H116" s="188" t="str">
        <f>IFERROR(__xludf.DUMMYFUNCTION("TRIM(REGEXREPLACE(D116, ""[0-9]+[a-f]?\."", """"))"),"")</f>
        <v/>
      </c>
      <c r="I116" s="188" t="str">
        <f>IFERROR(__xludf.DUMMYFUNCTION("TRIM(REGEXREPLACE(E116, ""[0-9]+[a-f]?\."", """"))"),"")</f>
        <v/>
      </c>
      <c r="J116" s="188" t="s">
        <v>1155</v>
      </c>
      <c r="K116" s="188" t="s">
        <v>1156</v>
      </c>
      <c r="L116" s="188" t="s">
        <v>1157</v>
      </c>
    </row>
    <row r="117" hidden="1">
      <c r="A117" s="197" t="s">
        <v>112</v>
      </c>
      <c r="B117" s="225" t="s">
        <v>1158</v>
      </c>
      <c r="C117" s="190"/>
      <c r="D117" s="190"/>
      <c r="E117" s="190"/>
      <c r="F117" s="195">
        <v>55.0</v>
      </c>
      <c r="G117" s="188" t="str">
        <f>IFERROR(__xludf.DUMMYFUNCTION("TRIM(REGEXREPLACE(C117, ""[0-9]+[a-f]?\."", """"))"),"")</f>
        <v/>
      </c>
      <c r="H117" s="188" t="str">
        <f>IFERROR(__xludf.DUMMYFUNCTION("TRIM(REGEXREPLACE(D117, ""[0-9]+[a-f]?\."", """"))"),"")</f>
        <v/>
      </c>
      <c r="I117" s="188" t="str">
        <f>IFERROR(__xludf.DUMMYFUNCTION("TRIM(REGEXREPLACE(E117, ""[0-9]+[a-f]?\."", """"))"),"")</f>
        <v/>
      </c>
      <c r="J117" s="188" t="s">
        <v>1162</v>
      </c>
      <c r="K117" s="188" t="s">
        <v>1163</v>
      </c>
      <c r="L117" s="188" t="s">
        <v>1164</v>
      </c>
    </row>
    <row r="118" hidden="1">
      <c r="A118" s="197" t="s">
        <v>112</v>
      </c>
      <c r="B118" s="225" t="s">
        <v>1165</v>
      </c>
      <c r="C118" s="190"/>
      <c r="D118" s="190"/>
      <c r="E118" s="190"/>
      <c r="F118" s="195">
        <v>56.0</v>
      </c>
      <c r="G118" s="188" t="str">
        <f>IFERROR(__xludf.DUMMYFUNCTION("TRIM(REGEXREPLACE(C118, ""[0-9]+[a-f]?\."", """"))"),"")</f>
        <v/>
      </c>
      <c r="H118" s="188" t="str">
        <f>IFERROR(__xludf.DUMMYFUNCTION("TRIM(REGEXREPLACE(D118, ""[0-9]+[a-f]?\."", """"))"),"")</f>
        <v/>
      </c>
      <c r="I118" s="188" t="str">
        <f>IFERROR(__xludf.DUMMYFUNCTION("TRIM(REGEXREPLACE(E118, ""[0-9]+[a-f]?\."", """"))"),"")</f>
        <v/>
      </c>
      <c r="J118" s="188" t="s">
        <v>1166</v>
      </c>
      <c r="K118" s="188" t="s">
        <v>1167</v>
      </c>
      <c r="L118" s="188" t="s">
        <v>1168</v>
      </c>
    </row>
    <row r="119" hidden="1">
      <c r="A119" s="197" t="s">
        <v>112</v>
      </c>
      <c r="B119" s="225" t="s">
        <v>1169</v>
      </c>
      <c r="C119" s="190"/>
      <c r="D119" s="190"/>
      <c r="E119" s="190"/>
      <c r="F119" s="195">
        <v>57.0</v>
      </c>
      <c r="G119" s="188" t="str">
        <f>IFERROR(__xludf.DUMMYFUNCTION("TRIM(REGEXREPLACE(C119, ""[0-9]+[a-f]?\."", """"))"),"")</f>
        <v/>
      </c>
      <c r="H119" s="188" t="str">
        <f>IFERROR(__xludf.DUMMYFUNCTION("TRIM(REGEXREPLACE(D119, ""[0-9]+[a-f]?\."", """"))"),"")</f>
        <v/>
      </c>
      <c r="I119" s="188" t="str">
        <f>IFERROR(__xludf.DUMMYFUNCTION("TRIM(REGEXREPLACE(E119, ""[0-9]+[a-f]?\."", """"))"),"")</f>
        <v/>
      </c>
      <c r="J119" s="188" t="s">
        <v>1172</v>
      </c>
      <c r="K119" s="188" t="s">
        <v>1173</v>
      </c>
      <c r="L119" s="188" t="s">
        <v>1174</v>
      </c>
    </row>
    <row r="120" hidden="1">
      <c r="A120" s="197" t="s">
        <v>112</v>
      </c>
      <c r="B120" s="225" t="s">
        <v>1175</v>
      </c>
      <c r="C120" s="190"/>
      <c r="D120" s="190"/>
      <c r="E120" s="190"/>
      <c r="F120" s="195">
        <v>58.0</v>
      </c>
      <c r="G120" s="188" t="str">
        <f>IFERROR(__xludf.DUMMYFUNCTION("TRIM(REGEXREPLACE(C120, ""[0-9]+[a-f]?\."", """"))"),"")</f>
        <v/>
      </c>
      <c r="H120" s="188" t="str">
        <f>IFERROR(__xludf.DUMMYFUNCTION("TRIM(REGEXREPLACE(D120, ""[0-9]+[a-f]?\."", """"))"),"")</f>
        <v/>
      </c>
      <c r="I120" s="188" t="str">
        <f>IFERROR(__xludf.DUMMYFUNCTION("TRIM(REGEXREPLACE(E120, ""[0-9]+[a-f]?\."", """"))"),"")</f>
        <v/>
      </c>
      <c r="J120" s="188" t="s">
        <v>1177</v>
      </c>
      <c r="K120" s="188" t="s">
        <v>1178</v>
      </c>
      <c r="L120" s="188" t="s">
        <v>1179</v>
      </c>
    </row>
    <row r="121" hidden="1">
      <c r="A121" s="197" t="s">
        <v>112</v>
      </c>
      <c r="B121" s="225" t="s">
        <v>1180</v>
      </c>
      <c r="C121" s="190"/>
      <c r="D121" s="190"/>
      <c r="E121" s="190"/>
      <c r="F121" s="195">
        <v>59.0</v>
      </c>
      <c r="G121" s="188" t="str">
        <f>IFERROR(__xludf.DUMMYFUNCTION("TRIM(REGEXREPLACE(C121, ""[0-9]+[a-f]?\."", """"))"),"")</f>
        <v/>
      </c>
      <c r="H121" s="188" t="str">
        <f>IFERROR(__xludf.DUMMYFUNCTION("TRIM(REGEXREPLACE(D121, ""[0-9]+[a-f]?\."", """"))"),"")</f>
        <v/>
      </c>
      <c r="I121" s="188" t="str">
        <f>IFERROR(__xludf.DUMMYFUNCTION("TRIM(REGEXREPLACE(E121, ""[0-9]+[a-f]?\."", """"))"),"")</f>
        <v/>
      </c>
      <c r="J121" s="188" t="s">
        <v>1184</v>
      </c>
      <c r="K121" s="188" t="s">
        <v>1185</v>
      </c>
      <c r="L121" s="188" t="s">
        <v>1186</v>
      </c>
    </row>
    <row r="122" hidden="1">
      <c r="A122" s="197" t="s">
        <v>112</v>
      </c>
      <c r="B122" s="225" t="s">
        <v>1187</v>
      </c>
      <c r="C122" s="190"/>
      <c r="D122" s="190"/>
      <c r="E122" s="190"/>
      <c r="F122" s="195">
        <v>59.0</v>
      </c>
      <c r="G122" s="188" t="str">
        <f>IFERROR(__xludf.DUMMYFUNCTION("TRIM(REGEXREPLACE(C122, ""[0-9]+[a-f]?\."", """"))"),"")</f>
        <v/>
      </c>
      <c r="H122" s="188" t="str">
        <f>IFERROR(__xludf.DUMMYFUNCTION("TRIM(REGEXREPLACE(D122, ""[0-9]+[a-f]?\."", """"))"),"")</f>
        <v/>
      </c>
      <c r="I122" s="188" t="str">
        <f>IFERROR(__xludf.DUMMYFUNCTION("TRIM(REGEXREPLACE(E122, ""[0-9]+[a-f]?\."", """"))"),"")</f>
        <v/>
      </c>
      <c r="J122" s="188" t="s">
        <v>1188</v>
      </c>
      <c r="K122" s="188" t="s">
        <v>1189</v>
      </c>
      <c r="L122" s="188" t="s">
        <v>1190</v>
      </c>
    </row>
    <row r="123" hidden="1">
      <c r="A123" s="197" t="s">
        <v>112</v>
      </c>
      <c r="B123" s="225" t="s">
        <v>1191</v>
      </c>
      <c r="C123" s="190"/>
      <c r="D123" s="190"/>
      <c r="E123" s="190"/>
      <c r="F123" s="195">
        <v>61.0</v>
      </c>
      <c r="G123" s="188" t="str">
        <f>IFERROR(__xludf.DUMMYFUNCTION("TRIM(REGEXREPLACE(C123, ""[0-9]+[a-f]?\."", """"))"),"")</f>
        <v/>
      </c>
      <c r="H123" s="188" t="str">
        <f>IFERROR(__xludf.DUMMYFUNCTION("TRIM(REGEXREPLACE(D123, ""[0-9]+[a-f]?\."", """"))"),"")</f>
        <v/>
      </c>
      <c r="I123" s="188" t="str">
        <f>IFERROR(__xludf.DUMMYFUNCTION("TRIM(REGEXREPLACE(E123, ""[0-9]+[a-f]?\."", """"))"),"")</f>
        <v/>
      </c>
      <c r="J123" s="188" t="s">
        <v>1193</v>
      </c>
      <c r="K123" s="188" t="s">
        <v>1195</v>
      </c>
      <c r="L123" s="188" t="s">
        <v>1196</v>
      </c>
    </row>
    <row r="124" hidden="1">
      <c r="A124" s="197" t="s">
        <v>112</v>
      </c>
      <c r="B124" s="225" t="s">
        <v>1198</v>
      </c>
      <c r="C124" s="190"/>
      <c r="D124" s="190"/>
      <c r="E124" s="190"/>
      <c r="F124" s="195">
        <v>62.0</v>
      </c>
      <c r="G124" s="188" t="str">
        <f>IFERROR(__xludf.DUMMYFUNCTION("TRIM(REGEXREPLACE(C124, ""[0-9]+[a-f]?\."", """"))"),"")</f>
        <v/>
      </c>
      <c r="H124" s="188" t="str">
        <f>IFERROR(__xludf.DUMMYFUNCTION("TRIM(REGEXREPLACE(D124, ""[0-9]+[a-f]?\."", """"))"),"")</f>
        <v/>
      </c>
      <c r="I124" s="188" t="str">
        <f>IFERROR(__xludf.DUMMYFUNCTION("TRIM(REGEXREPLACE(E124, ""[0-9]+[a-f]?\."", """"))"),"")</f>
        <v/>
      </c>
      <c r="J124" s="188" t="s">
        <v>1200</v>
      </c>
      <c r="K124" s="188" t="s">
        <v>1202</v>
      </c>
      <c r="L124" s="188" t="s">
        <v>1203</v>
      </c>
    </row>
    <row r="125" hidden="1">
      <c r="A125" s="197" t="s">
        <v>112</v>
      </c>
      <c r="B125" s="225" t="s">
        <v>1204</v>
      </c>
      <c r="C125" s="190"/>
      <c r="D125" s="190"/>
      <c r="E125" s="190"/>
      <c r="F125" s="195">
        <v>63.0</v>
      </c>
      <c r="G125" s="188" t="str">
        <f>IFERROR(__xludf.DUMMYFUNCTION("TRIM(REGEXREPLACE(C125, ""[0-9]+[a-f]?\."", """"))"),"")</f>
        <v/>
      </c>
      <c r="H125" s="188" t="str">
        <f>IFERROR(__xludf.DUMMYFUNCTION("TRIM(REGEXREPLACE(D125, ""[0-9]+[a-f]?\."", """"))"),"")</f>
        <v/>
      </c>
      <c r="I125" s="188" t="str">
        <f>IFERROR(__xludf.DUMMYFUNCTION("TRIM(REGEXREPLACE(E125, ""[0-9]+[a-f]?\."", """"))"),"")</f>
        <v/>
      </c>
      <c r="J125" s="188" t="s">
        <v>1207</v>
      </c>
      <c r="K125" s="188" t="s">
        <v>1209</v>
      </c>
      <c r="L125" s="188" t="s">
        <v>1210</v>
      </c>
    </row>
    <row r="126" hidden="1">
      <c r="A126" s="197" t="s">
        <v>112</v>
      </c>
      <c r="B126" s="225" t="s">
        <v>1211</v>
      </c>
      <c r="C126" s="190"/>
      <c r="D126" s="190"/>
      <c r="E126" s="190"/>
      <c r="F126" s="195">
        <v>64.0</v>
      </c>
      <c r="G126" s="188" t="str">
        <f>IFERROR(__xludf.DUMMYFUNCTION("TRIM(REGEXREPLACE(C126, ""[0-9]+[a-f]?\."", """"))"),"")</f>
        <v/>
      </c>
      <c r="H126" s="188" t="str">
        <f>IFERROR(__xludf.DUMMYFUNCTION("TRIM(REGEXREPLACE(D126, ""[0-9]+[a-f]?\."", """"))"),"")</f>
        <v/>
      </c>
      <c r="I126" s="188" t="str">
        <f>IFERROR(__xludf.DUMMYFUNCTION("TRIM(REGEXREPLACE(E126, ""[0-9]+[a-f]?\."", """"))"),"")</f>
        <v/>
      </c>
      <c r="J126" s="188" t="s">
        <v>1212</v>
      </c>
      <c r="K126" s="188" t="s">
        <v>1213</v>
      </c>
      <c r="L126" s="188" t="s">
        <v>1214</v>
      </c>
    </row>
    <row r="127" hidden="1">
      <c r="A127" s="197" t="s">
        <v>112</v>
      </c>
      <c r="B127" s="225" t="s">
        <v>1216</v>
      </c>
      <c r="C127" s="190"/>
      <c r="D127" s="190"/>
      <c r="E127" s="190"/>
      <c r="F127" s="195">
        <v>60.0</v>
      </c>
      <c r="G127" s="188" t="str">
        <f>IFERROR(__xludf.DUMMYFUNCTION("TRIM(REGEXREPLACE(C127, ""[0-9]+[a-f]?\."", """"))"),"")</f>
        <v/>
      </c>
      <c r="H127" s="188" t="str">
        <f>IFERROR(__xludf.DUMMYFUNCTION("TRIM(REGEXREPLACE(D127, ""[0-9]+[a-f]?\."", """"))"),"")</f>
        <v/>
      </c>
      <c r="I127" s="188" t="str">
        <f>IFERROR(__xludf.DUMMYFUNCTION("TRIM(REGEXREPLACE(E127, ""[0-9]+[a-f]?\."", """"))"),"")</f>
        <v/>
      </c>
      <c r="J127" s="188" t="s">
        <v>1222</v>
      </c>
      <c r="K127" s="188" t="s">
        <v>1223</v>
      </c>
      <c r="L127" s="188" t="s">
        <v>1224</v>
      </c>
    </row>
    <row r="128" hidden="1">
      <c r="A128" s="197" t="s">
        <v>112</v>
      </c>
      <c r="B128" s="225" t="s">
        <v>1225</v>
      </c>
      <c r="C128" s="190"/>
      <c r="D128" s="190"/>
      <c r="E128" s="190"/>
      <c r="F128" s="195">
        <v>61.0</v>
      </c>
      <c r="G128" s="188" t="str">
        <f>IFERROR(__xludf.DUMMYFUNCTION("TRIM(REGEXREPLACE(C128, ""[0-9]+[a-f]?\."", """"))"),"")</f>
        <v/>
      </c>
      <c r="H128" s="188" t="str">
        <f>IFERROR(__xludf.DUMMYFUNCTION("TRIM(REGEXREPLACE(D128, ""[0-9]+[a-f]?\."", """"))"),"")</f>
        <v/>
      </c>
      <c r="I128" s="188" t="str">
        <f>IFERROR(__xludf.DUMMYFUNCTION("TRIM(REGEXREPLACE(E128, ""[0-9]+[a-f]?\."", """"))"),"")</f>
        <v/>
      </c>
      <c r="J128" s="188" t="s">
        <v>1227</v>
      </c>
      <c r="K128" s="188" t="s">
        <v>1228</v>
      </c>
      <c r="L128" s="188" t="s">
        <v>1229</v>
      </c>
    </row>
    <row r="129" hidden="1">
      <c r="A129" s="197" t="s">
        <v>112</v>
      </c>
      <c r="B129" s="225" t="s">
        <v>1230</v>
      </c>
      <c r="C129" s="190"/>
      <c r="D129" s="190"/>
      <c r="E129" s="190"/>
      <c r="F129" s="195">
        <v>62.0</v>
      </c>
      <c r="G129" s="188" t="str">
        <f>IFERROR(__xludf.DUMMYFUNCTION("TRIM(REGEXREPLACE(C129, ""[0-9]+[a-f]?\."", """"))"),"")</f>
        <v/>
      </c>
      <c r="H129" s="188" t="str">
        <f>IFERROR(__xludf.DUMMYFUNCTION("TRIM(REGEXREPLACE(D129, ""[0-9]+[a-f]?\."", """"))"),"")</f>
        <v/>
      </c>
      <c r="I129" s="188" t="str">
        <f>IFERROR(__xludf.DUMMYFUNCTION("TRIM(REGEXREPLACE(E129, ""[0-9]+[a-f]?\."", """"))"),"")</f>
        <v/>
      </c>
      <c r="J129" s="188" t="s">
        <v>1234</v>
      </c>
      <c r="K129" s="188" t="s">
        <v>1235</v>
      </c>
      <c r="L129" s="188" t="s">
        <v>1236</v>
      </c>
    </row>
    <row r="130" hidden="1">
      <c r="A130" s="197" t="s">
        <v>112</v>
      </c>
      <c r="B130" s="225" t="s">
        <v>1238</v>
      </c>
      <c r="C130" s="190"/>
      <c r="D130" s="190"/>
      <c r="E130" s="190"/>
      <c r="F130" s="195">
        <v>68.0</v>
      </c>
      <c r="G130" s="188" t="str">
        <f>IFERROR(__xludf.DUMMYFUNCTION("TRIM(REGEXREPLACE(C130, ""[0-9]+[a-f]?\."", """"))"),"")</f>
        <v/>
      </c>
      <c r="H130" s="188" t="str">
        <f>IFERROR(__xludf.DUMMYFUNCTION("TRIM(REGEXREPLACE(D130, ""[0-9]+[a-f]?\."", """"))"),"")</f>
        <v/>
      </c>
      <c r="I130" s="188" t="str">
        <f>IFERROR(__xludf.DUMMYFUNCTION("TRIM(REGEXREPLACE(E130, ""[0-9]+[a-f]?\."", """"))"),"")</f>
        <v/>
      </c>
      <c r="J130" s="188" t="s">
        <v>1240</v>
      </c>
      <c r="K130" s="188" t="s">
        <v>1241</v>
      </c>
      <c r="L130" s="188" t="s">
        <v>1242</v>
      </c>
    </row>
    <row r="131" hidden="1">
      <c r="A131" s="197" t="s">
        <v>112</v>
      </c>
      <c r="B131" s="225" t="s">
        <v>1244</v>
      </c>
      <c r="C131" s="190"/>
      <c r="D131" s="190"/>
      <c r="E131" s="190"/>
      <c r="F131" s="195">
        <v>63.0</v>
      </c>
      <c r="G131" s="188" t="str">
        <f>IFERROR(__xludf.DUMMYFUNCTION("TRIM(REGEXREPLACE(C131, ""[0-9]+[a-f]?\."", """"))"),"")</f>
        <v/>
      </c>
      <c r="H131" s="188" t="str">
        <f>IFERROR(__xludf.DUMMYFUNCTION("TRIM(REGEXREPLACE(D131, ""[0-9]+[a-f]?\."", """"))"),"")</f>
        <v/>
      </c>
      <c r="I131" s="188" t="str">
        <f>IFERROR(__xludf.DUMMYFUNCTION("TRIM(REGEXREPLACE(E131, ""[0-9]+[a-f]?\."", """"))"),"")</f>
        <v/>
      </c>
      <c r="J131" s="188" t="s">
        <v>1248</v>
      </c>
      <c r="K131" s="188" t="s">
        <v>1249</v>
      </c>
      <c r="L131" s="188" t="s">
        <v>1250</v>
      </c>
    </row>
    <row r="132" hidden="1">
      <c r="A132" s="197" t="s">
        <v>112</v>
      </c>
      <c r="B132" s="225" t="s">
        <v>1251</v>
      </c>
      <c r="C132" s="190"/>
      <c r="D132" s="190"/>
      <c r="E132" s="190"/>
      <c r="F132" s="195">
        <v>64.0</v>
      </c>
      <c r="G132" s="188" t="str">
        <f>IFERROR(__xludf.DUMMYFUNCTION("TRIM(REGEXREPLACE(C132, ""[0-9]+[a-f]?\."", """"))"),"")</f>
        <v/>
      </c>
      <c r="H132" s="188" t="str">
        <f>IFERROR(__xludf.DUMMYFUNCTION("TRIM(REGEXREPLACE(D132, ""[0-9]+[a-f]?\."", """"))"),"")</f>
        <v/>
      </c>
      <c r="I132" s="188" t="str">
        <f>IFERROR(__xludf.DUMMYFUNCTION("TRIM(REGEXREPLACE(E132, ""[0-9]+[a-f]?\."", """"))"),"")</f>
        <v/>
      </c>
      <c r="J132" s="188" t="s">
        <v>1255</v>
      </c>
      <c r="K132" s="188" t="s">
        <v>1256</v>
      </c>
      <c r="L132" s="188" t="s">
        <v>1257</v>
      </c>
    </row>
    <row r="133" hidden="1">
      <c r="A133" s="197" t="s">
        <v>112</v>
      </c>
      <c r="B133" s="225" t="s">
        <v>1258</v>
      </c>
      <c r="C133" s="190"/>
      <c r="D133" s="190"/>
      <c r="E133" s="190"/>
      <c r="F133" s="195">
        <v>65.0</v>
      </c>
      <c r="G133" s="188" t="str">
        <f>IFERROR(__xludf.DUMMYFUNCTION("TRIM(REGEXREPLACE(C133, ""[0-9]+[a-f]?\."", """"))"),"")</f>
        <v/>
      </c>
      <c r="H133" s="188" t="str">
        <f>IFERROR(__xludf.DUMMYFUNCTION("TRIM(REGEXREPLACE(D133, ""[0-9]+[a-f]?\."", """"))"),"")</f>
        <v/>
      </c>
      <c r="I133" s="188" t="str">
        <f>IFERROR(__xludf.DUMMYFUNCTION("TRIM(REGEXREPLACE(E133, ""[0-9]+[a-f]?\."", """"))"),"")</f>
        <v/>
      </c>
      <c r="J133" s="188" t="s">
        <v>1262</v>
      </c>
      <c r="K133" s="188" t="s">
        <v>1263</v>
      </c>
      <c r="L133" s="188" t="s">
        <v>1264</v>
      </c>
    </row>
    <row r="134" hidden="1">
      <c r="A134" s="197" t="s">
        <v>112</v>
      </c>
      <c r="B134" s="225" t="s">
        <v>1265</v>
      </c>
      <c r="C134" s="190"/>
      <c r="D134" s="190"/>
      <c r="E134" s="190"/>
      <c r="F134" s="195">
        <v>66.0</v>
      </c>
      <c r="G134" s="188" t="str">
        <f>IFERROR(__xludf.DUMMYFUNCTION("TRIM(REGEXREPLACE(C134, ""[0-9]+[a-f]?\."", """"))"),"")</f>
        <v/>
      </c>
      <c r="H134" s="188" t="str">
        <f>IFERROR(__xludf.DUMMYFUNCTION("TRIM(REGEXREPLACE(D134, ""[0-9]+[a-f]?\."", """"))"),"")</f>
        <v/>
      </c>
      <c r="I134" s="188" t="str">
        <f>IFERROR(__xludf.DUMMYFUNCTION("TRIM(REGEXREPLACE(E134, ""[0-9]+[a-f]?\."", """"))"),"")</f>
        <v/>
      </c>
      <c r="J134" s="188" t="s">
        <v>1266</v>
      </c>
      <c r="K134" s="188" t="s">
        <v>1267</v>
      </c>
      <c r="L134" s="188" t="s">
        <v>1268</v>
      </c>
    </row>
    <row r="135" hidden="1">
      <c r="A135" s="197" t="s">
        <v>112</v>
      </c>
      <c r="B135" s="225" t="s">
        <v>1270</v>
      </c>
      <c r="C135" s="190"/>
      <c r="D135" s="190"/>
      <c r="E135" s="190"/>
      <c r="F135" s="195">
        <v>67.0</v>
      </c>
      <c r="G135" s="188" t="str">
        <f>IFERROR(__xludf.DUMMYFUNCTION("TRIM(REGEXREPLACE(C135, ""[0-9]+[a-f]?\."", """"))"),"")</f>
        <v/>
      </c>
      <c r="H135" s="188" t="str">
        <f>IFERROR(__xludf.DUMMYFUNCTION("TRIM(REGEXREPLACE(D135, ""[0-9]+[a-f]?\."", """"))"),"")</f>
        <v/>
      </c>
      <c r="I135" s="188" t="str">
        <f>IFERROR(__xludf.DUMMYFUNCTION("TRIM(REGEXREPLACE(E135, ""[0-9]+[a-f]?\."", """"))"),"")</f>
        <v/>
      </c>
      <c r="J135" s="188" t="s">
        <v>1274</v>
      </c>
      <c r="K135" s="188" t="s">
        <v>1275</v>
      </c>
      <c r="L135" s="188" t="s">
        <v>1276</v>
      </c>
    </row>
    <row r="136" hidden="1">
      <c r="A136" s="197" t="s">
        <v>112</v>
      </c>
      <c r="B136" s="225" t="s">
        <v>1277</v>
      </c>
      <c r="C136" s="190"/>
      <c r="D136" s="190"/>
      <c r="E136" s="190"/>
      <c r="F136" s="195">
        <v>74.0</v>
      </c>
      <c r="G136" s="188" t="str">
        <f>IFERROR(__xludf.DUMMYFUNCTION("TRIM(REGEXREPLACE(C136, ""[0-9]+[a-f]?\."", """"))"),"")</f>
        <v/>
      </c>
      <c r="H136" s="188" t="str">
        <f>IFERROR(__xludf.DUMMYFUNCTION("TRIM(REGEXREPLACE(D136, ""[0-9]+[a-f]?\."", """"))"),"")</f>
        <v/>
      </c>
      <c r="I136" s="188" t="str">
        <f>IFERROR(__xludf.DUMMYFUNCTION("TRIM(REGEXREPLACE(E136, ""[0-9]+[a-f]?\."", """"))"),"")</f>
        <v/>
      </c>
      <c r="J136" s="188" t="s">
        <v>1281</v>
      </c>
      <c r="K136" s="188" t="s">
        <v>1283</v>
      </c>
      <c r="L136" s="188" t="s">
        <v>1284</v>
      </c>
    </row>
    <row r="137" hidden="1">
      <c r="A137" s="197" t="s">
        <v>112</v>
      </c>
      <c r="B137" s="225" t="s">
        <v>1286</v>
      </c>
      <c r="C137" s="190"/>
      <c r="D137" s="190"/>
      <c r="E137" s="190"/>
      <c r="F137" s="195">
        <v>75.0</v>
      </c>
      <c r="G137" s="188" t="str">
        <f>IFERROR(__xludf.DUMMYFUNCTION("TRIM(REGEXREPLACE(C137, ""[0-9]+[a-f]?\."", """"))"),"")</f>
        <v/>
      </c>
      <c r="H137" s="188" t="str">
        <f>IFERROR(__xludf.DUMMYFUNCTION("TRIM(REGEXREPLACE(D137, ""[0-9]+[a-f]?\."", """"))"),"")</f>
        <v/>
      </c>
      <c r="I137" s="188" t="str">
        <f>IFERROR(__xludf.DUMMYFUNCTION("TRIM(REGEXREPLACE(E137, ""[0-9]+[a-f]?\."", """"))"),"")</f>
        <v/>
      </c>
      <c r="J137" s="188" t="s">
        <v>1288</v>
      </c>
      <c r="K137" s="188" t="s">
        <v>1289</v>
      </c>
      <c r="L137" s="188" t="s">
        <v>1290</v>
      </c>
    </row>
    <row r="138" hidden="1">
      <c r="A138" s="197" t="s">
        <v>112</v>
      </c>
      <c r="B138" s="225" t="s">
        <v>1291</v>
      </c>
      <c r="C138" s="190"/>
      <c r="D138" s="190"/>
      <c r="E138" s="190"/>
      <c r="F138" s="195">
        <v>68.0</v>
      </c>
      <c r="G138" s="188" t="str">
        <f>IFERROR(__xludf.DUMMYFUNCTION("TRIM(REGEXREPLACE(C138, ""[0-9]+[a-f]?\."", """"))"),"")</f>
        <v/>
      </c>
      <c r="H138" s="188" t="str">
        <f>IFERROR(__xludf.DUMMYFUNCTION("TRIM(REGEXREPLACE(D138, ""[0-9]+[a-f]?\."", """"))"),"")</f>
        <v/>
      </c>
      <c r="I138" s="188" t="str">
        <f>IFERROR(__xludf.DUMMYFUNCTION("TRIM(REGEXREPLACE(E138, ""[0-9]+[a-f]?\."", """"))"),"")</f>
        <v/>
      </c>
      <c r="J138" s="188" t="s">
        <v>1296</v>
      </c>
      <c r="K138" s="188" t="s">
        <v>1298</v>
      </c>
      <c r="L138" s="188" t="s">
        <v>1299</v>
      </c>
    </row>
    <row r="139" hidden="1">
      <c r="A139" s="197" t="s">
        <v>112</v>
      </c>
      <c r="B139" s="225" t="s">
        <v>1300</v>
      </c>
      <c r="C139" s="190"/>
      <c r="D139" s="190"/>
      <c r="E139" s="190"/>
      <c r="F139" s="195">
        <v>69.0</v>
      </c>
      <c r="G139" s="188" t="str">
        <f>IFERROR(__xludf.DUMMYFUNCTION("TRIM(REGEXREPLACE(C139, ""[0-9]+[a-f]?\."", """"))"),"")</f>
        <v/>
      </c>
      <c r="H139" s="188" t="str">
        <f>IFERROR(__xludf.DUMMYFUNCTION("TRIM(REGEXREPLACE(D139, ""[0-9]+[a-f]?\."", """"))"),"")</f>
        <v/>
      </c>
      <c r="I139" s="188" t="str">
        <f>IFERROR(__xludf.DUMMYFUNCTION("TRIM(REGEXREPLACE(E139, ""[0-9]+[a-f]?\."", """"))"),"")</f>
        <v/>
      </c>
      <c r="J139" s="188" t="s">
        <v>1302</v>
      </c>
      <c r="K139" s="188" t="s">
        <v>1303</v>
      </c>
      <c r="L139" s="188" t="s">
        <v>1304</v>
      </c>
    </row>
    <row r="140" hidden="1">
      <c r="A140" s="197" t="s">
        <v>112</v>
      </c>
      <c r="B140" s="225" t="s">
        <v>1305</v>
      </c>
      <c r="C140" s="190"/>
      <c r="D140" s="190"/>
      <c r="E140" s="190"/>
      <c r="F140" s="195">
        <v>70.0</v>
      </c>
      <c r="G140" s="188" t="str">
        <f>IFERROR(__xludf.DUMMYFUNCTION("TRIM(REGEXREPLACE(C140, ""[0-9]+[a-f]?\."", """"))"),"")</f>
        <v/>
      </c>
      <c r="H140" s="188" t="str">
        <f>IFERROR(__xludf.DUMMYFUNCTION("TRIM(REGEXREPLACE(D140, ""[0-9]+[a-f]?\."", """"))"),"")</f>
        <v/>
      </c>
      <c r="I140" s="188" t="str">
        <f>IFERROR(__xludf.DUMMYFUNCTION("TRIM(REGEXREPLACE(E140, ""[0-9]+[a-f]?\."", """"))"),"")</f>
        <v/>
      </c>
      <c r="J140" s="188" t="s">
        <v>1309</v>
      </c>
      <c r="K140" s="188" t="s">
        <v>1310</v>
      </c>
      <c r="L140" s="188" t="s">
        <v>1311</v>
      </c>
    </row>
    <row r="141" hidden="1">
      <c r="A141" s="197" t="s">
        <v>112</v>
      </c>
      <c r="B141" s="225" t="s">
        <v>1312</v>
      </c>
      <c r="C141" s="190"/>
      <c r="D141" s="190"/>
      <c r="E141" s="190"/>
      <c r="F141" s="195">
        <v>71.0</v>
      </c>
      <c r="G141" s="188" t="str">
        <f>IFERROR(__xludf.DUMMYFUNCTION("TRIM(REGEXREPLACE(C141, ""[0-9]+[a-f]?\."", """"))"),"")</f>
        <v/>
      </c>
      <c r="H141" s="188" t="str">
        <f>IFERROR(__xludf.DUMMYFUNCTION("TRIM(REGEXREPLACE(D141, ""[0-9]+[a-f]?\."", """"))"),"")</f>
        <v/>
      </c>
      <c r="I141" s="188" t="str">
        <f>IFERROR(__xludf.DUMMYFUNCTION("TRIM(REGEXREPLACE(E141, ""[0-9]+[a-f]?\."", """"))"),"")</f>
        <v/>
      </c>
      <c r="J141" s="188" t="s">
        <v>1315</v>
      </c>
      <c r="K141" s="188" t="s">
        <v>1317</v>
      </c>
      <c r="L141" s="188" t="s">
        <v>1318</v>
      </c>
    </row>
    <row r="142" hidden="1">
      <c r="A142" s="197" t="s">
        <v>112</v>
      </c>
      <c r="B142" s="225" t="s">
        <v>1320</v>
      </c>
      <c r="C142" s="190"/>
      <c r="D142" s="190"/>
      <c r="E142" s="190"/>
      <c r="F142" s="195">
        <v>72.0</v>
      </c>
      <c r="G142" s="188" t="str">
        <f>IFERROR(__xludf.DUMMYFUNCTION("TRIM(REGEXREPLACE(C142, ""[0-9]+[a-f]?\."", """"))"),"")</f>
        <v/>
      </c>
      <c r="H142" s="188" t="str">
        <f>IFERROR(__xludf.DUMMYFUNCTION("TRIM(REGEXREPLACE(D142, ""[0-9]+[a-f]?\."", """"))"),"")</f>
        <v/>
      </c>
      <c r="I142" s="188" t="str">
        <f>IFERROR(__xludf.DUMMYFUNCTION("TRIM(REGEXREPLACE(E142, ""[0-9]+[a-f]?\."", """"))"),"")</f>
        <v/>
      </c>
      <c r="J142" s="188" t="s">
        <v>1324</v>
      </c>
      <c r="K142" s="188" t="s">
        <v>1325</v>
      </c>
      <c r="L142" s="188" t="s">
        <v>1326</v>
      </c>
    </row>
    <row r="143" hidden="1">
      <c r="A143" s="197" t="s">
        <v>112</v>
      </c>
      <c r="B143" s="225" t="s">
        <v>1327</v>
      </c>
      <c r="C143" s="190"/>
      <c r="D143" s="190"/>
      <c r="E143" s="190"/>
      <c r="F143" s="195">
        <v>81.0</v>
      </c>
      <c r="G143" s="188" t="str">
        <f>IFERROR(__xludf.DUMMYFUNCTION("TRIM(REGEXREPLACE(C143, ""[0-9]+[a-f]?\."", """"))"),"")</f>
        <v/>
      </c>
      <c r="H143" s="188" t="str">
        <f>IFERROR(__xludf.DUMMYFUNCTION("TRIM(REGEXREPLACE(D143, ""[0-9]+[a-f]?\."", """"))"),"")</f>
        <v/>
      </c>
      <c r="I143" s="188" t="str">
        <f>IFERROR(__xludf.DUMMYFUNCTION("TRIM(REGEXREPLACE(E143, ""[0-9]+[a-f]?\."", """"))"),"")</f>
        <v/>
      </c>
      <c r="J143" s="188" t="s">
        <v>1333</v>
      </c>
      <c r="K143" s="188" t="s">
        <v>1334</v>
      </c>
      <c r="L143" s="188" t="s">
        <v>1335</v>
      </c>
    </row>
    <row r="144" hidden="1">
      <c r="A144" s="197" t="s">
        <v>112</v>
      </c>
      <c r="B144" s="225" t="s">
        <v>1336</v>
      </c>
      <c r="C144" s="190"/>
      <c r="D144" s="190"/>
      <c r="E144" s="190"/>
      <c r="F144" s="195">
        <v>82.0</v>
      </c>
      <c r="G144" s="188" t="str">
        <f>IFERROR(__xludf.DUMMYFUNCTION("TRIM(REGEXREPLACE(C144, ""[0-9]+[a-f]?\."", """"))"),"")</f>
        <v/>
      </c>
      <c r="H144" s="188" t="str">
        <f>IFERROR(__xludf.DUMMYFUNCTION("TRIM(REGEXREPLACE(D144, ""[0-9]+[a-f]?\."", """"))"),"")</f>
        <v/>
      </c>
      <c r="I144" s="188" t="str">
        <f>IFERROR(__xludf.DUMMYFUNCTION("TRIM(REGEXREPLACE(E144, ""[0-9]+[a-f]?\."", """"))"),"")</f>
        <v/>
      </c>
      <c r="J144" s="188" t="s">
        <v>1340</v>
      </c>
      <c r="K144" s="188" t="s">
        <v>1341</v>
      </c>
      <c r="L144" s="188" t="s">
        <v>1343</v>
      </c>
    </row>
    <row r="145" hidden="1">
      <c r="A145" s="197" t="s">
        <v>112</v>
      </c>
      <c r="B145" s="225" t="s">
        <v>1347</v>
      </c>
      <c r="C145" s="190"/>
      <c r="D145" s="190"/>
      <c r="E145" s="190"/>
      <c r="F145" s="195">
        <v>83.0</v>
      </c>
      <c r="G145" s="188" t="str">
        <f>IFERROR(__xludf.DUMMYFUNCTION("TRIM(REGEXREPLACE(C145, ""[0-9]+[a-f]?\."", """"))"),"")</f>
        <v/>
      </c>
      <c r="H145" s="188" t="str">
        <f>IFERROR(__xludf.DUMMYFUNCTION("TRIM(REGEXREPLACE(D145, ""[0-9]+[a-f]?\."", """"))"),"")</f>
        <v/>
      </c>
      <c r="I145" s="188" t="str">
        <f>IFERROR(__xludf.DUMMYFUNCTION("TRIM(REGEXREPLACE(E145, ""[0-9]+[a-f]?\."", """"))"),"")</f>
        <v/>
      </c>
      <c r="J145" s="188" t="s">
        <v>1349</v>
      </c>
      <c r="K145" s="188" t="s">
        <v>1350</v>
      </c>
      <c r="L145" s="188" t="s">
        <v>1351</v>
      </c>
    </row>
    <row r="146" hidden="1">
      <c r="A146" s="197" t="s">
        <v>112</v>
      </c>
      <c r="B146" s="225" t="s">
        <v>1355</v>
      </c>
      <c r="C146" s="190"/>
      <c r="D146" s="190"/>
      <c r="E146" s="190"/>
      <c r="F146" s="195">
        <v>84.0</v>
      </c>
      <c r="G146" s="188" t="str">
        <f>IFERROR(__xludf.DUMMYFUNCTION("TRIM(REGEXREPLACE(C146, ""[0-9]+[a-f]?\."", """"))"),"")</f>
        <v/>
      </c>
      <c r="H146" s="188" t="str">
        <f>IFERROR(__xludf.DUMMYFUNCTION("TRIM(REGEXREPLACE(D146, ""[0-9]+[a-f]?\."", """"))"),"")</f>
        <v/>
      </c>
      <c r="I146" s="188" t="str">
        <f>IFERROR(__xludf.DUMMYFUNCTION("TRIM(REGEXREPLACE(E146, ""[0-9]+[a-f]?\."", """"))"),"")</f>
        <v/>
      </c>
      <c r="J146" s="188" t="s">
        <v>1359</v>
      </c>
      <c r="K146" s="188" t="s">
        <v>1360</v>
      </c>
      <c r="L146" s="188" t="s">
        <v>1361</v>
      </c>
    </row>
    <row r="147" hidden="1">
      <c r="A147" s="197" t="s">
        <v>112</v>
      </c>
      <c r="B147" s="225" t="s">
        <v>1362</v>
      </c>
      <c r="C147" s="190"/>
      <c r="D147" s="190"/>
      <c r="E147" s="190"/>
      <c r="F147" s="195">
        <v>84.0</v>
      </c>
      <c r="G147" s="188" t="str">
        <f>IFERROR(__xludf.DUMMYFUNCTION("TRIM(REGEXREPLACE(C147, ""[0-9]+[a-f]?\."", """"))"),"")</f>
        <v/>
      </c>
      <c r="H147" s="188" t="str">
        <f>IFERROR(__xludf.DUMMYFUNCTION("TRIM(REGEXREPLACE(D147, ""[0-9]+[a-f]?\."", """"))"),"")</f>
        <v/>
      </c>
      <c r="I147" s="188" t="str">
        <f>IFERROR(__xludf.DUMMYFUNCTION("TRIM(REGEXREPLACE(E147, ""[0-9]+[a-f]?\."", """"))"),"")</f>
        <v/>
      </c>
      <c r="J147" s="188" t="s">
        <v>1369</v>
      </c>
      <c r="K147" s="188" t="s">
        <v>1370</v>
      </c>
      <c r="L147" s="188" t="s">
        <v>1371</v>
      </c>
    </row>
    <row r="148" hidden="1">
      <c r="A148" s="197" t="s">
        <v>112</v>
      </c>
      <c r="B148" s="225" t="s">
        <v>1372</v>
      </c>
      <c r="C148" s="190"/>
      <c r="D148" s="190"/>
      <c r="E148" s="190"/>
      <c r="F148" s="195">
        <v>85.0</v>
      </c>
      <c r="G148" s="188" t="str">
        <f>IFERROR(__xludf.DUMMYFUNCTION("TRIM(REGEXREPLACE(C148, ""[0-9]+[a-f]?\."", """"))"),"")</f>
        <v/>
      </c>
      <c r="H148" s="188" t="str">
        <f>IFERROR(__xludf.DUMMYFUNCTION("TRIM(REGEXREPLACE(D148, ""[0-9]+[a-f]?\."", """"))"),"")</f>
        <v/>
      </c>
      <c r="I148" s="188" t="str">
        <f>IFERROR(__xludf.DUMMYFUNCTION("TRIM(REGEXREPLACE(E148, ""[0-9]+[a-f]?\."", """"))"),"")</f>
        <v/>
      </c>
      <c r="J148" s="188" t="s">
        <v>1377</v>
      </c>
      <c r="K148" s="188" t="s">
        <v>1378</v>
      </c>
      <c r="L148" s="188" t="s">
        <v>1379</v>
      </c>
    </row>
    <row r="149" hidden="1">
      <c r="A149" s="197" t="s">
        <v>112</v>
      </c>
      <c r="B149" s="225" t="s">
        <v>1380</v>
      </c>
      <c r="C149" s="190"/>
      <c r="D149" s="190"/>
      <c r="E149" s="190"/>
      <c r="F149" s="195">
        <v>73.0</v>
      </c>
      <c r="G149" s="188" t="str">
        <f>IFERROR(__xludf.DUMMYFUNCTION("TRIM(REGEXREPLACE(C149, ""[0-9]+[a-f]?\."", """"))"),"")</f>
        <v/>
      </c>
      <c r="H149" s="188" t="str">
        <f>IFERROR(__xludf.DUMMYFUNCTION("TRIM(REGEXREPLACE(D149, ""[0-9]+[a-f]?\."", """"))"),"")</f>
        <v/>
      </c>
      <c r="I149" s="188" t="str">
        <f>IFERROR(__xludf.DUMMYFUNCTION("TRIM(REGEXREPLACE(E149, ""[0-9]+[a-f]?\."", """"))"),"")</f>
        <v/>
      </c>
      <c r="J149" s="188" t="s">
        <v>1384</v>
      </c>
      <c r="K149" s="188" t="s">
        <v>1385</v>
      </c>
      <c r="L149" s="188" t="s">
        <v>1387</v>
      </c>
    </row>
    <row r="150" hidden="1">
      <c r="A150" s="197" t="s">
        <v>112</v>
      </c>
      <c r="B150" s="225" t="s">
        <v>1388</v>
      </c>
      <c r="C150" s="190"/>
      <c r="D150" s="190"/>
      <c r="E150" s="190"/>
      <c r="F150" s="195">
        <v>74.0</v>
      </c>
      <c r="G150" s="188" t="str">
        <f>IFERROR(__xludf.DUMMYFUNCTION("TRIM(REGEXREPLACE(C150, ""[0-9]+[a-f]?\."", """"))"),"")</f>
        <v/>
      </c>
      <c r="H150" s="188" t="str">
        <f>IFERROR(__xludf.DUMMYFUNCTION("TRIM(REGEXREPLACE(D150, ""[0-9]+[a-f]?\."", """"))"),"")</f>
        <v/>
      </c>
      <c r="I150" s="188" t="str">
        <f>IFERROR(__xludf.DUMMYFUNCTION("TRIM(REGEXREPLACE(E150, ""[0-9]+[a-f]?\."", """"))"),"")</f>
        <v/>
      </c>
      <c r="J150" s="188" t="s">
        <v>1390</v>
      </c>
      <c r="K150" s="188" t="s">
        <v>1392</v>
      </c>
      <c r="L150" s="188" t="s">
        <v>1394</v>
      </c>
    </row>
    <row r="151" hidden="1">
      <c r="A151" s="197" t="s">
        <v>112</v>
      </c>
      <c r="B151" s="198" t="s">
        <v>1395</v>
      </c>
      <c r="C151" s="190"/>
      <c r="D151" s="190"/>
      <c r="E151" s="190"/>
      <c r="F151" s="195">
        <v>75.0</v>
      </c>
      <c r="G151" s="188" t="str">
        <f>IFERROR(__xludf.DUMMYFUNCTION("TRIM(REGEXREPLACE(C151, ""[0-9]+[a-f]?\."", """"))"),"")</f>
        <v/>
      </c>
      <c r="H151" s="188" t="str">
        <f>IFERROR(__xludf.DUMMYFUNCTION("TRIM(REGEXREPLACE(D151, ""[0-9]+[a-f]?\."", """"))"),"")</f>
        <v/>
      </c>
      <c r="I151" s="188" t="str">
        <f>IFERROR(__xludf.DUMMYFUNCTION("TRIM(REGEXREPLACE(E151, ""[0-9]+[a-f]?\."", """"))"),"")</f>
        <v/>
      </c>
      <c r="J151" s="188" t="s">
        <v>1398</v>
      </c>
      <c r="K151" s="188" t="s">
        <v>1399</v>
      </c>
      <c r="L151" s="188" t="s">
        <v>1400</v>
      </c>
    </row>
    <row r="152" hidden="1">
      <c r="A152" s="194"/>
      <c r="B152" s="194"/>
      <c r="C152" s="190"/>
      <c r="D152" s="190"/>
      <c r="E152" s="190"/>
      <c r="F152" s="195">
        <v>76.0</v>
      </c>
      <c r="G152" s="188" t="str">
        <f>IFERROR(__xludf.DUMMYFUNCTION("TRIM(REGEXREPLACE(C152, ""[0-9]+[a-f]?\."", """"))"),"")</f>
        <v/>
      </c>
      <c r="H152" s="188" t="str">
        <f>IFERROR(__xludf.DUMMYFUNCTION("TRIM(REGEXREPLACE(D152, ""[0-9]+[a-f]?\."", """"))"),"")</f>
        <v/>
      </c>
      <c r="I152" s="188" t="str">
        <f>IFERROR(__xludf.DUMMYFUNCTION("TRIM(REGEXREPLACE(E152, ""[0-9]+[a-f]?\."", """"))"),"")</f>
        <v/>
      </c>
      <c r="J152" s="188" t="s">
        <v>1405</v>
      </c>
      <c r="K152" s="188" t="s">
        <v>1407</v>
      </c>
      <c r="L152" s="188" t="s">
        <v>1408</v>
      </c>
    </row>
    <row r="153">
      <c r="A153" s="194" t="s">
        <v>1060</v>
      </c>
      <c r="B153" s="194" t="s">
        <v>1417</v>
      </c>
      <c r="C153" s="190" t="s">
        <v>1418</v>
      </c>
      <c r="D153" s="190" t="s">
        <v>1419</v>
      </c>
      <c r="E153" s="190" t="s">
        <v>1421</v>
      </c>
      <c r="F153" s="195">
        <v>8.0</v>
      </c>
      <c r="G153" s="188" t="str">
        <f>IFERROR(__xludf.DUMMYFUNCTION("TRIM(REGEXREPLACE(C153, ""[0-9]+[a-f]?\."", """"))"),"You indicated that you are attempting to interview ${shm_name_bl} (age: ${shm_age_bl}). Is that correct?")</f>
        <v>You indicated that you are attempting to interview ${shm_name_bl} (age: ${shm_age_bl}). Is that correct?</v>
      </c>
      <c r="H153" s="188" t="str">
        <f>IFERROR(__xludf.DUMMYFUNCTION("TRIM(REGEXREPLACE(D153, ""[0-9]+[a-f]?\."", """"))"),"Vous avez indiqué que vous tentez d'interroger ${shm_name_bl} (âge : ${shm_age}). Est-ce exact ?")</f>
        <v>Vous avez indiqué que vous tentez d'interroger ${shm_name_bl} (âge : ${shm_age}). Est-ce exact ?</v>
      </c>
      <c r="I153" s="188" t="str">
        <f>IFERROR(__xludf.DUMMYFUNCTION("TRIM(REGEXREPLACE(E153, ""[0-9]+[a-f]?\."", """"))"),"Kun nuna cewa kuna ƙoƙarin yin hira da ${shm_name} (shekaru: ${shm_age_bl}). Shin hakan daidai ne?")</f>
        <v>Kun nuna cewa kuna ƙoƙarin yin hira da ${shm_name} (shekaru: ${shm_age_bl}). Shin hakan daidai ne?</v>
      </c>
      <c r="J153" s="188" t="s">
        <v>1427</v>
      </c>
      <c r="K153" s="188" t="s">
        <v>1428</v>
      </c>
      <c r="L153" s="188" t="s">
        <v>1429</v>
      </c>
    </row>
    <row r="154">
      <c r="A154" s="199" t="s">
        <v>1430</v>
      </c>
      <c r="B154" s="200" t="s">
        <v>1431</v>
      </c>
      <c r="C154" s="190" t="s">
        <v>790</v>
      </c>
      <c r="D154" s="190" t="s">
        <v>791</v>
      </c>
      <c r="E154" s="190" t="s">
        <v>792</v>
      </c>
      <c r="F154" s="195">
        <v>9.0</v>
      </c>
      <c r="G154" s="188" t="str">
        <f>IFERROR(__xludf.DUMMYFUNCTION("TRIM(REGEXREPLACE(C154, ""[0-9]+[a-f]?\."", """"))"),"Who are you trying to interview? Here are the other respondents in this household:")</f>
        <v>Who are you trying to interview? Here are the other respondents in this household:</v>
      </c>
      <c r="H154" s="188" t="str">
        <f>IFERROR(__xludf.DUMMYFUNCTION("TRIM(REGEXREPLACE(D154, ""[0-9]+[a-f]?\."", """"))"),"Qui essayez-vous d’interroger ? Voici les autres répondants de ce foyer :")</f>
        <v>Qui essayez-vous d’interroger ? Voici les autres répondants de ce foyer :</v>
      </c>
      <c r="I154" s="188" t="str">
        <f>IFERROR(__xludf.DUMMYFUNCTION("TRIM(REGEXREPLACE(E154, ""[0-9]+[a-f]?\."", """"))"),"Wanene kuke ƙoƙarin yin hira da shi ? Ga sauran masu bada amsa a wannan gidan:")</f>
        <v>Wanene kuke ƙoƙarin yin hira da shi ? Ga sauran masu bada amsa a wannan gidan:</v>
      </c>
      <c r="J154" s="188" t="s">
        <v>1444</v>
      </c>
      <c r="K154" s="188" t="s">
        <v>1445</v>
      </c>
      <c r="L154" s="188" t="s">
        <v>1447</v>
      </c>
    </row>
    <row r="155">
      <c r="A155" s="238" t="s">
        <v>46</v>
      </c>
      <c r="B155" s="239" t="s">
        <v>1454</v>
      </c>
      <c r="C155" s="190" t="s">
        <v>796</v>
      </c>
      <c r="D155" s="190" t="s">
        <v>797</v>
      </c>
      <c r="E155" s="190" t="s">
        <v>798</v>
      </c>
      <c r="F155" s="195">
        <v>10.0</v>
      </c>
      <c r="G155" s="188" t="str">
        <f>IFERROR(__xludf.DUMMYFUNCTION("TRIM(REGEXREPLACE(C155, ""[0-9]+[a-f]?\."", """"))"),"End of survey. Please return and fill out the PM survey to collect survey responses.")</f>
        <v>End of survey. Please return and fill out the PM survey to collect survey responses.</v>
      </c>
      <c r="H155" s="188" t="str">
        <f>IFERROR(__xludf.DUMMYFUNCTION("TRIM(REGEXREPLACE(D155, ""[0-9]+[a-f]?\."", """"))"),"Fin de l'enquête. Veuillez revenir et remplir l'enquête PM pour recueillir les réponses aux questions.")</f>
        <v>Fin de l'enquête. Veuillez revenir et remplir l'enquête PM pour recueillir les réponses aux questions.</v>
      </c>
      <c r="I155" s="188" t="str">
        <f>IFERROR(__xludf.DUMMYFUNCTION("TRIM(REGEXREPLACE(E155, ""[0-9]+[a-f]?\."", """"))"),"Ƙarshen binciken kenan. Da fatan za a dawo a cika binciken PM don tattara amsoshin binciken.")</f>
        <v>Ƙarshen binciken kenan. Da fatan za a dawo a cika binciken PM don tattara amsoshin binciken.</v>
      </c>
      <c r="J155" s="188" t="s">
        <v>1465</v>
      </c>
      <c r="K155" s="188" t="s">
        <v>1466</v>
      </c>
      <c r="L155" s="188" t="s">
        <v>1468</v>
      </c>
    </row>
    <row r="156">
      <c r="A156" s="238" t="s">
        <v>46</v>
      </c>
      <c r="B156" s="241" t="s">
        <v>1470</v>
      </c>
      <c r="C156" s="190" t="s">
        <v>801</v>
      </c>
      <c r="D156" s="190" t="s">
        <v>802</v>
      </c>
      <c r="E156" s="190" t="s">
        <v>803</v>
      </c>
      <c r="F156" s="195">
        <v>11.0</v>
      </c>
      <c r="G156" s="188" t="str">
        <f>IFERROR(__xludf.DUMMYFUNCTION("TRIM(REGEXREPLACE(C156, ""[0-9]+[a-f]?\."", """"))"),"End of survey. Please return and fill out the Woman survey to collect survey responses.")</f>
        <v>End of survey. Please return and fill out the Woman survey to collect survey responses.</v>
      </c>
      <c r="H156" s="188" t="str">
        <f>IFERROR(__xludf.DUMMYFUNCTION("TRIM(REGEXREPLACE(D156, ""[0-9]+[a-f]?\."", """"))"),"Fin de l'enquête. Veuillez revenir et remplir l'enquête Femme pour recueillir les réponses aux questions.")</f>
        <v>Fin de l'enquête. Veuillez revenir et remplir l'enquête Femme pour recueillir les réponses aux questions.</v>
      </c>
      <c r="I156" s="188" t="str">
        <f>IFERROR(__xludf.DUMMYFUNCTION("TRIM(REGEXREPLACE(E156, ""[0-9]+[a-f]?\."", """"))"),"Ƙarshen binciken kenan. Da fatan za a dawo a cika binciken Mata don tattara amsoshin binciken.")</f>
        <v>Ƙarshen binciken kenan. Da fatan za a dawo a cika binciken Mata don tattara amsoshin binciken.</v>
      </c>
      <c r="J156" s="188" t="s">
        <v>1480</v>
      </c>
      <c r="K156" s="188" t="s">
        <v>1481</v>
      </c>
      <c r="L156" s="188" t="s">
        <v>1482</v>
      </c>
    </row>
    <row r="157">
      <c r="A157" s="194" t="s">
        <v>1060</v>
      </c>
      <c r="B157" s="242" t="s">
        <v>1486</v>
      </c>
      <c r="C157" s="190" t="s">
        <v>1490</v>
      </c>
      <c r="D157" s="190" t="s">
        <v>1491</v>
      </c>
      <c r="E157" s="190" t="s">
        <v>1492</v>
      </c>
      <c r="F157" s="195">
        <v>12.0</v>
      </c>
      <c r="G157" s="188" t="str">
        <f>IFERROR(__xludf.DUMMYFUNCTION("TRIM(REGEXREPLACE(C157, ""[0-9]+[a-f]?\."", """"))"),"Is ${shm_name_bl} still a member of this household?")</f>
        <v>Is ${shm_name_bl} still a member of this household?</v>
      </c>
      <c r="H157" s="188" t="str">
        <f>IFERROR(__xludf.DUMMYFUNCTION("TRIM(REGEXREPLACE(D157, ""[0-9]+[a-f]?\."", """"))"),"Est-ce que ${shm_name_bl} est toujours membre de ce ménage ?")</f>
        <v>Est-ce que ${shm_name_bl} est toujours membre de ce ménage ?</v>
      </c>
      <c r="I157" s="188" t="str">
        <f>IFERROR(__xludf.DUMMYFUNCTION("TRIM(REGEXREPLACE(E157, ""[0-9]+[a-f]?\."", """"))"),"Ko ${shm_name_bl} har yanzu dan wannan gidan ne?")</f>
        <v>Ko ${shm_name_bl} har yanzu dan wannan gidan ne?</v>
      </c>
      <c r="J157" s="188" t="s">
        <v>1498</v>
      </c>
      <c r="K157" s="188" t="s">
        <v>1500</v>
      </c>
      <c r="L157" s="188" t="s">
        <v>1502</v>
      </c>
    </row>
    <row r="158">
      <c r="A158" s="194" t="s">
        <v>1503</v>
      </c>
      <c r="B158" s="242" t="s">
        <v>1505</v>
      </c>
      <c r="C158" s="190" t="s">
        <v>1507</v>
      </c>
      <c r="D158" s="190" t="s">
        <v>1508</v>
      </c>
      <c r="E158" s="190" t="s">
        <v>1509</v>
      </c>
      <c r="F158" s="195">
        <v>13.0</v>
      </c>
      <c r="G158" s="188" t="str">
        <f>IFERROR(__xludf.DUMMYFUNCTION("TRIM(REGEXREPLACE(C158, ""[0-9]+[a-f]?\."", """"))"),"Enumerator: In the Prospective migrant survey, we asked you to write down the name of the member who would be best positioned to answer Secondary Household Member survey if ${shm_name_bl} moved away from home. Please indicate the member in the list below:")</f>
        <v>Enumerator: In the Prospective migrant survey, we asked you to write down the name of the member who would be best positioned to answer Secondary Household Member survey if ${shm_name_bl} moved away from home. Please indicate the member in the list below:</v>
      </c>
      <c r="H158" s="188" t="str">
        <f>IFERROR(__xludf.DUMMYFUNCTION("TRIM(REGEXREPLACE(D158, ""[0-9]+[a-f]?\."", """"))"),"Enumérateur : Dans l'enquête sur les migrants potentiels, nous vous avons demandé d'écrire le nom du membre qui serait le mieux placé pour répondre à l'enquête sur les membres du ménage si le membre secondaire ${shm_name_bl} déménageait de chez lui. Veuil"&amp;"lez indiquer le membre dans la liste ci-dessous :")</f>
        <v>Enumérateur : Dans l'enquête sur les migrants potentiels, nous vous avons demandé d'écrire le nom du membre qui serait le mieux placé pour répondre à l'enquête sur les membres du ménage si le membre secondaire ${shm_name_bl} déménageait de chez lui. Veuillez indiquer le membre dans la liste ci-dessous :</v>
      </c>
      <c r="I158" s="188" t="str">
        <f>IFERROR(__xludf.DUMMYFUNCTION("TRIM(REGEXREPLACE(E158, ""[0-9]+[a-f]?\."", """"))"),"Mai bincike: A cikin tambayoyin mai zuwa biɗa, mun nemi a rubuta sunan wanda zai fi dacewa ya bada amsa bisa ƴan gida idan ɗan gida na biyu ${shm_name_bl} ya ƙaura daga gida. Da fatan za a nuna sunan mutumen a cikin jerin sunayen da ke ƙasa:")</f>
        <v>Mai bincike: A cikin tambayoyin mai zuwa biɗa, mun nemi a rubuta sunan wanda zai fi dacewa ya bada amsa bisa ƴan gida idan ɗan gida na biyu ${shm_name_bl} ya ƙaura daga gida. Da fatan za a nuna sunan mutumen a cikin jerin sunayen da ke ƙasa:</v>
      </c>
      <c r="J158" s="188" t="s">
        <v>1517</v>
      </c>
      <c r="K158" s="188" t="s">
        <v>1519</v>
      </c>
      <c r="L158" s="188" t="s">
        <v>1520</v>
      </c>
    </row>
    <row r="159" hidden="1">
      <c r="A159" s="194" t="s">
        <v>112</v>
      </c>
      <c r="B159" s="194" t="s">
        <v>1527</v>
      </c>
      <c r="C159" s="190"/>
      <c r="D159" s="190"/>
      <c r="E159" s="190"/>
      <c r="F159" s="195">
        <v>83.0</v>
      </c>
      <c r="G159" s="188" t="str">
        <f>IFERROR(__xludf.DUMMYFUNCTION("TRIM(REGEXREPLACE(C159, ""[0-9]+[a-f]?\."", """"))"),"")</f>
        <v/>
      </c>
      <c r="H159" s="188" t="str">
        <f>IFERROR(__xludf.DUMMYFUNCTION("TRIM(REGEXREPLACE(D159, ""[0-9]+[a-f]?\."", """"))"),"")</f>
        <v/>
      </c>
      <c r="I159" s="188" t="str">
        <f>IFERROR(__xludf.DUMMYFUNCTION("TRIM(REGEXREPLACE(E159, ""[0-9]+[a-f]?\."", """"))"),"")</f>
        <v/>
      </c>
      <c r="J159" s="188" t="s">
        <v>1530</v>
      </c>
      <c r="K159" s="188" t="s">
        <v>1532</v>
      </c>
      <c r="L159" s="188" t="s">
        <v>1532</v>
      </c>
    </row>
    <row r="160" hidden="1">
      <c r="A160" s="194" t="s">
        <v>112</v>
      </c>
      <c r="B160" s="194" t="s">
        <v>1535</v>
      </c>
      <c r="C160" s="190"/>
      <c r="D160" s="190"/>
      <c r="E160" s="190"/>
      <c r="F160" s="195">
        <v>84.0</v>
      </c>
      <c r="G160" s="188" t="str">
        <f>IFERROR(__xludf.DUMMYFUNCTION("TRIM(REGEXREPLACE(C160, ""[0-9]+[a-f]?\."", """"))"),"")</f>
        <v/>
      </c>
      <c r="H160" s="188" t="str">
        <f>IFERROR(__xludf.DUMMYFUNCTION("TRIM(REGEXREPLACE(D160, ""[0-9]+[a-f]?\."", """"))"),"")</f>
        <v/>
      </c>
      <c r="I160" s="188" t="str">
        <f>IFERROR(__xludf.DUMMYFUNCTION("TRIM(REGEXREPLACE(E160, ""[0-9]+[a-f]?\."", """"))"),"")</f>
        <v/>
      </c>
      <c r="J160" s="188" t="s">
        <v>1538</v>
      </c>
      <c r="K160" s="188" t="s">
        <v>1541</v>
      </c>
      <c r="L160" s="188" t="s">
        <v>1542</v>
      </c>
    </row>
    <row r="161" hidden="1">
      <c r="A161" s="194" t="s">
        <v>112</v>
      </c>
      <c r="B161" s="194" t="s">
        <v>192</v>
      </c>
      <c r="C161" s="190"/>
      <c r="D161" s="190"/>
      <c r="E161" s="190"/>
      <c r="F161" s="195">
        <v>85.0</v>
      </c>
      <c r="G161" s="188" t="str">
        <f>IFERROR(__xludf.DUMMYFUNCTION("TRIM(REGEXREPLACE(C161, ""[0-9]+[a-f]?\."", """"))"),"")</f>
        <v/>
      </c>
      <c r="H161" s="188" t="str">
        <f>IFERROR(__xludf.DUMMYFUNCTION("TRIM(REGEXREPLACE(D161, ""[0-9]+[a-f]?\."", """"))"),"")</f>
        <v/>
      </c>
      <c r="I161" s="188" t="str">
        <f>IFERROR(__xludf.DUMMYFUNCTION("TRIM(REGEXREPLACE(E161, ""[0-9]+[a-f]?\."", """"))"),"")</f>
        <v/>
      </c>
      <c r="J161" s="188" t="s">
        <v>1552</v>
      </c>
      <c r="K161" s="188" t="s">
        <v>1553</v>
      </c>
      <c r="L161" s="188" t="s">
        <v>1554</v>
      </c>
    </row>
    <row r="162" hidden="1">
      <c r="A162" s="194" t="s">
        <v>112</v>
      </c>
      <c r="B162" s="194" t="s">
        <v>244</v>
      </c>
      <c r="C162" s="190"/>
      <c r="D162" s="190"/>
      <c r="E162" s="190"/>
      <c r="F162" s="195">
        <v>86.0</v>
      </c>
      <c r="G162" s="188" t="str">
        <f>IFERROR(__xludf.DUMMYFUNCTION("TRIM(REGEXREPLACE(C162, ""[0-9]+[a-f]?\."", """"))"),"")</f>
        <v/>
      </c>
      <c r="H162" s="188" t="str">
        <f>IFERROR(__xludf.DUMMYFUNCTION("TRIM(REGEXREPLACE(D162, ""[0-9]+[a-f]?\."", """"))"),"")</f>
        <v/>
      </c>
      <c r="I162" s="188" t="str">
        <f>IFERROR(__xludf.DUMMYFUNCTION("TRIM(REGEXREPLACE(E162, ""[0-9]+[a-f]?\."", """"))"),"")</f>
        <v/>
      </c>
      <c r="J162" s="188" t="s">
        <v>1562</v>
      </c>
      <c r="K162" s="188" t="s">
        <v>1563</v>
      </c>
      <c r="L162" s="188" t="s">
        <v>1565</v>
      </c>
    </row>
    <row r="163" hidden="1">
      <c r="A163" s="194" t="s">
        <v>112</v>
      </c>
      <c r="B163" s="211" t="s">
        <v>217</v>
      </c>
      <c r="C163" s="190"/>
      <c r="D163" s="190"/>
      <c r="E163" s="190"/>
      <c r="F163" s="195">
        <v>87.0</v>
      </c>
      <c r="G163" s="188" t="str">
        <f>IFERROR(__xludf.DUMMYFUNCTION("TRIM(REGEXREPLACE(C163, ""[0-9]+[a-f]?\."", """"))"),"")</f>
        <v/>
      </c>
      <c r="H163" s="188" t="str">
        <f>IFERROR(__xludf.DUMMYFUNCTION("TRIM(REGEXREPLACE(D163, ""[0-9]+[a-f]?\."", """"))"),"")</f>
        <v/>
      </c>
      <c r="I163" s="188" t="str">
        <f>IFERROR(__xludf.DUMMYFUNCTION("TRIM(REGEXREPLACE(E163, ""[0-9]+[a-f]?\."", """"))"),"")</f>
        <v/>
      </c>
      <c r="J163" s="188" t="s">
        <v>1578</v>
      </c>
      <c r="K163" s="188" t="s">
        <v>1579</v>
      </c>
      <c r="L163" s="188" t="s">
        <v>1580</v>
      </c>
    </row>
    <row r="164">
      <c r="A164" s="194" t="s">
        <v>1060</v>
      </c>
      <c r="B164" s="194" t="s">
        <v>1564</v>
      </c>
      <c r="C164" s="190" t="s">
        <v>1582</v>
      </c>
      <c r="D164" s="190" t="s">
        <v>1583</v>
      </c>
      <c r="E164" s="190" t="s">
        <v>1584</v>
      </c>
      <c r="F164" s="195">
        <v>14.0</v>
      </c>
      <c r="G164" s="188" t="str">
        <f>IFERROR(__xludf.DUMMYFUNCTION("TRIM(REGEXREPLACE(C164, ""[0-9]+[a-f]?\."", """"))"),"Is ${shm_name} available to be interviewed?")</f>
        <v>Is ${shm_name} available to be interviewed?</v>
      </c>
      <c r="H164" s="188" t="str">
        <f>IFERROR(__xludf.DUMMYFUNCTION("TRIM(REGEXREPLACE(D164, ""[0-9]+[a-f]?\."", """"))"),"Est-ce que ${shm_name} est disponible pour être interviewé ?")</f>
        <v>Est-ce que ${shm_name} est disponible pour être interviewé ?</v>
      </c>
      <c r="I164" s="188" t="str">
        <f>IFERROR(__xludf.DUMMYFUNCTION("TRIM(REGEXREPLACE(E164, ""[0-9]+[a-f]?\."", """"))"),"Ko ${shm_name} yana da damar yin hira mu?")</f>
        <v>Ko ${shm_name} yana da damar yin hira mu?</v>
      </c>
      <c r="J164" s="188" t="s">
        <v>1593</v>
      </c>
      <c r="K164" s="188" t="s">
        <v>1594</v>
      </c>
      <c r="L164" s="188" t="s">
        <v>1596</v>
      </c>
    </row>
    <row r="165">
      <c r="A165" s="194" t="s">
        <v>1598</v>
      </c>
      <c r="B165" s="194" t="s">
        <v>1600</v>
      </c>
      <c r="C165" s="190" t="s">
        <v>1601</v>
      </c>
      <c r="D165" s="190" t="s">
        <v>1603</v>
      </c>
      <c r="E165" s="190" t="s">
        <v>1604</v>
      </c>
      <c r="F165" s="195">
        <v>15.0</v>
      </c>
      <c r="G165" s="188" t="str">
        <f>IFERROR(__xludf.DUMMYFUNCTION("TRIM(REGEXREPLACE(C165, ""[0-9]+[a-f]?\."", """"))"),"Enumerator: Please specify why ${shm_name} is not available right now:")</f>
        <v>Enumerator: Please specify why ${shm_name} is not available right now:</v>
      </c>
      <c r="H165" s="188" t="str">
        <f>IFERROR(__xludf.DUMMYFUNCTION("TRIM(REGEXREPLACE(D165, ""[0-9]+[a-f]?\."", """"))"),"Enqueteur: veuillez specifier pourquoi ${shm_name} n'est pas disponible maintenant")</f>
        <v>Enqueteur: veuillez specifier pourquoi ${shm_name} n'est pas disponible maintenant</v>
      </c>
      <c r="I165" s="188" t="str">
        <f>IFERROR(__xludf.DUMMYFUNCTION("TRIM(REGEXREPLACE(E165, ""[0-9]+[a-f]?\."", """"))"),"Dan binkike: dan mine ${shm_name} bai nan a yanzu")</f>
        <v>Dan binkike: dan mine ${shm_name} bai nan a yanzu</v>
      </c>
      <c r="J165" s="188" t="s">
        <v>1611</v>
      </c>
      <c r="K165" s="188" t="s">
        <v>1612</v>
      </c>
      <c r="L165" s="188" t="s">
        <v>1614</v>
      </c>
    </row>
    <row r="166">
      <c r="A166" s="194" t="s">
        <v>220</v>
      </c>
      <c r="B166" s="194" t="s">
        <v>1616</v>
      </c>
      <c r="C166" s="190" t="s">
        <v>1620</v>
      </c>
      <c r="D166" s="190" t="s">
        <v>1623</v>
      </c>
      <c r="E166" s="190" t="s">
        <v>1626</v>
      </c>
      <c r="F166" s="195">
        <v>16.0</v>
      </c>
      <c r="G166" s="188" t="str">
        <f>IFERROR(__xludf.DUMMYFUNCTION("TRIM(REGEXREPLACE(C166, ""[0-9]+[a-f]?\."", """"))"),"Other, specify:")</f>
        <v>Other, specify:</v>
      </c>
      <c r="H166" s="188" t="str">
        <f>IFERROR(__xludf.DUMMYFUNCTION("TRIM(REGEXREPLACE(D166, ""[0-9]+[a-f]?\."", """"))"),"Autre précisez:")</f>
        <v>Autre précisez:</v>
      </c>
      <c r="I166" s="188" t="str">
        <f>IFERROR(__xludf.DUMMYFUNCTION("TRIM(REGEXREPLACE(E166, ""[0-9]+[a-f]?\."", """"))"),"Sauran, bayar da cikakkun bayanai:")</f>
        <v>Sauran, bayar da cikakkun bayanai:</v>
      </c>
      <c r="J166" s="188" t="s">
        <v>1632</v>
      </c>
      <c r="K166" s="188" t="s">
        <v>1633</v>
      </c>
      <c r="L166" s="188" t="s">
        <v>1634</v>
      </c>
    </row>
    <row r="167" hidden="1">
      <c r="A167" s="194" t="s">
        <v>331</v>
      </c>
      <c r="B167" s="194" t="s">
        <v>272</v>
      </c>
      <c r="C167" s="190"/>
      <c r="D167" s="190"/>
      <c r="E167" s="190"/>
      <c r="F167" s="195">
        <v>91.0</v>
      </c>
      <c r="G167" s="188" t="str">
        <f>IFERROR(__xludf.DUMMYFUNCTION("TRIM(REGEXREPLACE(C167, ""[0-9]+[a-f]?\."", """"))"),"")</f>
        <v/>
      </c>
      <c r="H167" s="188" t="str">
        <f>IFERROR(__xludf.DUMMYFUNCTION("TRIM(REGEXREPLACE(D167, ""[0-9]+[a-f]?\."", """"))"),"")</f>
        <v/>
      </c>
      <c r="I167" s="188" t="str">
        <f>IFERROR(__xludf.DUMMYFUNCTION("TRIM(REGEXREPLACE(E167, ""[0-9]+[a-f]?\."", """"))"),"")</f>
        <v/>
      </c>
      <c r="J167" s="188" t="s">
        <v>1641</v>
      </c>
      <c r="K167" s="188" t="s">
        <v>1642</v>
      </c>
      <c r="L167" s="188" t="s">
        <v>1644</v>
      </c>
    </row>
    <row r="168">
      <c r="A168" s="194" t="s">
        <v>1060</v>
      </c>
      <c r="B168" s="194" t="s">
        <v>1645</v>
      </c>
      <c r="C168" s="190" t="s">
        <v>1646</v>
      </c>
      <c r="D168" s="190" t="s">
        <v>1648</v>
      </c>
      <c r="E168" s="190" t="s">
        <v>1650</v>
      </c>
      <c r="F168" s="195">
        <v>17.0</v>
      </c>
      <c r="G168" s="188" t="str">
        <f>IFERROR(__xludf.DUMMYFUNCTION("TRIM(REGEXREPLACE(C168,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168" s="188" t="str">
        <f>IFERROR(__xludf.DUMMYFUNCTION("TRIM(REGEXREPLACE(D168,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168" s="188" t="str">
        <f>IFERROR(__xludf.DUMMYFUNCTION("TRIM(REGEXREPLACE(E168,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168" s="188" t="s">
        <v>1658</v>
      </c>
      <c r="K168" s="188" t="s">
        <v>1660</v>
      </c>
      <c r="L168" s="188" t="s">
        <v>1661</v>
      </c>
    </row>
    <row r="169" hidden="1">
      <c r="A169" s="197" t="s">
        <v>256</v>
      </c>
      <c r="B169" s="198" t="s">
        <v>1665</v>
      </c>
      <c r="C169" s="190"/>
      <c r="D169" s="190"/>
      <c r="E169" s="190"/>
      <c r="F169" s="195">
        <v>93.0</v>
      </c>
      <c r="G169" s="188" t="str">
        <f>IFERROR(__xludf.DUMMYFUNCTION("TRIM(REGEXREPLACE(C169, ""[0-9]+[a-f]?\."", """"))"),"")</f>
        <v/>
      </c>
      <c r="H169" s="188" t="str">
        <f>IFERROR(__xludf.DUMMYFUNCTION("TRIM(REGEXREPLACE(D169, ""[0-9]+[a-f]?\."", """"))"),"")</f>
        <v/>
      </c>
      <c r="I169" s="188" t="str">
        <f>IFERROR(__xludf.DUMMYFUNCTION("TRIM(REGEXREPLACE(E169, ""[0-9]+[a-f]?\."", """"))"),"")</f>
        <v/>
      </c>
      <c r="J169" s="188" t="s">
        <v>1667</v>
      </c>
      <c r="K169" s="188" t="s">
        <v>1668</v>
      </c>
      <c r="L169" s="188" t="s">
        <v>1669</v>
      </c>
    </row>
    <row r="170" hidden="1">
      <c r="A170" s="221" t="s">
        <v>112</v>
      </c>
      <c r="B170" s="250" t="s">
        <v>1672</v>
      </c>
      <c r="C170" s="190"/>
      <c r="D170" s="190"/>
      <c r="E170" s="190"/>
      <c r="F170" s="195">
        <v>94.0</v>
      </c>
      <c r="G170" s="188" t="str">
        <f>IFERROR(__xludf.DUMMYFUNCTION("TRIM(REGEXREPLACE(C170, ""[0-9]+[a-f]?\."", """"))"),"")</f>
        <v/>
      </c>
      <c r="H170" s="188" t="str">
        <f>IFERROR(__xludf.DUMMYFUNCTION("TRIM(REGEXREPLACE(D170, ""[0-9]+[a-f]?\."", """"))"),"")</f>
        <v/>
      </c>
      <c r="I170" s="188" t="str">
        <f>IFERROR(__xludf.DUMMYFUNCTION("TRIM(REGEXREPLACE(E170, ""[0-9]+[a-f]?\."", """"))"),"")</f>
        <v/>
      </c>
      <c r="J170" s="188" t="s">
        <v>1678</v>
      </c>
      <c r="K170" s="188" t="s">
        <v>1679</v>
      </c>
      <c r="L170" s="188" t="s">
        <v>1680</v>
      </c>
    </row>
    <row r="171" hidden="1">
      <c r="A171" s="194" t="s">
        <v>278</v>
      </c>
      <c r="B171" s="194" t="s">
        <v>1682</v>
      </c>
      <c r="C171" s="190" t="s">
        <v>1684</v>
      </c>
      <c r="D171" s="190"/>
      <c r="E171" s="190"/>
      <c r="F171" s="195">
        <v>95.0</v>
      </c>
      <c r="G171" s="188" t="str">
        <f>IFERROR(__xludf.DUMMYFUNCTION("TRIM(REGEXREPLACE(C171, ""[0-9]+[a-f]?\."", """"))"),"Consent: Yes")</f>
        <v>Consent: Yes</v>
      </c>
      <c r="H171" s="188" t="str">
        <f>IFERROR(__xludf.DUMMYFUNCTION("TRIM(REGEXREPLACE(D171, ""[0-9]+[a-f]?\."", """"))"),"")</f>
        <v/>
      </c>
      <c r="I171" s="188" t="str">
        <f>IFERROR(__xludf.DUMMYFUNCTION("TRIM(REGEXREPLACE(E171, ""[0-9]+[a-f]?\."", """"))"),"")</f>
        <v/>
      </c>
      <c r="J171" s="188" t="s">
        <v>1687</v>
      </c>
      <c r="K171" s="188" t="s">
        <v>1688</v>
      </c>
      <c r="L171" s="188" t="s">
        <v>1689</v>
      </c>
    </row>
    <row r="172" hidden="1">
      <c r="A172" s="194" t="s">
        <v>278</v>
      </c>
      <c r="B172" s="194" t="s">
        <v>1691</v>
      </c>
      <c r="C172" s="190"/>
      <c r="D172" s="190"/>
      <c r="E172" s="190"/>
      <c r="F172" s="195">
        <v>96.0</v>
      </c>
      <c r="G172" s="188" t="str">
        <f>IFERROR(__xludf.DUMMYFUNCTION("TRIM(REGEXREPLACE(C172, ""[0-9]+[a-f]?\."", """"))"),"")</f>
        <v/>
      </c>
      <c r="H172" s="188" t="str">
        <f>IFERROR(__xludf.DUMMYFUNCTION("TRIM(REGEXREPLACE(D172, ""[0-9]+[a-f]?\."", """"))"),"")</f>
        <v/>
      </c>
      <c r="I172" s="188" t="str">
        <f>IFERROR(__xludf.DUMMYFUNCTION("TRIM(REGEXREPLACE(E172, ""[0-9]+[a-f]?\."", """"))"),"")</f>
        <v/>
      </c>
      <c r="J172" s="188" t="s">
        <v>1697</v>
      </c>
      <c r="K172" s="188" t="s">
        <v>1698</v>
      </c>
      <c r="L172" s="188" t="s">
        <v>1699</v>
      </c>
    </row>
    <row r="173" hidden="1">
      <c r="A173" s="197"/>
      <c r="B173" s="225"/>
      <c r="C173" s="190"/>
      <c r="D173" s="190"/>
      <c r="E173" s="190"/>
      <c r="F173" s="195">
        <v>97.0</v>
      </c>
      <c r="G173" s="188" t="str">
        <f>IFERROR(__xludf.DUMMYFUNCTION("TRIM(REGEXREPLACE(C173, ""[0-9]+[a-f]?\."", """"))"),"")</f>
        <v/>
      </c>
      <c r="H173" s="188" t="str">
        <f>IFERROR(__xludf.DUMMYFUNCTION("TRIM(REGEXREPLACE(D173, ""[0-9]+[a-f]?\."", """"))"),"")</f>
        <v/>
      </c>
      <c r="I173" s="188" t="str">
        <f>IFERROR(__xludf.DUMMYFUNCTION("TRIM(REGEXREPLACE(E173, ""[0-9]+[a-f]?\."", """"))"),"")</f>
        <v/>
      </c>
      <c r="J173" s="188" t="s">
        <v>1702</v>
      </c>
      <c r="K173" s="188" t="s">
        <v>1703</v>
      </c>
      <c r="L173" s="188" t="s">
        <v>1704</v>
      </c>
    </row>
    <row r="174" hidden="1">
      <c r="A174" s="197" t="s">
        <v>256</v>
      </c>
      <c r="B174" s="225" t="s">
        <v>1705</v>
      </c>
      <c r="C174" s="190"/>
      <c r="D174" s="190"/>
      <c r="E174" s="190"/>
      <c r="F174" s="195">
        <v>104.0</v>
      </c>
      <c r="G174" s="188" t="str">
        <f>IFERROR(__xludf.DUMMYFUNCTION("TRIM(REGEXREPLACE(C174, ""[0-9]+[a-f]?\."", """"))"),"")</f>
        <v/>
      </c>
      <c r="H174" s="188" t="str">
        <f>IFERROR(__xludf.DUMMYFUNCTION("TRIM(REGEXREPLACE(D174, ""[0-9]+[a-f]?\."", """"))"),"")</f>
        <v/>
      </c>
      <c r="I174" s="188" t="str">
        <f>IFERROR(__xludf.DUMMYFUNCTION("TRIM(REGEXREPLACE(E174, ""[0-9]+[a-f]?\."", """"))"),"")</f>
        <v/>
      </c>
      <c r="J174" s="188" t="s">
        <v>1710</v>
      </c>
      <c r="K174" s="188" t="s">
        <v>1711</v>
      </c>
      <c r="L174" s="188" t="s">
        <v>1712</v>
      </c>
    </row>
    <row r="175" hidden="1">
      <c r="A175" s="255" t="s">
        <v>278</v>
      </c>
      <c r="B175" s="256" t="s">
        <v>1713</v>
      </c>
      <c r="C175" s="190" t="s">
        <v>1714</v>
      </c>
      <c r="D175" s="190"/>
      <c r="E175" s="190"/>
      <c r="F175" s="195">
        <v>105.0</v>
      </c>
      <c r="G175" s="188" t="str">
        <f>IFERROR(__xludf.DUMMYFUNCTION("TRIM(REGEXREPLACE(C175, ""[0-9]+[a-f]?\."", """"))"),"SHM Questionnaire")</f>
        <v>SHM Questionnaire</v>
      </c>
      <c r="H175" s="188" t="str">
        <f>IFERROR(__xludf.DUMMYFUNCTION("TRIM(REGEXREPLACE(D175, ""[0-9]+[a-f]?\."", """"))"),"")</f>
        <v/>
      </c>
      <c r="I175" s="188" t="str">
        <f>IFERROR(__xludf.DUMMYFUNCTION("TRIM(REGEXREPLACE(E175, ""[0-9]+[a-f]?\."", """"))"),"")</f>
        <v/>
      </c>
      <c r="J175" s="188" t="s">
        <v>1718</v>
      </c>
      <c r="K175" s="188" t="s">
        <v>1719</v>
      </c>
      <c r="L175" s="188" t="s">
        <v>1720</v>
      </c>
    </row>
    <row r="176">
      <c r="A176" s="238" t="s">
        <v>46</v>
      </c>
      <c r="B176" s="241" t="s">
        <v>1721</v>
      </c>
      <c r="C176" s="190" t="s">
        <v>1722</v>
      </c>
      <c r="D176" s="190" t="s">
        <v>1723</v>
      </c>
      <c r="E176" s="190" t="s">
        <v>1725</v>
      </c>
      <c r="F176" s="195">
        <v>18.0</v>
      </c>
      <c r="G176" s="188" t="str">
        <f>IFERROR(__xludf.DUMMYFUNCTION("TRIM(REGEXREPLACE(C176, ""[0-9]+[a-f]?\."", """"))"),"SHM Questions")</f>
        <v>SHM Questions</v>
      </c>
      <c r="H176" s="188" t="str">
        <f>IFERROR(__xludf.DUMMYFUNCTION("TRIM(REGEXREPLACE(D176, ""[0-9]+[a-f]?\."", """"))"),"Questions du second membre (SHM)")</f>
        <v>Questions du second membre (SHM)</v>
      </c>
      <c r="I176" s="188" t="str">
        <f>IFERROR(__xludf.DUMMYFUNCTION("TRIM(REGEXREPLACE(E176, ""[0-9]+[a-f]?\."", """"))"),"Tambayoyin SHM")</f>
        <v>Tambayoyin SHM</v>
      </c>
      <c r="J176" s="188" t="s">
        <v>1729</v>
      </c>
      <c r="K176" s="188" t="s">
        <v>1730</v>
      </c>
      <c r="L176" s="188" t="s">
        <v>1732</v>
      </c>
    </row>
    <row r="177" hidden="1">
      <c r="A177" s="255" t="s">
        <v>278</v>
      </c>
      <c r="B177" s="143" t="s">
        <v>1733</v>
      </c>
      <c r="C177" s="190" t="s">
        <v>1734</v>
      </c>
      <c r="D177" s="190"/>
      <c r="E177" s="190"/>
      <c r="F177" s="195">
        <v>107.0</v>
      </c>
      <c r="G177" s="188" t="str">
        <f>IFERROR(__xludf.DUMMYFUNCTION("TRIM(REGEXREPLACE(C177, ""[0-9]+[a-f]?\."", """"))"),"Questions if at home")</f>
        <v>Questions if at home</v>
      </c>
      <c r="H177" s="188" t="str">
        <f>IFERROR(__xludf.DUMMYFUNCTION("TRIM(REGEXREPLACE(D177, ""[0-9]+[a-f]?\."", """"))"),"")</f>
        <v/>
      </c>
      <c r="I177" s="188" t="str">
        <f>IFERROR(__xludf.DUMMYFUNCTION("TRIM(REGEXREPLACE(E177, ""[0-9]+[a-f]?\."", """"))"),"")</f>
        <v/>
      </c>
      <c r="J177" s="188" t="s">
        <v>1738</v>
      </c>
      <c r="K177" s="188" t="s">
        <v>1739</v>
      </c>
      <c r="L177" s="188" t="s">
        <v>1740</v>
      </c>
    </row>
    <row r="178" hidden="1">
      <c r="A178" s="149" t="s">
        <v>256</v>
      </c>
      <c r="B178" s="148" t="s">
        <v>1741</v>
      </c>
      <c r="C178" s="190"/>
      <c r="D178" s="190"/>
      <c r="E178" s="190"/>
      <c r="F178" s="195">
        <v>98.0</v>
      </c>
      <c r="G178" s="188" t="str">
        <f>IFERROR(__xludf.DUMMYFUNCTION("TRIM(REGEXREPLACE(C178, ""[0-9]+[a-f]?\."", """"))"),"")</f>
        <v/>
      </c>
      <c r="H178" s="188" t="str">
        <f>IFERROR(__xludf.DUMMYFUNCTION("TRIM(REGEXREPLACE(D178, ""[0-9]+[a-f]?\."", """"))"),"")</f>
        <v/>
      </c>
      <c r="I178" s="188" t="str">
        <f>IFERROR(__xludf.DUMMYFUNCTION("TRIM(REGEXREPLACE(E178, ""[0-9]+[a-f]?\."", """"))"),"")</f>
        <v/>
      </c>
      <c r="J178" s="188" t="s">
        <v>1743</v>
      </c>
      <c r="K178" s="188" t="s">
        <v>1745</v>
      </c>
      <c r="L178" s="188" t="s">
        <v>1747</v>
      </c>
    </row>
    <row r="179">
      <c r="A179" s="199" t="s">
        <v>1060</v>
      </c>
      <c r="B179" s="147" t="s">
        <v>1749</v>
      </c>
      <c r="C179" s="190" t="s">
        <v>1750</v>
      </c>
      <c r="D179" s="190" t="s">
        <v>1751</v>
      </c>
      <c r="E179" s="190" t="s">
        <v>1753</v>
      </c>
      <c r="F179" s="195">
        <v>19.0</v>
      </c>
      <c r="G179" s="188" t="str">
        <f>IFERROR(__xludf.DUMMYFUNCTION("TRIM(REGEXREPLACE(C179, ""[0-9]+[a-f]?\."", """"))"),"Are you living at home in ${pm_home_location}?")</f>
        <v>Are you living at home in ${pm_home_location}?</v>
      </c>
      <c r="H179" s="188" t="str">
        <f>IFERROR(__xludf.DUMMYFUNCTION("TRIM(REGEXREPLACE(D179, ""[0-9]+[a-f]?\."", """"))"),"Habitez-vous chez vous à ${pm_home_location}?")</f>
        <v>Habitez-vous chez vous à ${pm_home_location}?</v>
      </c>
      <c r="I179" s="188" t="str">
        <f>IFERROR(__xludf.DUMMYFUNCTION("TRIM(REGEXREPLACE(E179, ""[0-9]+[a-f]?\."", """"))"),"Kuna zaune a gida a ${pm_home_location}?")</f>
        <v>Kuna zaune a gida a ${pm_home_location}?</v>
      </c>
      <c r="J179" s="188" t="s">
        <v>1754</v>
      </c>
      <c r="K179" s="188" t="s">
        <v>1755</v>
      </c>
      <c r="L179" s="188" t="s">
        <v>1756</v>
      </c>
    </row>
    <row r="180">
      <c r="A180" s="199" t="s">
        <v>1060</v>
      </c>
      <c r="B180" s="147" t="s">
        <v>1758</v>
      </c>
      <c r="C180" s="190" t="s">
        <v>1760</v>
      </c>
      <c r="D180" s="190" t="s">
        <v>1762</v>
      </c>
      <c r="E180" s="190" t="s">
        <v>1763</v>
      </c>
      <c r="F180" s="195">
        <v>20.0</v>
      </c>
      <c r="G180" s="188" t="str">
        <f>IFERROR(__xludf.DUMMYFUNCTION("TRIM(REGEXREPLACE(C180, ""[0-9]+[a-f]?\."", """"))"),"Are you married?")</f>
        <v>Are you married?</v>
      </c>
      <c r="H180" s="188" t="str">
        <f>IFERROR(__xludf.DUMMYFUNCTION("TRIM(REGEXREPLACE(D180, ""[0-9]+[a-f]?\."", """"))"),"Êtes-vous marié?")</f>
        <v>Êtes-vous marié?</v>
      </c>
      <c r="I180" s="188" t="str">
        <f>IFERROR(__xludf.DUMMYFUNCTION("TRIM(REGEXREPLACE(E180, ""[0-9]+[a-f]?\."", """"))"),"Ko ka na da aure?")</f>
        <v>Ko ka na da aure?</v>
      </c>
      <c r="J180" s="188" t="s">
        <v>1765</v>
      </c>
      <c r="K180" s="188" t="s">
        <v>1766</v>
      </c>
      <c r="L180" s="188" t="s">
        <v>1767</v>
      </c>
    </row>
    <row r="181">
      <c r="A181" s="199" t="s">
        <v>1060</v>
      </c>
      <c r="B181" s="147" t="s">
        <v>1769</v>
      </c>
      <c r="C181" s="190" t="s">
        <v>1770</v>
      </c>
      <c r="D181" s="190" t="s">
        <v>1771</v>
      </c>
      <c r="E181" s="190" t="s">
        <v>1772</v>
      </c>
      <c r="F181" s="195">
        <v>21.0</v>
      </c>
      <c r="G181" s="188" t="str">
        <f>IFERROR(__xludf.DUMMYFUNCTION("TRIM(REGEXREPLACE(C181, ""[0-9]+[a-f]?\."", """"))"),"Enumerator: Is location in Niger?")</f>
        <v>Enumerator: Is location in Niger?</v>
      </c>
      <c r="H181" s="188" t="str">
        <f>IFERROR(__xludf.DUMMYFUNCTION("TRIM(REGEXREPLACE(D181, ""[0-9]+[a-f]?\."", """"))"),"Enquêteur : La localité est-elle au Niger ?")</f>
        <v>Enquêteur : La localité est-elle au Niger ?</v>
      </c>
      <c r="I181" s="188" t="str">
        <f>IFERROR(__xludf.DUMMYFUNCTION("TRIM(REGEXREPLACE(E181, ""[0-9]+[a-f]?\."", """"))"),"Ɗan bincike : Wurin a Nijar ne ?")</f>
        <v>Ɗan bincike : Wurin a Nijar ne ?</v>
      </c>
      <c r="J181" s="188" t="s">
        <v>1776</v>
      </c>
      <c r="K181" s="188" t="s">
        <v>1777</v>
      </c>
      <c r="L181" s="188" t="s">
        <v>1778</v>
      </c>
    </row>
    <row r="182">
      <c r="A182" s="199" t="s">
        <v>1779</v>
      </c>
      <c r="B182" s="147" t="s">
        <v>1780</v>
      </c>
      <c r="C182" s="190" t="s">
        <v>1781</v>
      </c>
      <c r="D182" s="190" t="s">
        <v>1782</v>
      </c>
      <c r="E182" s="190" t="s">
        <v>1784</v>
      </c>
      <c r="F182" s="195">
        <v>22.0</v>
      </c>
      <c r="G182" s="188" t="str">
        <f>IFERROR(__xludf.DUMMYFUNCTION("TRIM(REGEXREPLACE(C182, ""[0-9]+[a-f]?\."", """"))"),"Enumerator: Select region in Niger")</f>
        <v>Enumerator: Select region in Niger</v>
      </c>
      <c r="H182" s="188" t="str">
        <f>IFERROR(__xludf.DUMMYFUNCTION("TRIM(REGEXREPLACE(D182, ""[0-9]+[a-f]?\."", """"))"),"Enquêteur : Sélectionnez la région de Niger")</f>
        <v>Enquêteur : Sélectionnez la région de Niger</v>
      </c>
      <c r="I182" s="188" t="str">
        <f>IFERROR(__xludf.DUMMYFUNCTION("TRIM(REGEXREPLACE(E182, ""[0-9]+[a-f]?\."", """"))"),"Ɗan bincike: Zaɓi Jaha ɗaya a Nijar")</f>
        <v>Ɗan bincike: Zaɓi Jaha ɗaya a Nijar</v>
      </c>
      <c r="J182" s="188" t="s">
        <v>1789</v>
      </c>
      <c r="K182" s="188" t="s">
        <v>1790</v>
      </c>
      <c r="L182" s="188" t="s">
        <v>1791</v>
      </c>
    </row>
    <row r="183">
      <c r="A183" s="199" t="s">
        <v>1792</v>
      </c>
      <c r="B183" s="147" t="s">
        <v>1794</v>
      </c>
      <c r="C183" s="190" t="s">
        <v>1795</v>
      </c>
      <c r="D183" s="190" t="s">
        <v>1796</v>
      </c>
      <c r="E183" s="190" t="s">
        <v>1797</v>
      </c>
      <c r="F183" s="195">
        <v>23.0</v>
      </c>
      <c r="G183" s="188" t="str">
        <f>IFERROR(__xludf.DUMMYFUNCTION("TRIM(REGEXREPLACE(C183, ""[0-9]+[a-f]?\."", """"))"),"Enumerator: Select country")</f>
        <v>Enumerator: Select country</v>
      </c>
      <c r="H183" s="188" t="str">
        <f>IFERROR(__xludf.DUMMYFUNCTION("TRIM(REGEXREPLACE(D183, ""[0-9]+[a-f]?\."", """"))"),"Enquêteur : sélectionnez le pays")</f>
        <v>Enquêteur : sélectionnez le pays</v>
      </c>
      <c r="I183" s="188" t="str">
        <f>IFERROR(__xludf.DUMMYFUNCTION("TRIM(REGEXREPLACE(E183, ""[0-9]+[a-f]?\."", """"))"),"Ɗan bincike: Zaɓi ƙasa")</f>
        <v>Ɗan bincike: Zaɓi ƙasa</v>
      </c>
      <c r="J183" s="188" t="s">
        <v>1798</v>
      </c>
      <c r="K183" s="188" t="s">
        <v>1799</v>
      </c>
      <c r="L183" s="188" t="s">
        <v>1801</v>
      </c>
    </row>
    <row r="184">
      <c r="A184" s="257" t="s">
        <v>220</v>
      </c>
      <c r="B184" s="240" t="s">
        <v>1805</v>
      </c>
      <c r="C184" s="190" t="s">
        <v>1807</v>
      </c>
      <c r="D184" s="190" t="s">
        <v>1808</v>
      </c>
      <c r="E184" s="190" t="s">
        <v>1809</v>
      </c>
      <c r="F184" s="195">
        <v>24.0</v>
      </c>
      <c r="G184" s="188" t="str">
        <f>IFERROR(__xludf.DUMMYFUNCTION("TRIM(REGEXREPLACE(C184, ""[0-9]+[a-f]?\."", """"))"),"Enumerator: Enter other country")</f>
        <v>Enumerator: Enter other country</v>
      </c>
      <c r="H184" s="188" t="str">
        <f>IFERROR(__xludf.DUMMYFUNCTION("TRIM(REGEXREPLACE(D184, ""[0-9]+[a-f]?\."", """"))"),"Enquêteur : Entrez un autre pays")</f>
        <v>Enquêteur : Entrez un autre pays</v>
      </c>
      <c r="I184" s="188" t="str">
        <f>IFERROR(__xludf.DUMMYFUNCTION("TRIM(REGEXREPLACE(E184, ""[0-9]+[a-f]?\."", """"))"),"Ɗan bincike: Shigar da wata ƙasa")</f>
        <v>Ɗan bincike: Shigar da wata ƙasa</v>
      </c>
      <c r="J184" s="188" t="s">
        <v>1811</v>
      </c>
      <c r="K184" s="188" t="s">
        <v>1812</v>
      </c>
      <c r="L184" s="188" t="s">
        <v>1813</v>
      </c>
    </row>
    <row r="185">
      <c r="A185" s="199" t="s">
        <v>1814</v>
      </c>
      <c r="B185" s="147" t="s">
        <v>1815</v>
      </c>
      <c r="C185" s="190" t="s">
        <v>1816</v>
      </c>
      <c r="D185" s="190" t="s">
        <v>1817</v>
      </c>
      <c r="E185" s="190" t="s">
        <v>1818</v>
      </c>
      <c r="F185" s="195">
        <v>25.0</v>
      </c>
      <c r="G185" s="188" t="str">
        <f>IFERROR(__xludf.DUMMYFUNCTION("TRIM(REGEXREPLACE(C185, ""[0-9]+[a-f]?\."", """"))"),"Enumerator: Select town")</f>
        <v>Enumerator: Select town</v>
      </c>
      <c r="H185" s="188" t="str">
        <f>IFERROR(__xludf.DUMMYFUNCTION("TRIM(REGEXREPLACE(D185, ""[0-9]+[a-f]?\."", """"))"),"Enquêteur : Sélectionnez la ville")</f>
        <v>Enquêteur : Sélectionnez la ville</v>
      </c>
      <c r="I185" s="188" t="str">
        <f>IFERROR(__xludf.DUMMYFUNCTION("TRIM(REGEXREPLACE(E185, ""[0-9]+[a-f]?\."", """"))"),"Ɗan bincike: Zaɓi gari")</f>
        <v>Ɗan bincike: Zaɓi gari</v>
      </c>
      <c r="J185" s="188" t="s">
        <v>1822</v>
      </c>
      <c r="K185" s="188" t="s">
        <v>1823</v>
      </c>
      <c r="L185" s="188" t="s">
        <v>1824</v>
      </c>
    </row>
    <row r="186" hidden="1">
      <c r="A186" s="201" t="s">
        <v>112</v>
      </c>
      <c r="B186" s="202" t="s">
        <v>1827</v>
      </c>
      <c r="C186" s="190"/>
      <c r="D186" s="190"/>
      <c r="E186" s="190"/>
      <c r="F186" s="195">
        <v>104.0</v>
      </c>
      <c r="G186" s="188" t="str">
        <f>IFERROR(__xludf.DUMMYFUNCTION("TRIM(REGEXREPLACE(C186, ""[0-9]+[a-f]?\."", """"))"),"")</f>
        <v/>
      </c>
      <c r="H186" s="188" t="str">
        <f>IFERROR(__xludf.DUMMYFUNCTION("TRIM(REGEXREPLACE(D186, ""[0-9]+[a-f]?\."", """"))"),"")</f>
        <v/>
      </c>
      <c r="I186" s="188" t="str">
        <f>IFERROR(__xludf.DUMMYFUNCTION("TRIM(REGEXREPLACE(E186, ""[0-9]+[a-f]?\."", """"))"),"")</f>
        <v/>
      </c>
      <c r="J186" s="188" t="s">
        <v>1833</v>
      </c>
      <c r="K186" s="188" t="s">
        <v>1834</v>
      </c>
      <c r="L186" s="188" t="s">
        <v>1835</v>
      </c>
    </row>
    <row r="187" hidden="1">
      <c r="A187" s="201" t="s">
        <v>112</v>
      </c>
      <c r="B187" s="202" t="s">
        <v>1836</v>
      </c>
      <c r="C187" s="190"/>
      <c r="D187" s="190"/>
      <c r="E187" s="190"/>
      <c r="F187" s="195">
        <v>105.0</v>
      </c>
      <c r="G187" s="188" t="str">
        <f>IFERROR(__xludf.DUMMYFUNCTION("TRIM(REGEXREPLACE(C187, ""[0-9]+[a-f]?\."", """"))"),"")</f>
        <v/>
      </c>
      <c r="H187" s="188" t="str">
        <f>IFERROR(__xludf.DUMMYFUNCTION("TRIM(REGEXREPLACE(D187, ""[0-9]+[a-f]?\."", """"))"),"")</f>
        <v/>
      </c>
      <c r="I187" s="188" t="str">
        <f>IFERROR(__xludf.DUMMYFUNCTION("TRIM(REGEXREPLACE(E187, ""[0-9]+[a-f]?\."", """"))"),"")</f>
        <v/>
      </c>
      <c r="J187" s="188" t="s">
        <v>1837</v>
      </c>
      <c r="K187" s="188" t="s">
        <v>1838</v>
      </c>
      <c r="L187" s="188" t="s">
        <v>1839</v>
      </c>
    </row>
    <row r="188" hidden="1">
      <c r="A188" s="201" t="s">
        <v>112</v>
      </c>
      <c r="B188" s="202" t="s">
        <v>1841</v>
      </c>
      <c r="C188" s="190" t="s">
        <v>1843</v>
      </c>
      <c r="D188" s="190"/>
      <c r="E188" s="190"/>
      <c r="F188" s="195">
        <v>106.0</v>
      </c>
      <c r="G188" s="188" t="str">
        <f>IFERROR(__xludf.DUMMYFUNCTION("TRIM(REGEXREPLACE(C188, ""[0-9]+[a-f]?\."", """"))"),"Calculate current location")</f>
        <v>Calculate current location</v>
      </c>
      <c r="H188" s="188" t="str">
        <f>IFERROR(__xludf.DUMMYFUNCTION("TRIM(REGEXREPLACE(D188, ""[0-9]+[a-f]?\."", """"))"),"")</f>
        <v/>
      </c>
      <c r="I188" s="188" t="str">
        <f>IFERROR(__xludf.DUMMYFUNCTION("TRIM(REGEXREPLACE(E188, ""[0-9]+[a-f]?\."", """"))"),"")</f>
        <v/>
      </c>
      <c r="J188" s="188" t="s">
        <v>1846</v>
      </c>
      <c r="K188" s="188" t="s">
        <v>1848</v>
      </c>
      <c r="L188" s="188" t="s">
        <v>1849</v>
      </c>
    </row>
    <row r="189">
      <c r="A189" s="199" t="s">
        <v>1850</v>
      </c>
      <c r="B189" s="147" t="s">
        <v>1851</v>
      </c>
      <c r="C189" s="190" t="s">
        <v>1852</v>
      </c>
      <c r="D189" s="190" t="s">
        <v>1853</v>
      </c>
      <c r="E189" s="190" t="s">
        <v>1854</v>
      </c>
      <c r="F189" s="195">
        <v>26.0</v>
      </c>
      <c r="G189" s="188" t="str">
        <f>IFERROR(__xludf.DUMMYFUNCTION("TRIM(REGEXREPLACE(C189, ""[0-9]+[a-f]?\."", """"))"),"What is the main reason you are living in ${shm_current_location}?")</f>
        <v>What is the main reason you are living in ${shm_current_location}?</v>
      </c>
      <c r="H189" s="188" t="str">
        <f>IFERROR(__xludf.DUMMYFUNCTION("TRIM(REGEXREPLACE(D189, ""[0-9]+[a-f]?\."", """"))"),"Quelle est la principale raison pour laquelle vous vivez dans ${shm_current_location}?")</f>
        <v>Quelle est la principale raison pour laquelle vous vivez dans ${shm_current_location}?</v>
      </c>
      <c r="I189" s="188" t="str">
        <f>IFERROR(__xludf.DUMMYFUNCTION("TRIM(REGEXREPLACE(E189, ""[0-9]+[a-f]?\."", """"))"),"Menene babban dalilin da yasa kuke rayuwa a ${shm_current_location}?")</f>
        <v>Menene babban dalilin da yasa kuke rayuwa a ${shm_current_location}?</v>
      </c>
      <c r="J189" s="188" t="s">
        <v>1855</v>
      </c>
      <c r="K189" s="188" t="s">
        <v>1856</v>
      </c>
      <c r="L189" s="188" t="s">
        <v>1857</v>
      </c>
    </row>
    <row r="190">
      <c r="A190" s="258" t="s">
        <v>247</v>
      </c>
      <c r="B190" s="259" t="s">
        <v>1860</v>
      </c>
      <c r="C190" s="190" t="s">
        <v>1864</v>
      </c>
      <c r="D190" s="190" t="s">
        <v>1866</v>
      </c>
      <c r="E190" s="190" t="s">
        <v>1868</v>
      </c>
      <c r="F190" s="195">
        <v>27.0</v>
      </c>
      <c r="G190" s="188" t="str">
        <f>IFERROR(__xludf.DUMMYFUNCTION("TRIM(REGEXREPLACE(C190, ""[0-9]+[a-f]?\."", """"))"),"How long have you been in ${shm_current_location} in weeks?")</f>
        <v>How long have you been in ${shm_current_location} in weeks?</v>
      </c>
      <c r="H190" s="188" t="str">
        <f>IFERROR(__xludf.DUMMYFUNCTION("TRIM(REGEXREPLACE(D190, ""[0-9]+[a-f]?\."", """"))"),"Depuis combien de temps êtes-vous dans ${shm_current_location} en semaines?")</f>
        <v>Depuis combien de temps êtes-vous dans ${shm_current_location} en semaines?</v>
      </c>
      <c r="I190" s="188" t="str">
        <f>IFERROR(__xludf.DUMMYFUNCTION("TRIM(REGEXREPLACE(E190, ""[0-9]+[a-f]?\."", """"))"),"Tun yaushe kuke a ${shm_current_location} a makonni?")</f>
        <v>Tun yaushe kuke a ${shm_current_location} a makonni?</v>
      </c>
      <c r="J190" s="188" t="s">
        <v>1871</v>
      </c>
      <c r="K190" s="188" t="s">
        <v>1872</v>
      </c>
      <c r="L190" s="188" t="s">
        <v>1873</v>
      </c>
    </row>
    <row r="191" hidden="1">
      <c r="A191" s="149" t="s">
        <v>256</v>
      </c>
      <c r="B191" s="148" t="s">
        <v>1874</v>
      </c>
      <c r="C191" s="190"/>
      <c r="D191" s="190"/>
      <c r="E191" s="190"/>
      <c r="F191" s="195">
        <v>108.0</v>
      </c>
      <c r="G191" s="188" t="str">
        <f>IFERROR(__xludf.DUMMYFUNCTION("TRIM(REGEXREPLACE(C191, ""[0-9]+[a-f]?\."", """"))"),"")</f>
        <v/>
      </c>
      <c r="H191" s="188" t="str">
        <f>IFERROR(__xludf.DUMMYFUNCTION("TRIM(REGEXREPLACE(D191, ""[0-9]+[a-f]?\."", """"))"),"")</f>
        <v/>
      </c>
      <c r="I191" s="188" t="str">
        <f>IFERROR(__xludf.DUMMYFUNCTION("TRIM(REGEXREPLACE(E191, ""[0-9]+[a-f]?\."", """"))"),"")</f>
        <v/>
      </c>
      <c r="J191" s="188" t="s">
        <v>1878</v>
      </c>
      <c r="K191" s="188" t="s">
        <v>1879</v>
      </c>
      <c r="L191" s="188" t="s">
        <v>1880</v>
      </c>
    </row>
    <row r="192" hidden="1">
      <c r="A192" s="210" t="s">
        <v>112</v>
      </c>
      <c r="B192" s="261" t="s">
        <v>1881</v>
      </c>
      <c r="C192" s="190"/>
      <c r="D192" s="190"/>
      <c r="E192" s="190"/>
      <c r="F192" s="195">
        <v>109.0</v>
      </c>
      <c r="G192" s="188" t="str">
        <f>IFERROR(__xludf.DUMMYFUNCTION("TRIM(REGEXREPLACE(C192, ""[0-9]+[a-f]?\."", """"))"),"")</f>
        <v/>
      </c>
      <c r="H192" s="188" t="str">
        <f>IFERROR(__xludf.DUMMYFUNCTION("TRIM(REGEXREPLACE(D192, ""[0-9]+[a-f]?\."", """"))"),"")</f>
        <v/>
      </c>
      <c r="I192" s="188" t="str">
        <f>IFERROR(__xludf.DUMMYFUNCTION("TRIM(REGEXREPLACE(E192, ""[0-9]+[a-f]?\."", """"))"),"")</f>
        <v/>
      </c>
      <c r="J192" s="188" t="s">
        <v>1885</v>
      </c>
      <c r="K192" s="188" t="s">
        <v>1886</v>
      </c>
      <c r="L192" s="188" t="s">
        <v>1887</v>
      </c>
    </row>
    <row r="193" hidden="1">
      <c r="A193" s="255" t="s">
        <v>331</v>
      </c>
      <c r="B193" s="152" t="s">
        <v>1733</v>
      </c>
      <c r="C193" s="190" t="s">
        <v>1734</v>
      </c>
      <c r="D193" s="190"/>
      <c r="E193" s="190"/>
      <c r="F193" s="195">
        <v>110.0</v>
      </c>
      <c r="G193" s="188" t="str">
        <f>IFERROR(__xludf.DUMMYFUNCTION("TRIM(REGEXREPLACE(C193, ""[0-9]+[a-f]?\."", """"))"),"Questions if at home")</f>
        <v>Questions if at home</v>
      </c>
      <c r="H193" s="188" t="str">
        <f>IFERROR(__xludf.DUMMYFUNCTION("TRIM(REGEXREPLACE(D193, ""[0-9]+[a-f]?\."", """"))"),"")</f>
        <v/>
      </c>
      <c r="I193" s="188" t="str">
        <f>IFERROR(__xludf.DUMMYFUNCTION("TRIM(REGEXREPLACE(E193, ""[0-9]+[a-f]?\."", """"))"),"")</f>
        <v/>
      </c>
      <c r="J193" s="188" t="s">
        <v>1888</v>
      </c>
      <c r="K193" s="188" t="s">
        <v>1889</v>
      </c>
      <c r="L193" s="188" t="s">
        <v>1890</v>
      </c>
    </row>
    <row r="194" hidden="1">
      <c r="A194" s="262"/>
      <c r="B194" s="263"/>
      <c r="C194" s="190" t="s">
        <v>55</v>
      </c>
      <c r="D194" s="190" t="s">
        <v>55</v>
      </c>
      <c r="E194" s="190" t="s">
        <v>55</v>
      </c>
      <c r="F194" s="195">
        <v>111.0</v>
      </c>
      <c r="G194" s="188" t="str">
        <f>IFERROR(__xludf.DUMMYFUNCTION("TRIM(REGEXREPLACE(C194, ""[0-9]+[a-f]?\."", """"))"),"")</f>
        <v/>
      </c>
      <c r="H194" s="188" t="str">
        <f>IFERROR(__xludf.DUMMYFUNCTION("TRIM(REGEXREPLACE(D194, ""[0-9]+[a-f]?\."", """"))"),"")</f>
        <v/>
      </c>
      <c r="I194" s="188" t="str">
        <f>IFERROR(__xludf.DUMMYFUNCTION("TRIM(REGEXREPLACE(E194, ""[0-9]+[a-f]?\."", """"))"),"")</f>
        <v/>
      </c>
      <c r="J194" s="188" t="s">
        <v>1896</v>
      </c>
      <c r="K194" s="188" t="s">
        <v>1897</v>
      </c>
      <c r="L194" s="188" t="s">
        <v>1898</v>
      </c>
    </row>
    <row r="195" hidden="1">
      <c r="A195" s="149" t="s">
        <v>256</v>
      </c>
      <c r="B195" s="148" t="s">
        <v>1899</v>
      </c>
      <c r="C195" s="190"/>
      <c r="D195" s="190"/>
      <c r="E195" s="190"/>
      <c r="F195" s="195">
        <v>112.0</v>
      </c>
      <c r="G195" s="188" t="str">
        <f>IFERROR(__xludf.DUMMYFUNCTION("TRIM(REGEXREPLACE(C195, ""[0-9]+[a-f]?\."", """"))"),"")</f>
        <v/>
      </c>
      <c r="H195" s="188" t="str">
        <f>IFERROR(__xludf.DUMMYFUNCTION("TRIM(REGEXREPLACE(D195, ""[0-9]+[a-f]?\."", """"))"),"")</f>
        <v/>
      </c>
      <c r="I195" s="188" t="str">
        <f>IFERROR(__xludf.DUMMYFUNCTION("TRIM(REGEXREPLACE(E195, ""[0-9]+[a-f]?\."", """"))"),"")</f>
        <v/>
      </c>
      <c r="J195" s="188" t="s">
        <v>1904</v>
      </c>
      <c r="K195" s="188" t="s">
        <v>1905</v>
      </c>
      <c r="L195" s="188" t="s">
        <v>1906</v>
      </c>
    </row>
    <row r="196">
      <c r="A196" s="238" t="s">
        <v>46</v>
      </c>
      <c r="B196" s="132" t="s">
        <v>1907</v>
      </c>
      <c r="C196" s="190" t="s">
        <v>1908</v>
      </c>
      <c r="D196" s="190" t="s">
        <v>1909</v>
      </c>
      <c r="E196" s="190" t="s">
        <v>1910</v>
      </c>
      <c r="F196" s="195">
        <v>28.0</v>
      </c>
      <c r="G196" s="188" t="str">
        <f>IFERROR(__xludf.DUMMYFUNCTION("TRIM(REGEXREPLACE(C196, ""[0-9]+[a-f]?\."", """"))"),"I would like to ask you a few questions about your health and wellbeing")</f>
        <v>I would like to ask you a few questions about your health and wellbeing</v>
      </c>
      <c r="H196" s="188" t="str">
        <f>IFERROR(__xludf.DUMMYFUNCTION("TRIM(REGEXREPLACE(D196, ""[0-9]+[a-f]?\."", """"))"),"Je voudrais vous poser quelques questions sur votre santé et votre bien-être")</f>
        <v>Je voudrais vous poser quelques questions sur votre santé et votre bien-être</v>
      </c>
      <c r="I196" s="188" t="str">
        <f>IFERROR(__xludf.DUMMYFUNCTION("TRIM(REGEXREPLACE(E196, ""[0-9]+[a-f]?\."", """"))"),"Ina so in yi muku wasu ƴan tambayoyi game da lafiyar jikinku da jin daɗin ku")</f>
        <v>Ina so in yi muku wasu ƴan tambayoyi game da lafiyar jikinku da jin daɗin ku</v>
      </c>
      <c r="J196" s="188" t="s">
        <v>1912</v>
      </c>
      <c r="K196" s="188" t="s">
        <v>1913</v>
      </c>
      <c r="L196" s="188" t="s">
        <v>1914</v>
      </c>
    </row>
    <row r="197">
      <c r="A197" s="199" t="s">
        <v>1916</v>
      </c>
      <c r="B197" s="147" t="s">
        <v>1918</v>
      </c>
      <c r="C197" s="190" t="s">
        <v>1920</v>
      </c>
      <c r="D197" s="190" t="s">
        <v>1921</v>
      </c>
      <c r="E197" s="190" t="s">
        <v>1922</v>
      </c>
      <c r="F197" s="195">
        <v>29.0</v>
      </c>
      <c r="G197" s="188" t="str">
        <f>IFERROR(__xludf.DUMMYFUNCTION("TRIM(REGEXREPLACE(C197, ""[0-9]+[a-f]?\."", """"))"),"In general, how would you characterize your physical health?")</f>
        <v>In general, how would you characterize your physical health?</v>
      </c>
      <c r="H197" s="188" t="str">
        <f>IFERROR(__xludf.DUMMYFUNCTION("TRIM(REGEXREPLACE(D197, ""[0-9]+[a-f]?\."", """"))"),"En général, comment caractériseriez-vous votre santé physique ?")</f>
        <v>En général, comment caractériseriez-vous votre santé physique ?</v>
      </c>
      <c r="I197" s="188" t="str">
        <f>IFERROR(__xludf.DUMMYFUNCTION("TRIM(REGEXREPLACE(E197, ""[0-9]+[a-f]?\."", """"))"),"A taƙaice, yaya za ku siffanta lafiyar jikin ku?")</f>
        <v>A taƙaice, yaya za ku siffanta lafiyar jikin ku?</v>
      </c>
      <c r="J197" s="188" t="s">
        <v>1923</v>
      </c>
      <c r="K197" s="188" t="s">
        <v>1924</v>
      </c>
      <c r="L197" s="188" t="s">
        <v>1925</v>
      </c>
    </row>
    <row r="198">
      <c r="A198" s="199" t="s">
        <v>1060</v>
      </c>
      <c r="B198" s="147" t="s">
        <v>1926</v>
      </c>
      <c r="C198" s="190" t="s">
        <v>1927</v>
      </c>
      <c r="D198" s="190" t="s">
        <v>1928</v>
      </c>
      <c r="E198" s="190" t="s">
        <v>1929</v>
      </c>
      <c r="F198" s="195">
        <v>30.0</v>
      </c>
      <c r="G198" s="188" t="str">
        <f>IFERROR(__xludf.DUMMYFUNCTION("TRIM(REGEXREPLACE(C198, ""[0-9]+[a-f]?\."", """"))"),"Do you currently suffer from any illness or disability that limits your ability to travel or work?")</f>
        <v>Do you currently suffer from any illness or disability that limits your ability to travel or work?</v>
      </c>
      <c r="H198" s="188" t="str">
        <f>IFERROR(__xludf.DUMMYFUNCTION("TRIM(REGEXREPLACE(D198, ""[0-9]+[a-f]?\."", """"))"),"Souffrez-vous actuellement d'une maladie ou d'un handicap qui limite votre capacité à voyager ou à travailler ?")</f>
        <v>Souffrez-vous actuellement d'une maladie ou d'un handicap qui limite votre capacité à voyager ou à travailler ?</v>
      </c>
      <c r="I198" s="188" t="str">
        <f>IFERROR(__xludf.DUMMYFUNCTION("TRIM(REGEXREPLACE(E198, ""[0-9]+[a-f]?\."", """"))"),"A halin yanzu, ko kuna fama da wata rashin lafiya ko naƙasa da ke iya kawo muku cikas game da tahiya bulaguro ko yin aiki?")</f>
        <v>A halin yanzu, ko kuna fama da wata rashin lafiya ko naƙasa da ke iya kawo muku cikas game da tahiya bulaguro ko yin aiki?</v>
      </c>
      <c r="J198" s="188" t="s">
        <v>1934</v>
      </c>
      <c r="K198" s="188" t="s">
        <v>1935</v>
      </c>
      <c r="L198" s="188" t="s">
        <v>1936</v>
      </c>
    </row>
    <row r="199">
      <c r="A199" s="199" t="s">
        <v>1937</v>
      </c>
      <c r="B199" s="147" t="s">
        <v>1938</v>
      </c>
      <c r="C199" s="190" t="s">
        <v>1939</v>
      </c>
      <c r="D199" s="190" t="s">
        <v>1940</v>
      </c>
      <c r="E199" s="190" t="s">
        <v>1941</v>
      </c>
      <c r="F199" s="195">
        <v>31.0</v>
      </c>
      <c r="G199" s="188" t="str">
        <f>IFERROR(__xludf.DUMMYFUNCTION("TRIM(REGEXREPLACE(C199, ""[0-9]+[a-f]?\."", """"))"),"What illness limits you in this way?")</f>
        <v>What illness limits you in this way?</v>
      </c>
      <c r="H199" s="188" t="str">
        <f>IFERROR(__xludf.DUMMYFUNCTION("TRIM(REGEXREPLACE(D199, ""[0-9]+[a-f]?\."", """"))"),"Quelle maladie vous limite de cette manière ?")</f>
        <v>Quelle maladie vous limite de cette manière ?</v>
      </c>
      <c r="I199" s="188" t="str">
        <f>IFERROR(__xludf.DUMMYFUNCTION("TRIM(REGEXREPLACE(E199, ""[0-9]+[a-f]?\."", """"))"),"Wace cuta ce ke tsaida ku a kan wannan?")</f>
        <v>Wace cuta ce ke tsaida ku a kan wannan?</v>
      </c>
      <c r="J199" s="188" t="s">
        <v>1942</v>
      </c>
      <c r="K199" s="188" t="s">
        <v>1943</v>
      </c>
      <c r="L199" s="188" t="s">
        <v>1944</v>
      </c>
    </row>
    <row r="200">
      <c r="A200" s="257" t="s">
        <v>220</v>
      </c>
      <c r="B200" s="240" t="s">
        <v>1945</v>
      </c>
      <c r="C200" s="190" t="s">
        <v>1946</v>
      </c>
      <c r="D200" s="190" t="s">
        <v>1947</v>
      </c>
      <c r="E200" s="190" t="s">
        <v>1948</v>
      </c>
      <c r="F200" s="195">
        <v>32.0</v>
      </c>
      <c r="G200" s="188" t="str">
        <f>IFERROR(__xludf.DUMMYFUNCTION("TRIM(REGEXREPLACE(C200, ""[0-9]+[a-f]?\."", """"))"),"Other, specify:")</f>
        <v>Other, specify:</v>
      </c>
      <c r="H200" s="188" t="str">
        <f>IFERROR(__xludf.DUMMYFUNCTION("TRIM(REGEXREPLACE(D200, ""[0-9]+[a-f]?\."", """"))"),"Autre précisez:")</f>
        <v>Autre précisez:</v>
      </c>
      <c r="I200" s="188" t="str">
        <f>IFERROR(__xludf.DUMMYFUNCTION("TRIM(REGEXREPLACE(E200, ""[0-9]+[a-f]?\."", """"))"),"Sauran, bayar da cikakkun bayanai:")</f>
        <v>Sauran, bayar da cikakkun bayanai:</v>
      </c>
      <c r="J200" s="188" t="s">
        <v>1949</v>
      </c>
      <c r="K200" s="188" t="s">
        <v>1950</v>
      </c>
      <c r="L200" s="188" t="s">
        <v>1952</v>
      </c>
    </row>
    <row r="201">
      <c r="A201" s="199" t="s">
        <v>1060</v>
      </c>
      <c r="B201" s="147" t="s">
        <v>1953</v>
      </c>
      <c r="C201" s="190" t="s">
        <v>1954</v>
      </c>
      <c r="D201" s="190" t="s">
        <v>1955</v>
      </c>
      <c r="E201" s="190" t="s">
        <v>1956</v>
      </c>
      <c r="F201" s="195">
        <v>33.0</v>
      </c>
      <c r="G201" s="188" t="str">
        <f>IFERROR(__xludf.DUMMYFUNCTION("TRIM(REGEXREPLACE(C201, ""[0-9]+[a-f]?\."", """"))"),"In the past six months, did you suffer from an illness or injury that disrupted your daily life?")</f>
        <v>In the past six months, did you suffer from an illness or injury that disrupted your daily life?</v>
      </c>
      <c r="H201" s="188" t="str">
        <f>IFERROR(__xludf.DUMMYFUNCTION("TRIM(REGEXREPLACE(D201, ""[0-9]+[a-f]?\."", """"))"),"Au cours des six derniers mois, avez-vous souffert d'une maladie ou d'une blessure qui a perturbé votre quotidien ?")</f>
        <v>Au cours des six derniers mois, avez-vous souffert d'une maladie ou d'une blessure qui a perturbé votre quotidien ?</v>
      </c>
      <c r="I201" s="188" t="str">
        <f>IFERROR(__xludf.DUMMYFUNCTION("TRIM(REGEXREPLACE(E201, ""[0-9]+[a-f]?\."", """"))"),"A cikin watanni shida da suka gabata, ko kun yi fama da rashin lafiya ko rauni wanda ya kawo cikas ga rayuwar ku ta yau da kullun?")</f>
        <v>A cikin watanni shida da suka gabata, ko kun yi fama da rashin lafiya ko rauni wanda ya kawo cikas ga rayuwar ku ta yau da kullun?</v>
      </c>
      <c r="J201" s="188" t="s">
        <v>1957</v>
      </c>
      <c r="K201" s="188" t="s">
        <v>1958</v>
      </c>
      <c r="L201" s="188" t="s">
        <v>1959</v>
      </c>
    </row>
    <row r="202">
      <c r="A202" s="199" t="s">
        <v>1937</v>
      </c>
      <c r="B202" s="147" t="s">
        <v>1960</v>
      </c>
      <c r="C202" s="190" t="s">
        <v>1961</v>
      </c>
      <c r="D202" s="190" t="s">
        <v>1962</v>
      </c>
      <c r="E202" s="190" t="s">
        <v>1963</v>
      </c>
      <c r="F202" s="195">
        <v>34.0</v>
      </c>
      <c r="G202" s="188" t="str">
        <f>IFERROR(__xludf.DUMMYFUNCTION("TRIM(REGEXREPLACE(C202, ""[0-9]+[a-f]?\."", """"))"),"What type of illness or injury did you experience?")</f>
        <v>What type of illness or injury did you experience?</v>
      </c>
      <c r="H202" s="188" t="str">
        <f>IFERROR(__xludf.DUMMYFUNCTION("TRIM(REGEXREPLACE(D202, ""[0-9]+[a-f]?\."", """"))"),"Preciser le type de maladie ou de blessure")</f>
        <v>Preciser le type de maladie ou de blessure</v>
      </c>
      <c r="I202" s="188" t="str">
        <f>IFERROR(__xludf.DUMMYFUNCTION("TRIM(REGEXREPLACE(E202, ""[0-9]+[a-f]?\."", """"))"),"Baiyana irin ciwo ko raunin da kuka yi fama da shi?")</f>
        <v>Baiyana irin ciwo ko raunin da kuka yi fama da shi?</v>
      </c>
      <c r="J202" s="188" t="s">
        <v>1964</v>
      </c>
      <c r="K202" s="188" t="s">
        <v>1965</v>
      </c>
      <c r="L202" s="188" t="s">
        <v>1966</v>
      </c>
    </row>
    <row r="203">
      <c r="A203" s="257" t="s">
        <v>220</v>
      </c>
      <c r="B203" s="240" t="s">
        <v>1967</v>
      </c>
      <c r="C203" s="190" t="s">
        <v>1968</v>
      </c>
      <c r="D203" s="190" t="s">
        <v>1969</v>
      </c>
      <c r="E203" s="190" t="s">
        <v>1970</v>
      </c>
      <c r="F203" s="195">
        <v>35.0</v>
      </c>
      <c r="G203" s="188" t="str">
        <f>IFERROR(__xludf.DUMMYFUNCTION("TRIM(REGEXREPLACE(C203, ""[0-9]+[a-f]?\."", """"))"),"Specify other illness or injury")</f>
        <v>Specify other illness or injury</v>
      </c>
      <c r="H203" s="188" t="str">
        <f>IFERROR(__xludf.DUMMYFUNCTION("TRIM(REGEXREPLACE(D203, ""[0-9]+[a-f]?\."", """"))"),"Preciser le type de maladie ou de blessure")</f>
        <v>Preciser le type de maladie ou de blessure</v>
      </c>
      <c r="I203" s="188" t="str">
        <f>IFERROR(__xludf.DUMMYFUNCTION("TRIM(REGEXREPLACE(E203, ""[0-9]+[a-f]?\."", """"))"),"Baiyana irin ciwo ko raunin da kuka fama?")</f>
        <v>Baiyana irin ciwo ko raunin da kuka fama?</v>
      </c>
      <c r="J203" s="188" t="s">
        <v>1972</v>
      </c>
      <c r="K203" s="188" t="s">
        <v>1962</v>
      </c>
      <c r="L203" s="188" t="s">
        <v>1974</v>
      </c>
    </row>
    <row r="204">
      <c r="A204" s="199" t="s">
        <v>1060</v>
      </c>
      <c r="B204" s="147" t="s">
        <v>1975</v>
      </c>
      <c r="C204" s="190" t="s">
        <v>1977</v>
      </c>
      <c r="D204" s="190" t="s">
        <v>1978</v>
      </c>
      <c r="E204" s="190" t="s">
        <v>1980</v>
      </c>
      <c r="F204" s="195">
        <v>36.0</v>
      </c>
      <c r="G204" s="188" t="str">
        <f>IFERROR(__xludf.DUMMYFUNCTION("TRIM(REGEXREPLACE(C204, ""[0-9]+[a-f]?\."", """"))"),"Did you seek any treatment for any illness or injury?")</f>
        <v>Did you seek any treatment for any illness or injury?</v>
      </c>
      <c r="H204" s="188" t="str">
        <f>IFERROR(__xludf.DUMMYFUNCTION("TRIM(REGEXREPLACE(D204, ""[0-9]+[a-f]?\."", """"))"),"Avez-vous cherché un traitement pour une maladie ou une blessure ?")</f>
        <v>Avez-vous cherché un traitement pour une maladie ou une blessure ?</v>
      </c>
      <c r="I204" s="188" t="str">
        <f>IFERROR(__xludf.DUMMYFUNCTION("TRIM(REGEXREPLACE(E204, ""[0-9]+[a-f]?\."", """"))"),"Ko kun nemi wani magani don wata cuta ko rauni?")</f>
        <v>Ko kun nemi wani magani don wata cuta ko rauni?</v>
      </c>
      <c r="J204" s="188" t="s">
        <v>1982</v>
      </c>
      <c r="K204" s="188" t="s">
        <v>1983</v>
      </c>
      <c r="L204" s="188" t="s">
        <v>1984</v>
      </c>
    </row>
    <row r="205">
      <c r="A205" s="238" t="s">
        <v>46</v>
      </c>
      <c r="B205" s="132" t="s">
        <v>1985</v>
      </c>
      <c r="C205" s="190" t="s">
        <v>1986</v>
      </c>
      <c r="D205" s="190" t="s">
        <v>1987</v>
      </c>
      <c r="E205" s="190" t="s">
        <v>1988</v>
      </c>
      <c r="F205" s="195">
        <v>37.0</v>
      </c>
      <c r="G205" s="188" t="str">
        <f>IFERROR(__xludf.DUMMYFUNCTION("TRIM(REGEXREPLACE(C205, ""[0-9]+[a-f]?\."", """"))"),"Now I want to ask you about the past week (7 days)")</f>
        <v>Now I want to ask you about the past week (7 days)</v>
      </c>
      <c r="H205" s="188" t="str">
        <f>IFERROR(__xludf.DUMMYFUNCTION("TRIM(REGEXREPLACE(D205, ""[0-9]+[a-f]?\."", """"))"),"Maintenant, je veux vous poser des questions sur la semaine dernière (7 jours)")</f>
        <v>Maintenant, je veux vous poser des questions sur la semaine dernière (7 jours)</v>
      </c>
      <c r="I205" s="188" t="str">
        <f>IFERROR(__xludf.DUMMYFUNCTION("TRIM(REGEXREPLACE(E205, ""[0-9]+[a-f]?\."", """"))"),"Yanzu ina son in muku tambayoyi bisa satin (makon) da ya wuce (kwana 7)")</f>
        <v>Yanzu ina son in muku tambayoyi bisa satin (makon) da ya wuce (kwana 7)</v>
      </c>
      <c r="J205" s="188" t="s">
        <v>1990</v>
      </c>
      <c r="K205" s="188" t="s">
        <v>1991</v>
      </c>
      <c r="L205" s="188" t="s">
        <v>1992</v>
      </c>
    </row>
    <row r="206">
      <c r="A206" s="258" t="s">
        <v>247</v>
      </c>
      <c r="B206" s="259" t="s">
        <v>1993</v>
      </c>
      <c r="C206" s="190" t="s">
        <v>1994</v>
      </c>
      <c r="D206" s="190" t="s">
        <v>1996</v>
      </c>
      <c r="E206" s="190" t="s">
        <v>1998</v>
      </c>
      <c r="F206" s="195">
        <v>38.0</v>
      </c>
      <c r="G206" s="188" t="str">
        <f>IFERROR(__xludf.DUMMYFUNCTION("TRIM(REGEXREPLACE(C206, ""[0-9]+[a-f]?\."", """"))"),"How many hours of sleep per night did you get on average in the last seven days?")</f>
        <v>How many hours of sleep per night did you get on average in the last seven days?</v>
      </c>
      <c r="H206" s="188" t="str">
        <f>IFERROR(__xludf.DUMMYFUNCTION("TRIM(REGEXREPLACE(D206, ""[0-9]+[a-f]?\."", """"))"),"Combien d'heures de sommeil par nuit avez-vous dormi en moyenne au cours des sept derniers jours ?")</f>
        <v>Combien d'heures de sommeil par nuit avez-vous dormi en moyenne au cours des sept derniers jours ?</v>
      </c>
      <c r="I206" s="188" t="str">
        <f>IFERROR(__xludf.DUMMYFUNCTION("TRIM(REGEXREPLACE(E206, ""[0-9]+[a-f]?\."", """"))"),"Misalin Sa'o'i nawa a taƙaice kuke yin barci a kowane dare a cikin kwanaki bakwai na ƙarshe da suka wuce?")</f>
        <v>Misalin Sa'o'i nawa a taƙaice kuke yin barci a kowane dare a cikin kwanaki bakwai na ƙarshe da suka wuce?</v>
      </c>
      <c r="J206" s="188" t="s">
        <v>2000</v>
      </c>
      <c r="K206" s="188" t="s">
        <v>2001</v>
      </c>
      <c r="L206" s="188" t="s">
        <v>2002</v>
      </c>
    </row>
    <row r="207" hidden="1">
      <c r="A207" s="255" t="s">
        <v>278</v>
      </c>
      <c r="B207" s="143" t="s">
        <v>2003</v>
      </c>
      <c r="C207" s="190"/>
      <c r="D207" s="190"/>
      <c r="E207" s="190"/>
      <c r="F207" s="195">
        <v>130.0</v>
      </c>
      <c r="G207" s="188" t="str">
        <f>IFERROR(__xludf.DUMMYFUNCTION("TRIM(REGEXREPLACE(C207, ""[0-9]+[a-f]?\."", """"))"),"")</f>
        <v/>
      </c>
      <c r="H207" s="188" t="str">
        <f>IFERROR(__xludf.DUMMYFUNCTION("TRIM(REGEXREPLACE(D207, ""[0-9]+[a-f]?\."", """"))"),"")</f>
        <v/>
      </c>
      <c r="I207" s="188" t="str">
        <f>IFERROR(__xludf.DUMMYFUNCTION("TRIM(REGEXREPLACE(E207, ""[0-9]+[a-f]?\."", """"))"),"")</f>
        <v/>
      </c>
      <c r="J207" s="188" t="s">
        <v>2008</v>
      </c>
      <c r="K207" s="188" t="s">
        <v>2009</v>
      </c>
      <c r="L207" s="188" t="s">
        <v>2010</v>
      </c>
    </row>
    <row r="208">
      <c r="A208" s="199" t="s">
        <v>2011</v>
      </c>
      <c r="B208" s="147" t="s">
        <v>2012</v>
      </c>
      <c r="C208" s="190" t="s">
        <v>2013</v>
      </c>
      <c r="D208" s="190" t="s">
        <v>2014</v>
      </c>
      <c r="E208" s="190" t="s">
        <v>2015</v>
      </c>
      <c r="F208" s="195">
        <v>39.0</v>
      </c>
      <c r="G208" s="188" t="str">
        <f>IFERROR(__xludf.DUMMYFUNCTION("TRIM(REGEXREPLACE(C208, ""[0-9]+[a-f]?\."", """"))"),"In the past week, how often did you experience the following feelings?")</f>
        <v>In the past week, how often did you experience the following feelings?</v>
      </c>
      <c r="H208" s="188" t="str">
        <f>IFERROR(__xludf.DUMMYFUNCTION("TRIM(REGEXREPLACE(D208, ""[0-9]+[a-f]?\."", """"))"),"Au cours de la semaine dernière, à quelle fréquence avez-vous ressenti les sentiments suivants ?")</f>
        <v>Au cours de la semaine dernière, à quelle fréquence avez-vous ressenti les sentiments suivants ?</v>
      </c>
      <c r="I208" s="188" t="str">
        <f>IFERROR(__xludf.DUMMYFUNCTION("TRIM(REGEXREPLACE(E208, ""[0-9]+[a-f]?\."", """"))"),"A cikin satin da ya wuce, sau nawa kuka ji irin waɗannan abubuwan a ranku?")</f>
        <v>A cikin satin da ya wuce, sau nawa kuka ji irin waɗannan abubuwan a ranku?</v>
      </c>
      <c r="J208" s="188" t="s">
        <v>2019</v>
      </c>
      <c r="K208" s="188" t="s">
        <v>2020</v>
      </c>
      <c r="L208" s="188" t="s">
        <v>2021</v>
      </c>
    </row>
    <row r="209">
      <c r="A209" s="199" t="s">
        <v>2011</v>
      </c>
      <c r="B209" s="147" t="s">
        <v>2022</v>
      </c>
      <c r="C209" s="190" t="s">
        <v>2023</v>
      </c>
      <c r="D209" s="190" t="s">
        <v>2024</v>
      </c>
      <c r="E209" s="190" t="s">
        <v>2025</v>
      </c>
      <c r="F209" s="195">
        <v>40.0</v>
      </c>
      <c r="G209" s="188" t="str">
        <f>IFERROR(__xludf.DUMMYFUNCTION("TRIM(REGEXREPLACE(C209, ""[0-9]+[a-f]?\."", """"))"),"Enjoyment")</f>
        <v>Enjoyment</v>
      </c>
      <c r="H209" s="188" t="str">
        <f>IFERROR(__xludf.DUMMYFUNCTION("TRIM(REGEXREPLACE(D209, ""[0-9]+[a-f]?\."", """"))"),"Plaisir")</f>
        <v>Plaisir</v>
      </c>
      <c r="I209" s="188" t="str">
        <f>IFERROR(__xludf.DUMMYFUNCTION("TRIM(REGEXREPLACE(E209, ""[0-9]+[a-f]?\."", """"))"),"jin daɗi")</f>
        <v>jin daɗi</v>
      </c>
      <c r="J209" s="188" t="s">
        <v>2028</v>
      </c>
      <c r="K209" s="188" t="s">
        <v>2029</v>
      </c>
      <c r="L209" s="188" t="s">
        <v>2031</v>
      </c>
    </row>
    <row r="210">
      <c r="A210" s="199" t="s">
        <v>2011</v>
      </c>
      <c r="B210" s="147" t="s">
        <v>2033</v>
      </c>
      <c r="C210" s="190" t="s">
        <v>2034</v>
      </c>
      <c r="D210" s="190" t="s">
        <v>2035</v>
      </c>
      <c r="E210" s="190" t="s">
        <v>2036</v>
      </c>
      <c r="F210" s="195">
        <v>41.0</v>
      </c>
      <c r="G210" s="188" t="str">
        <f>IFERROR(__xludf.DUMMYFUNCTION("TRIM(REGEXREPLACE(C210, ""[0-9]+[a-f]?\."", """"))"),"Happiness")</f>
        <v>Happiness</v>
      </c>
      <c r="H210" s="188" t="str">
        <f>IFERROR(__xludf.DUMMYFUNCTION("TRIM(REGEXREPLACE(D210, ""[0-9]+[a-f]?\."", """"))"),"Bonheur")</f>
        <v>Bonheur</v>
      </c>
      <c r="I210" s="188" t="str">
        <f>IFERROR(__xludf.DUMMYFUNCTION("TRIM(REGEXREPLACE(E210, ""[0-9]+[a-f]?\."", """"))"),"Farin ciki")</f>
        <v>Farin ciki</v>
      </c>
      <c r="J210" s="188" t="s">
        <v>2037</v>
      </c>
      <c r="K210" s="188" t="s">
        <v>2038</v>
      </c>
      <c r="L210" s="188" t="s">
        <v>2039</v>
      </c>
    </row>
    <row r="211">
      <c r="A211" s="199" t="s">
        <v>2011</v>
      </c>
      <c r="B211" s="147" t="s">
        <v>2040</v>
      </c>
      <c r="C211" s="190" t="s">
        <v>2041</v>
      </c>
      <c r="D211" s="190" t="s">
        <v>2041</v>
      </c>
      <c r="E211" s="190" t="s">
        <v>2042</v>
      </c>
      <c r="F211" s="195">
        <v>42.0</v>
      </c>
      <c r="G211" s="188" t="str">
        <f>IFERROR(__xludf.DUMMYFUNCTION("TRIM(REGEXREPLACE(C211, ""[0-9]+[a-f]?\."", """"))"),"Stress")</f>
        <v>Stress</v>
      </c>
      <c r="H211" s="188" t="str">
        <f>IFERROR(__xludf.DUMMYFUNCTION("TRIM(REGEXREPLACE(D211, ""[0-9]+[a-f]?\."", """"))"),"Stress")</f>
        <v>Stress</v>
      </c>
      <c r="I211" s="188" t="str">
        <f>IFERROR(__xludf.DUMMYFUNCTION("TRIM(REGEXREPLACE(E211, ""[0-9]+[a-f]?\."", """"))"),"Babbar Damuwa")</f>
        <v>Babbar Damuwa</v>
      </c>
      <c r="J211" s="188" t="s">
        <v>2046</v>
      </c>
      <c r="K211" s="188" t="s">
        <v>2046</v>
      </c>
      <c r="L211" s="188" t="s">
        <v>2047</v>
      </c>
    </row>
    <row r="212">
      <c r="A212" s="199" t="s">
        <v>2011</v>
      </c>
      <c r="B212" s="147" t="s">
        <v>2049</v>
      </c>
      <c r="C212" s="190" t="s">
        <v>2050</v>
      </c>
      <c r="D212" s="190" t="s">
        <v>2051</v>
      </c>
      <c r="E212" s="190" t="s">
        <v>2052</v>
      </c>
      <c r="F212" s="195">
        <v>43.0</v>
      </c>
      <c r="G212" s="188" t="str">
        <f>IFERROR(__xludf.DUMMYFUNCTION("TRIM(REGEXREPLACE(C212, ""[0-9]+[a-f]?\."", """"))"),"Worry")</f>
        <v>Worry</v>
      </c>
      <c r="H212" s="188" t="str">
        <f>IFERROR(__xludf.DUMMYFUNCTION("TRIM(REGEXREPLACE(D212, ""[0-9]+[a-f]?\."", """"))"),"Inquiétude")</f>
        <v>Inquiétude</v>
      </c>
      <c r="I212" s="188" t="str">
        <f>IFERROR(__xludf.DUMMYFUNCTION("TRIM(REGEXREPLACE(E212, ""[0-9]+[a-f]?\."", """"))"),"Damuwa")</f>
        <v>Damuwa</v>
      </c>
      <c r="J212" s="188" t="s">
        <v>2056</v>
      </c>
      <c r="K212" s="188" t="s">
        <v>2057</v>
      </c>
      <c r="L212" s="188" t="s">
        <v>2058</v>
      </c>
    </row>
    <row r="213">
      <c r="A213" s="199" t="s">
        <v>2011</v>
      </c>
      <c r="B213" s="147" t="s">
        <v>2059</v>
      </c>
      <c r="C213" s="190" t="s">
        <v>2060</v>
      </c>
      <c r="D213" s="190" t="s">
        <v>2061</v>
      </c>
      <c r="E213" s="190" t="s">
        <v>2062</v>
      </c>
      <c r="F213" s="195">
        <v>44.0</v>
      </c>
      <c r="G213" s="188" t="str">
        <f>IFERROR(__xludf.DUMMYFUNCTION("TRIM(REGEXREPLACE(C213, ""[0-9]+[a-f]?\."", """"))"),"Anger")</f>
        <v>Anger</v>
      </c>
      <c r="H213" s="188" t="str">
        <f>IFERROR(__xludf.DUMMYFUNCTION("TRIM(REGEXREPLACE(D213, ""[0-9]+[a-f]?\."", """"))"),"Colère")</f>
        <v>Colère</v>
      </c>
      <c r="I213" s="188" t="str">
        <f>IFERROR(__xludf.DUMMYFUNCTION("TRIM(REGEXREPLACE(E213, ""[0-9]+[a-f]?\."", """"))"),"Fushi")</f>
        <v>Fushi</v>
      </c>
      <c r="J213" s="188" t="s">
        <v>2065</v>
      </c>
      <c r="K213" s="188" t="s">
        <v>2066</v>
      </c>
      <c r="L213" s="188" t="s">
        <v>2067</v>
      </c>
    </row>
    <row r="214">
      <c r="A214" s="199" t="s">
        <v>2011</v>
      </c>
      <c r="B214" s="147" t="s">
        <v>2068</v>
      </c>
      <c r="C214" s="190" t="s">
        <v>2069</v>
      </c>
      <c r="D214" s="190" t="s">
        <v>2070</v>
      </c>
      <c r="E214" s="190" t="s">
        <v>2071</v>
      </c>
      <c r="F214" s="195">
        <v>45.0</v>
      </c>
      <c r="G214" s="188" t="str">
        <f>IFERROR(__xludf.DUMMYFUNCTION("TRIM(REGEXREPLACE(C214, ""[0-9]+[a-f]?\."", """"))"),"Physical pain")</f>
        <v>Physical pain</v>
      </c>
      <c r="H214" s="188" t="str">
        <f>IFERROR(__xludf.DUMMYFUNCTION("TRIM(REGEXREPLACE(D214, ""[0-9]+[a-f]?\."", """"))"),"Douleur physique")</f>
        <v>Douleur physique</v>
      </c>
      <c r="I214" s="188" t="str">
        <f>IFERROR(__xludf.DUMMYFUNCTION("TRIM(REGEXREPLACE(E214, ""[0-9]+[a-f]?\."", """"))"),"ciwon jiki")</f>
        <v>ciwon jiki</v>
      </c>
      <c r="J214" s="188" t="s">
        <v>2076</v>
      </c>
      <c r="K214" s="188" t="s">
        <v>2077</v>
      </c>
      <c r="L214" s="188" t="s">
        <v>2078</v>
      </c>
    </row>
    <row r="215">
      <c r="A215" s="199" t="s">
        <v>2011</v>
      </c>
      <c r="B215" s="147" t="s">
        <v>2079</v>
      </c>
      <c r="C215" s="190" t="s">
        <v>2080</v>
      </c>
      <c r="D215" s="190" t="s">
        <v>2081</v>
      </c>
      <c r="E215" s="190" t="s">
        <v>2082</v>
      </c>
      <c r="F215" s="195">
        <v>46.0</v>
      </c>
      <c r="G215" s="188" t="str">
        <f>IFERROR(__xludf.DUMMYFUNCTION("TRIM(REGEXREPLACE(C215, ""[0-9]+[a-f]?\."", """"))"),"Loneliness")</f>
        <v>Loneliness</v>
      </c>
      <c r="H215" s="188" t="str">
        <f>IFERROR(__xludf.DUMMYFUNCTION("TRIM(REGEXREPLACE(D215, ""[0-9]+[a-f]?\."", """"))"),"Solitude")</f>
        <v>Solitude</v>
      </c>
      <c r="I215" s="188" t="str">
        <f>IFERROR(__xludf.DUMMYFUNCTION("TRIM(REGEXREPLACE(E215, ""[0-9]+[a-f]?\."", """"))"),"kadaici")</f>
        <v>kadaici</v>
      </c>
      <c r="J215" s="188" t="s">
        <v>2086</v>
      </c>
      <c r="K215" s="188" t="s">
        <v>2087</v>
      </c>
      <c r="L215" s="188" t="s">
        <v>2088</v>
      </c>
    </row>
    <row r="216" hidden="1">
      <c r="A216" s="255" t="s">
        <v>331</v>
      </c>
      <c r="B216" s="152" t="s">
        <v>2003</v>
      </c>
      <c r="C216" s="190"/>
      <c r="D216" s="190"/>
      <c r="E216" s="190"/>
      <c r="F216" s="195">
        <v>125.0</v>
      </c>
      <c r="G216" s="188" t="str">
        <f>IFERROR(__xludf.DUMMYFUNCTION("TRIM(REGEXREPLACE(C216, ""[0-9]+[a-f]?\."", """"))"),"")</f>
        <v/>
      </c>
      <c r="H216" s="188" t="str">
        <f>IFERROR(__xludf.DUMMYFUNCTION("TRIM(REGEXREPLACE(D216, ""[0-9]+[a-f]?\."", """"))"),"")</f>
        <v/>
      </c>
      <c r="I216" s="188" t="str">
        <f>IFERROR(__xludf.DUMMYFUNCTION("TRIM(REGEXREPLACE(E216, ""[0-9]+[a-f]?\."", """"))"),"")</f>
        <v/>
      </c>
      <c r="J216" s="188" t="s">
        <v>2092</v>
      </c>
      <c r="K216" s="188" t="s">
        <v>2094</v>
      </c>
      <c r="L216" s="188" t="s">
        <v>2095</v>
      </c>
    </row>
    <row r="217" hidden="1">
      <c r="A217" s="255" t="s">
        <v>278</v>
      </c>
      <c r="B217" s="143" t="s">
        <v>2096</v>
      </c>
      <c r="C217" s="190"/>
      <c r="D217" s="190"/>
      <c r="E217" s="190"/>
      <c r="F217" s="195">
        <v>126.0</v>
      </c>
      <c r="G217" s="188" t="str">
        <f>IFERROR(__xludf.DUMMYFUNCTION("TRIM(REGEXREPLACE(C217, ""[0-9]+[a-f]?\."", """"))"),"")</f>
        <v/>
      </c>
      <c r="H217" s="188" t="str">
        <f>IFERROR(__xludf.DUMMYFUNCTION("TRIM(REGEXREPLACE(D217, ""[0-9]+[a-f]?\."", """"))"),"")</f>
        <v/>
      </c>
      <c r="I217" s="188" t="str">
        <f>IFERROR(__xludf.DUMMYFUNCTION("TRIM(REGEXREPLACE(E217, ""[0-9]+[a-f]?\."", """"))"),"")</f>
        <v/>
      </c>
      <c r="J217" s="188" t="s">
        <v>2097</v>
      </c>
      <c r="K217" s="188" t="s">
        <v>2098</v>
      </c>
      <c r="L217" s="188" t="s">
        <v>2099</v>
      </c>
    </row>
    <row r="218">
      <c r="A218" s="199" t="s">
        <v>2100</v>
      </c>
      <c r="B218" s="147" t="s">
        <v>2102</v>
      </c>
      <c r="C218" s="190" t="s">
        <v>2104</v>
      </c>
      <c r="D218" s="190" t="s">
        <v>2106</v>
      </c>
      <c r="E218" s="190" t="s">
        <v>2107</v>
      </c>
      <c r="F218" s="195">
        <v>47.0</v>
      </c>
      <c r="G218" s="188" t="str">
        <f>IFERROR(__xludf.DUMMYFUNCTION("TRIM(REGEXREPLACE(C218, ""[0-9]+[a-f]?\."", """"))"),"I will now read out several statements. You should tell me whether these statements are true for you by using the following scale.")</f>
        <v>I will now read out several statements. You should tell me whether these statements are true for you by using the following scale.</v>
      </c>
      <c r="H218" s="188" t="str">
        <f>IFERROR(__xludf.DUMMYFUNCTION("TRIM(REGEXREPLACE(D218,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218" s="188" t="str">
        <f>IFERROR(__xludf.DUMMYFUNCTION("TRIM(REGEXREPLACE(E218,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218" s="188" t="s">
        <v>2109</v>
      </c>
      <c r="K218" s="188" t="s">
        <v>2110</v>
      </c>
      <c r="L218" s="188" t="s">
        <v>2111</v>
      </c>
    </row>
    <row r="219">
      <c r="A219" s="199" t="s">
        <v>2100</v>
      </c>
      <c r="B219" s="147" t="s">
        <v>2112</v>
      </c>
      <c r="C219" s="190" t="s">
        <v>2113</v>
      </c>
      <c r="D219" s="190" t="s">
        <v>2114</v>
      </c>
      <c r="E219" s="190" t="s">
        <v>2115</v>
      </c>
      <c r="F219" s="195">
        <v>48.0</v>
      </c>
      <c r="G219" s="188" t="str">
        <f>IFERROR(__xludf.DUMMYFUNCTION("TRIM(REGEXREPLACE(C219, ""[0-9]+[a-f]?\."", """"))"),"I feel I do not have much to be proud of.")</f>
        <v>I feel I do not have much to be proud of.</v>
      </c>
      <c r="H219" s="188" t="str">
        <f>IFERROR(__xludf.DUMMYFUNCTION("TRIM(REGEXREPLACE(D219, ""[0-9]+[a-f]?\."", """"))"),"Je sens que je n'ai pas beaucoup de raisons d'être fier (comblé).")</f>
        <v>Je sens que je n'ai pas beaucoup de raisons d'être fier (comblé).</v>
      </c>
      <c r="I219" s="188" t="str">
        <f>IFERROR(__xludf.DUMMYFUNCTION("TRIM(REGEXREPLACE(E219, ""[0-9]+[a-f]?\."", """"))"),"Ina jin ba ni da hujjojin jin daɗi")</f>
        <v>Ina jin ba ni da hujjojin jin daɗi</v>
      </c>
      <c r="J219" s="188" t="s">
        <v>2117</v>
      </c>
      <c r="K219" s="188" t="s">
        <v>2118</v>
      </c>
      <c r="L219" s="188" t="s">
        <v>2119</v>
      </c>
    </row>
    <row r="220">
      <c r="A220" s="199" t="s">
        <v>2100</v>
      </c>
      <c r="B220" s="147" t="s">
        <v>2120</v>
      </c>
      <c r="C220" s="190" t="s">
        <v>2122</v>
      </c>
      <c r="D220" s="190" t="s">
        <v>2123</v>
      </c>
      <c r="E220" s="190" t="s">
        <v>2124</v>
      </c>
      <c r="F220" s="195">
        <v>49.0</v>
      </c>
      <c r="G220" s="188" t="str">
        <f>IFERROR(__xludf.DUMMYFUNCTION("TRIM(REGEXREPLACE(C220, ""[0-9]+[a-f]?\."", """"))"),"At times I think I am no good at all.")</f>
        <v>At times I think I am no good at all.</v>
      </c>
      <c r="H220" s="188" t="str">
        <f>IFERROR(__xludf.DUMMYFUNCTION("TRIM(REGEXREPLACE(D220, ""[0-9]+[a-f]?\."", """"))"),"Parfois, je pense que je suis utile a rien")</f>
        <v>Parfois, je pense que je suis utile a rien</v>
      </c>
      <c r="I220" s="188" t="str">
        <f>IFERROR(__xludf.DUMMYFUNCTION("TRIM(REGEXREPLACE(E220, ""[0-9]+[a-f]?\."", """"))"),"A wasu lokutta ina ganin bani da amfani.")</f>
        <v>A wasu lokutta ina ganin bani da amfani.</v>
      </c>
      <c r="J220" s="188" t="s">
        <v>2125</v>
      </c>
      <c r="K220" s="188" t="s">
        <v>2126</v>
      </c>
      <c r="L220" s="188" t="s">
        <v>2127</v>
      </c>
    </row>
    <row r="221" hidden="1">
      <c r="A221" s="255" t="s">
        <v>331</v>
      </c>
      <c r="B221" s="152" t="s">
        <v>2096</v>
      </c>
      <c r="C221" s="190"/>
      <c r="D221" s="190"/>
      <c r="E221" s="190"/>
      <c r="F221" s="195">
        <v>127.0</v>
      </c>
      <c r="G221" s="188" t="str">
        <f>IFERROR(__xludf.DUMMYFUNCTION("TRIM(REGEXREPLACE(C221, ""[0-9]+[a-f]?\."", """"))"),"")</f>
        <v/>
      </c>
      <c r="H221" s="188" t="str">
        <f>IFERROR(__xludf.DUMMYFUNCTION("TRIM(REGEXREPLACE(D221, ""[0-9]+[a-f]?\."", """"))"),"")</f>
        <v/>
      </c>
      <c r="I221" s="188" t="str">
        <f>IFERROR(__xludf.DUMMYFUNCTION("TRIM(REGEXREPLACE(E221, ""[0-9]+[a-f]?\."", """"))"),"")</f>
        <v/>
      </c>
      <c r="J221" s="188" t="s">
        <v>2128</v>
      </c>
      <c r="K221" s="188" t="s">
        <v>2129</v>
      </c>
      <c r="L221" s="188" t="s">
        <v>2130</v>
      </c>
    </row>
    <row r="222" hidden="1">
      <c r="A222" s="255" t="s">
        <v>278</v>
      </c>
      <c r="B222" s="143" t="s">
        <v>2131</v>
      </c>
      <c r="C222" s="190"/>
      <c r="D222" s="190"/>
      <c r="E222" s="190"/>
      <c r="F222" s="195">
        <v>128.0</v>
      </c>
      <c r="G222" s="188" t="str">
        <f>IFERROR(__xludf.DUMMYFUNCTION("TRIM(REGEXREPLACE(C222, ""[0-9]+[a-f]?\."", """"))"),"")</f>
        <v/>
      </c>
      <c r="H222" s="188" t="str">
        <f>IFERROR(__xludf.DUMMYFUNCTION("TRIM(REGEXREPLACE(D222, ""[0-9]+[a-f]?\."", """"))"),"")</f>
        <v/>
      </c>
      <c r="I222" s="188" t="str">
        <f>IFERROR(__xludf.DUMMYFUNCTION("TRIM(REGEXREPLACE(E222, ""[0-9]+[a-f]?\."", """"))"),"")</f>
        <v/>
      </c>
      <c r="J222" s="188" t="s">
        <v>2134</v>
      </c>
      <c r="K222" s="188" t="s">
        <v>2136</v>
      </c>
      <c r="L222" s="188" t="s">
        <v>2137</v>
      </c>
    </row>
    <row r="223">
      <c r="A223" s="199" t="s">
        <v>2139</v>
      </c>
      <c r="B223" s="147" t="s">
        <v>2140</v>
      </c>
      <c r="C223" s="190" t="s">
        <v>2142</v>
      </c>
      <c r="D223" s="190" t="s">
        <v>2143</v>
      </c>
      <c r="E223" s="190" t="s">
        <v>2144</v>
      </c>
      <c r="F223" s="195">
        <v>50.0</v>
      </c>
      <c r="G223" s="188" t="str">
        <f>IFERROR(__xludf.DUMMYFUNCTION("TRIM(REGEXREPLACE(C223, ""[0-9]+[a-f]?\."", """"))"),"How stressed are you about the following areas of your life?")</f>
        <v>How stressed are you about the following areas of your life?</v>
      </c>
      <c r="H223" s="188" t="str">
        <f>IFERROR(__xludf.DUMMYFUNCTION("TRIM(REGEXREPLACE(D223, ""[0-9]+[a-f]?\."", """"))"),"Dans quelle mesure êtes-vous stressé par les domaines suivants de votre vie ?")</f>
        <v>Dans quelle mesure êtes-vous stressé par les domaines suivants de votre vie ?</v>
      </c>
      <c r="I223" s="188" t="str">
        <f>IFERROR(__xludf.DUMMYFUNCTION("TRIM(REGEXREPLACE(E223, ""[0-9]+[a-f]?\."", """"))"),"Yaya damuwarku game da abubuwa na rayuwarku da zan zana?")</f>
        <v>Yaya damuwarku game da abubuwa na rayuwarku da zan zana?</v>
      </c>
      <c r="J223" s="188" t="s">
        <v>2145</v>
      </c>
      <c r="K223" s="188" t="s">
        <v>2146</v>
      </c>
      <c r="L223" s="188" t="s">
        <v>2147</v>
      </c>
    </row>
    <row r="224">
      <c r="A224" s="199" t="s">
        <v>2139</v>
      </c>
      <c r="B224" s="147" t="s">
        <v>2148</v>
      </c>
      <c r="C224" s="190" t="s">
        <v>2149</v>
      </c>
      <c r="D224" s="190" t="s">
        <v>2150</v>
      </c>
      <c r="E224" s="190" t="s">
        <v>2151</v>
      </c>
      <c r="F224" s="195">
        <v>51.0</v>
      </c>
      <c r="G224" s="188" t="str">
        <f>IFERROR(__xludf.DUMMYFUNCTION("TRIM(REGEXREPLACE(C224, ""[0-9]+[a-f]?\."", """"))"),"Your own health problems, illness")</f>
        <v>Your own health problems, illness</v>
      </c>
      <c r="H224" s="188" t="str">
        <f>IFERROR(__xludf.DUMMYFUNCTION("TRIM(REGEXREPLACE(D224, ""[0-9]+[a-f]?\."", """"))"),"Vos propres problèmes de santé")</f>
        <v>Vos propres problèmes de santé</v>
      </c>
      <c r="I224" s="188" t="str">
        <f>IFERROR(__xludf.DUMMYFUNCTION("TRIM(REGEXREPLACE(E224, ""[0-9]+[a-f]?\."", """"))"),"Matsalolin lafiyar jikinku")</f>
        <v>Matsalolin lafiyar jikinku</v>
      </c>
      <c r="J224" s="188" t="s">
        <v>2152</v>
      </c>
      <c r="K224" s="188" t="s">
        <v>2153</v>
      </c>
      <c r="L224" s="188" t="s">
        <v>2154</v>
      </c>
    </row>
    <row r="225">
      <c r="A225" s="199" t="s">
        <v>2139</v>
      </c>
      <c r="B225" s="147" t="s">
        <v>2156</v>
      </c>
      <c r="C225" s="190" t="s">
        <v>2157</v>
      </c>
      <c r="D225" s="190" t="s">
        <v>2159</v>
      </c>
      <c r="E225" s="190" t="s">
        <v>2160</v>
      </c>
      <c r="F225" s="195">
        <v>52.0</v>
      </c>
      <c r="G225" s="188" t="str">
        <f>IFERROR(__xludf.DUMMYFUNCTION("TRIM(REGEXREPLACE(C225, ""[0-9]+[a-f]?\."", """"))"),"Problems at home and with relatives")</f>
        <v>Problems at home and with relatives</v>
      </c>
      <c r="H225" s="188" t="str">
        <f>IFERROR(__xludf.DUMMYFUNCTION("TRIM(REGEXREPLACE(D225, ""[0-9]+[a-f]?\."", """"))"),"Problèmes au sein du menage et avec les proches")</f>
        <v>Problèmes au sein du menage et avec les proches</v>
      </c>
      <c r="I225" s="188" t="str">
        <f>IFERROR(__xludf.DUMMYFUNCTION("TRIM(REGEXREPLACE(E225, ""[0-9]+[a-f]?\."", """"))"),"Matsalolin gida da na dangi")</f>
        <v>Matsalolin gida da na dangi</v>
      </c>
      <c r="J225" s="188" t="s">
        <v>2163</v>
      </c>
      <c r="K225" s="188" t="s">
        <v>2164</v>
      </c>
      <c r="L225" s="188" t="s">
        <v>2165</v>
      </c>
    </row>
    <row r="226">
      <c r="A226" s="199" t="s">
        <v>2139</v>
      </c>
      <c r="B226" s="147" t="s">
        <v>2166</v>
      </c>
      <c r="C226" s="190" t="s">
        <v>2167</v>
      </c>
      <c r="D226" s="190" t="s">
        <v>2168</v>
      </c>
      <c r="E226" s="190" t="s">
        <v>2169</v>
      </c>
      <c r="F226" s="195">
        <v>53.0</v>
      </c>
      <c r="G226" s="188" t="str">
        <f>IFERROR(__xludf.DUMMYFUNCTION("TRIM(REGEXREPLACE(C226, ""[0-9]+[a-f]?\."", """"))"),"Accidents and disasters")</f>
        <v>Accidents and disasters</v>
      </c>
      <c r="H226" s="188" t="str">
        <f>IFERROR(__xludf.DUMMYFUNCTION("TRIM(REGEXREPLACE(D226, ""[0-9]+[a-f]?\."", """"))"),"Accidents et catastrophes")</f>
        <v>Accidents et catastrophes</v>
      </c>
      <c r="I226" s="188" t="str">
        <f>IFERROR(__xludf.DUMMYFUNCTION("TRIM(REGEXREPLACE(E226, ""[0-9]+[a-f]?\."", """"))"),"Hatsari da masifu")</f>
        <v>Hatsari da masifu</v>
      </c>
      <c r="J226" s="188" t="s">
        <v>2170</v>
      </c>
      <c r="K226" s="188" t="s">
        <v>2171</v>
      </c>
      <c r="L226" s="188" t="s">
        <v>2172</v>
      </c>
    </row>
    <row r="227">
      <c r="A227" s="199" t="s">
        <v>2139</v>
      </c>
      <c r="B227" s="147" t="s">
        <v>2173</v>
      </c>
      <c r="C227" s="190" t="s">
        <v>2174</v>
      </c>
      <c r="D227" s="190" t="s">
        <v>2176</v>
      </c>
      <c r="E227" s="190" t="s">
        <v>2177</v>
      </c>
      <c r="F227" s="195">
        <v>54.0</v>
      </c>
      <c r="G227" s="188" t="str">
        <f>IFERROR(__xludf.DUMMYFUNCTION("TRIM(REGEXREPLACE(C227, ""[0-9]+[a-f]?\."", """"))"),"Problems with people in other ethnic groups")</f>
        <v>Problems with people in other ethnic groups</v>
      </c>
      <c r="H227" s="188" t="str">
        <f>IFERROR(__xludf.DUMMYFUNCTION("TRIM(REGEXREPLACE(D227, ""[0-9]+[a-f]?\."", """"))"),"Problèmes avec les personnes d'autres groupes ethniques")</f>
        <v>Problèmes avec les personnes d'autres groupes ethniques</v>
      </c>
      <c r="I227" s="188" t="str">
        <f>IFERROR(__xludf.DUMMYFUNCTION("TRIM(REGEXREPLACE(E227, ""[0-9]+[a-f]?\."", """"))"),"Matsaloli da mutanen wasu kabilu daban")</f>
        <v>Matsaloli da mutanen wasu kabilu daban</v>
      </c>
      <c r="J227" s="188" t="s">
        <v>2180</v>
      </c>
      <c r="K227" s="188" t="s">
        <v>2181</v>
      </c>
      <c r="L227" s="188" t="s">
        <v>2182</v>
      </c>
    </row>
    <row r="228">
      <c r="A228" s="199" t="s">
        <v>2139</v>
      </c>
      <c r="B228" s="147" t="s">
        <v>2183</v>
      </c>
      <c r="C228" s="190" t="s">
        <v>2184</v>
      </c>
      <c r="D228" s="190" t="s">
        <v>2185</v>
      </c>
      <c r="E228" s="190" t="s">
        <v>2186</v>
      </c>
      <c r="F228" s="195">
        <v>55.0</v>
      </c>
      <c r="G228" s="188" t="str">
        <f>IFERROR(__xludf.DUMMYFUNCTION("TRIM(REGEXREPLACE(C228, ""[0-9]+[a-f]?\."", """"))"),"Not enough money for basic needs (such as food and clothing)")</f>
        <v>Not enough money for basic needs (such as food and clothing)</v>
      </c>
      <c r="H228" s="188" t="str">
        <f>IFERROR(__xludf.DUMMYFUNCTION("TRIM(REGEXREPLACE(D228, ""[0-9]+[a-f]?\."", """"))"),"Pas assez d'argent pour les besoins de base (tels que la nourriture et les vêtements)")</f>
        <v>Pas assez d'argent pour les besoins de base (tels que la nourriture et les vêtements)</v>
      </c>
      <c r="I228" s="188" t="str">
        <f>IFERROR(__xludf.DUMMYFUNCTION("TRIM(REGEXREPLACE(E228, ""[0-9]+[a-f]?\."", """"))"),"Rashin isassun kuɗi don buƙatun asali (kamar abinci da sutura)")</f>
        <v>Rashin isassun kuɗi don buƙatun asali (kamar abinci da sutura)</v>
      </c>
      <c r="J228" s="188" t="s">
        <v>2190</v>
      </c>
      <c r="K228" s="188" t="s">
        <v>2191</v>
      </c>
      <c r="L228" s="188" t="s">
        <v>2192</v>
      </c>
    </row>
    <row r="229">
      <c r="A229" s="199" t="s">
        <v>2139</v>
      </c>
      <c r="B229" s="147" t="s">
        <v>2193</v>
      </c>
      <c r="C229" s="190" t="s">
        <v>2194</v>
      </c>
      <c r="D229" s="190" t="s">
        <v>2195</v>
      </c>
      <c r="E229" s="190" t="s">
        <v>2196</v>
      </c>
      <c r="F229" s="195">
        <v>56.0</v>
      </c>
      <c r="G229" s="188" t="str">
        <f>IFERROR(__xludf.DUMMYFUNCTION("TRIM(REGEXREPLACE(C229, ""[0-9]+[a-f]?\."", """"))"),"Not being able to educate all children")</f>
        <v>Not being able to educate all children</v>
      </c>
      <c r="H229" s="188" t="str">
        <f>IFERROR(__xludf.DUMMYFUNCTION("TRIM(REGEXREPLACE(D229, ""[0-9]+[a-f]?\."", """"))"),"Ne pas pouvoir scolariser tous les enfants")</f>
        <v>Ne pas pouvoir scolariser tous les enfants</v>
      </c>
      <c r="I229" s="188" t="str">
        <f>IFERROR(__xludf.DUMMYFUNCTION("TRIM(REGEXREPLACE(E229, ""[0-9]+[a-f]?\."", """"))"),"Rashin iya rubuta dukkan yara a makarantar boko")</f>
        <v>Rashin iya rubuta dukkan yara a makarantar boko</v>
      </c>
      <c r="J229" s="188" t="s">
        <v>2200</v>
      </c>
      <c r="K229" s="188" t="s">
        <v>2201</v>
      </c>
      <c r="L229" s="188" t="s">
        <v>2202</v>
      </c>
    </row>
    <row r="230">
      <c r="A230" s="199" t="s">
        <v>2139</v>
      </c>
      <c r="B230" s="147" t="s">
        <v>2204</v>
      </c>
      <c r="C230" s="190" t="s">
        <v>2205</v>
      </c>
      <c r="D230" s="190" t="s">
        <v>2206</v>
      </c>
      <c r="E230" s="190" t="s">
        <v>2207</v>
      </c>
      <c r="F230" s="195">
        <v>57.0</v>
      </c>
      <c r="G230" s="188" t="str">
        <f>IFERROR(__xludf.DUMMYFUNCTION("TRIM(REGEXREPLACE(C230, ""[0-9]+[a-f]?\."", """"))"),"Difficulty finding work")</f>
        <v>Difficulty finding work</v>
      </c>
      <c r="H230" s="188" t="str">
        <f>IFERROR(__xludf.DUMMYFUNCTION("TRIM(REGEXREPLACE(D230, ""[0-9]+[a-f]?\."", """"))"),"Difficulté à trouver du travail")</f>
        <v>Difficulté à trouver du travail</v>
      </c>
      <c r="I230" s="188" t="str">
        <f>IFERROR(__xludf.DUMMYFUNCTION("TRIM(REGEXREPLACE(E230, ""[0-9]+[a-f]?\."", """"))"),"Wahalar neman aiki")</f>
        <v>Wahalar neman aiki</v>
      </c>
      <c r="J230" s="188" t="s">
        <v>2208</v>
      </c>
      <c r="K230" s="188" t="s">
        <v>2209</v>
      </c>
      <c r="L230" s="188" t="s">
        <v>2210</v>
      </c>
    </row>
    <row r="231">
      <c r="A231" s="199" t="s">
        <v>2139</v>
      </c>
      <c r="B231" s="147" t="s">
        <v>2212</v>
      </c>
      <c r="C231" s="190" t="s">
        <v>2213</v>
      </c>
      <c r="D231" s="190" t="s">
        <v>2214</v>
      </c>
      <c r="E231" s="190" t="s">
        <v>2215</v>
      </c>
      <c r="F231" s="195">
        <v>58.0</v>
      </c>
      <c r="G231" s="188" t="str">
        <f>IFERROR(__xludf.DUMMYFUNCTION("TRIM(REGEXREPLACE(C231, ""[0-9]+[a-f]?\."", """"))"),"Idleness of children or spouse")</f>
        <v>Idleness of children or spouse</v>
      </c>
      <c r="H231" s="188" t="str">
        <f>IFERROR(__xludf.DUMMYFUNCTION("TRIM(REGEXREPLACE(D231, ""[0-9]+[a-f]?\."", """"))"),"L'oisiveté des enfants ou du conjoint")</f>
        <v>L'oisiveté des enfants ou du conjoint</v>
      </c>
      <c r="I231" s="188" t="str">
        <f>IFERROR(__xludf.DUMMYFUNCTION("TRIM(REGEXREPLACE(E231, ""[0-9]+[a-f]?\."", """"))"),"Zaman banza na yara ko miji")</f>
        <v>Zaman banza na yara ko miji</v>
      </c>
      <c r="J231" s="188" t="s">
        <v>2218</v>
      </c>
      <c r="K231" s="188" t="s">
        <v>2219</v>
      </c>
      <c r="L231" s="188" t="s">
        <v>2220</v>
      </c>
    </row>
    <row r="232">
      <c r="A232" s="199" t="s">
        <v>2139</v>
      </c>
      <c r="B232" s="147" t="s">
        <v>2221</v>
      </c>
      <c r="C232" s="190" t="s">
        <v>2222</v>
      </c>
      <c r="D232" s="190" t="s">
        <v>2223</v>
      </c>
      <c r="E232" s="190" t="s">
        <v>2224</v>
      </c>
      <c r="F232" s="195">
        <v>59.0</v>
      </c>
      <c r="G232" s="188" t="str">
        <f>IFERROR(__xludf.DUMMYFUNCTION("TRIM(REGEXREPLACE(C232, ""[0-9]+[a-f]?\."", """"))"),"Alcohol comsumption of children or spouse")</f>
        <v>Alcohol comsumption of children or spouse</v>
      </c>
      <c r="H232" s="188" t="str">
        <f>IFERROR(__xludf.DUMMYFUNCTION("TRIM(REGEXREPLACE(D232, ""[0-9]+[a-f]?\."", """"))"),"Consommation d'alcool des enfants ou du conjoint")</f>
        <v>Consommation d'alcool des enfants ou du conjoint</v>
      </c>
      <c r="I232" s="188" t="str">
        <f>IFERROR(__xludf.DUMMYFUNCTION("TRIM(REGEXREPLACE(E232, ""[0-9]+[a-f]?\."", """"))"),"Shan giya na yara ko miji")</f>
        <v>Shan giya na yara ko miji</v>
      </c>
      <c r="J232" s="188" t="s">
        <v>2226</v>
      </c>
      <c r="K232" s="188" t="s">
        <v>2228</v>
      </c>
      <c r="L232" s="188" t="s">
        <v>2229</v>
      </c>
    </row>
    <row r="233">
      <c r="A233" s="199" t="s">
        <v>2139</v>
      </c>
      <c r="B233" s="147" t="s">
        <v>2230</v>
      </c>
      <c r="C233" s="190" t="s">
        <v>2231</v>
      </c>
      <c r="D233" s="190" t="s">
        <v>2232</v>
      </c>
      <c r="E233" s="190" t="s">
        <v>2233</v>
      </c>
      <c r="F233" s="195">
        <v>60.0</v>
      </c>
      <c r="G233" s="188" t="str">
        <f>IFERROR(__xludf.DUMMYFUNCTION("TRIM(REGEXREPLACE(C233, ""[0-9]+[a-f]?\."", """"))"),"Death of a family member")</f>
        <v>Death of a family member</v>
      </c>
      <c r="H233" s="188" t="str">
        <f>IFERROR(__xludf.DUMMYFUNCTION("TRIM(REGEXREPLACE(D233, ""[0-9]+[a-f]?\."", """"))"),"Décès d'un membre de la famille")</f>
        <v>Décès d'un membre de la famille</v>
      </c>
      <c r="I233" s="188" t="str">
        <f>IFERROR(__xludf.DUMMYFUNCTION("TRIM(REGEXREPLACE(E233, ""[0-9]+[a-f]?\."", """"))"),"Mutuwar wani dan uwa")</f>
        <v>Mutuwar wani dan uwa</v>
      </c>
      <c r="J233" s="188" t="s">
        <v>2234</v>
      </c>
      <c r="K233" s="188" t="s">
        <v>2235</v>
      </c>
      <c r="L233" s="188" t="s">
        <v>2236</v>
      </c>
    </row>
    <row r="234">
      <c r="A234" s="199" t="s">
        <v>2139</v>
      </c>
      <c r="B234" s="147" t="s">
        <v>2238</v>
      </c>
      <c r="C234" s="190" t="s">
        <v>2239</v>
      </c>
      <c r="D234" s="190" t="s">
        <v>2241</v>
      </c>
      <c r="E234" s="190" t="s">
        <v>2242</v>
      </c>
      <c r="F234" s="195">
        <v>61.0</v>
      </c>
      <c r="G234" s="188" t="str">
        <f>IFERROR(__xludf.DUMMYFUNCTION("TRIM(REGEXREPLACE(C234, ""[0-9]+[a-f]?\."", """"))"),"Debts owed to others")</f>
        <v>Debts owed to others</v>
      </c>
      <c r="H234" s="188" t="str">
        <f>IFERROR(__xludf.DUMMYFUNCTION("TRIM(REGEXREPLACE(D234, ""[0-9]+[a-f]?\."", """"))"),"Dettes envers autrui")</f>
        <v>Dettes envers autrui</v>
      </c>
      <c r="I234" s="188" t="str">
        <f>IFERROR(__xludf.DUMMYFUNCTION("TRIM(REGEXREPLACE(E234, ""[0-9]+[a-f]?\."", """"))"),"Bashi da wasu ke binku")</f>
        <v>Bashi da wasu ke binku</v>
      </c>
      <c r="J234" s="188" t="s">
        <v>2245</v>
      </c>
      <c r="K234" s="188" t="s">
        <v>2246</v>
      </c>
      <c r="L234" s="188" t="s">
        <v>2247</v>
      </c>
    </row>
    <row r="235" hidden="1">
      <c r="A235" s="255" t="s">
        <v>331</v>
      </c>
      <c r="B235" s="152" t="s">
        <v>2131</v>
      </c>
      <c r="C235" s="190"/>
      <c r="D235" s="190"/>
      <c r="E235" s="190"/>
      <c r="F235" s="195">
        <v>135.0</v>
      </c>
      <c r="G235" s="188" t="str">
        <f>IFERROR(__xludf.DUMMYFUNCTION("TRIM(REGEXREPLACE(C235, ""[0-9]+[a-f]?\."", """"))"),"")</f>
        <v/>
      </c>
      <c r="H235" s="188" t="str">
        <f>IFERROR(__xludf.DUMMYFUNCTION("TRIM(REGEXREPLACE(D235, ""[0-9]+[a-f]?\."", """"))"),"")</f>
        <v/>
      </c>
      <c r="I235" s="188" t="str">
        <f>IFERROR(__xludf.DUMMYFUNCTION("TRIM(REGEXREPLACE(E235, ""[0-9]+[a-f]?\."", """"))"),"")</f>
        <v/>
      </c>
      <c r="J235" s="188" t="s">
        <v>2248</v>
      </c>
      <c r="K235" s="188" t="s">
        <v>2249</v>
      </c>
      <c r="L235" s="188" t="s">
        <v>2250</v>
      </c>
    </row>
    <row r="236">
      <c r="A236" s="258" t="s">
        <v>247</v>
      </c>
      <c r="B236" s="259" t="s">
        <v>2251</v>
      </c>
      <c r="C236" s="190" t="s">
        <v>2252</v>
      </c>
      <c r="D236" s="190" t="s">
        <v>2253</v>
      </c>
      <c r="E236" s="190" t="s">
        <v>2254</v>
      </c>
      <c r="F236" s="195">
        <v>62.0</v>
      </c>
      <c r="G236" s="188" t="str">
        <f>IFERROR(__xludf.DUMMYFUNCTION("TRIM(REGEXREPLACE(C236,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236" s="188" t="str">
        <f>IFERROR(__xludf.DUMMYFUNCTION("TRIM(REGEXREPLACE(D236,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236" s="188" t="str">
        <f>IFERROR(__xludf.DUMMYFUNCTION("TRIM(REGEXREPLACE(E236,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236" s="188" t="s">
        <v>2256</v>
      </c>
      <c r="K236" s="188" t="s">
        <v>2257</v>
      </c>
      <c r="L236" s="188" t="s">
        <v>2258</v>
      </c>
    </row>
    <row r="237" hidden="1">
      <c r="A237" s="149" t="s">
        <v>256</v>
      </c>
      <c r="B237" s="148" t="s">
        <v>2259</v>
      </c>
      <c r="C237" s="190"/>
      <c r="D237" s="190"/>
      <c r="E237" s="190"/>
      <c r="F237" s="195">
        <v>137.0</v>
      </c>
      <c r="G237" s="188" t="str">
        <f>IFERROR(__xludf.DUMMYFUNCTION("TRIM(REGEXREPLACE(C237, ""[0-9]+[a-f]?\."", """"))"),"")</f>
        <v/>
      </c>
      <c r="H237" s="188" t="str">
        <f>IFERROR(__xludf.DUMMYFUNCTION("TRIM(REGEXREPLACE(D237, ""[0-9]+[a-f]?\."", """"))"),"")</f>
        <v/>
      </c>
      <c r="I237" s="188" t="str">
        <f>IFERROR(__xludf.DUMMYFUNCTION("TRIM(REGEXREPLACE(E237, ""[0-9]+[a-f]?\."", """"))"),"")</f>
        <v/>
      </c>
      <c r="J237" s="188" t="s">
        <v>2264</v>
      </c>
      <c r="K237" s="188" t="s">
        <v>2265</v>
      </c>
      <c r="L237" s="188" t="s">
        <v>2266</v>
      </c>
    </row>
    <row r="238" hidden="1">
      <c r="A238" s="210" t="s">
        <v>112</v>
      </c>
      <c r="B238" s="277" t="s">
        <v>2267</v>
      </c>
      <c r="C238" s="190"/>
      <c r="D238" s="190"/>
      <c r="E238" s="190"/>
      <c r="F238" s="195">
        <v>138.0</v>
      </c>
      <c r="G238" s="188" t="str">
        <f>IFERROR(__xludf.DUMMYFUNCTION("TRIM(REGEXREPLACE(C238, ""[0-9]+[a-f]?\."", """"))"),"")</f>
        <v/>
      </c>
      <c r="H238" s="188" t="str">
        <f>IFERROR(__xludf.DUMMYFUNCTION("TRIM(REGEXREPLACE(D238, ""[0-9]+[a-f]?\."", """"))"),"")</f>
        <v/>
      </c>
      <c r="I238" s="188" t="str">
        <f>IFERROR(__xludf.DUMMYFUNCTION("TRIM(REGEXREPLACE(E238, ""[0-9]+[a-f]?\."", """"))"),"")</f>
        <v/>
      </c>
      <c r="J238" s="188" t="s">
        <v>2269</v>
      </c>
      <c r="K238" s="188" t="s">
        <v>2270</v>
      </c>
      <c r="L238" s="188" t="s">
        <v>2271</v>
      </c>
    </row>
    <row r="239" hidden="1">
      <c r="A239" s="255"/>
      <c r="B239" s="143"/>
      <c r="C239" s="190"/>
      <c r="D239" s="190"/>
      <c r="E239" s="190"/>
      <c r="F239" s="195">
        <v>139.0</v>
      </c>
      <c r="G239" s="188" t="str">
        <f>IFERROR(__xludf.DUMMYFUNCTION("TRIM(REGEXREPLACE(C239, ""[0-9]+[a-f]?\."", """"))"),"")</f>
        <v/>
      </c>
      <c r="H239" s="188" t="str">
        <f>IFERROR(__xludf.DUMMYFUNCTION("TRIM(REGEXREPLACE(D239, ""[0-9]+[a-f]?\."", """"))"),"")</f>
        <v/>
      </c>
      <c r="I239" s="188" t="str">
        <f>IFERROR(__xludf.DUMMYFUNCTION("TRIM(REGEXREPLACE(E239, ""[0-9]+[a-f]?\."", """"))"),"")</f>
        <v/>
      </c>
      <c r="J239" s="188" t="s">
        <v>2272</v>
      </c>
      <c r="K239" s="188" t="s">
        <v>2273</v>
      </c>
      <c r="L239" s="188" t="s">
        <v>2274</v>
      </c>
    </row>
    <row r="240" hidden="1">
      <c r="A240" s="149" t="s">
        <v>256</v>
      </c>
      <c r="B240" s="148" t="s">
        <v>2276</v>
      </c>
      <c r="C240" s="190"/>
      <c r="D240" s="190"/>
      <c r="E240" s="190"/>
      <c r="F240" s="195">
        <v>140.0</v>
      </c>
      <c r="G240" s="188" t="str">
        <f>IFERROR(__xludf.DUMMYFUNCTION("TRIM(REGEXREPLACE(C240, ""[0-9]+[a-f]?\."", """"))"),"")</f>
        <v/>
      </c>
      <c r="H240" s="188" t="str">
        <f>IFERROR(__xludf.DUMMYFUNCTION("TRIM(REGEXREPLACE(D240, ""[0-9]+[a-f]?\."", """"))"),"")</f>
        <v/>
      </c>
      <c r="I240" s="188" t="str">
        <f>IFERROR(__xludf.DUMMYFUNCTION("TRIM(REGEXREPLACE(E240, ""[0-9]+[a-f]?\."", """"))"),"")</f>
        <v/>
      </c>
      <c r="J240" s="188" t="s">
        <v>2278</v>
      </c>
      <c r="K240" s="188" t="s">
        <v>2279</v>
      </c>
      <c r="L240" s="188" t="s">
        <v>2280</v>
      </c>
    </row>
    <row r="241">
      <c r="A241" s="238" t="s">
        <v>46</v>
      </c>
      <c r="B241" s="130" t="s">
        <v>2281</v>
      </c>
      <c r="C241" s="190" t="s">
        <v>2282</v>
      </c>
      <c r="D241" s="190" t="s">
        <v>2283</v>
      </c>
      <c r="E241" s="190" t="s">
        <v>2284</v>
      </c>
      <c r="F241" s="195">
        <v>63.0</v>
      </c>
      <c r="G241" s="188" t="str">
        <f>IFERROR(__xludf.DUMMYFUNCTION("TRIM(REGEXREPLACE(C241, ""[0-9]+[a-f]?\."", """"))"),"Now I will ask about some things that may have happened to you during the past six months.")</f>
        <v>Now I will ask about some things that may have happened to you during the past six months.</v>
      </c>
      <c r="H241" s="188" t="str">
        <f>IFERROR(__xludf.DUMMYFUNCTION("TRIM(REGEXREPLACE(D241, ""[0-9]+[a-f]?\."", """"))"),"Je vais maintenant vous interroger sur ce qui vous est arrivé au cours des six derniers mois.")</f>
        <v>Je vais maintenant vous interroger sur ce qui vous est arrivé au cours des six derniers mois.</v>
      </c>
      <c r="I241" s="188" t="str">
        <f>IFERROR(__xludf.DUMMYFUNCTION("TRIM(REGEXREPLACE(E241, ""[0-9]+[a-f]?\."", """"))"),"Yanzu zan yi tambaya game da wasu abubuwa da wataƙila suka faru da ku a cikin watanni shida da suka gabata.")</f>
        <v>Yanzu zan yi tambaya game da wasu abubuwa da wataƙila suka faru da ku a cikin watanni shida da suka gabata.</v>
      </c>
      <c r="J241" s="188" t="s">
        <v>2286</v>
      </c>
      <c r="K241" s="188" t="s">
        <v>2287</v>
      </c>
      <c r="L241" s="188" t="s">
        <v>2288</v>
      </c>
    </row>
    <row r="242">
      <c r="A242" s="199" t="s">
        <v>2011</v>
      </c>
      <c r="B242" s="147" t="s">
        <v>2289</v>
      </c>
      <c r="C242" s="190" t="s">
        <v>2290</v>
      </c>
      <c r="D242" s="190" t="s">
        <v>2291</v>
      </c>
      <c r="E242" s="190" t="s">
        <v>2292</v>
      </c>
      <c r="F242" s="195">
        <v>64.0</v>
      </c>
      <c r="G242" s="188" t="str">
        <f>IFERROR(__xludf.DUMMYFUNCTION("TRIM(REGEXREPLACE(C242, ""[0-9]+[a-f]?\."", """"))"),"How often, if at all, were you personally discriminated against based on your identity (ethnicity, religion, nationality)?")</f>
        <v>How often, if at all, were you personally discriminated against based on your identity (ethnicity, religion, nationality)?</v>
      </c>
      <c r="H242" s="188" t="str">
        <f>IFERROR(__xludf.DUMMYFUNCTION("TRIM(REGEXREPLACE(D242,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242" s="188" t="str">
        <f>IFERROR(__xludf.DUMMYFUNCTION("TRIM(REGEXREPLACE(E242, ""[0-9]+[a-f]?\."", """"))"),"Sau nawa, idan ya faru a gareku, aka nuna muku wariya dangance da kabilarku, ko addininku, ko ƙasarku2?")</f>
        <v>Sau nawa, idan ya faru a gareku, aka nuna muku wariya dangance da kabilarku, ko addininku, ko ƙasarku2?</v>
      </c>
      <c r="J242" s="188" t="s">
        <v>2293</v>
      </c>
      <c r="K242" s="188" t="s">
        <v>2294</v>
      </c>
      <c r="L242" s="188" t="s">
        <v>2295</v>
      </c>
    </row>
    <row r="243">
      <c r="A243" s="199" t="s">
        <v>2011</v>
      </c>
      <c r="B243" s="147" t="s">
        <v>2296</v>
      </c>
      <c r="C243" s="190" t="s">
        <v>2297</v>
      </c>
      <c r="D243" s="190" t="s">
        <v>2298</v>
      </c>
      <c r="E243" s="190" t="s">
        <v>2299</v>
      </c>
      <c r="F243" s="195">
        <v>65.0</v>
      </c>
      <c r="G243" s="188" t="str">
        <f>IFERROR(__xludf.DUMMYFUNCTION("TRIM(REGEXREPLACE(C243, ""[0-9]+[a-f]?\."", """"))"),"How often, if ever, have you felt unsafe walking in the neighborhood where you are staying?")</f>
        <v>How often, if ever, have you felt unsafe walking in the neighborhood where you are staying?</v>
      </c>
      <c r="H243" s="188" t="str">
        <f>IFERROR(__xludf.DUMMYFUNCTION("TRIM(REGEXREPLACE(D243,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243" s="188" t="str">
        <f>IFERROR(__xludf.DUMMYFUNCTION("TRIM(REGEXREPLACE(E243, ""[0-9]+[a-f]?\."", """"))"),"Sau nawa, idan ya faru a gareku, kuka ji kuna cikin hatsari yayin da kuke yawo a cikin unguwar da kuke zaune?")</f>
        <v>Sau nawa, idan ya faru a gareku, kuka ji kuna cikin hatsari yayin da kuke yawo a cikin unguwar da kuke zaune?</v>
      </c>
      <c r="J243" s="188" t="s">
        <v>2300</v>
      </c>
      <c r="K243" s="188" t="s">
        <v>2301</v>
      </c>
      <c r="L243" s="188" t="s">
        <v>2302</v>
      </c>
    </row>
    <row r="244" hidden="1">
      <c r="A244" s="255" t="s">
        <v>278</v>
      </c>
      <c r="B244" s="143" t="s">
        <v>2303</v>
      </c>
      <c r="C244" s="190"/>
      <c r="D244" s="190"/>
      <c r="E244" s="190"/>
      <c r="F244" s="195">
        <v>144.0</v>
      </c>
      <c r="G244" s="188" t="str">
        <f>IFERROR(__xludf.DUMMYFUNCTION("TRIM(REGEXREPLACE(C244, ""[0-9]+[a-f]?\."", """"))"),"")</f>
        <v/>
      </c>
      <c r="H244" s="188" t="str">
        <f>IFERROR(__xludf.DUMMYFUNCTION("TRIM(REGEXREPLACE(D244, ""[0-9]+[a-f]?\."", """"))"),"")</f>
        <v/>
      </c>
      <c r="I244" s="188" t="str">
        <f>IFERROR(__xludf.DUMMYFUNCTION("TRIM(REGEXREPLACE(E244, ""[0-9]+[a-f]?\."", """"))"),"")</f>
        <v/>
      </c>
      <c r="J244" s="188" t="s">
        <v>2305</v>
      </c>
      <c r="K244" s="188" t="s">
        <v>2306</v>
      </c>
      <c r="L244" s="188" t="s">
        <v>2307</v>
      </c>
    </row>
    <row r="245">
      <c r="A245" s="199" t="s">
        <v>1060</v>
      </c>
      <c r="B245" s="147" t="s">
        <v>2308</v>
      </c>
      <c r="C245" s="190" t="s">
        <v>2309</v>
      </c>
      <c r="D245" s="190" t="s">
        <v>2310</v>
      </c>
      <c r="E245" s="190" t="s">
        <v>2311</v>
      </c>
      <c r="F245" s="195">
        <v>66.0</v>
      </c>
      <c r="G245" s="188" t="str">
        <f>IFERROR(__xludf.DUMMYFUNCTION("TRIM(REGEXREPLACE(C245, ""[0-9]+[a-f]?\."", """"))"),"Have you experienced any of the following during ${period}?")</f>
        <v>Have you experienced any of the following during ${period}?</v>
      </c>
      <c r="H245" s="188" t="str">
        <f>IFERROR(__xludf.DUMMYFUNCTION("TRIM(REGEXREPLACE(D245, ""[0-9]+[a-f]?\."", """"))"),"Avez-vous vécu l'une des situations suivantes depuis le debut de ${period_french} ?")</f>
        <v>Avez-vous vécu l'une des situations suivantes depuis le debut de ${period_french} ?</v>
      </c>
      <c r="I245" s="188" t="str">
        <f>IFERROR(__xludf.DUMMYFUNCTION("TRIM(REGEXREPLACE(E245, ""[0-9]+[a-f]?\."", """"))"),"Ko kun taɓa fuskantar ɗayan waɗannan abubuwan a wannan wurin, lokacin ${period_hausa}?")</f>
        <v>Ko kun taɓa fuskantar ɗayan waɗannan abubuwan a wannan wurin, lokacin ${period_hausa}?</v>
      </c>
      <c r="J245" s="188" t="s">
        <v>2313</v>
      </c>
      <c r="K245" s="188" t="s">
        <v>2314</v>
      </c>
      <c r="L245" s="188" t="s">
        <v>2315</v>
      </c>
    </row>
    <row r="246">
      <c r="A246" s="199" t="s">
        <v>1060</v>
      </c>
      <c r="B246" s="147" t="s">
        <v>2316</v>
      </c>
      <c r="C246" s="190" t="s">
        <v>2317</v>
      </c>
      <c r="D246" s="190" t="s">
        <v>2318</v>
      </c>
      <c r="E246" s="190" t="s">
        <v>2319</v>
      </c>
      <c r="F246" s="195">
        <v>67.0</v>
      </c>
      <c r="G246" s="188" t="str">
        <f>IFERROR(__xludf.DUMMYFUNCTION("TRIM(REGEXREPLACE(C246, ""[0-9]+[a-f]?\."", """"))"),"Physical attack")</f>
        <v>Physical attack</v>
      </c>
      <c r="H246" s="188" t="str">
        <f>IFERROR(__xludf.DUMMYFUNCTION("TRIM(REGEXREPLACE(D246, ""[0-9]+[a-f]?\."", """"))"),"Attaque physique")</f>
        <v>Attaque physique</v>
      </c>
      <c r="I246" s="188" t="str">
        <f>IFERROR(__xludf.DUMMYFUNCTION("TRIM(REGEXREPLACE(E246, ""[0-9]+[a-f]?\."", """"))"),"harin jiki")</f>
        <v>harin jiki</v>
      </c>
      <c r="J246" s="188" t="s">
        <v>2320</v>
      </c>
      <c r="K246" s="188" t="s">
        <v>2321</v>
      </c>
      <c r="L246" s="188" t="s">
        <v>2322</v>
      </c>
    </row>
    <row r="247">
      <c r="A247" s="199" t="s">
        <v>1060</v>
      </c>
      <c r="B247" s="147" t="s">
        <v>2323</v>
      </c>
      <c r="C247" s="190" t="s">
        <v>2324</v>
      </c>
      <c r="D247" s="190" t="s">
        <v>2325</v>
      </c>
      <c r="E247" s="190" t="s">
        <v>2326</v>
      </c>
      <c r="F247" s="195">
        <v>68.0</v>
      </c>
      <c r="G247" s="188" t="str">
        <f>IFERROR(__xludf.DUMMYFUNCTION("TRIM(REGEXREPLACE(C247, ""[0-9]+[a-f]?\."", """"))"),"Threat of physical violence/attack")</f>
        <v>Threat of physical violence/attack</v>
      </c>
      <c r="H247" s="188" t="str">
        <f>IFERROR(__xludf.DUMMYFUNCTION("TRIM(REGEXREPLACE(D247, ""[0-9]+[a-f]?\."", """"))"),"Menace de violence physique/agression")</f>
        <v>Menace de violence physique/agression</v>
      </c>
      <c r="I247" s="188" t="str">
        <f>IFERROR(__xludf.DUMMYFUNCTION("TRIM(REGEXREPLACE(E247, ""[0-9]+[a-f]?\."", """"))"),"Barazanar ​​harin jiki")</f>
        <v>Barazanar ​​harin jiki</v>
      </c>
      <c r="J247" s="188" t="s">
        <v>2328</v>
      </c>
      <c r="K247" s="188" t="s">
        <v>2330</v>
      </c>
      <c r="L247" s="188" t="s">
        <v>2331</v>
      </c>
    </row>
    <row r="248">
      <c r="A248" s="199" t="s">
        <v>1060</v>
      </c>
      <c r="B248" s="147" t="s">
        <v>2334</v>
      </c>
      <c r="C248" s="190" t="s">
        <v>2335</v>
      </c>
      <c r="D248" s="190" t="s">
        <v>2336</v>
      </c>
      <c r="E248" s="190" t="s">
        <v>2337</v>
      </c>
      <c r="F248" s="195">
        <v>69.0</v>
      </c>
      <c r="G248" s="188" t="str">
        <f>IFERROR(__xludf.DUMMYFUNCTION("TRIM(REGEXREPLACE(C248, ""[0-9]+[a-f]?\."", """"))"),"Theft of either money or property?")</f>
        <v>Theft of either money or property?</v>
      </c>
      <c r="H248" s="188" t="str">
        <f>IFERROR(__xludf.DUMMYFUNCTION("TRIM(REGEXREPLACE(D248, ""[0-9]+[a-f]?\."", """"))"),"Vol d'argent ou de propriété?")</f>
        <v>Vol d'argent ou de propriété?</v>
      </c>
      <c r="I248" s="188" t="str">
        <f>IFERROR(__xludf.DUMMYFUNCTION("TRIM(REGEXREPLACE(E248, ""[0-9]+[a-f]?\."", """"))"),"Satar kudi ko dukiya?")</f>
        <v>Satar kudi ko dukiya?</v>
      </c>
      <c r="J248" s="188" t="s">
        <v>2338</v>
      </c>
      <c r="K248" s="188" t="s">
        <v>2339</v>
      </c>
      <c r="L248" s="188" t="s">
        <v>2340</v>
      </c>
    </row>
    <row r="249">
      <c r="A249" s="199" t="s">
        <v>1060</v>
      </c>
      <c r="B249" s="147" t="s">
        <v>2341</v>
      </c>
      <c r="C249" s="190" t="s">
        <v>2342</v>
      </c>
      <c r="D249" s="190" t="s">
        <v>2343</v>
      </c>
      <c r="E249" s="190" t="s">
        <v>2344</v>
      </c>
      <c r="F249" s="195">
        <v>70.0</v>
      </c>
      <c r="G249" s="188" t="str">
        <f>IFERROR(__xludf.DUMMYFUNCTION("TRIM(REGEXREPLACE(C249, ""[0-9]+[a-f]?\."", """"))"),"Detention or arrest by state security forces?")</f>
        <v>Detention or arrest by state security forces?</v>
      </c>
      <c r="H249" s="188" t="str">
        <f>IFERROR(__xludf.DUMMYFUNCTION("TRIM(REGEXREPLACE(D249, ""[0-9]+[a-f]?\."", """"))"),"Détention ou arrestation par les forces de sécurité de l'État ?")</f>
        <v>Détention ou arrestation par les forces de sécurité de l'État ?</v>
      </c>
      <c r="I249" s="188" t="str">
        <f>IFERROR(__xludf.DUMMYFUNCTION("TRIM(REGEXREPLACE(E249, ""[0-9]+[a-f]?\."", """"))"),"Kaso ko kamu daga jami'an tsaron gwamnati?")</f>
        <v>Kaso ko kamu daga jami'an tsaron gwamnati?</v>
      </c>
      <c r="J249" s="188" t="s">
        <v>2345</v>
      </c>
      <c r="K249" s="188" t="s">
        <v>2346</v>
      </c>
      <c r="L249" s="188" t="s">
        <v>2347</v>
      </c>
    </row>
    <row r="250" hidden="1">
      <c r="A250" s="255" t="s">
        <v>331</v>
      </c>
      <c r="B250" s="152" t="s">
        <v>2303</v>
      </c>
      <c r="C250" s="190"/>
      <c r="D250" s="190"/>
      <c r="E250" s="190"/>
      <c r="F250" s="195">
        <v>164.0</v>
      </c>
      <c r="G250" s="188" t="str">
        <f>IFERROR(__xludf.DUMMYFUNCTION("TRIM(REGEXREPLACE(C250, ""[0-9]+[a-f]?\."", """"))"),"")</f>
        <v/>
      </c>
      <c r="H250" s="188" t="str">
        <f>IFERROR(__xludf.DUMMYFUNCTION("TRIM(REGEXREPLACE(D250, ""[0-9]+[a-f]?\."", """"))"),"")</f>
        <v/>
      </c>
      <c r="I250" s="188" t="str">
        <f>IFERROR(__xludf.DUMMYFUNCTION("TRIM(REGEXREPLACE(E250, ""[0-9]+[a-f]?\."", """"))"),"")</f>
        <v/>
      </c>
      <c r="J250" s="188" t="s">
        <v>2348</v>
      </c>
      <c r="K250" s="188" t="s">
        <v>2349</v>
      </c>
      <c r="L250" s="188" t="s">
        <v>2350</v>
      </c>
    </row>
    <row r="251" hidden="1">
      <c r="A251" s="255" t="s">
        <v>278</v>
      </c>
      <c r="B251" s="143" t="s">
        <v>2351</v>
      </c>
      <c r="C251" s="190"/>
      <c r="D251" s="190"/>
      <c r="E251" s="190"/>
      <c r="F251" s="195">
        <v>165.0</v>
      </c>
      <c r="G251" s="188" t="str">
        <f>IFERROR(__xludf.DUMMYFUNCTION("TRIM(REGEXREPLACE(C251, ""[0-9]+[a-f]?\."", """"))"),"")</f>
        <v/>
      </c>
      <c r="H251" s="188" t="str">
        <f>IFERROR(__xludf.DUMMYFUNCTION("TRIM(REGEXREPLACE(D251, ""[0-9]+[a-f]?\."", """"))"),"")</f>
        <v/>
      </c>
      <c r="I251" s="188" t="str">
        <f>IFERROR(__xludf.DUMMYFUNCTION("TRIM(REGEXREPLACE(E251, ""[0-9]+[a-f]?\."", """"))"),"")</f>
        <v/>
      </c>
      <c r="J251" s="188" t="s">
        <v>2352</v>
      </c>
      <c r="K251" s="188" t="s">
        <v>2353</v>
      </c>
      <c r="L251" s="188" t="s">
        <v>2354</v>
      </c>
    </row>
    <row r="252">
      <c r="A252" s="238" t="s">
        <v>46</v>
      </c>
      <c r="B252" s="132" t="s">
        <v>2355</v>
      </c>
      <c r="C252" s="190" t="s">
        <v>2356</v>
      </c>
      <c r="D252" s="190" t="s">
        <v>2357</v>
      </c>
      <c r="E252" s="190" t="s">
        <v>2359</v>
      </c>
      <c r="F252" s="195">
        <v>71.0</v>
      </c>
      <c r="G252" s="188" t="str">
        <f>IFERROR(__xludf.DUMMYFUNCTION("TRIM(REGEXREPLACE(C252, ""[0-9]+[a-f]?\."", """"))"),"Now I would like to ask you to tell me more about your specific experience with:")</f>
        <v>Now I would like to ask you to tell me more about your specific experience with:</v>
      </c>
      <c r="H252" s="188" t="str">
        <f>IFERROR(__xludf.DUMMYFUNCTION("TRIM(REGEXREPLACE(D252, ""[0-9]+[a-f]?\."", """"))"),"J'aimerais maintenant vous demander de m'en dire un peu plus sur votre expérience spécifique avec :")</f>
        <v>J'aimerais maintenant vous demander de m'en dire un peu plus sur votre expérience spécifique avec :</v>
      </c>
      <c r="I252" s="188" t="str">
        <f>IFERROR(__xludf.DUMMYFUNCTION("TRIM(REGEXREPLACE(E252, ""[0-9]+[a-f]?\."", """"))"),"Yanzu ina so in tambaye ku ƙarin bayani game da takamaiman gogewarku na masamman game da:")</f>
        <v>Yanzu ina so in tambaye ku ƙarin bayani game da takamaiman gogewarku na masamman game da:</v>
      </c>
      <c r="J252" s="188" t="s">
        <v>2362</v>
      </c>
      <c r="K252" s="188" t="s">
        <v>2363</v>
      </c>
      <c r="L252" s="188" t="s">
        <v>2364</v>
      </c>
    </row>
    <row r="253">
      <c r="A253" s="257" t="s">
        <v>220</v>
      </c>
      <c r="B253" s="240" t="s">
        <v>2365</v>
      </c>
      <c r="C253" s="190" t="s">
        <v>2366</v>
      </c>
      <c r="D253" s="190" t="s">
        <v>2367</v>
      </c>
      <c r="E253" s="190" t="s">
        <v>2368</v>
      </c>
      <c r="F253" s="195">
        <v>72.0</v>
      </c>
      <c r="G253" s="188" t="str">
        <f>IFERROR(__xludf.DUMMYFUNCTION("TRIM(REGEXREPLACE(C253, ""[0-9]+[a-f]?\."", """"))"),"Physical attack")</f>
        <v>Physical attack</v>
      </c>
      <c r="H253" s="188" t="str">
        <f>IFERROR(__xludf.DUMMYFUNCTION("TRIM(REGEXREPLACE(D253, ""[0-9]+[a-f]?\."", """"))"),"Attaque physique")</f>
        <v>Attaque physique</v>
      </c>
      <c r="I253" s="188" t="str">
        <f>IFERROR(__xludf.DUMMYFUNCTION("TRIM(REGEXREPLACE(E253, ""[0-9]+[a-f]?\."", """"))"),"harin jiki")</f>
        <v>harin jiki</v>
      </c>
      <c r="J253" s="188" t="s">
        <v>2369</v>
      </c>
      <c r="K253" s="188" t="s">
        <v>2370</v>
      </c>
      <c r="L253" s="188" t="s">
        <v>2371</v>
      </c>
    </row>
    <row r="254">
      <c r="A254" s="257" t="s">
        <v>220</v>
      </c>
      <c r="B254" s="240" t="s">
        <v>2372</v>
      </c>
      <c r="C254" s="190" t="s">
        <v>2373</v>
      </c>
      <c r="D254" s="190" t="s">
        <v>2374</v>
      </c>
      <c r="E254" s="190" t="s">
        <v>2375</v>
      </c>
      <c r="F254" s="195">
        <v>73.0</v>
      </c>
      <c r="G254" s="188" t="str">
        <f>IFERROR(__xludf.DUMMYFUNCTION("TRIM(REGEXREPLACE(C254, ""[0-9]+[a-f]?\."", """"))"),"Threat of physical violence/attack")</f>
        <v>Threat of physical violence/attack</v>
      </c>
      <c r="H254" s="188" t="str">
        <f>IFERROR(__xludf.DUMMYFUNCTION("TRIM(REGEXREPLACE(D254, ""[0-9]+[a-f]?\."", """"))"),"Menace de violence physique/agression")</f>
        <v>Menace de violence physique/agression</v>
      </c>
      <c r="I254" s="188" t="str">
        <f>IFERROR(__xludf.DUMMYFUNCTION("TRIM(REGEXREPLACE(E254, ""[0-9]+[a-f]?\."", """"))"),"Barazanar ​​harin jiki")</f>
        <v>Barazanar ​​harin jiki</v>
      </c>
      <c r="J254" s="188" t="s">
        <v>2376</v>
      </c>
      <c r="K254" s="188" t="s">
        <v>2377</v>
      </c>
      <c r="L254" s="188" t="s">
        <v>2379</v>
      </c>
    </row>
    <row r="255">
      <c r="A255" s="279" t="s">
        <v>220</v>
      </c>
      <c r="B255" s="240" t="s">
        <v>2382</v>
      </c>
      <c r="C255" s="190" t="s">
        <v>2383</v>
      </c>
      <c r="D255" s="190" t="s">
        <v>2384</v>
      </c>
      <c r="E255" s="190" t="s">
        <v>2385</v>
      </c>
      <c r="F255" s="195">
        <v>74.0</v>
      </c>
      <c r="G255" s="188" t="str">
        <f>IFERROR(__xludf.DUMMYFUNCTION("TRIM(REGEXREPLACE(C255, ""[0-9]+[a-f]?\."", """"))"),"Theft of either money or property?")</f>
        <v>Theft of either money or property?</v>
      </c>
      <c r="H255" s="188" t="str">
        <f>IFERROR(__xludf.DUMMYFUNCTION("TRIM(REGEXREPLACE(D255, ""[0-9]+[a-f]?\."", """"))"),"Vol d'argent ou de propriété?")</f>
        <v>Vol d'argent ou de propriété?</v>
      </c>
      <c r="I255" s="188" t="str">
        <f>IFERROR(__xludf.DUMMYFUNCTION("TRIM(REGEXREPLACE(E255, ""[0-9]+[a-f]?\."", """"))"),"Satar kudi ko dukiya?")</f>
        <v>Satar kudi ko dukiya?</v>
      </c>
      <c r="J255" s="188" t="s">
        <v>2386</v>
      </c>
      <c r="K255" s="188" t="s">
        <v>2387</v>
      </c>
      <c r="L255" s="188" t="s">
        <v>2388</v>
      </c>
    </row>
    <row r="256">
      <c r="A256" s="257" t="s">
        <v>220</v>
      </c>
      <c r="B256" s="240" t="s">
        <v>2389</v>
      </c>
      <c r="C256" s="190" t="s">
        <v>2390</v>
      </c>
      <c r="D256" s="190" t="s">
        <v>2391</v>
      </c>
      <c r="E256" s="190" t="s">
        <v>2392</v>
      </c>
      <c r="F256" s="195">
        <v>75.0</v>
      </c>
      <c r="G256" s="188" t="str">
        <f>IFERROR(__xludf.DUMMYFUNCTION("TRIM(REGEXREPLACE(C256, ""[0-9]+[a-f]?\."", """"))"),"Detention or arrest by state security forces?")</f>
        <v>Detention or arrest by state security forces?</v>
      </c>
      <c r="H256" s="188" t="str">
        <f>IFERROR(__xludf.DUMMYFUNCTION("TRIM(REGEXREPLACE(D256, ""[0-9]+[a-f]?\."", """"))"),"Détention ou arrestation par les forces de sécurité de l'État ?")</f>
        <v>Détention ou arrestation par les forces de sécurité de l'État ?</v>
      </c>
      <c r="I256" s="188" t="str">
        <f>IFERROR(__xludf.DUMMYFUNCTION("TRIM(REGEXREPLACE(E256, ""[0-9]+[a-f]?\."", """"))"),"Kaso ko kamu daga jami'an tsaron gwamnati?")</f>
        <v>Kaso ko kamu daga jami'an tsaron gwamnati?</v>
      </c>
      <c r="J256" s="188" t="s">
        <v>2396</v>
      </c>
      <c r="K256" s="188" t="s">
        <v>2397</v>
      </c>
      <c r="L256" s="188" t="s">
        <v>2398</v>
      </c>
    </row>
    <row r="257" hidden="1">
      <c r="A257" s="255" t="s">
        <v>331</v>
      </c>
      <c r="B257" s="152" t="s">
        <v>2351</v>
      </c>
      <c r="C257" s="190"/>
      <c r="D257" s="190"/>
      <c r="E257" s="190"/>
      <c r="F257" s="195">
        <v>148.0</v>
      </c>
      <c r="G257" s="188" t="str">
        <f>IFERROR(__xludf.DUMMYFUNCTION("TRIM(REGEXREPLACE(C257, ""[0-9]+[a-f]?\."", """"))"),"")</f>
        <v/>
      </c>
      <c r="H257" s="188" t="str">
        <f>IFERROR(__xludf.DUMMYFUNCTION("TRIM(REGEXREPLACE(D257, ""[0-9]+[a-f]?\."", """"))"),"")</f>
        <v/>
      </c>
      <c r="I257" s="188" t="str">
        <f>IFERROR(__xludf.DUMMYFUNCTION("TRIM(REGEXREPLACE(E257, ""[0-9]+[a-f]?\."", """"))"),"")</f>
        <v/>
      </c>
      <c r="J257" s="188" t="s">
        <v>2399</v>
      </c>
      <c r="K257" s="188" t="s">
        <v>2400</v>
      </c>
      <c r="L257" s="188" t="s">
        <v>2400</v>
      </c>
    </row>
    <row r="258" hidden="1">
      <c r="A258" s="149" t="s">
        <v>256</v>
      </c>
      <c r="B258" s="148" t="s">
        <v>2401</v>
      </c>
      <c r="C258" s="190"/>
      <c r="D258" s="190"/>
      <c r="E258" s="190"/>
      <c r="F258" s="195">
        <v>161.0</v>
      </c>
      <c r="G258" s="188" t="str">
        <f>IFERROR(__xludf.DUMMYFUNCTION("TRIM(REGEXREPLACE(C258, ""[0-9]+[a-f]?\."", """"))"),"")</f>
        <v/>
      </c>
      <c r="H258" s="188" t="str">
        <f>IFERROR(__xludf.DUMMYFUNCTION("TRIM(REGEXREPLACE(D258, ""[0-9]+[a-f]?\."", """"))"),"")</f>
        <v/>
      </c>
      <c r="I258" s="188" t="str">
        <f>IFERROR(__xludf.DUMMYFUNCTION("TRIM(REGEXREPLACE(E258, ""[0-9]+[a-f]?\."", """"))"),"")</f>
        <v/>
      </c>
      <c r="J258" s="188" t="s">
        <v>2405</v>
      </c>
      <c r="K258" s="188" t="s">
        <v>2406</v>
      </c>
      <c r="L258" s="188" t="s">
        <v>2407</v>
      </c>
    </row>
    <row r="259" hidden="1">
      <c r="A259" s="210" t="s">
        <v>112</v>
      </c>
      <c r="B259" s="277" t="s">
        <v>2408</v>
      </c>
      <c r="C259" s="190"/>
      <c r="D259" s="190"/>
      <c r="E259" s="190"/>
      <c r="F259" s="195">
        <v>149.0</v>
      </c>
      <c r="G259" s="188" t="str">
        <f>IFERROR(__xludf.DUMMYFUNCTION("TRIM(REGEXREPLACE(C259, ""[0-9]+[a-f]?\."", """"))"),"")</f>
        <v/>
      </c>
      <c r="H259" s="188" t="str">
        <f>IFERROR(__xludf.DUMMYFUNCTION("TRIM(REGEXREPLACE(D259, ""[0-9]+[a-f]?\."", """"))"),"")</f>
        <v/>
      </c>
      <c r="I259" s="188" t="str">
        <f>IFERROR(__xludf.DUMMYFUNCTION("TRIM(REGEXREPLACE(E259, ""[0-9]+[a-f]?\."", """"))"),"")</f>
        <v/>
      </c>
      <c r="J259" s="188" t="s">
        <v>2409</v>
      </c>
      <c r="K259" s="188" t="s">
        <v>2410</v>
      </c>
      <c r="L259" s="188" t="s">
        <v>2410</v>
      </c>
    </row>
    <row r="260" hidden="1">
      <c r="A260" s="262"/>
      <c r="B260" s="262"/>
      <c r="C260" s="190" t="s">
        <v>55</v>
      </c>
      <c r="D260" s="190" t="s">
        <v>55</v>
      </c>
      <c r="E260" s="190" t="s">
        <v>55</v>
      </c>
      <c r="F260" s="195">
        <v>9.0</v>
      </c>
      <c r="G260" s="188" t="str">
        <f>IFERROR(__xludf.DUMMYFUNCTION("TRIM(REGEXREPLACE(C260, ""[0-9]+[a-f]?\."", """"))"),"")</f>
        <v/>
      </c>
      <c r="H260" s="188" t="str">
        <f>IFERROR(__xludf.DUMMYFUNCTION("TRIM(REGEXREPLACE(D260, ""[0-9]+[a-f]?\."", """"))"),"")</f>
        <v/>
      </c>
      <c r="I260" s="188" t="str">
        <f>IFERROR(__xludf.DUMMYFUNCTION("TRIM(REGEXREPLACE(E260, ""[0-9]+[a-f]?\."", """"))"),"")</f>
        <v/>
      </c>
      <c r="J260" s="188" t="str">
        <f t="shared" ref="J260:L260" si="9">$F260 &amp; ". "&amp;G260</f>
        <v>9. </v>
      </c>
      <c r="K260" s="188" t="str">
        <f t="shared" si="9"/>
        <v>9. </v>
      </c>
      <c r="L260" s="188" t="str">
        <f t="shared" si="9"/>
        <v>9. </v>
      </c>
    </row>
    <row r="261" hidden="1">
      <c r="A261" s="255" t="s">
        <v>278</v>
      </c>
      <c r="B261" s="143" t="s">
        <v>2416</v>
      </c>
      <c r="C261" s="190" t="s">
        <v>2417</v>
      </c>
      <c r="D261" s="190" t="s">
        <v>2419</v>
      </c>
      <c r="E261" s="190" t="s">
        <v>2420</v>
      </c>
      <c r="F261" s="195">
        <v>10.0</v>
      </c>
      <c r="G261" s="188" t="str">
        <f>IFERROR(__xludf.DUMMYFUNCTION("TRIM(REGEXREPLACE(C261, ""[0-9]+[a-f]?\."", """"))"),"Questions about PM")</f>
        <v>Questions about PM</v>
      </c>
      <c r="H261" s="188" t="str">
        <f>IFERROR(__xludf.DUMMYFUNCTION("TRIM(REGEXREPLACE(D261, ""[0-9]+[a-f]?\."", """"))"),"Questions sur le Potentiel Migrant")</f>
        <v>Questions sur le Potentiel Migrant</v>
      </c>
      <c r="I261" s="188" t="str">
        <f>IFERROR(__xludf.DUMMYFUNCTION("TRIM(REGEXREPLACE(E261, ""[0-9]+[a-f]?\."", """"))"),"Tambayoyi bisa mai nufin zuwa biɗa")</f>
        <v>Tambayoyi bisa mai nufin zuwa biɗa</v>
      </c>
      <c r="J261" s="188" t="str">
        <f t="shared" ref="J261:L261" si="10">$F261 &amp; ". "&amp;G261</f>
        <v>10. Questions about PM</v>
      </c>
      <c r="K261" s="188" t="str">
        <f t="shared" si="10"/>
        <v>10. Questions sur le Potentiel Migrant</v>
      </c>
      <c r="L261" s="188" t="str">
        <f t="shared" si="10"/>
        <v>10. Tambayoyi bisa mai nufin zuwa biɗa</v>
      </c>
    </row>
    <row r="262" hidden="1">
      <c r="A262" s="280" t="s">
        <v>256</v>
      </c>
      <c r="B262" s="130" t="s">
        <v>2424</v>
      </c>
      <c r="C262" s="190"/>
      <c r="D262" s="190"/>
      <c r="E262" s="190"/>
      <c r="F262" s="195">
        <v>11.0</v>
      </c>
      <c r="G262" s="188" t="str">
        <f>IFERROR(__xludf.DUMMYFUNCTION("TRIM(REGEXREPLACE(C262, ""[0-9]+[a-f]?\."", """"))"),"")</f>
        <v/>
      </c>
      <c r="H262" s="188" t="str">
        <f>IFERROR(__xludf.DUMMYFUNCTION("TRIM(REGEXREPLACE(D262, ""[0-9]+[a-f]?\."", """"))"),"")</f>
        <v/>
      </c>
      <c r="I262" s="188" t="str">
        <f>IFERROR(__xludf.DUMMYFUNCTION("TRIM(REGEXREPLACE(E262, ""[0-9]+[a-f]?\."", """"))"),"")</f>
        <v/>
      </c>
      <c r="J262" s="188" t="str">
        <f t="shared" ref="J262:L262" si="11">$F262 &amp; ". "&amp;G262</f>
        <v>11. </v>
      </c>
      <c r="K262" s="188" t="str">
        <f t="shared" si="11"/>
        <v>11. </v>
      </c>
      <c r="L262" s="188" t="str">
        <f t="shared" si="11"/>
        <v>11. </v>
      </c>
    </row>
    <row r="263">
      <c r="A263" s="281" t="s">
        <v>46</v>
      </c>
      <c r="B263" s="132" t="s">
        <v>2426</v>
      </c>
      <c r="C263" s="190" t="s">
        <v>2427</v>
      </c>
      <c r="D263" s="190" t="s">
        <v>2429</v>
      </c>
      <c r="E263" s="190" t="s">
        <v>2431</v>
      </c>
      <c r="F263" s="195">
        <v>76.0</v>
      </c>
      <c r="G263" s="188" t="str">
        <f>IFERROR(__xludf.DUMMYFUNCTION("TRIM(REGEXREPLACE(C263, ""[0-9]+[a-f]?\."", """"))"),"Now I would like to ask you a few questions about ${pm_name}")</f>
        <v>Now I would like to ask you a few questions about ${pm_name}</v>
      </c>
      <c r="H263" s="188" t="str">
        <f>IFERROR(__xludf.DUMMYFUNCTION("TRIM(REGEXREPLACE(D263, ""[0-9]+[a-f]?\."", """"))"),"Maintenant, je voudrais vous poser quelques questions sur ${pm_name}")</f>
        <v>Maintenant, je voudrais vous poser quelques questions sur ${pm_name}</v>
      </c>
      <c r="I263" s="188" t="str">
        <f>IFERROR(__xludf.DUMMYFUNCTION("TRIM(REGEXREPLACE(E263, ""[0-9]+[a-f]?\."", """"))"),"Yanzu ina so in muku wasu tambayoyi game da ${pm_name}")</f>
        <v>Yanzu ina so in muku wasu tambayoyi game da ${pm_name}</v>
      </c>
      <c r="J263" s="188" t="s">
        <v>2432</v>
      </c>
      <c r="K263" s="188" t="s">
        <v>2433</v>
      </c>
      <c r="L263" s="188" t="s">
        <v>2434</v>
      </c>
    </row>
    <row r="264">
      <c r="A264" s="199" t="s">
        <v>1060</v>
      </c>
      <c r="B264" s="147" t="s">
        <v>2435</v>
      </c>
      <c r="C264" s="190" t="s">
        <v>2436</v>
      </c>
      <c r="D264" s="190" t="s">
        <v>2437</v>
      </c>
      <c r="E264" s="190" t="s">
        <v>2438</v>
      </c>
      <c r="F264" s="195">
        <v>77.0</v>
      </c>
      <c r="G264" s="188" t="str">
        <f>IFERROR(__xludf.DUMMYFUNCTION("TRIM(REGEXREPLACE(C264, ""[0-9]+[a-f]?\."", """"))"),"To the best of your knowledge has ${pm_name} worked for pay in the past month?")</f>
        <v>To the best of your knowledge has ${pm_name} worked for pay in the past month?</v>
      </c>
      <c r="H264" s="188" t="str">
        <f>IFERROR(__xludf.DUMMYFUNCTION("TRIM(REGEXREPLACE(D264, ""[0-9]+[a-f]?\."", """"))"),"Au meilleur de vos connaissances, ${pm_name} a-t-il travaillé pour gagner un salaire au cours du dernier mois?")</f>
        <v>Au meilleur de vos connaissances, ${pm_name} a-t-il travaillé pour gagner un salaire au cours du dernier mois?</v>
      </c>
      <c r="I264" s="188" t="str">
        <f>IFERROR(__xludf.DUMMYFUNCTION("TRIM(REGEXREPLACE(E264, ""[0-9]+[a-f]?\."", """"))"),"A iya saninku ${pm_name} ya yi aiki don samun biya a cikin watan da ya gabata?")</f>
        <v>A iya saninku ${pm_name} ya yi aiki don samun biya a cikin watan da ya gabata?</v>
      </c>
      <c r="J264" s="188" t="s">
        <v>2443</v>
      </c>
      <c r="K264" s="188" t="s">
        <v>2444</v>
      </c>
      <c r="L264" s="188" t="s">
        <v>2445</v>
      </c>
    </row>
    <row r="265">
      <c r="A265" s="258" t="s">
        <v>247</v>
      </c>
      <c r="B265" s="259" t="s">
        <v>2446</v>
      </c>
      <c r="C265" s="190" t="s">
        <v>2447</v>
      </c>
      <c r="D265" s="190" t="s">
        <v>2448</v>
      </c>
      <c r="E265" s="190" t="s">
        <v>2449</v>
      </c>
      <c r="F265" s="195">
        <v>78.0</v>
      </c>
      <c r="G265" s="188" t="str">
        <f>IFERROR(__xludf.DUMMYFUNCTION("TRIM(REGEXREPLACE(C265, ""[0-9]+[a-f]?\."", """"))"),"If you had to guess, how much money do you think ${pm_name} earned from work in the past month?")</f>
        <v>If you had to guess, how much money do you think ${pm_name} earned from work in the past month?</v>
      </c>
      <c r="H265" s="188" t="str">
        <f>IFERROR(__xludf.DUMMYFUNCTION("TRIM(REGEXREPLACE(D265, ""[0-9]+[a-f]?\."", """"))"),"Si vous deviez deviner, combien d'argent pensez-vous que ${pm_name} gagne du travail au cours du dernier mois?")</f>
        <v>Si vous deviez deviner, combien d'argent pensez-vous que ${pm_name} gagne du travail au cours du dernier mois?</v>
      </c>
      <c r="I265" s="188" t="str">
        <f>IFERROR(__xludf.DUMMYFUNCTION("TRIM(REGEXREPLACE(E265, ""[0-9]+[a-f]?\."", """"))"),"Idan kuka ƙaddara, nawa kuke ganin ${pm_name} zai samu daga wannan aikin a cikin watan da ya gabata?")</f>
        <v>Idan kuka ƙaddara, nawa kuke ganin ${pm_name} zai samu daga wannan aikin a cikin watan da ya gabata?</v>
      </c>
      <c r="J265" s="188" t="s">
        <v>2452</v>
      </c>
      <c r="K265" s="188" t="s">
        <v>2454</v>
      </c>
      <c r="L265" s="188" t="s">
        <v>2455</v>
      </c>
    </row>
    <row r="266">
      <c r="A266" s="199" t="s">
        <v>2456</v>
      </c>
      <c r="B266" s="147" t="s">
        <v>2457</v>
      </c>
      <c r="C266" s="190" t="s">
        <v>2458</v>
      </c>
      <c r="D266" s="190" t="s">
        <v>2459</v>
      </c>
      <c r="E266" s="190" t="s">
        <v>2460</v>
      </c>
      <c r="F266" s="195">
        <v>79.0</v>
      </c>
      <c r="G266" s="188" t="str">
        <f>IFERROR(__xludf.DUMMYFUNCTION("TRIM(REGEXREPLACE(C266, ""[0-9]+[a-f]?\."", """"))"),"Is ${pm_name} currently living in your household?")</f>
        <v>Is ${pm_name} currently living in your household?</v>
      </c>
      <c r="H266" s="188" t="str">
        <f>IFERROR(__xludf.DUMMYFUNCTION("TRIM(REGEXREPLACE(D266, ""[0-9]+[a-f]?\."", """"))"),"${pm_name} vit-il actuellement dans votre ménage?")</f>
        <v>${pm_name} vit-il actuellement dans votre ménage?</v>
      </c>
      <c r="I266" s="188" t="str">
        <f>IFERROR(__xludf.DUMMYFUNCTION("TRIM(REGEXREPLACE(E266, ""[0-9]+[a-f]?\."", """"))"),"Ko ${pm_name} yana zaune a gidan ku a hali yanzu?")</f>
        <v>Ko ${pm_name} yana zaune a gidan ku a hali yanzu?</v>
      </c>
      <c r="J266" s="188" t="s">
        <v>2461</v>
      </c>
      <c r="K266" s="188" t="s">
        <v>2463</v>
      </c>
      <c r="L266" s="188" t="s">
        <v>2464</v>
      </c>
    </row>
    <row r="267">
      <c r="A267" s="199" t="s">
        <v>1060</v>
      </c>
      <c r="B267" s="147" t="s">
        <v>2465</v>
      </c>
      <c r="C267" s="190" t="s">
        <v>2467</v>
      </c>
      <c r="D267" s="190" t="s">
        <v>2469</v>
      </c>
      <c r="E267" s="190" t="s">
        <v>2471</v>
      </c>
      <c r="F267" s="195">
        <v>80.0</v>
      </c>
      <c r="G267" s="188" t="str">
        <f>IFERROR(__xludf.DUMMYFUNCTION("TRIM(REGEXREPLACE(C267, ""[0-9]+[a-f]?\."", """"))"),"Where is ${pm_name} living right now?
 Enumerator: Is location in Niger?")</f>
        <v>Where is ${pm_name} living right now?
 Enumerator: Is location in Niger?</v>
      </c>
      <c r="H267" s="188" t="str">
        <f>IFERROR(__xludf.DUMMYFUNCTION("TRIM(REGEXREPLACE(D267, ""[0-9]+[a-f]?\."", """"))"),"Où est ${pm_name} en ce moment?
 Énquêteur: le lieu est-il au Niger?")</f>
        <v>Où est ${pm_name} en ce moment?
 Énquêteur: le lieu est-il au Niger?</v>
      </c>
      <c r="I267" s="188" t="str">
        <f>IFERROR(__xludf.DUMMYFUNCTION("TRIM(REGEXREPLACE(E267, ""[0-9]+[a-f]?\."", """"))"),"Ina ${pm_name} yake a yanzu?
 Dan bincike: Ko wurin a Nijar ne?")</f>
        <v>Ina ${pm_name} yake a yanzu?
 Dan bincike: Ko wurin a Nijar ne?</v>
      </c>
      <c r="J267" s="188" t="s">
        <v>2472</v>
      </c>
      <c r="K267" s="188" t="s">
        <v>2473</v>
      </c>
      <c r="L267" s="188" t="s">
        <v>2474</v>
      </c>
    </row>
    <row r="268">
      <c r="A268" s="199" t="s">
        <v>1779</v>
      </c>
      <c r="B268" s="147" t="s">
        <v>2475</v>
      </c>
      <c r="C268" s="190" t="s">
        <v>2476</v>
      </c>
      <c r="D268" s="190" t="s">
        <v>2477</v>
      </c>
      <c r="E268" s="190" t="s">
        <v>2478</v>
      </c>
      <c r="F268" s="195">
        <v>81.0</v>
      </c>
      <c r="G268" s="188" t="str">
        <f>IFERROR(__xludf.DUMMYFUNCTION("TRIM(REGEXREPLACE(C268, ""[0-9]+[a-f]?\."", """"))"),"Enumerator: Select region in Niger")</f>
        <v>Enumerator: Select region in Niger</v>
      </c>
      <c r="H268" s="188" t="str">
        <f>IFERROR(__xludf.DUMMYFUNCTION("TRIM(REGEXREPLACE(D268, ""[0-9]+[a-f]?\."", """"))"),"Enquêteur : Sélectionnez une région au Niger")</f>
        <v>Enquêteur : Sélectionnez une région au Niger</v>
      </c>
      <c r="I268" s="188" t="str">
        <f>IFERROR(__xludf.DUMMYFUNCTION("TRIM(REGEXREPLACE(E268, ""[0-9]+[a-f]?\."", """"))"),"Ɗan bincike: Zaɓi Jaha ɗaya a Nijar")</f>
        <v>Ɗan bincike: Zaɓi Jaha ɗaya a Nijar</v>
      </c>
      <c r="J268" s="188" t="s">
        <v>2479</v>
      </c>
      <c r="K268" s="188" t="s">
        <v>2480</v>
      </c>
      <c r="L268" s="188" t="s">
        <v>2481</v>
      </c>
    </row>
    <row r="269">
      <c r="A269" s="149" t="s">
        <v>2482</v>
      </c>
      <c r="B269" s="147" t="s">
        <v>2483</v>
      </c>
      <c r="C269" s="190" t="s">
        <v>2485</v>
      </c>
      <c r="D269" s="190" t="s">
        <v>2486</v>
      </c>
      <c r="E269" s="190" t="s">
        <v>2487</v>
      </c>
      <c r="F269" s="195">
        <v>82.0</v>
      </c>
      <c r="G269" s="188" t="str">
        <f>IFERROR(__xludf.DUMMYFUNCTION("TRIM(REGEXREPLACE(C269, ""[0-9]+[a-f]?\."", """"))"),"Enumerator: Select country")</f>
        <v>Enumerator: Select country</v>
      </c>
      <c r="H269" s="188" t="str">
        <f>IFERROR(__xludf.DUMMYFUNCTION("TRIM(REGEXREPLACE(D269, ""[0-9]+[a-f]?\."", """"))"),"Enquêteur : sélectionnez le pays")</f>
        <v>Enquêteur : sélectionnez le pays</v>
      </c>
      <c r="I269" s="188" t="str">
        <f>IFERROR(__xludf.DUMMYFUNCTION("TRIM(REGEXREPLACE(E269, ""[0-9]+[a-f]?\."", """"))"),"Ɗan bincike: Zaɓi ƙasa")</f>
        <v>Ɗan bincike: Zaɓi ƙasa</v>
      </c>
      <c r="J269" s="188" t="s">
        <v>2488</v>
      </c>
      <c r="K269" s="188" t="s">
        <v>2489</v>
      </c>
      <c r="L269" s="188" t="s">
        <v>2490</v>
      </c>
    </row>
    <row r="270">
      <c r="A270" s="257" t="s">
        <v>220</v>
      </c>
      <c r="B270" s="240" t="s">
        <v>2491</v>
      </c>
      <c r="C270" s="190" t="s">
        <v>2492</v>
      </c>
      <c r="D270" s="190" t="s">
        <v>2493</v>
      </c>
      <c r="E270" s="190" t="s">
        <v>2494</v>
      </c>
      <c r="F270" s="195">
        <v>83.0</v>
      </c>
      <c r="G270" s="188" t="str">
        <f>IFERROR(__xludf.DUMMYFUNCTION("TRIM(REGEXREPLACE(C270, ""[0-9]+[a-f]?\."", """"))"),"Enumerator: Enter other country")</f>
        <v>Enumerator: Enter other country</v>
      </c>
      <c r="H270" s="188" t="str">
        <f>IFERROR(__xludf.DUMMYFUNCTION("TRIM(REGEXREPLACE(D270, ""[0-9]+[a-f]?\."", """"))"),"Enquêteur : Entrez un autre pays")</f>
        <v>Enquêteur : Entrez un autre pays</v>
      </c>
      <c r="I270" s="188" t="str">
        <f>IFERROR(__xludf.DUMMYFUNCTION("TRIM(REGEXREPLACE(E270, ""[0-9]+[a-f]?\."", """"))"),"Ɗan bincike: Shigar da wata ƙasa")</f>
        <v>Ɗan bincike: Shigar da wata ƙasa</v>
      </c>
      <c r="J270" s="188" t="s">
        <v>2495</v>
      </c>
      <c r="K270" s="188" t="s">
        <v>2496</v>
      </c>
      <c r="L270" s="188" t="s">
        <v>2497</v>
      </c>
    </row>
    <row r="271">
      <c r="A271" s="199" t="s">
        <v>1814</v>
      </c>
      <c r="B271" s="147" t="s">
        <v>2498</v>
      </c>
      <c r="C271" s="190" t="s">
        <v>2499</v>
      </c>
      <c r="D271" s="190" t="s">
        <v>2500</v>
      </c>
      <c r="E271" s="190" t="s">
        <v>2501</v>
      </c>
      <c r="F271" s="195">
        <v>84.0</v>
      </c>
      <c r="G271" s="188" t="str">
        <f>IFERROR(__xludf.DUMMYFUNCTION("TRIM(REGEXREPLACE(C271, ""[0-9]+[a-f]?\."", """"))"),"Enumerator: Select town")</f>
        <v>Enumerator: Select town</v>
      </c>
      <c r="H271" s="188" t="str">
        <f>IFERROR(__xludf.DUMMYFUNCTION("TRIM(REGEXREPLACE(D271, ""[0-9]+[a-f]?\."", """"))"),"Enquêteur : Sélectionnez la ville")</f>
        <v>Enquêteur : Sélectionnez la ville</v>
      </c>
      <c r="I271" s="188" t="str">
        <f>IFERROR(__xludf.DUMMYFUNCTION("TRIM(REGEXREPLACE(E271, ""[0-9]+[a-f]?\."", """"))"),"Ɗan bincike: Zaɓi gari")</f>
        <v>Ɗan bincike: Zaɓi gari</v>
      </c>
      <c r="J271" s="188" t="s">
        <v>2503</v>
      </c>
      <c r="K271" s="188" t="s">
        <v>2504</v>
      </c>
      <c r="L271" s="188" t="s">
        <v>2505</v>
      </c>
    </row>
    <row r="272">
      <c r="A272" s="257" t="s">
        <v>220</v>
      </c>
      <c r="B272" s="217" t="s">
        <v>2506</v>
      </c>
      <c r="C272" s="190" t="s">
        <v>2508</v>
      </c>
      <c r="D272" s="190" t="s">
        <v>2509</v>
      </c>
      <c r="E272" s="190" t="s">
        <v>2510</v>
      </c>
      <c r="F272" s="195">
        <v>85.0</v>
      </c>
      <c r="G272" s="188" t="str">
        <f>IFERROR(__xludf.DUMMYFUNCTION("TRIM(REGEXREPLACE(C272, ""[0-9]+[a-f]?\."", """"))"),"Enumerator: Enter other town")</f>
        <v>Enumerator: Enter other town</v>
      </c>
      <c r="H272" s="188" t="str">
        <f>IFERROR(__xludf.DUMMYFUNCTION("TRIM(REGEXREPLACE(D272, ""[0-9]+[a-f]?\."", """"))"),"Enquêteur : Entrez un autre ville")</f>
        <v>Enquêteur : Entrez un autre ville</v>
      </c>
      <c r="I272" s="188" t="str">
        <f>IFERROR(__xludf.DUMMYFUNCTION("TRIM(REGEXREPLACE(E272, ""[0-9]+[a-f]?\."", """"))"),"Ɗan bincike: Shigar da wata gari")</f>
        <v>Ɗan bincike: Shigar da wata gari</v>
      </c>
      <c r="J272" s="188" t="s">
        <v>2514</v>
      </c>
      <c r="K272" s="188" t="s">
        <v>2515</v>
      </c>
      <c r="L272" s="188" t="s">
        <v>2516</v>
      </c>
    </row>
    <row r="273">
      <c r="A273" s="257" t="s">
        <v>2456</v>
      </c>
      <c r="B273" s="217" t="s">
        <v>2517</v>
      </c>
      <c r="C273" s="190" t="s">
        <v>2518</v>
      </c>
      <c r="D273" s="190" t="s">
        <v>2519</v>
      </c>
      <c r="E273" s="190" t="s">
        <v>2520</v>
      </c>
      <c r="F273" s="195">
        <v>86.0</v>
      </c>
      <c r="G273" s="188" t="str">
        <f>IFERROR(__xludf.DUMMYFUNCTION("TRIM(REGEXREPLACE(C273, ""[0-9]+[a-f]?\."", """"))"),"Will ${pm_name} be in the household within the next two weeks?")</f>
        <v>Will ${pm_name} be in the household within the next two weeks?</v>
      </c>
      <c r="H273" s="188" t="str">
        <f>IFERROR(__xludf.DUMMYFUNCTION("TRIM(REGEXREPLACE(D273, ""[0-9]+[a-f]?\."", """"))"),"Est-ce que ${pm_name} sera dans le ménage au cours des deux prochaines semaines ?")</f>
        <v>Est-ce que ${pm_name} sera dans le ménage au cours des deux prochaines semaines ?</v>
      </c>
      <c r="I273" s="188" t="str">
        <f>IFERROR(__xludf.DUMMYFUNCTION("TRIM(REGEXREPLACE(E273, ""[0-9]+[a-f]?\."", """"))"),"Ko ${pm_name} zai kasance a gidan nan cikin sati biyu masu zuwa?")</f>
        <v>Ko ${pm_name} zai kasance a gidan nan cikin sati biyu masu zuwa?</v>
      </c>
      <c r="J273" s="188" t="s">
        <v>2521</v>
      </c>
      <c r="K273" s="188" t="s">
        <v>2522</v>
      </c>
      <c r="L273" s="188" t="s">
        <v>2524</v>
      </c>
    </row>
    <row r="274">
      <c r="A274" s="258" t="s">
        <v>247</v>
      </c>
      <c r="B274" s="259" t="s">
        <v>2527</v>
      </c>
      <c r="C274" s="190" t="s">
        <v>2528</v>
      </c>
      <c r="D274" s="190" t="s">
        <v>2530</v>
      </c>
      <c r="E274" s="190" t="s">
        <v>2531</v>
      </c>
      <c r="F274" s="195">
        <v>87.0</v>
      </c>
      <c r="G274" s="188" t="str">
        <f>IFERROR(__xludf.DUMMYFUNCTION("TRIM(REGEXREPLACE(C274, ""[0-9]+[a-f]?\."", """"))"),"How much did ${pm_name} have to pay to travel to destination?")</f>
        <v>How much did ${pm_name} have to pay to travel to destination?</v>
      </c>
      <c r="H274" s="188" t="str">
        <f>IFERROR(__xludf.DUMMYFUNCTION("TRIM(REGEXREPLACE(D274, ""[0-9]+[a-f]?\."", """"))"),"Combien ${pm_name} a-t-il dû payer pour voyager à destination?")</f>
        <v>Combien ${pm_name} a-t-il dû payer pour voyager à destination?</v>
      </c>
      <c r="I274" s="188" t="str">
        <f>IFERROR(__xludf.DUMMYFUNCTION("TRIM(REGEXREPLACE(E274, ""[0-9]+[a-f]?\."", """"))"),"Nawa ne ${pm_name} ya biya don zuwa wurin?")</f>
        <v>Nawa ne ${pm_name} ya biya don zuwa wurin?</v>
      </c>
      <c r="J274" s="188" t="s">
        <v>2532</v>
      </c>
      <c r="K274" s="188" t="s">
        <v>2533</v>
      </c>
      <c r="L274" s="188" t="s">
        <v>2534</v>
      </c>
    </row>
    <row r="275">
      <c r="A275" s="258" t="s">
        <v>247</v>
      </c>
      <c r="B275" s="259" t="s">
        <v>2535</v>
      </c>
      <c r="C275" s="190" t="s">
        <v>2536</v>
      </c>
      <c r="D275" s="190" t="s">
        <v>2537</v>
      </c>
      <c r="E275" s="190" t="s">
        <v>2538</v>
      </c>
      <c r="F275" s="195">
        <v>88.0</v>
      </c>
      <c r="G275" s="188" t="str">
        <f>IFERROR(__xludf.DUMMYFUNCTION("TRIM(REGEXREPLACE(C275, ""[0-9]+[a-f]?\."", """"))"),"How long has ${pm_name} been away from household (in months)?")</f>
        <v>How long has ${pm_name} been away from household (in months)?</v>
      </c>
      <c r="H275" s="188" t="str">
        <f>IFERROR(__xludf.DUMMYFUNCTION("TRIM(REGEXREPLACE(D275, ""[0-9]+[a-f]?\."", """"))"),"Depuis combien de temps ${pm_name} est-il loin du ménage (en mois)?")</f>
        <v>Depuis combien de temps ${pm_name} est-il loin du ménage (en mois)?</v>
      </c>
      <c r="I275" s="188" t="str">
        <f>IFERROR(__xludf.DUMMYFUNCTION("TRIM(REGEXREPLACE(E275, ""[0-9]+[a-f]?\."", """"))"),"Tun daga yaushe ${pm_name} yake nesa da gida (a cikin watanni)?")</f>
        <v>Tun daga yaushe ${pm_name} yake nesa da gida (a cikin watanni)?</v>
      </c>
      <c r="J275" s="188" t="s">
        <v>2542</v>
      </c>
      <c r="K275" s="188" t="s">
        <v>2544</v>
      </c>
      <c r="L275" s="188" t="s">
        <v>2545</v>
      </c>
    </row>
    <row r="276">
      <c r="A276" s="199" t="s">
        <v>1060</v>
      </c>
      <c r="B276" s="147" t="s">
        <v>2546</v>
      </c>
      <c r="C276" s="190" t="s">
        <v>2547</v>
      </c>
      <c r="D276" s="190" t="s">
        <v>2548</v>
      </c>
      <c r="E276" s="190" t="s">
        <v>2549</v>
      </c>
      <c r="F276" s="195">
        <v>89.0</v>
      </c>
      <c r="G276" s="188" t="str">
        <f>IFERROR(__xludf.DUMMYFUNCTION("TRIM(REGEXREPLACE(C276, ""[0-9]+[a-f]?\."", """"))"),"Have you spoken with ${pm_name} in the past month?")</f>
        <v>Have you spoken with ${pm_name} in the past month?</v>
      </c>
      <c r="H276" s="188" t="str">
        <f>IFERROR(__xludf.DUMMYFUNCTION("TRIM(REGEXREPLACE(D276, ""[0-9]+[a-f]?\."", """"))"),"Avez-vous parlé avec ${pm_name} au cours du dernier mois?")</f>
        <v>Avez-vous parlé avec ${pm_name} au cours du dernier mois?</v>
      </c>
      <c r="I276" s="188" t="str">
        <f>IFERROR(__xludf.DUMMYFUNCTION("TRIM(REGEXREPLACE(E276, ""[0-9]+[a-f]?\."", """"))"),"Ko kun yi magana da ${pm_name} a watan da ya gabata?")</f>
        <v>Ko kun yi magana da ${pm_name} a watan da ya gabata?</v>
      </c>
      <c r="J276" s="188" t="s">
        <v>2550</v>
      </c>
      <c r="K276" s="188" t="s">
        <v>2551</v>
      </c>
      <c r="L276" s="188" t="s">
        <v>2552</v>
      </c>
    </row>
    <row r="277">
      <c r="A277" s="199" t="s">
        <v>1060</v>
      </c>
      <c r="B277" s="147" t="s">
        <v>2553</v>
      </c>
      <c r="C277" s="190" t="s">
        <v>2554</v>
      </c>
      <c r="D277" s="190" t="s">
        <v>2555</v>
      </c>
      <c r="E277" s="190" t="s">
        <v>2557</v>
      </c>
      <c r="F277" s="195">
        <v>90.0</v>
      </c>
      <c r="G277" s="188" t="str">
        <f>IFERROR(__xludf.DUMMYFUNCTION("TRIM(REGEXREPLACE(C277, ""[0-9]+[a-f]?\."", """"))"),"Did ${pm_name} discuss their decision to move with you before they left?")</f>
        <v>Did ${pm_name} discuss their decision to move with you before they left?</v>
      </c>
      <c r="H277" s="188" t="str">
        <f>IFERROR(__xludf.DUMMYFUNCTION("TRIM(REGEXREPLACE(D277, ""[0-9]+[a-f]?\."", """"))"),"${pm_name} a-t-il discuté de sa décision de déménager avec vous avant de partir?")</f>
        <v>${pm_name} a-t-il discuté de sa décision de déménager avec vous avant de partir?</v>
      </c>
      <c r="I277" s="188" t="str">
        <f>IFERROR(__xludf.DUMMYFUNCTION("TRIM(REGEXREPLACE(E277, ""[0-9]+[a-f]?\."", """"))"),"Ko kun tattauna da ${pm_name} game da shawararshi ta tahiya kafin ya tafi?")</f>
        <v>Ko kun tattauna da ${pm_name} game da shawararshi ta tahiya kafin ya tafi?</v>
      </c>
      <c r="J277" s="188" t="s">
        <v>2561</v>
      </c>
      <c r="K277" s="188" t="s">
        <v>2562</v>
      </c>
      <c r="L277" s="188" t="s">
        <v>2563</v>
      </c>
    </row>
    <row r="278">
      <c r="A278" s="258" t="s">
        <v>247</v>
      </c>
      <c r="B278" s="259" t="s">
        <v>2564</v>
      </c>
      <c r="C278" s="190" t="s">
        <v>2565</v>
      </c>
      <c r="D278" s="190" t="s">
        <v>2566</v>
      </c>
      <c r="E278" s="190" t="s">
        <v>2567</v>
      </c>
      <c r="F278" s="195">
        <v>91.0</v>
      </c>
      <c r="G278" s="188" t="str">
        <f>IFERROR(__xludf.DUMMYFUNCTION("TRIM(REGEXREPLACE(C278, ""[0-9]+[a-f]?\."", """"))"),"Approximately how much money (if any) has ${pm_name} sent to the household in the past month?")</f>
        <v>Approximately how much money (if any) has ${pm_name} sent to the household in the past month?</v>
      </c>
      <c r="H278" s="188" t="str">
        <f>IFERROR(__xludf.DUMMYFUNCTION("TRIM(REGEXREPLACE(D278, ""[0-9]+[a-f]?\."", """"))"),"Environ combien d'argent (s'il y a eu) a-t-il envoyé ${pm_name} au ménage au cours du dernier mois?")</f>
        <v>Environ combien d'argent (s'il y a eu) a-t-il envoyé ${pm_name} au ménage au cours du dernier mois?</v>
      </c>
      <c r="I278" s="188" t="str">
        <f>IFERROR(__xludf.DUMMYFUNCTION("TRIM(REGEXREPLACE(E278, ""[0-9]+[a-f]?\."", """"))"),"Kimanin nawa (idan akwai) ${pm_name} ya aiko zuwa gida a watan da ya gabata?")</f>
        <v>Kimanin nawa (idan akwai) ${pm_name} ya aiko zuwa gida a watan da ya gabata?</v>
      </c>
      <c r="J278" s="188" t="s">
        <v>2570</v>
      </c>
      <c r="K278" s="188" t="s">
        <v>2572</v>
      </c>
      <c r="L278" s="188" t="s">
        <v>2573</v>
      </c>
    </row>
    <row r="279">
      <c r="A279" s="199" t="s">
        <v>2574</v>
      </c>
      <c r="B279" s="147" t="s">
        <v>2575</v>
      </c>
      <c r="C279" s="190" t="s">
        <v>2576</v>
      </c>
      <c r="D279" s="190" t="s">
        <v>2577</v>
      </c>
      <c r="E279" s="190" t="s">
        <v>2578</v>
      </c>
      <c r="F279" s="195">
        <v>92.0</v>
      </c>
      <c r="G279" s="188" t="str">
        <f>IFERROR(__xludf.DUMMYFUNCTION("TRIM(REGEXREPLACE(C279, ""[0-9]+[a-f]?\."", """"))"),"How do they send this money?")</f>
        <v>How do they send this money?</v>
      </c>
      <c r="H279" s="188" t="str">
        <f>IFERROR(__xludf.DUMMYFUNCTION("TRIM(REGEXREPLACE(D279, ""[0-9]+[a-f]?\."", """"))"),"Comment envoie t-ils cet argent?")</f>
        <v>Comment envoie t-ils cet argent?</v>
      </c>
      <c r="I279" s="188" t="str">
        <f>IFERROR(__xludf.DUMMYFUNCTION("TRIM(REGEXREPLACE(E279, ""[0-9]+[a-f]?\."", """"))"),"Ta yaya ya aika wannan kuɗin?")</f>
        <v>Ta yaya ya aika wannan kuɗin?</v>
      </c>
      <c r="J279" s="188" t="s">
        <v>2580</v>
      </c>
      <c r="K279" s="188" t="s">
        <v>2581</v>
      </c>
      <c r="L279" s="188" t="s">
        <v>2582</v>
      </c>
    </row>
    <row r="280">
      <c r="A280" s="199" t="s">
        <v>1060</v>
      </c>
      <c r="B280" s="147" t="s">
        <v>2583</v>
      </c>
      <c r="C280" s="282" t="s">
        <v>2584</v>
      </c>
      <c r="D280" s="282" t="s">
        <v>2585</v>
      </c>
      <c r="E280" s="282" t="s">
        <v>2586</v>
      </c>
      <c r="F280" s="195">
        <v>93.0</v>
      </c>
      <c r="G280" s="188" t="str">
        <f>IFERROR(__xludf.DUMMYFUNCTION("TRIM(REGEXREPLACE(C280, ""[0-9]+[a-f]?\."", """"))"),"Think about the next three months, starting from today. To the best of your knowledge does ${pm_name} plan to move somewhere outside of Tahoua and remain away for more than a month?")</f>
        <v>Think about the next three months, starting from today. To the best of your knowledge does ${pm_name} plan to move somewhere outside of Tahoua and remain away for more than a month?</v>
      </c>
      <c r="H280" s="188" t="str">
        <f>IFERROR(__xludf.DUMMYFUNCTION("TRIM(REGEXREPLACE(D280, ""[0-9]+[a-f]?\."", """"))"),"Pensez aux tres prochains mois, à partir d'aujourd'hui. À votre connaissance, ${pm_name} prévoit-il de déménager en dehors de Tahoua et de rester absent pendant plus d'un mois ?")</f>
        <v>Pensez aux tres prochains mois, à partir d'aujourd'hui. À votre connaissance, ${pm_name} prévoit-il de déménager en dehors de Tahoua et de rester absent pendant plus d'un mois ?</v>
      </c>
      <c r="I280" s="188" t="str">
        <f>IFERROR(__xludf.DUMMYFUNCTION("TRIM(REGEXREPLACE(E280, ""[0-9]+[a-f]?\."", """"))"),"Ka yi tunani a kan watanni uku masu zuwa, daga yau. A iyakar saninku ${pm_name} na shirin ƙaura zuwa wani wuri a wajen Tahoua kuma ku zauna sama da wata ɗaya?")</f>
        <v>Ka yi tunani a kan watanni uku masu zuwa, daga yau. A iyakar saninku ${pm_name} na shirin ƙaura zuwa wani wuri a wajen Tahoua kuma ku zauna sama da wata ɗaya?</v>
      </c>
      <c r="J280" s="188" t="s">
        <v>2588</v>
      </c>
      <c r="K280" s="188" t="s">
        <v>2589</v>
      </c>
      <c r="L280" s="188" t="s">
        <v>2590</v>
      </c>
    </row>
    <row r="281">
      <c r="A281" s="199" t="s">
        <v>1060</v>
      </c>
      <c r="B281" s="148" t="s">
        <v>2591</v>
      </c>
      <c r="C281" s="282" t="s">
        <v>2592</v>
      </c>
      <c r="D281" s="282" t="s">
        <v>2593</v>
      </c>
      <c r="E281" s="282" t="s">
        <v>2594</v>
      </c>
      <c r="F281" s="195">
        <v>94.0</v>
      </c>
      <c r="G281" s="188" t="str">
        <f>IFERROR(__xludf.DUMMYFUNCTION("TRIM(REGEXREPLACE(C281, ""[0-9]+[a-f]?\."", """"))"),"Think about the next year, starting from today. To the best of your knowledge does ${pm_name} plan to move somewhere outside of Tahoua and remain away for more than a month?")</f>
        <v>Think about the next year, starting from today. To the best of your knowledge does ${pm_name} plan to move somewhere outside of Tahoua and remain away for more than a month?</v>
      </c>
      <c r="H281" s="188" t="str">
        <f>IFERROR(__xludf.DUMMYFUNCTION("TRIM(REGEXREPLACE(D281, ""[0-9]+[a-f]?\."", """"))"),"Pensez à l'année prochaine, à partir d'aujourd'hui. À votre connaissance, ${pm_name} prévoit-il de déménager en dehors de Tahoua et de rester absent pendant plus d'un mois ?")</f>
        <v>Pensez à l'année prochaine, à partir d'aujourd'hui. À votre connaissance, ${pm_name} prévoit-il de déménager en dehors de Tahoua et de rester absent pendant plus d'un mois ?</v>
      </c>
      <c r="I281" s="188" t="str">
        <f>IFERROR(__xludf.DUMMYFUNCTION("TRIM(REGEXREPLACE(E281, ""[0-9]+[a-f]?\."", """"))"),"Ka yi tunanin shekara mai zuwa, daga yau. A iyakar saninku ${pm_name} na shirin ƙaura zuwa wani wuri a wajen Tahoua kuma ku zauna sama da wata ɗaya?")</f>
        <v>Ka yi tunanin shekara mai zuwa, daga yau. A iyakar saninku ${pm_name} na shirin ƙaura zuwa wani wuri a wajen Tahoua kuma ku zauna sama da wata ɗaya?</v>
      </c>
      <c r="J281" s="188" t="s">
        <v>2592</v>
      </c>
      <c r="K281" s="188" t="s">
        <v>2595</v>
      </c>
      <c r="L281" s="188" t="s">
        <v>2596</v>
      </c>
    </row>
    <row r="282" hidden="1">
      <c r="F282" s="195">
        <v>186.0</v>
      </c>
      <c r="G282" s="188" t="str">
        <f>IFERROR(__xludf.DUMMYFUNCTION("TRIM(REGEXREPLACE(C282, ""[0-9]+[a-f]?\."", """"))"),"")</f>
        <v/>
      </c>
      <c r="H282" s="188" t="str">
        <f>IFERROR(__xludf.DUMMYFUNCTION("TRIM(REGEXREPLACE(D282, ""[0-9]+[a-f]?\."", """"))"),"")</f>
        <v/>
      </c>
      <c r="I282" s="188" t="str">
        <f>IFERROR(__xludf.DUMMYFUNCTION("TRIM(REGEXREPLACE(E282, ""[0-9]+[a-f]?\."", """"))"),"")</f>
        <v/>
      </c>
      <c r="J282" s="188" t="s">
        <v>2597</v>
      </c>
      <c r="K282" s="188" t="s">
        <v>2598</v>
      </c>
      <c r="L282" s="188" t="s">
        <v>2599</v>
      </c>
    </row>
    <row r="283">
      <c r="A283" s="238" t="s">
        <v>46</v>
      </c>
      <c r="B283" s="132" t="s">
        <v>2601</v>
      </c>
      <c r="C283" s="190" t="s">
        <v>2602</v>
      </c>
      <c r="D283" s="190" t="s">
        <v>2603</v>
      </c>
      <c r="E283" s="190" t="s">
        <v>2604</v>
      </c>
      <c r="F283" s="195">
        <v>95.0</v>
      </c>
      <c r="G283" s="188" t="str">
        <f>IFERROR(__xludf.DUMMYFUNCTION("TRIM(REGEXREPLACE(C283, ""[0-9]+[a-f]?\."", """"))"),"If ${pm_name} migrates, where would they intended to travel?")</f>
        <v>If ${pm_name} migrates, where would they intended to travel?</v>
      </c>
      <c r="H283" s="188" t="str">
        <f>IFERROR(__xludf.DUMMYFUNCTION("TRIM(REGEXREPLACE(D283, ""[0-9]+[a-f]?\."", """"))"),"Si ${pm_name} voyage, où aurait-il l'intention d'aller ?")</f>
        <v>Si ${pm_name} voyage, où aurait-il l'intention d'aller ?</v>
      </c>
      <c r="I283" s="188" t="str">
        <f>IFERROR(__xludf.DUMMYFUNCTION("TRIM(REGEXREPLACE(E283, ""[0-9]+[a-f]?\."", """"))"),"Idan ${pm_name} zai yi tahiya, ina zaya iya tafiya?")</f>
        <v>Idan ${pm_name} zai yi tahiya, ina zaya iya tafiya?</v>
      </c>
      <c r="J283" s="188" t="s">
        <v>2602</v>
      </c>
      <c r="K283" s="188" t="s">
        <v>2603</v>
      </c>
      <c r="L283" s="188" t="s">
        <v>2604</v>
      </c>
    </row>
    <row r="284">
      <c r="A284" s="199" t="s">
        <v>1792</v>
      </c>
      <c r="B284" s="147" t="s">
        <v>2609</v>
      </c>
      <c r="C284" s="190" t="s">
        <v>2610</v>
      </c>
      <c r="D284" s="190" t="s">
        <v>2611</v>
      </c>
      <c r="E284" s="190" t="s">
        <v>2612</v>
      </c>
      <c r="F284" s="195">
        <v>96.0</v>
      </c>
      <c r="G284" s="188" t="str">
        <f>IFERROR(__xludf.DUMMYFUNCTION("TRIM(REGEXREPLACE(C284, ""[0-9]+[a-f]?\."", """"))"),"What is the name of the country ${pm_name} would move to?")</f>
        <v>What is the name of the country ${pm_name} would move to?</v>
      </c>
      <c r="H284" s="188" t="str">
        <f>IFERROR(__xludf.DUMMYFUNCTION("TRIM(REGEXREPLACE(D284, ""[0-9]+[a-f]?\."", """"))"),"Quel est le nom du pays dans lequel ${pm_name} souhaiterait voyager ?")</f>
        <v>Quel est le nom du pays dans lequel ${pm_name} souhaiterait voyager ?</v>
      </c>
      <c r="I284" s="188" t="str">
        <f>IFERROR(__xludf.DUMMYFUNCTION("TRIM(REGEXREPLACE(E284, ""[0-9]+[a-f]?\."", """"))"),"Menene sunan ƙasar da ${pm_name} yake son tahiya?")</f>
        <v>Menene sunan ƙasar da ${pm_name} yake son tahiya?</v>
      </c>
      <c r="J284" s="188" t="s">
        <v>2610</v>
      </c>
      <c r="K284" s="188" t="s">
        <v>2611</v>
      </c>
      <c r="L284" s="188" t="s">
        <v>2612</v>
      </c>
    </row>
    <row r="285">
      <c r="A285" s="199" t="s">
        <v>1779</v>
      </c>
      <c r="B285" s="147" t="s">
        <v>2613</v>
      </c>
      <c r="C285" s="190" t="s">
        <v>2615</v>
      </c>
      <c r="D285" s="190" t="s">
        <v>2616</v>
      </c>
      <c r="E285" s="190" t="s">
        <v>2617</v>
      </c>
      <c r="F285" s="195">
        <v>97.0</v>
      </c>
      <c r="G285" s="188" t="str">
        <f>IFERROR(__xludf.DUMMYFUNCTION("TRIM(REGEXREPLACE(C285, ""[0-9]+[a-f]?\."", """"))"),"Where in Niger would ${pm_name} move to?")</f>
        <v>Where in Niger would ${pm_name} move to?</v>
      </c>
      <c r="H285" s="188" t="str">
        <f>IFERROR(__xludf.DUMMYFUNCTION("TRIM(REGEXREPLACE(D285, ""[0-9]+[a-f]?\."", """"))"),"Où au Niger ${pm_name} se déplcerait-il ?")</f>
        <v>Où au Niger ${pm_name} se déplcerait-il ?</v>
      </c>
      <c r="I285" s="188" t="str">
        <f>IFERROR(__xludf.DUMMYFUNCTION("TRIM(REGEXREPLACE(E285, ""[0-9]+[a-f]?\."", """"))"),"Ina a Nijar ${pm_name} zai koma?")</f>
        <v>Ina a Nijar ${pm_name} zai koma?</v>
      </c>
      <c r="J285" s="188" t="s">
        <v>2615</v>
      </c>
      <c r="K285" s="188" t="s">
        <v>2616</v>
      </c>
      <c r="L285" s="188" t="s">
        <v>2617</v>
      </c>
    </row>
    <row r="286">
      <c r="A286" s="199" t="s">
        <v>1814</v>
      </c>
      <c r="B286" s="147" t="s">
        <v>2621</v>
      </c>
      <c r="C286" s="190" t="s">
        <v>2622</v>
      </c>
      <c r="D286" s="190" t="s">
        <v>2623</v>
      </c>
      <c r="E286" s="190" t="s">
        <v>2624</v>
      </c>
      <c r="F286" s="195">
        <v>98.0</v>
      </c>
      <c r="G286" s="188" t="str">
        <f>IFERROR(__xludf.DUMMYFUNCTION("TRIM(REGEXREPLACE(C286, ""[0-9]+[a-f]?\."", """"))"),"What is the name of the town ${pm_name} would move to?")</f>
        <v>What is the name of the town ${pm_name} would move to?</v>
      </c>
      <c r="H286" s="188" t="str">
        <f>IFERROR(__xludf.DUMMYFUNCTION("TRIM(REGEXREPLACE(D286, ""[0-9]+[a-f]?\."", """"))"),"Quel est le nom de la ville où ${pm_name} irait ?")</f>
        <v>Quel est le nom de la ville où ${pm_name} irait ?</v>
      </c>
      <c r="I286" s="188" t="str">
        <f>IFERROR(__xludf.DUMMYFUNCTION("TRIM(REGEXREPLACE(E286, ""[0-9]+[a-f]?\."", """"))"),"Menene sunan garin da ${pm_name} zai ƙaura ?")</f>
        <v>Menene sunan garin da ${pm_name} zai ƙaura ?</v>
      </c>
      <c r="J286" s="188" t="s">
        <v>2622</v>
      </c>
      <c r="K286" s="188" t="s">
        <v>2623</v>
      </c>
      <c r="L286" s="188" t="s">
        <v>2624</v>
      </c>
    </row>
    <row r="287">
      <c r="A287" s="199" t="s">
        <v>1060</v>
      </c>
      <c r="B287" s="147" t="s">
        <v>2625</v>
      </c>
      <c r="C287" s="190" t="s">
        <v>2626</v>
      </c>
      <c r="D287" s="190" t="s">
        <v>2627</v>
      </c>
      <c r="E287" s="190" t="s">
        <v>2628</v>
      </c>
      <c r="F287" s="195">
        <v>99.0</v>
      </c>
      <c r="G287" s="188" t="str">
        <f>IFERROR(__xludf.DUMMYFUNCTION("TRIM(REGEXREPLACE(C287, ""[0-9]+[a-f]?\."", """"))"),"Have you and ${pm_name} discussed his plans or desire to travel to another country to find work in the past month?")</f>
        <v>Have you and ${pm_name} discussed his plans or desire to travel to another country to find work in the past month?</v>
      </c>
      <c r="H287" s="188" t="str">
        <f>IFERROR(__xludf.DUMMYFUNCTION("TRIM(REGEXREPLACE(D287, ""[0-9]+[a-f]?\."", """"))"),"Avez-vous discuté vous et ${pm_name} de ses projets ou de son désir de voyager dans un autre pays pour trouver du travail au cours du mois dernier ?")</f>
        <v>Avez-vous discuté vous et ${pm_name} de ses projets ou de son désir de voyager dans un autre pays pour trouver du travail au cours du mois dernier ?</v>
      </c>
      <c r="I287" s="188" t="str">
        <f>IFERROR(__xludf.DUMMYFUNCTION("TRIM(REGEXREPLACE(E287, ""[0-9]+[a-f]?\."", """"))"),"Ko kun tattauna ku da ${pm_name} kan shiriye-shiriyenshi ko sha'awar tafiyarshi wata ƙasa don neman aiki a cikin watan da ya gabata?")</f>
        <v>Ko kun tattauna ku da ${pm_name} kan shiriye-shiriyenshi ko sha'awar tafiyarshi wata ƙasa don neman aiki a cikin watan da ya gabata?</v>
      </c>
      <c r="J287" s="188" t="s">
        <v>2626</v>
      </c>
      <c r="K287" s="188" t="s">
        <v>2627</v>
      </c>
      <c r="L287" s="188" t="s">
        <v>2628</v>
      </c>
    </row>
    <row r="288">
      <c r="A288" s="199" t="s">
        <v>1060</v>
      </c>
      <c r="B288" s="147" t="s">
        <v>2632</v>
      </c>
      <c r="C288" s="190" t="s">
        <v>2633</v>
      </c>
      <c r="D288" s="190" t="s">
        <v>2634</v>
      </c>
      <c r="E288" s="190" t="s">
        <v>2635</v>
      </c>
      <c r="F288" s="195">
        <v>100.0</v>
      </c>
      <c r="G288" s="188" t="str">
        <f>IFERROR(__xludf.DUMMYFUNCTION("TRIM(REGEXREPLACE(C288, ""[0-9]+[a-f]?\."", """"))"),"Have you discussed with ${pm_name} how his household responsibilities would be managed if he migrates?")</f>
        <v>Have you discussed with ${pm_name} how his household responsibilities would be managed if he migrates?</v>
      </c>
      <c r="H288" s="188" t="str">
        <f>IFERROR(__xludf.DUMMYFUNCTION("TRIM(REGEXREPLACE(D288, ""[0-9]+[a-f]?\."", """"))"),"Avez-vous discuté avec ${pm_name} de la manière dont ses responsabilités domestiques seraient gérées s'il migre ?")</f>
        <v>Avez-vous discuté avec ${pm_name} de la manière dont ses responsabilités domestiques seraient gérées s'il migre ?</v>
      </c>
      <c r="I288" s="188" t="str">
        <f>IFERROR(__xludf.DUMMYFUNCTION("TRIM(REGEXREPLACE(E288, ""[0-9]+[a-f]?\."", """"))"),"Ko kun tattauna da ${pm_name} yadda za a gudanar da ayyukan da suka rataya a wuyanshi idan ya yi hijira?")</f>
        <v>Ko kun tattauna da ${pm_name} yadda za a gudanar da ayyukan da suka rataya a wuyanshi idan ya yi hijira?</v>
      </c>
      <c r="J288" s="188" t="s">
        <v>2633</v>
      </c>
      <c r="K288" s="188" t="s">
        <v>2634</v>
      </c>
      <c r="L288" s="188" t="s">
        <v>2635</v>
      </c>
    </row>
    <row r="289">
      <c r="A289" s="283" t="s">
        <v>2456</v>
      </c>
      <c r="B289" s="147" t="s">
        <v>2640</v>
      </c>
      <c r="C289" s="190" t="s">
        <v>2641</v>
      </c>
      <c r="D289" s="190" t="s">
        <v>2642</v>
      </c>
      <c r="E289" s="190" t="s">
        <v>2643</v>
      </c>
      <c r="F289" s="195">
        <v>101.0</v>
      </c>
      <c r="G289" s="188" t="str">
        <f>IFERROR(__xludf.DUMMYFUNCTION("TRIM(REGEXREPLACE(C289, ""[0-9]+[a-f]?\."", """"))"),"In the past month has ${pm_name} put aside any money for the future?")</f>
        <v>In the past month has ${pm_name} put aside any money for the future?</v>
      </c>
      <c r="H289" s="188" t="str">
        <f>IFERROR(__xludf.DUMMYFUNCTION("TRIM(REGEXREPLACE(D289, ""[0-9]+[a-f]?\."", """"))"),"Au cours du mois dernier, ${pm_name} a-t-il mis de l'argent de côté pour l'avenir ?")</f>
        <v>Au cours du mois dernier, ${pm_name} a-t-il mis de l'argent de côté pour l'avenir ?</v>
      </c>
      <c r="I289" s="188" t="str">
        <f>IFERROR(__xludf.DUMMYFUNCTION("TRIM(REGEXREPLACE(E289, ""[0-9]+[a-f]?\."", """"))"),"A cikin watan da ya gabata ko ${pm_name} ya ajiye wani kuɗi don gaba?")</f>
        <v>A cikin watan da ya gabata ko ${pm_name} ya ajiye wani kuɗi don gaba?</v>
      </c>
      <c r="J289" s="188" t="s">
        <v>2641</v>
      </c>
      <c r="K289" s="188" t="s">
        <v>2642</v>
      </c>
      <c r="L289" s="188" t="s">
        <v>2643</v>
      </c>
    </row>
    <row r="290" hidden="1">
      <c r="A290" s="210" t="s">
        <v>256</v>
      </c>
      <c r="B290" s="284" t="s">
        <v>2648</v>
      </c>
      <c r="C290" s="190"/>
      <c r="D290" s="190"/>
      <c r="E290" s="190"/>
      <c r="F290" s="191"/>
      <c r="G290" s="188" t="str">
        <f>IFERROR(__xludf.DUMMYFUNCTION("TRIM(REGEXREPLACE(C290, ""[0-9]+[a-f]?\."", """"))"),"")</f>
        <v/>
      </c>
      <c r="H290" s="188" t="str">
        <f>IFERROR(__xludf.DUMMYFUNCTION("TRIM(REGEXREPLACE(D290, ""[0-9]+[a-f]?\."", """"))"),"")</f>
        <v/>
      </c>
      <c r="I290" s="188" t="str">
        <f>IFERROR(__xludf.DUMMYFUNCTION("TRIM(REGEXREPLACE(E290, ""[0-9]+[a-f]?\."", """"))"),"")</f>
        <v/>
      </c>
      <c r="J290" s="188"/>
      <c r="K290" s="188"/>
      <c r="L290" s="192"/>
    </row>
    <row r="291" hidden="1">
      <c r="A291" s="210" t="s">
        <v>112</v>
      </c>
      <c r="B291" s="277" t="s">
        <v>2652</v>
      </c>
      <c r="C291" s="190"/>
      <c r="D291" s="190"/>
      <c r="E291" s="190"/>
      <c r="F291" s="191"/>
      <c r="G291" s="188" t="str">
        <f>IFERROR(__xludf.DUMMYFUNCTION("TRIM(REGEXREPLACE(C291, ""[0-9]+[a-f]?\."", """"))"),"")</f>
        <v/>
      </c>
      <c r="H291" s="188" t="str">
        <f>IFERROR(__xludf.DUMMYFUNCTION("TRIM(REGEXREPLACE(D291, ""[0-9]+[a-f]?\."", """"))"),"")</f>
        <v/>
      </c>
      <c r="I291" s="188" t="str">
        <f>IFERROR(__xludf.DUMMYFUNCTION("TRIM(REGEXREPLACE(E291, ""[0-9]+[a-f]?\."", """"))"),"")</f>
        <v/>
      </c>
      <c r="J291" s="188"/>
      <c r="K291" s="188"/>
      <c r="L291" s="192"/>
    </row>
    <row r="292" hidden="1">
      <c r="A292" s="255" t="s">
        <v>278</v>
      </c>
      <c r="B292" s="143" t="s">
        <v>2653</v>
      </c>
      <c r="C292" s="190"/>
      <c r="D292" s="190"/>
      <c r="E292" s="190"/>
      <c r="F292" s="195">
        <v>171.0</v>
      </c>
      <c r="G292" s="188" t="str">
        <f>IFERROR(__xludf.DUMMYFUNCTION("TRIM(REGEXREPLACE(C292, ""[0-9]+[a-f]?\."", """"))"),"")</f>
        <v/>
      </c>
      <c r="H292" s="188" t="str">
        <f>IFERROR(__xludf.DUMMYFUNCTION("TRIM(REGEXREPLACE(D292, ""[0-9]+[a-f]?\."", """"))"),"")</f>
        <v/>
      </c>
      <c r="I292" s="188" t="str">
        <f>IFERROR(__xludf.DUMMYFUNCTION("TRIM(REGEXREPLACE(E292, ""[0-9]+[a-f]?\."", """"))"),"")</f>
        <v/>
      </c>
      <c r="J292" s="188" t="s">
        <v>2655</v>
      </c>
      <c r="K292" s="188" t="s">
        <v>2656</v>
      </c>
      <c r="L292" s="188" t="s">
        <v>2657</v>
      </c>
    </row>
    <row r="293" hidden="1">
      <c r="A293" s="280" t="s">
        <v>256</v>
      </c>
      <c r="B293" s="130" t="s">
        <v>2658</v>
      </c>
      <c r="C293" s="190"/>
      <c r="D293" s="190"/>
      <c r="E293" s="190"/>
      <c r="F293" s="195">
        <v>172.0</v>
      </c>
      <c r="G293" s="188" t="str">
        <f>IFERROR(__xludf.DUMMYFUNCTION("TRIM(REGEXREPLACE(C293, ""[0-9]+[a-f]?\."", """"))"),"")</f>
        <v/>
      </c>
      <c r="H293" s="188" t="str">
        <f>IFERROR(__xludf.DUMMYFUNCTION("TRIM(REGEXREPLACE(D293, ""[0-9]+[a-f]?\."", """"))"),"")</f>
        <v/>
      </c>
      <c r="I293" s="188" t="str">
        <f>IFERROR(__xludf.DUMMYFUNCTION("TRIM(REGEXREPLACE(E293, ""[0-9]+[a-f]?\."", """"))"),"")</f>
        <v/>
      </c>
      <c r="J293" s="188" t="s">
        <v>2659</v>
      </c>
      <c r="K293" s="188" t="s">
        <v>2660</v>
      </c>
      <c r="L293" s="188" t="s">
        <v>2661</v>
      </c>
    </row>
    <row r="294">
      <c r="A294" s="238" t="s">
        <v>46</v>
      </c>
      <c r="B294" s="132" t="s">
        <v>2662</v>
      </c>
      <c r="C294" s="190" t="s">
        <v>2663</v>
      </c>
      <c r="D294" s="190" t="s">
        <v>2664</v>
      </c>
      <c r="E294" s="190" t="s">
        <v>2665</v>
      </c>
      <c r="F294" s="195">
        <v>102.0</v>
      </c>
      <c r="G294" s="188" t="str">
        <f>IFERROR(__xludf.DUMMYFUNCTION("TRIM(REGEXREPLACE(C294, ""[0-9]+[a-f]?\."", """"))"),"The following questions ask what you would expect to happen if ${pm_name} decided to travel to a neighboring country for work for at least one month.")</f>
        <v>The following questions ask what you would expect to happen if ${pm_name} decided to travel to a neighboring country for work for at least one month.</v>
      </c>
      <c r="H294" s="188" t="str">
        <f>IFERROR(__xludf.DUMMYFUNCTION("TRIM(REGEXREPLACE(D294, ""[0-9]+[a-f]?\."", """"))"),"Les questions suivantes vous demandent ce à quoi vous vous attendriez si ${pm_name} décidait de se rendre dans un pays voisin pour travailler pendant au moins un mois.")</f>
        <v>Les questions suivantes vous demandent ce à quoi vous vous attendriez si ${pm_name} décidait de se rendre dans un pays voisin pour travailler pendant au moins un mois.</v>
      </c>
      <c r="I294" s="188" t="str">
        <f>IFERROR(__xludf.DUMMYFUNCTION("TRIM(REGEXREPLACE(E294, ""[0-9]+[a-f]?\."", """"))"),"Tambayoyi masu zuwa suna magana akan abin da kuke tsammanin zai faru idan ${pm_name} ya yanke shawarar tafiya zuwa ƙasar maƙwabta don aiki na aƙalla wata ɗaya.")</f>
        <v>Tambayoyi masu zuwa suna magana akan abin da kuke tsammanin zai faru idan ${pm_name} ya yanke shawarar tafiya zuwa ƙasar maƙwabta don aiki na aƙalla wata ɗaya.</v>
      </c>
      <c r="J294" s="188" t="s">
        <v>2663</v>
      </c>
      <c r="K294" s="188" t="s">
        <v>2664</v>
      </c>
      <c r="L294" s="188" t="s">
        <v>2665</v>
      </c>
    </row>
    <row r="295">
      <c r="A295" s="285" t="s">
        <v>247</v>
      </c>
      <c r="B295" s="259" t="s">
        <v>2666</v>
      </c>
      <c r="C295" s="190" t="s">
        <v>2667</v>
      </c>
      <c r="D295" s="190" t="s">
        <v>2668</v>
      </c>
      <c r="E295" s="190" t="s">
        <v>2669</v>
      </c>
      <c r="F295" s="195">
        <v>103.0</v>
      </c>
      <c r="G295" s="188" t="str">
        <f>IFERROR(__xludf.DUMMYFUNCTION("TRIM(REGEXREPLACE(C295, ""[0-9]+[a-f]?\."", """"))"),"How much money would you expect them to earn each month (before paying your expenses) in CFA?")</f>
        <v>How much money would you expect them to earn each month (before paying your expenses) in CFA?</v>
      </c>
      <c r="H295" s="188" t="str">
        <f>IFERROR(__xludf.DUMMYFUNCTION("TRIM(REGEXREPLACE(D295, ""[0-9]+[a-f]?\."", """"))"),"Combien d'argent espérez-vous qu'il gagne chaque mois (sans dépense) en CFA ?")</f>
        <v>Combien d'argent espérez-vous qu'il gagne chaque mois (sans dépense) en CFA ?</v>
      </c>
      <c r="I295" s="188" t="str">
        <f>IFERROR(__xludf.DUMMYFUNCTION("TRIM(REGEXREPLACE(E295, ""[0-9]+[a-f]?\."", """"))"),"Nawa kuke tsammanin zai iya samu kowane wata (kafin kashe kuɗinku)?")</f>
        <v>Nawa kuke tsammanin zai iya samu kowane wata (kafin kashe kuɗinku)?</v>
      </c>
      <c r="J295" s="188" t="s">
        <v>2667</v>
      </c>
      <c r="K295" s="188" t="s">
        <v>2668</v>
      </c>
      <c r="L295" s="188" t="s">
        <v>2669</v>
      </c>
    </row>
    <row r="296">
      <c r="A296" s="258" t="s">
        <v>247</v>
      </c>
      <c r="B296" s="259" t="s">
        <v>2671</v>
      </c>
      <c r="C296" s="190" t="s">
        <v>2672</v>
      </c>
      <c r="D296" s="190" t="s">
        <v>2674</v>
      </c>
      <c r="E296" s="190" t="s">
        <v>2675</v>
      </c>
      <c r="F296" s="195">
        <v>104.0</v>
      </c>
      <c r="G296" s="188" t="str">
        <f>IFERROR(__xludf.DUMMYFUNCTION("TRIM(REGEXREPLACE(C296, ""[0-9]+[a-f]?\."", """"))"),"Imagine that five years from now ${pm_name} is are living in another West African country like Cote d'Ivoire or Nigeria. How much money do you think you would earn per month in CFA?")</f>
        <v>Imagine that five years from now ${pm_name} is are living in another West African country like Cote d'Ivoire or Nigeria. How much money do you think you would earn per month in CFA?</v>
      </c>
      <c r="H296" s="188" t="str">
        <f>IFERROR(__xludf.DUMMYFUNCTION("TRIM(REGEXREPLACE(D296, ""[0-9]+[a-f]?\."", """"))"),"Imaginez que dans cinq ans, ${pm_name} vivra dans un autre pays d'Afrique de l'Ouest comme la Côte d'Ivoire ou le Nigeria. Combien d’argent pensez-vous gagner par mois en CFA ?")</f>
        <v>Imaginez que dans cinq ans, ${pm_name} vivra dans un autre pays d'Afrique de l'Ouest comme la Côte d'Ivoire ou le Nigeria. Combien d’argent pensez-vous gagner par mois en CFA ?</v>
      </c>
      <c r="I296" s="188" t="str">
        <f>IFERROR(__xludf.DUMMYFUNCTION("TRIM(REGEXREPLACE(E296, ""[0-9]+[a-f]?\."", """"))"),"Ka yi tunanin cewa shekaru biyar masu zuwa daga yanzu ${pm_name} yana rayuwa a wata ƙasa ta Yammacin Afirka kamar Cote d'Ivoire ko Najeriya. Kudi nawa kuke tsammanin za ku samu kowane wata a CFA?")</f>
        <v>Ka yi tunanin cewa shekaru biyar masu zuwa daga yanzu ${pm_name} yana rayuwa a wata ƙasa ta Yammacin Afirka kamar Cote d'Ivoire ko Najeriya. Kudi nawa kuke tsammanin za ku samu kowane wata a CFA?</v>
      </c>
      <c r="J296" s="188" t="s">
        <v>2672</v>
      </c>
      <c r="K296" s="188" t="s">
        <v>2674</v>
      </c>
      <c r="L296" s="188" t="s">
        <v>2675</v>
      </c>
    </row>
    <row r="297">
      <c r="A297" s="258" t="s">
        <v>247</v>
      </c>
      <c r="B297" s="259" t="s">
        <v>2676</v>
      </c>
      <c r="C297" s="190" t="s">
        <v>2677</v>
      </c>
      <c r="D297" s="190" t="s">
        <v>2678</v>
      </c>
      <c r="E297" s="190" t="s">
        <v>2679</v>
      </c>
      <c r="F297" s="195">
        <v>105.0</v>
      </c>
      <c r="G297" s="188" t="str">
        <f>IFERROR(__xludf.DUMMYFUNCTION("TRIM(REGEXREPLACE(C297, ""[0-9]+[a-f]?\."", """"))"),"How much money would you expect them to share with your household each month in CFA?")</f>
        <v>How much money would you expect them to share with your household each month in CFA?</v>
      </c>
      <c r="H297" s="188" t="str">
        <f>IFERROR(__xludf.DUMMYFUNCTION("TRIM(REGEXREPLACE(D297, ""[0-9]+[a-f]?\."", """"))"),"Combien d'argent vous attendez-vous à ce qu'il partage avec votre ménage chaque mois en CFA ?")</f>
        <v>Combien d'argent vous attendez-vous à ce qu'il partage avec votre ménage chaque mois en CFA ?</v>
      </c>
      <c r="I297" s="188" t="str">
        <f>IFERROR(__xludf.DUMMYFUNCTION("TRIM(REGEXREPLACE(E297, ""[0-9]+[a-f]?\."", """"))"),"Nawa kuke tsammanin za ya baiya da gidanku kowane wata?")</f>
        <v>Nawa kuke tsammanin za ya baiya da gidanku kowane wata?</v>
      </c>
      <c r="J297" s="188" t="s">
        <v>2677</v>
      </c>
      <c r="K297" s="188" t="s">
        <v>2678</v>
      </c>
      <c r="L297" s="188" t="s">
        <v>2679</v>
      </c>
    </row>
    <row r="298">
      <c r="A298" s="258" t="s">
        <v>247</v>
      </c>
      <c r="B298" s="259" t="s">
        <v>2680</v>
      </c>
      <c r="C298" s="190" t="s">
        <v>2681</v>
      </c>
      <c r="D298" s="190" t="s">
        <v>2682</v>
      </c>
      <c r="E298" s="190" t="s">
        <v>2683</v>
      </c>
      <c r="F298" s="195">
        <v>106.0</v>
      </c>
      <c r="G298" s="188" t="str">
        <f>IFERROR(__xludf.DUMMYFUNCTION("TRIM(REGEXREPLACE(C298, ""[0-9]+[a-f]?\."", """"))"),"How much money would you expect ${pm_name} to put aside to save for the future each month?")</f>
        <v>How much money would you expect ${pm_name} to put aside to save for the future each month?</v>
      </c>
      <c r="H298" s="188" t="str">
        <f>IFERROR(__xludf.DUMMYFUNCTION("TRIM(REGEXREPLACE(D298, ""[0-9]+[a-f]?\."", """"))"),"Combien d'argent pensez-vous que ${pm_name} mettrait de côté chaque mois pour épargner ?")</f>
        <v>Combien d'argent pensez-vous que ${pm_name} mettrait de côté chaque mois pour épargner ?</v>
      </c>
      <c r="I298" s="188" t="str">
        <f>IFERROR(__xludf.DUMMYFUNCTION("TRIM(REGEXREPLACE(E298, ""[0-9]+[a-f]?\."", """"))"),"Nawa kuke tsammanin ${pm_name} za ya warewa a kowane wata don gaba ?")</f>
        <v>Nawa kuke tsammanin ${pm_name} za ya warewa a kowane wata don gaba ?</v>
      </c>
      <c r="J298" s="188" t="s">
        <v>2681</v>
      </c>
      <c r="K298" s="188" t="s">
        <v>2682</v>
      </c>
      <c r="L298" s="188" t="s">
        <v>2683</v>
      </c>
    </row>
    <row r="299">
      <c r="A299" s="258" t="s">
        <v>247</v>
      </c>
      <c r="B299" s="259" t="s">
        <v>2686</v>
      </c>
      <c r="C299" s="190" t="s">
        <v>2687</v>
      </c>
      <c r="D299" s="190" t="s">
        <v>2688</v>
      </c>
      <c r="E299" s="190" t="s">
        <v>2689</v>
      </c>
      <c r="F299" s="195">
        <v>107.0</v>
      </c>
      <c r="G299" s="188" t="str">
        <f>IFERROR(__xludf.DUMMYFUNCTION("TRIM(REGEXREPLACE(C299, ""[0-9]+[a-f]?\."", """"))"),"How many times would you expect them to contact members of your household each month?")</f>
        <v>How many times would you expect them to contact members of your household each month?</v>
      </c>
      <c r="H299" s="188" t="str">
        <f>IFERROR(__xludf.DUMMYFUNCTION("TRIM(REGEXREPLACE(D299, ""[0-9]+[a-f]?\."", """"))"),"Combien de fois vous attendriez-vous à ce qu'il contacte les membres de votre ménage chaque mois ?")</f>
        <v>Combien de fois vous attendriez-vous à ce qu'il contacte les membres de votre ménage chaque mois ?</v>
      </c>
      <c r="I299" s="188" t="str">
        <f>IFERROR(__xludf.DUMMYFUNCTION("TRIM(REGEXREPLACE(E299, ""[0-9]+[a-f]?\."", """"))"),"Sau nawa za ku yi tsammanin su tuntuɓi ƴan gidanku kowane wata?")</f>
        <v>Sau nawa za ku yi tsammanin su tuntuɓi ƴan gidanku kowane wata?</v>
      </c>
      <c r="J299" s="188" t="s">
        <v>2687</v>
      </c>
      <c r="K299" s="188" t="s">
        <v>2688</v>
      </c>
      <c r="L299" s="188" t="s">
        <v>2689</v>
      </c>
    </row>
    <row r="300" hidden="1">
      <c r="A300" s="255" t="s">
        <v>331</v>
      </c>
      <c r="B300" s="152" t="s">
        <v>2653</v>
      </c>
      <c r="C300" s="190"/>
      <c r="D300" s="190"/>
      <c r="E300" s="190"/>
      <c r="F300" s="195">
        <v>23.0</v>
      </c>
      <c r="G300" s="188" t="str">
        <f>IFERROR(__xludf.DUMMYFUNCTION("TRIM(REGEXREPLACE(C300, ""[0-9]+[a-f]?\."", """"))"),"")</f>
        <v/>
      </c>
      <c r="H300" s="188" t="str">
        <f>IFERROR(__xludf.DUMMYFUNCTION("TRIM(REGEXREPLACE(D300, ""[0-9]+[a-f]?\."", """"))"),"")</f>
        <v/>
      </c>
      <c r="I300" s="188" t="str">
        <f>IFERROR(__xludf.DUMMYFUNCTION("TRIM(REGEXREPLACE(E300, ""[0-9]+[a-f]?\."", """"))"),"")</f>
        <v/>
      </c>
      <c r="J300" s="188" t="str">
        <f t="shared" ref="J300:L300" si="12">$F300 &amp; ". "&amp;G300</f>
        <v>23. </v>
      </c>
      <c r="K300" s="188" t="str">
        <f t="shared" si="12"/>
        <v>23. </v>
      </c>
      <c r="L300" s="188" t="str">
        <f t="shared" si="12"/>
        <v>23. </v>
      </c>
    </row>
    <row r="301" hidden="1">
      <c r="A301" s="255" t="s">
        <v>278</v>
      </c>
      <c r="B301" s="143" t="s">
        <v>2691</v>
      </c>
      <c r="C301" s="190"/>
      <c r="D301" s="190"/>
      <c r="E301" s="190"/>
      <c r="F301" s="195">
        <v>24.0</v>
      </c>
      <c r="G301" s="188" t="str">
        <f>IFERROR(__xludf.DUMMYFUNCTION("TRIM(REGEXREPLACE(C301, ""[0-9]+[a-f]?\."", """"))"),"")</f>
        <v/>
      </c>
      <c r="H301" s="188" t="str">
        <f>IFERROR(__xludf.DUMMYFUNCTION("TRIM(REGEXREPLACE(D301, ""[0-9]+[a-f]?\."", """"))"),"")</f>
        <v/>
      </c>
      <c r="I301" s="188" t="str">
        <f>IFERROR(__xludf.DUMMYFUNCTION("TRIM(REGEXREPLACE(E301, ""[0-9]+[a-f]?\."", """"))"),"")</f>
        <v/>
      </c>
      <c r="J301" s="188" t="str">
        <f t="shared" ref="J301:L301" si="13">$F301 &amp; ". "&amp;G301</f>
        <v>24. </v>
      </c>
      <c r="K301" s="188" t="str">
        <f t="shared" si="13"/>
        <v>24. </v>
      </c>
      <c r="L301" s="188" t="str">
        <f t="shared" si="13"/>
        <v>24. </v>
      </c>
    </row>
    <row r="302">
      <c r="A302" s="199" t="s">
        <v>2456</v>
      </c>
      <c r="B302" s="147" t="s">
        <v>2694</v>
      </c>
      <c r="C302" s="190" t="s">
        <v>2695</v>
      </c>
      <c r="D302" s="190" t="s">
        <v>2696</v>
      </c>
      <c r="E302" s="190" t="s">
        <v>2697</v>
      </c>
      <c r="F302" s="195">
        <v>108.0</v>
      </c>
      <c r="G302" s="188" t="str">
        <f>IFERROR(__xludf.DUMMYFUNCTION("TRIM(REGEXREPLACE(C302, ""[0-9]+[a-f]?\."", """"))"),"Now I will ask about things you or your family may have done in preparation for ${pm_name}'s migration.")</f>
        <v>Now I will ask about things you or your family may have done in preparation for ${pm_name}'s migration.</v>
      </c>
      <c r="H302" s="188" t="str">
        <f>IFERROR(__xludf.DUMMYFUNCTION("TRIM(REGEXREPLACE(D302, ""[0-9]+[a-f]?\."", """"))"),"Je vais maintenant vous poser des questions sur les choses que vous ou votre famille avez pu faire en préparation de la migration de ${pm_name}.")</f>
        <v>Je vais maintenant vous poser des questions sur les choses que vous ou votre famille avez pu faire en préparation de la migration de ${pm_name}.</v>
      </c>
      <c r="I302" s="188" t="str">
        <f>IFERROR(__xludf.DUMMYFUNCTION("TRIM(REGEXREPLACE(E302, ""[0-9]+[a-f]?\."", """"))"),"Yanzu zan yi muku tambayoyi game da abubuwan da ku ko danginku kuka yi don shirye-shiryen zuwa biɗan ${pm_name}.")</f>
        <v>Yanzu zan yi muku tambayoyi game da abubuwan da ku ko danginku kuka yi don shirye-shiryen zuwa biɗan ${pm_name}.</v>
      </c>
      <c r="J302" s="188" t="s">
        <v>2695</v>
      </c>
      <c r="K302" s="188" t="s">
        <v>2696</v>
      </c>
      <c r="L302" s="188" t="s">
        <v>2697</v>
      </c>
    </row>
    <row r="303">
      <c r="A303" s="199" t="s">
        <v>2456</v>
      </c>
      <c r="B303" s="147" t="s">
        <v>2698</v>
      </c>
      <c r="C303" s="190" t="s">
        <v>2699</v>
      </c>
      <c r="D303" s="190" t="s">
        <v>2700</v>
      </c>
      <c r="E303" s="190" t="s">
        <v>2701</v>
      </c>
      <c r="F303" s="195">
        <v>109.0</v>
      </c>
      <c r="G303" s="188" t="str">
        <f>IFERROR(__xludf.DUMMYFUNCTION("TRIM(REGEXREPLACE(C303, ""[0-9]+[a-f]?\."", """"))"),"Gathered resources in order to prepare for their migration? This could include saving money, selling assets, or taking a loan.")</f>
        <v>Gathered resources in order to prepare for their migration? This could include saving money, selling assets, or taking a loan.</v>
      </c>
      <c r="H303" s="188" t="str">
        <f>IFERROR(__xludf.DUMMYFUNCTION("TRIM(REGEXREPLACE(D303, ""[0-9]+[a-f]?\."", """"))"),"A-t-il rassemblé des ressources pour préparer sa migration ? Il peut s'agir d'économiser de l'argent, de vendre des actifs ou de contracter un prêt.")</f>
        <v>A-t-il rassemblé des ressources pour préparer sa migration ? Il peut s'agir d'économiser de l'argent, de vendre des actifs ou de contracter un prêt.</v>
      </c>
      <c r="I303" s="188" t="str">
        <f>IFERROR(__xludf.DUMMYFUNCTION("TRIM(REGEXREPLACE(E303, ""[0-9]+[a-f]?\."", """"))"),"Ko ya yi tanadin guzuri don shirya zuwa biɗarshi? Wannan na iya haɗawa da ajiyar kuɗi, saida kadarori, ko ɗaukan bashi.")</f>
        <v>Ko ya yi tanadin guzuri don shirya zuwa biɗarshi? Wannan na iya haɗawa da ajiyar kuɗi, saida kadarori, ko ɗaukan bashi.</v>
      </c>
      <c r="J303" s="188" t="s">
        <v>2699</v>
      </c>
      <c r="K303" s="188" t="s">
        <v>2700</v>
      </c>
      <c r="L303" s="188" t="s">
        <v>2701</v>
      </c>
    </row>
    <row r="304">
      <c r="A304" s="199" t="s">
        <v>2456</v>
      </c>
      <c r="B304" s="147" t="s">
        <v>2705</v>
      </c>
      <c r="C304" s="282" t="s">
        <v>2706</v>
      </c>
      <c r="D304" s="190" t="s">
        <v>2707</v>
      </c>
      <c r="E304" s="190" t="s">
        <v>2708</v>
      </c>
      <c r="F304" s="195">
        <v>110.0</v>
      </c>
      <c r="G304" s="188" t="str">
        <f>IFERROR(__xludf.DUMMYFUNCTION("TRIM(REGEXREPLACE(C304, ""[0-9]+[a-f]?\."", """"))"),"Prepared any legal paperwork, such as marriage documents, birth certificates, or proof of property?")</f>
        <v>Prepared any legal paperwork, such as marriage documents, birth certificates, or proof of property?</v>
      </c>
      <c r="H304" s="188" t="str">
        <f>IFERROR(__xludf.DUMMYFUNCTION("TRIM(REGEXREPLACE(D304, ""[0-9]+[a-f]?\."", """"))"),"A-t-il préparé des documents juridiques, tels que des documents de mariage, des certificats de naissance ou une preuve de propriété ?")</f>
        <v>A-t-il préparé des documents juridiques, tels que des documents de mariage, des certificats de naissance ou une preuve de propriété ?</v>
      </c>
      <c r="I304" s="188" t="str">
        <f>IFERROR(__xludf.DUMMYFUNCTION("TRIM(REGEXREPLACE(E304, ""[0-9]+[a-f]?\."", """"))"),"Shirya duk wata takarda ta doka, kamar takardun aure, takardun haifuwa, ko shaidar dukiya?")</f>
        <v>Shirya duk wata takarda ta doka, kamar takardun aure, takardun haifuwa, ko shaidar dukiya?</v>
      </c>
      <c r="J304" s="188" t="s">
        <v>2706</v>
      </c>
      <c r="K304" s="188" t="s">
        <v>2707</v>
      </c>
      <c r="L304" s="188" t="s">
        <v>2708</v>
      </c>
    </row>
    <row r="305">
      <c r="A305" s="199" t="s">
        <v>2456</v>
      </c>
      <c r="B305" s="147" t="s">
        <v>2709</v>
      </c>
      <c r="C305" s="190" t="s">
        <v>2710</v>
      </c>
      <c r="D305" s="190" t="s">
        <v>2711</v>
      </c>
      <c r="E305" s="190" t="s">
        <v>2712</v>
      </c>
      <c r="F305" s="195">
        <v>111.0</v>
      </c>
      <c r="G305" s="188" t="str">
        <f>IFERROR(__xludf.DUMMYFUNCTION("TRIM(REGEXREPLACE(C305, ""[0-9]+[a-f]?\."", """"))"),"Contacted anybody in the places ${pm_name} might want to go?")</f>
        <v>Contacted anybody in the places ${pm_name} might want to go?</v>
      </c>
      <c r="H305" s="188" t="str">
        <f>IFERROR(__xludf.DUMMYFUNCTION("TRIM(REGEXREPLACE(D305, ""[0-9]+[a-f]?\."", """"))"),"A-t-il contacté quelqu'un dans les endroits où ${pm_name} pourrait vouloir aller ?")</f>
        <v>A-t-il contacté quelqu'un dans les endroits où ${pm_name} pourrait vouloir aller ?</v>
      </c>
      <c r="I305" s="188" t="str">
        <f>IFERROR(__xludf.DUMMYFUNCTION("TRIM(REGEXREPLACE(E305, ""[0-9]+[a-f]?\."", """"))"),"An tuntuɓi wani a wuraren da mai zuwa ${pm_name} zai iya zuwa?")</f>
        <v>An tuntuɓi wani a wuraren da mai zuwa ${pm_name} zai iya zuwa?</v>
      </c>
      <c r="J305" s="188" t="s">
        <v>2710</v>
      </c>
      <c r="K305" s="188" t="s">
        <v>2711</v>
      </c>
      <c r="L305" s="188" t="s">
        <v>2712</v>
      </c>
    </row>
    <row r="306" hidden="1">
      <c r="A306" s="255" t="s">
        <v>331</v>
      </c>
      <c r="B306" s="152" t="s">
        <v>2691</v>
      </c>
      <c r="C306" s="190"/>
      <c r="D306" s="190"/>
      <c r="E306" s="190"/>
      <c r="F306" s="195">
        <v>183.0</v>
      </c>
      <c r="G306" s="188" t="str">
        <f>IFERROR(__xludf.DUMMYFUNCTION("TRIM(REGEXREPLACE(C306, ""[0-9]+[a-f]?\."", """"))"),"")</f>
        <v/>
      </c>
      <c r="H306" s="188" t="str">
        <f>IFERROR(__xludf.DUMMYFUNCTION("TRIM(REGEXREPLACE(D306, ""[0-9]+[a-f]?\."", """"))"),"")</f>
        <v/>
      </c>
      <c r="I306" s="188" t="str">
        <f>IFERROR(__xludf.DUMMYFUNCTION("TRIM(REGEXREPLACE(E306, ""[0-9]+[a-f]?\."", """"))"),"")</f>
        <v/>
      </c>
      <c r="J306" s="188" t="s">
        <v>2714</v>
      </c>
      <c r="K306" s="188" t="s">
        <v>2715</v>
      </c>
      <c r="L306" s="188" t="s">
        <v>2716</v>
      </c>
    </row>
    <row r="307">
      <c r="A307" s="238" t="s">
        <v>46</v>
      </c>
      <c r="B307" s="132" t="s">
        <v>2717</v>
      </c>
      <c r="C307" s="190" t="s">
        <v>2718</v>
      </c>
      <c r="D307" s="190" t="s">
        <v>2719</v>
      </c>
      <c r="E307" s="190" t="s">
        <v>2720</v>
      </c>
      <c r="F307" s="195">
        <v>112.0</v>
      </c>
      <c r="G307" s="188" t="str">
        <f>IFERROR(__xludf.DUMMYFUNCTION("TRIM(REGEXREPLACE(C307, ""[0-9]+[a-f]?\."", """"))"),"The next few questions ask about your knowledge of official rules for people from Niger to travel to neighboring countries")</f>
        <v>The next few questions ask about your knowledge of official rules for people from Niger to travel to neighboring countries</v>
      </c>
      <c r="H307" s="188" t="str">
        <f>IFERROR(__xludf.DUMMYFUNCTION("TRIM(REGEXREPLACE(D307,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307" s="188" t="str">
        <f>IFERROR(__xludf.DUMMYFUNCTION("TRIM(REGEXREPLACE(E307, ""[0-9]+[a-f]?\."", """"))"),"Tambayoyi masu zuwa za'a yi su game da saninku bisa dokokinda suke bawa mutanen Nijar damar zuwa biɗa kasashen makwabta")</f>
        <v>Tambayoyi masu zuwa za'a yi su game da saninku bisa dokokinda suke bawa mutanen Nijar damar zuwa biɗa kasashen makwabta</v>
      </c>
      <c r="J307" s="188" t="s">
        <v>2718</v>
      </c>
      <c r="K307" s="188" t="s">
        <v>2719</v>
      </c>
      <c r="L307" s="188" t="s">
        <v>2720</v>
      </c>
    </row>
    <row r="308">
      <c r="A308" s="286" t="s">
        <v>2456</v>
      </c>
      <c r="B308" s="287" t="s">
        <v>2723</v>
      </c>
      <c r="C308" s="190" t="s">
        <v>2724</v>
      </c>
      <c r="D308" s="288" t="s">
        <v>2725</v>
      </c>
      <c r="E308" s="288" t="s">
        <v>2726</v>
      </c>
      <c r="F308" s="195">
        <v>113.0</v>
      </c>
      <c r="G308" s="188" t="str">
        <f>IFERROR(__xludf.DUMMYFUNCTION("TRIM(REGEXREPLACE(C308, ""[0-9]+[a-f]?\."", """"))"),"Is Niger still a part of the ECOWAS?")</f>
        <v>Is Niger still a part of the ECOWAS?</v>
      </c>
      <c r="H308" s="188" t="str">
        <f>IFERROR(__xludf.DUMMYFUNCTION("TRIM(REGEXREPLACE(D308, ""[0-9]+[a-f]?\."", """"))"),"Le Niger fait-il toujours partie de la CEDEAO ?")</f>
        <v>Le Niger fait-il toujours partie de la CEDEAO ?</v>
      </c>
      <c r="I308" s="188" t="str">
        <f>IFERROR(__xludf.DUMMYFUNCTION("TRIM(REGEXREPLACE(E308, ""[0-9]+[a-f]?\."", """"))"),"Ko har yanzu Nijar na cikin kungiyar ECOWAS?")</f>
        <v>Ko har yanzu Nijar na cikin kungiyar ECOWAS?</v>
      </c>
      <c r="J308" s="188" t="s">
        <v>2727</v>
      </c>
      <c r="K308" s="188" t="s">
        <v>2728</v>
      </c>
      <c r="L308" s="188" t="s">
        <v>2730</v>
      </c>
    </row>
    <row r="309">
      <c r="A309" s="199" t="s">
        <v>2731</v>
      </c>
      <c r="B309" s="147" t="s">
        <v>2732</v>
      </c>
      <c r="C309" s="190" t="s">
        <v>2733</v>
      </c>
      <c r="D309" s="190" t="s">
        <v>2734</v>
      </c>
      <c r="E309" s="190" t="s">
        <v>2735</v>
      </c>
      <c r="F309" s="195">
        <v>114.0</v>
      </c>
      <c r="G309" s="188" t="str">
        <f>IFERROR(__xludf.DUMMYFUNCTION("TRIM(REGEXREPLACE(C309, ""[0-9]+[a-f]?\."", """"))"),"Suppose you want to travel to Cote d'Ivoire, what documents would you need to bring with you to travel there legally?")</f>
        <v>Suppose you want to travel to Cote d'Ivoire, what documents would you need to bring with you to travel there legally?</v>
      </c>
      <c r="H309" s="188" t="str">
        <f>IFERROR(__xludf.DUMMYFUNCTION("TRIM(REGEXREPLACE(D309, ""[0-9]+[a-f]?\."", """"))"),"Supposons que vous souhaiteriez vous rendre en Côte d'Ivoire, quels documents devriez-vous apporter pour vous y rendre légalement ?")</f>
        <v>Supposons que vous souhaiteriez vous rendre en Côte d'Ivoire, quels documents devriez-vous apporter pour vous y rendre légalement ?</v>
      </c>
      <c r="I309" s="188" t="str">
        <f>IFERROR(__xludf.DUMMYFUNCTION("TRIM(REGEXREPLACE(E309, ""[0-9]+[a-f]?\."", """"))"),"A ce kuna son tafiya zuwa Cote d'Ivoire, waɗanne takardu za ku buƙaci ku kawo tare da ku don tafiya can bisa doka?")</f>
        <v>A ce kuna son tafiya zuwa Cote d'Ivoire, waɗanne takardu za ku buƙaci ku kawo tare da ku don tafiya can bisa doka?</v>
      </c>
      <c r="J309" s="188" t="s">
        <v>2736</v>
      </c>
      <c r="K309" s="188" t="s">
        <v>2737</v>
      </c>
      <c r="L309" s="188" t="s">
        <v>2738</v>
      </c>
    </row>
    <row r="310">
      <c r="A310" s="199" t="s">
        <v>2731</v>
      </c>
      <c r="B310" s="147" t="s">
        <v>2739</v>
      </c>
      <c r="C310" s="190" t="s">
        <v>2740</v>
      </c>
      <c r="D310" s="190" t="s">
        <v>2742</v>
      </c>
      <c r="E310" s="190" t="s">
        <v>2744</v>
      </c>
      <c r="F310" s="195">
        <v>115.0</v>
      </c>
      <c r="G310" s="188" t="str">
        <f>IFERROR(__xludf.DUMMYFUNCTION("TRIM(REGEXREPLACE(C310, ""[0-9]+[a-f]?\."", """"))"),"Suppose you instead want to travel to Libya, what documents would you need to bring with you to travel there legally?")</f>
        <v>Suppose you instead want to travel to Libya, what documents would you need to bring with you to travel there legally?</v>
      </c>
      <c r="H310" s="188" t="str">
        <f>IFERROR(__xludf.DUMMYFUNCTION("TRIM(REGEXREPLACE(D310,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310" s="188" t="str">
        <f>IFERROR(__xludf.DUMMYFUNCTION("TRIM(REGEXREPLACE(E310, ""[0-9]+[a-f]?\."", """"))"),"A ce a maimakon haka kuna son tafiya Libya, waɗanne takardu za ku buƙaci kawowa tare da ku don tafiya can bisa doka?")</f>
        <v>A ce a maimakon haka kuna son tafiya Libya, waɗanne takardu za ku buƙaci kawowa tare da ku don tafiya can bisa doka?</v>
      </c>
      <c r="J310" s="188" t="s">
        <v>2745</v>
      </c>
      <c r="K310" s="188" t="s">
        <v>2746</v>
      </c>
      <c r="L310" s="188" t="s">
        <v>2747</v>
      </c>
    </row>
    <row r="311">
      <c r="A311" s="258" t="s">
        <v>247</v>
      </c>
      <c r="B311" s="259" t="s">
        <v>2748</v>
      </c>
      <c r="C311" s="190" t="s">
        <v>2749</v>
      </c>
      <c r="D311" s="190" t="s">
        <v>2750</v>
      </c>
      <c r="E311" s="190" t="s">
        <v>2751</v>
      </c>
      <c r="F311" s="195">
        <v>116.0</v>
      </c>
      <c r="G311" s="188" t="str">
        <f>IFERROR(__xludf.DUMMYFUNCTION("TRIM(REGEXREPLACE(C311, ""[0-9]+[a-f]?\."", """"))"),"If you want to travel to Nigeria to find work, how long can you work there without getting a formal work authorization (in months)?")</f>
        <v>If you want to travel to Nigeria to find work, how long can you work there without getting a formal work authorization (in months)?</v>
      </c>
      <c r="H311" s="188" t="str">
        <f>IFERROR(__xludf.DUMMYFUNCTION("TRIM(REGEXREPLACE(D311,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311" s="188" t="str">
        <f>IFERROR(__xludf.DUMMYFUNCTION("TRIM(REGEXREPLACE(E311, ""[0-9]+[a-f]?\."", """"))"),"Idan kuna son tafiya Najeriya don neman aiki, tsawon wane lokaci za ku iya yin aiki a can ba tare da samun takardar izinin aiki a cikin doka (a cikin watanni)?")</f>
        <v>Idan kuna son tafiya Najeriya don neman aiki, tsawon wane lokaci za ku iya yin aiki a can ba tare da samun takardar izinin aiki a cikin doka (a cikin watanni)?</v>
      </c>
      <c r="J311" s="188" t="s">
        <v>2752</v>
      </c>
      <c r="K311" s="188" t="s">
        <v>2753</v>
      </c>
      <c r="L311" s="188" t="s">
        <v>2754</v>
      </c>
    </row>
    <row r="312">
      <c r="A312" s="199" t="s">
        <v>2756</v>
      </c>
      <c r="B312" s="147" t="s">
        <v>2757</v>
      </c>
      <c r="C312" s="190" t="s">
        <v>2758</v>
      </c>
      <c r="D312" s="190" t="s">
        <v>2759</v>
      </c>
      <c r="E312" s="190" t="s">
        <v>2760</v>
      </c>
      <c r="F312" s="195">
        <v>117.0</v>
      </c>
      <c r="G312" s="188" t="str">
        <f>IFERROR(__xludf.DUMMYFUNCTION("TRIM(REGEXREPLACE(C312, ""[0-9]+[a-f]?\."", """"))"),"If you want to travel to Senegal, what vaccinations are required in order to travel there legally?")</f>
        <v>If you want to travel to Senegal, what vaccinations are required in order to travel there legally?</v>
      </c>
      <c r="H312" s="188" t="str">
        <f>IFERROR(__xludf.DUMMYFUNCTION("TRIM(REGEXREPLACE(D312, ""[0-9]+[a-f]?\."", """"))"),"Si vous souhaitez vous rendre au Sénégal, quels vaccins sont nécessaires pour y voyager légalement ?")</f>
        <v>Si vous souhaitez vous rendre au Sénégal, quels vaccins sont nécessaires pour y voyager légalement ?</v>
      </c>
      <c r="I312" s="188" t="str">
        <f>IFERROR(__xludf.DUMMYFUNCTION("TRIM(REGEXREPLACE(E312, ""[0-9]+[a-f]?\."", """"))"),"Idan kuna son tafiya Senegal, waɗanne alluran rigakafi ake wajabta muku don tafiya can bisa doka?")</f>
        <v>Idan kuna son tafiya Senegal, waɗanne alluran rigakafi ake wajabta muku don tafiya can bisa doka?</v>
      </c>
      <c r="J312" s="188" t="s">
        <v>2761</v>
      </c>
      <c r="K312" s="188" t="s">
        <v>2762</v>
      </c>
      <c r="L312" s="188" t="s">
        <v>2763</v>
      </c>
    </row>
    <row r="313" hidden="1">
      <c r="A313" s="255"/>
      <c r="B313" s="152"/>
      <c r="C313" s="190"/>
      <c r="D313" s="190"/>
      <c r="E313" s="190"/>
      <c r="F313" s="195">
        <v>208.0</v>
      </c>
      <c r="G313" s="188" t="str">
        <f>IFERROR(__xludf.DUMMYFUNCTION("TRIM(REGEXREPLACE(C313, ""[0-9]+[a-f]?\."", """"))"),"")</f>
        <v/>
      </c>
      <c r="H313" s="188" t="str">
        <f>IFERROR(__xludf.DUMMYFUNCTION("TRIM(REGEXREPLACE(D313, ""[0-9]+[a-f]?\."", """"))"),"")</f>
        <v/>
      </c>
      <c r="I313" s="188" t="str">
        <f>IFERROR(__xludf.DUMMYFUNCTION("TRIM(REGEXREPLACE(E313, ""[0-9]+[a-f]?\."", """"))"),"")</f>
        <v/>
      </c>
      <c r="J313" s="188" t="s">
        <v>2765</v>
      </c>
      <c r="K313" s="188" t="s">
        <v>2766</v>
      </c>
      <c r="L313" s="188" t="s">
        <v>2767</v>
      </c>
    </row>
    <row r="314">
      <c r="A314" s="199" t="s">
        <v>2768</v>
      </c>
      <c r="B314" s="148" t="s">
        <v>2769</v>
      </c>
      <c r="C314" s="190" t="s">
        <v>2770</v>
      </c>
      <c r="D314" s="190" t="s">
        <v>2771</v>
      </c>
      <c r="E314" s="190" t="s">
        <v>2772</v>
      </c>
      <c r="F314" s="195">
        <v>118.0</v>
      </c>
      <c r="G314" s="188" t="str">
        <f>IFERROR(__xludf.DUMMYFUNCTION("TRIM(REGEXREPLACE(C314, ""[0-9]+[a-f]?\."", """"))"),"What are the potential risks of migrating?")</f>
        <v>What are the potential risks of migrating?</v>
      </c>
      <c r="H314" s="188" t="str">
        <f>IFERROR(__xludf.DUMMYFUNCTION("TRIM(REGEXREPLACE(D314, ""[0-9]+[a-f]?\."", """"))"),"Quels sont les risques potentiels liés à la migration ?")</f>
        <v>Quels sont les risques potentiels liés à la migration ?</v>
      </c>
      <c r="I314" s="188" t="str">
        <f>IFERROR(__xludf.DUMMYFUNCTION("TRIM(REGEXREPLACE(E314, ""[0-9]+[a-f]?\."", """"))"),"Menene haɗarin zuwa biɗa?")</f>
        <v>Menene haɗarin zuwa biɗa?</v>
      </c>
      <c r="J314" s="188" t="s">
        <v>2773</v>
      </c>
      <c r="K314" s="188" t="s">
        <v>2775</v>
      </c>
      <c r="L314" s="188" t="s">
        <v>2776</v>
      </c>
    </row>
    <row r="315">
      <c r="A315" s="149" t="s">
        <v>2777</v>
      </c>
      <c r="B315" s="148" t="s">
        <v>2778</v>
      </c>
      <c r="C315" s="190" t="s">
        <v>2779</v>
      </c>
      <c r="D315" s="190" t="s">
        <v>2780</v>
      </c>
      <c r="E315" s="190" t="s">
        <v>2781</v>
      </c>
      <c r="F315" s="195">
        <v>119.0</v>
      </c>
      <c r="G315" s="188" t="str">
        <f>IFERROR(__xludf.DUMMYFUNCTION("TRIM(REGEXREPLACE(C315,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315" s="188" t="str">
        <f>IFERROR(__xludf.DUMMYFUNCTION("TRIM(REGEXREPLACE(D315,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315" s="188" t="str">
        <f>IFERROR(__xludf.DUMMYFUNCTION("TRIM(REGEXREPLACE(E315, ""[0-9]+[a-f]?\."", """"))"),"Wadanne abubuwa ne za ku iya yi don rage wasu haɗarin da ke tattare da tafiya zuwa wata ƙasa maƙwabta don neman aiki?")</f>
        <v>Wadanne abubuwa ne za ku iya yi don rage wasu haɗarin da ke tattare da tafiya zuwa wata ƙasa maƙwabta don neman aiki?</v>
      </c>
      <c r="J315" s="188" t="s">
        <v>2784</v>
      </c>
      <c r="K315" s="188" t="s">
        <v>2785</v>
      </c>
      <c r="L315" s="188" t="s">
        <v>2786</v>
      </c>
    </row>
    <row r="316" hidden="1">
      <c r="A316" s="255" t="s">
        <v>331</v>
      </c>
      <c r="B316" s="152" t="s">
        <v>2416</v>
      </c>
      <c r="C316" s="190" t="s">
        <v>2417</v>
      </c>
      <c r="D316" s="190" t="s">
        <v>2419</v>
      </c>
      <c r="E316" s="190" t="s">
        <v>2420</v>
      </c>
      <c r="F316" s="195">
        <v>191.0</v>
      </c>
      <c r="G316" s="188" t="str">
        <f>IFERROR(__xludf.DUMMYFUNCTION("TRIM(REGEXREPLACE(C316, ""[0-9]+[a-f]?\."", """"))"),"Questions about PM")</f>
        <v>Questions about PM</v>
      </c>
      <c r="H316" s="188" t="str">
        <f>IFERROR(__xludf.DUMMYFUNCTION("TRIM(REGEXREPLACE(D316, ""[0-9]+[a-f]?\."", """"))"),"Questions sur le Potentiel Migrant")</f>
        <v>Questions sur le Potentiel Migrant</v>
      </c>
      <c r="I316" s="188" t="str">
        <f>IFERROR(__xludf.DUMMYFUNCTION("TRIM(REGEXREPLACE(E316, ""[0-9]+[a-f]?\."", """"))"),"Tambayoyi bisa mai nufin zuwa biɗa")</f>
        <v>Tambayoyi bisa mai nufin zuwa biɗa</v>
      </c>
      <c r="J316" s="188" t="s">
        <v>2788</v>
      </c>
      <c r="K316" s="188" t="s">
        <v>2789</v>
      </c>
      <c r="L316" s="188" t="s">
        <v>2790</v>
      </c>
    </row>
    <row r="317" hidden="1">
      <c r="A317" s="201"/>
      <c r="B317" s="202" t="s">
        <v>55</v>
      </c>
      <c r="C317" s="190"/>
      <c r="D317" s="190"/>
      <c r="E317" s="190"/>
      <c r="F317" s="195">
        <v>192.0</v>
      </c>
      <c r="G317" s="188" t="str">
        <f>IFERROR(__xludf.DUMMYFUNCTION("TRIM(REGEXREPLACE(C317, ""[0-9]+[a-f]?\."", """"))"),"")</f>
        <v/>
      </c>
      <c r="H317" s="188" t="str">
        <f>IFERROR(__xludf.DUMMYFUNCTION("TRIM(REGEXREPLACE(D317, ""[0-9]+[a-f]?\."", """"))"),"")</f>
        <v/>
      </c>
      <c r="I317" s="188" t="str">
        <f>IFERROR(__xludf.DUMMYFUNCTION("TRIM(REGEXREPLACE(E317, ""[0-9]+[a-f]?\."", """"))"),"")</f>
        <v/>
      </c>
      <c r="J317" s="188" t="s">
        <v>2791</v>
      </c>
      <c r="K317" s="188" t="s">
        <v>2792</v>
      </c>
      <c r="L317" s="188" t="s">
        <v>2793</v>
      </c>
    </row>
    <row r="318">
      <c r="A318" s="199" t="s">
        <v>2794</v>
      </c>
      <c r="B318" s="147" t="s">
        <v>2796</v>
      </c>
      <c r="C318" s="190" t="s">
        <v>2797</v>
      </c>
      <c r="D318" s="190" t="s">
        <v>2798</v>
      </c>
      <c r="E318" s="190" t="s">
        <v>2799</v>
      </c>
      <c r="F318" s="195">
        <v>120.0</v>
      </c>
      <c r="G318" s="188" t="str">
        <f>IFERROR(__xludf.DUMMYFUNCTION("TRIM(REGEXREPLACE(C318, ""[0-9]+[a-f]?\."", """"))"),"Now, I'd like you to think about your life five years from now. 
 In five years, how likely are you to live in Tahoua region, including at home, compared to somewhere else")</f>
        <v>Now, I'd like you to think about your life five years from now. 
 In five years, how likely are you to live in Tahoua region, including at home, compared to somewhere else</v>
      </c>
      <c r="H318" s="188" t="str">
        <f>IFERROR(__xludf.DUMMYFUNCTION("TRIM(REGEXREPLACE(D318, ""[0-9]+[a-f]?\."", """"))"),"Maintenant, j'aimerais que vous pensiez à votre vie dans les cinq ans à venir. Dans les cinq ans à venir, quelle est la probabilité que vous viviez dans la région de Tahoua, y compris chez vous, ou ailleurs ?")</f>
        <v>Maintenant, j'aimerais que vous pensiez à votre vie dans les cinq ans à venir. Dans les cinq ans à venir, quelle est la probabilité que vous viviez dans la région de Tahoua, y compris chez vous, ou ailleurs ?</v>
      </c>
      <c r="I318" s="188" t="str">
        <f>IFERROR(__xludf.DUMMYFUNCTION("TRIM(REGEXREPLACE(E318, ""[0-9]+[a-f]?\."", """"))"),"Yanzu, Ina son ku yi tunani game da rayuwar ku a cikin shekaru biyar masu zuwa daga yanzu. A cikin shekaru biyar masu zuwa, yaya kuke ganin yiwuwar zamanku a jahar Tahoua, har da ƙauyenku, ko a wani wuri dabam?")</f>
        <v>Yanzu, Ina son ku yi tunani game da rayuwar ku a cikin shekaru biyar masu zuwa daga yanzu. A cikin shekaru biyar masu zuwa, yaya kuke ganin yiwuwar zamanku a jahar Tahoua, har da ƙauyenku, ko a wani wuri dabam?</v>
      </c>
      <c r="J318" s="188" t="s">
        <v>2801</v>
      </c>
      <c r="K318" s="188" t="s">
        <v>2802</v>
      </c>
      <c r="L318" s="188" t="s">
        <v>2803</v>
      </c>
    </row>
    <row r="319">
      <c r="A319" s="199" t="s">
        <v>2804</v>
      </c>
      <c r="B319" s="147" t="s">
        <v>2805</v>
      </c>
      <c r="C319" s="190" t="s">
        <v>2806</v>
      </c>
      <c r="D319" s="190" t="s">
        <v>2807</v>
      </c>
      <c r="E319" s="190" t="s">
        <v>2808</v>
      </c>
      <c r="F319" s="195">
        <v>121.0</v>
      </c>
      <c r="G319" s="188" t="str">
        <f>IFERROR(__xludf.DUMMYFUNCTION("TRIM(REGEXREPLACE(C319, ""[0-9]+[a-f]?\."", """"))"),"Five years from now, are you more likely to live somewhere else in Niger or in another country?")</f>
        <v>Five years from now, are you more likely to live somewhere else in Niger or in another country?</v>
      </c>
      <c r="H319" s="188" t="str">
        <f>IFERROR(__xludf.DUMMYFUNCTION("TRIM(REGEXREPLACE(D319, ""[0-9]+[a-f]?\."", """"))"),"Dans cinq ans, pensez vous vivre ailleurs au Niger ou dans un autre pays ?")</f>
        <v>Dans cinq ans, pensez vous vivre ailleurs au Niger ou dans un autre pays ?</v>
      </c>
      <c r="I319" s="188" t="str">
        <f>IFERROR(__xludf.DUMMYFUNCTION("TRIM(REGEXREPLACE(E319, ""[0-9]+[a-f]?\."", """"))"),"Cikin shekaru biyar masu zuwa, ko kuna tunanin zama a wani wuri a Nijar ko a wata ƙasa daban?")</f>
        <v>Cikin shekaru biyar masu zuwa, ko kuna tunanin zama a wani wuri a Nijar ko a wata ƙasa daban?</v>
      </c>
      <c r="J319" s="188" t="s">
        <v>2809</v>
      </c>
      <c r="K319" s="188" t="s">
        <v>2810</v>
      </c>
      <c r="L319" s="188" t="s">
        <v>2811</v>
      </c>
    </row>
    <row r="320" hidden="1">
      <c r="A320" s="210" t="s">
        <v>256</v>
      </c>
      <c r="B320" s="289" t="s">
        <v>2813</v>
      </c>
      <c r="C320" s="190"/>
      <c r="D320" s="190"/>
      <c r="E320" s="190"/>
      <c r="F320" s="195">
        <v>213.0</v>
      </c>
      <c r="G320" s="188" t="str">
        <f>IFERROR(__xludf.DUMMYFUNCTION("TRIM(REGEXREPLACE(C320, ""[0-9]+[a-f]?\."", """"))"),"")</f>
        <v/>
      </c>
      <c r="H320" s="188" t="str">
        <f>IFERROR(__xludf.DUMMYFUNCTION("TRIM(REGEXREPLACE(D320, ""[0-9]+[a-f]?\."", """"))"),"")</f>
        <v/>
      </c>
      <c r="I320" s="188" t="str">
        <f>IFERROR(__xludf.DUMMYFUNCTION("TRIM(REGEXREPLACE(E320, ""[0-9]+[a-f]?\."", """"))"),"")</f>
        <v/>
      </c>
      <c r="J320" s="188" t="s">
        <v>2815</v>
      </c>
      <c r="K320" s="188" t="s">
        <v>2816</v>
      </c>
      <c r="L320" s="188" t="s">
        <v>2817</v>
      </c>
    </row>
    <row r="321" hidden="1">
      <c r="A321" s="210" t="s">
        <v>112</v>
      </c>
      <c r="B321" s="277" t="s">
        <v>2818</v>
      </c>
      <c r="C321" s="190"/>
      <c r="D321" s="190"/>
      <c r="E321" s="190"/>
      <c r="F321" s="195">
        <v>214.0</v>
      </c>
      <c r="G321" s="188" t="str">
        <f>IFERROR(__xludf.DUMMYFUNCTION("TRIM(REGEXREPLACE(C321, ""[0-9]+[a-f]?\."", """"))"),"")</f>
        <v/>
      </c>
      <c r="H321" s="188" t="str">
        <f>IFERROR(__xludf.DUMMYFUNCTION("TRIM(REGEXREPLACE(D321, ""[0-9]+[a-f]?\."", """"))"),"")</f>
        <v/>
      </c>
      <c r="I321" s="188" t="str">
        <f>IFERROR(__xludf.DUMMYFUNCTION("TRIM(REGEXREPLACE(E321, ""[0-9]+[a-f]?\."", """"))"),"")</f>
        <v/>
      </c>
      <c r="J321" s="188" t="s">
        <v>2820</v>
      </c>
      <c r="K321" s="188" t="s">
        <v>2821</v>
      </c>
      <c r="L321" s="188" t="s">
        <v>2822</v>
      </c>
    </row>
    <row r="322" hidden="1">
      <c r="A322" s="262"/>
      <c r="B322" s="263"/>
      <c r="C322" s="190"/>
      <c r="D322" s="190"/>
      <c r="E322" s="190"/>
      <c r="F322" s="195">
        <v>30.0</v>
      </c>
      <c r="G322" s="188" t="str">
        <f>IFERROR(__xludf.DUMMYFUNCTION("TRIM(REGEXREPLACE(C322, ""[0-9]+[a-f]?\."", """"))"),"")</f>
        <v/>
      </c>
      <c r="H322" s="188" t="str">
        <f>IFERROR(__xludf.DUMMYFUNCTION("TRIM(REGEXREPLACE(D322, ""[0-9]+[a-f]?\."", """"))"),"")</f>
        <v/>
      </c>
      <c r="I322" s="188" t="str">
        <f>IFERROR(__xludf.DUMMYFUNCTION("TRIM(REGEXREPLACE(E322, ""[0-9]+[a-f]?\."", """"))"),"")</f>
        <v/>
      </c>
      <c r="J322" s="188" t="str">
        <f t="shared" ref="J322:L322" si="14">$F322 &amp; ". "&amp;G322</f>
        <v>30. </v>
      </c>
      <c r="K322" s="188" t="str">
        <f t="shared" si="14"/>
        <v>30. </v>
      </c>
      <c r="L322" s="188" t="str">
        <f t="shared" si="14"/>
        <v>30. </v>
      </c>
    </row>
    <row r="323" hidden="1">
      <c r="A323" s="255" t="s">
        <v>278</v>
      </c>
      <c r="B323" s="143" t="s">
        <v>2824</v>
      </c>
      <c r="C323" s="190" t="s">
        <v>2825</v>
      </c>
      <c r="D323" s="190"/>
      <c r="E323" s="190"/>
      <c r="F323" s="195">
        <v>31.0</v>
      </c>
      <c r="G323" s="188" t="str">
        <f>IFERROR(__xludf.DUMMYFUNCTION("TRIM(REGEXREPLACE(C323, ""[0-9]+[a-f]?\."", """"))"),"Spouse consultation")</f>
        <v>Spouse consultation</v>
      </c>
      <c r="H323" s="188" t="str">
        <f>IFERROR(__xludf.DUMMYFUNCTION("TRIM(REGEXREPLACE(D323, ""[0-9]+[a-f]?\."", """"))"),"")</f>
        <v/>
      </c>
      <c r="I323" s="188" t="str">
        <f>IFERROR(__xludf.DUMMYFUNCTION("TRIM(REGEXREPLACE(E323, ""[0-9]+[a-f]?\."", """"))"),"")</f>
        <v/>
      </c>
      <c r="J323" s="188" t="str">
        <f t="shared" ref="J323:L323" si="15">$F323 &amp; ". "&amp;G323</f>
        <v>31. Spouse consultation</v>
      </c>
      <c r="K323" s="188" t="str">
        <f t="shared" si="15"/>
        <v>31. </v>
      </c>
      <c r="L323" s="188" t="str">
        <f t="shared" si="15"/>
        <v>31. </v>
      </c>
    </row>
    <row r="324" hidden="1">
      <c r="A324" s="210" t="s">
        <v>256</v>
      </c>
      <c r="B324" s="210" t="s">
        <v>2827</v>
      </c>
      <c r="C324" s="190"/>
      <c r="D324" s="190"/>
      <c r="E324" s="190"/>
      <c r="F324" s="195">
        <v>32.0</v>
      </c>
      <c r="G324" s="188" t="str">
        <f>IFERROR(__xludf.DUMMYFUNCTION("TRIM(REGEXREPLACE(C324, ""[0-9]+[a-f]?\."", """"))"),"")</f>
        <v/>
      </c>
      <c r="H324" s="188" t="str">
        <f>IFERROR(__xludf.DUMMYFUNCTION("TRIM(REGEXREPLACE(D324, ""[0-9]+[a-f]?\."", """"))"),"")</f>
        <v/>
      </c>
      <c r="I324" s="188" t="str">
        <f>IFERROR(__xludf.DUMMYFUNCTION("TRIM(REGEXREPLACE(E324, ""[0-9]+[a-f]?\."", """"))"),"")</f>
        <v/>
      </c>
      <c r="J324" s="188" t="str">
        <f t="shared" ref="J324:L324" si="16">$F324 &amp; ". "&amp;G324</f>
        <v>32. </v>
      </c>
      <c r="K324" s="188" t="str">
        <f t="shared" si="16"/>
        <v>32. </v>
      </c>
      <c r="L324" s="188" t="str">
        <f t="shared" si="16"/>
        <v>32. </v>
      </c>
    </row>
    <row r="325">
      <c r="A325" s="238" t="s">
        <v>46</v>
      </c>
      <c r="B325" s="132" t="s">
        <v>2829</v>
      </c>
      <c r="C325" s="190" t="s">
        <v>2830</v>
      </c>
      <c r="D325" s="190" t="s">
        <v>2831</v>
      </c>
      <c r="E325" s="190" t="s">
        <v>2832</v>
      </c>
      <c r="F325" s="195">
        <v>122.0</v>
      </c>
      <c r="G325" s="188" t="str">
        <f>IFERROR(__xludf.DUMMYFUNCTION("TRIM(REGEXREPLACE(C325, ""[0-9]+[a-f]?\."", """"))"),"The next set of questions are about your opinions regarding the roles that women and men play")</f>
        <v>The next set of questions are about your opinions regarding the roles that women and men play</v>
      </c>
      <c r="H325" s="188" t="str">
        <f>IFERROR(__xludf.DUMMYFUNCTION("TRIM(REGEXREPLACE(D325, ""[0-9]+[a-f]?\."", """"))"),"La prochaine série de questions porte sur vos opinions concernant les rôles que jouent les femmes et les hommes")</f>
        <v>La prochaine série de questions porte sur vos opinions concernant les rôles que jouent les femmes et les hommes</v>
      </c>
      <c r="I325" s="188" t="str">
        <f>IFERROR(__xludf.DUMMYFUNCTION("TRIM(REGEXREPLACE(E325, ""[0-9]+[a-f]?\."", """"))"),"Tambayoyi na gaba sun ta'allaka ne da ra'ayoyin ku game da rawar da mata da maza suke takawa.")</f>
        <v>Tambayoyi na gaba sun ta'allaka ne da ra'ayoyin ku game da rawar da mata da maza suke takawa.</v>
      </c>
      <c r="J325" s="188" t="s">
        <v>2835</v>
      </c>
      <c r="K325" s="188" t="s">
        <v>2836</v>
      </c>
      <c r="L325" s="188" t="s">
        <v>2837</v>
      </c>
    </row>
    <row r="326">
      <c r="A326" s="199" t="s">
        <v>2011</v>
      </c>
      <c r="B326" s="147" t="s">
        <v>2838</v>
      </c>
      <c r="C326" s="190" t="s">
        <v>2839</v>
      </c>
      <c r="D326" s="190" t="s">
        <v>2840</v>
      </c>
      <c r="E326" s="190" t="s">
        <v>2841</v>
      </c>
      <c r="F326" s="195">
        <v>123.0</v>
      </c>
      <c r="G326" s="188" t="str">
        <f>IFERROR(__xludf.DUMMYFUNCTION("TRIM(REGEXREPLACE(C326, ""[0-9]+[a-f]?\."", """"))"),"How often, if ever do you talk about the role of women in society with other people?")</f>
        <v>How often, if ever do you talk about the role of women in society with other people?</v>
      </c>
      <c r="H326" s="188" t="str">
        <f>IFERROR(__xludf.DUMMYFUNCTION("TRIM(REGEXREPLACE(D326, ""[0-9]+[a-f]?\."", """"))"),"À quelle fréquence, si jamais cela arrive, parlez-vous du rôle des femmes dans la société avec d'autres personnes ?")</f>
        <v>À quelle fréquence, si jamais cela arrive, parlez-vous du rôle des femmes dans la société avec d'autres personnes ?</v>
      </c>
      <c r="I326" s="188" t="str">
        <f>IFERROR(__xludf.DUMMYFUNCTION("TRIM(REGEXREPLACE(E326, ""[0-9]+[a-f]?\."", """"))"),"Sau nawa, idan ya na faruwa, kuke yin magana game da taka rawan mata a cikin al'umma tare da sauran mutane?")</f>
        <v>Sau nawa, idan ya na faruwa, kuke yin magana game da taka rawan mata a cikin al'umma tare da sauran mutane?</v>
      </c>
      <c r="J326" s="188" t="s">
        <v>2842</v>
      </c>
      <c r="K326" s="188" t="s">
        <v>2843</v>
      </c>
      <c r="L326" s="188" t="s">
        <v>2844</v>
      </c>
    </row>
    <row r="327" hidden="1">
      <c r="A327" s="255" t="s">
        <v>278</v>
      </c>
      <c r="B327" s="277" t="s">
        <v>2845</v>
      </c>
      <c r="C327" s="190"/>
      <c r="D327" s="190"/>
      <c r="E327" s="190"/>
      <c r="F327" s="195">
        <v>35.0</v>
      </c>
      <c r="G327" s="188" t="str">
        <f>IFERROR(__xludf.DUMMYFUNCTION("TRIM(REGEXREPLACE(C327, ""[0-9]+[a-f]?\."", """"))"),"")</f>
        <v/>
      </c>
      <c r="H327" s="188" t="str">
        <f>IFERROR(__xludf.DUMMYFUNCTION("TRIM(REGEXREPLACE(D327, ""[0-9]+[a-f]?\."", """"))"),"")</f>
        <v/>
      </c>
      <c r="I327" s="188" t="str">
        <f>IFERROR(__xludf.DUMMYFUNCTION("TRIM(REGEXREPLACE(E327, ""[0-9]+[a-f]?\."", """"))"),"")</f>
        <v/>
      </c>
      <c r="J327" s="188" t="str">
        <f t="shared" ref="J327:L327" si="17">$F327 &amp; ". "&amp;G327</f>
        <v>35. </v>
      </c>
      <c r="K327" s="188" t="str">
        <f t="shared" si="17"/>
        <v>35. </v>
      </c>
      <c r="L327" s="188" t="str">
        <f t="shared" si="17"/>
        <v>35. </v>
      </c>
    </row>
    <row r="328">
      <c r="A328" s="238" t="s">
        <v>46</v>
      </c>
      <c r="B328" s="132" t="s">
        <v>2848</v>
      </c>
      <c r="C328" s="190" t="s">
        <v>2849</v>
      </c>
      <c r="D328" s="190" t="s">
        <v>2850</v>
      </c>
      <c r="E328" s="190" t="s">
        <v>2851</v>
      </c>
      <c r="F328" s="195">
        <v>124.0</v>
      </c>
      <c r="G328" s="188" t="str">
        <f>IFERROR(__xludf.DUMMYFUNCTION("TRIM(REGEXREPLACE(C328, ""[0-9]+[a-f]?\."", """"))"),"In your opinion, how much influence a wife should have over the following decisions within a couple?")</f>
        <v>In your opinion, how much influence a wife should have over the following decisions within a couple?</v>
      </c>
      <c r="H328" s="188" t="str">
        <f>IFERROR(__xludf.DUMMYFUNCTION("TRIM(REGEXREPLACE(D328, ""[0-9]+[a-f]?\."", """"))"),"Selon vous, quelle influence une épouse devrait-elle avoir sur les décisions suivantes au sein d'un couple ?")</f>
        <v>Selon vous, quelle influence une épouse devrait-elle avoir sur les décisions suivantes au sein d'un couple ?</v>
      </c>
      <c r="I328" s="188" t="str">
        <f>IFERROR(__xludf.DUMMYFUNCTION("TRIM(REGEXREPLACE(E328, ""[0-9]+[a-f]?\."", """"))"),"A ra'ayinka, wane tasiri mace ya kamata ta yi bisa yanke shawarwari da zan zana a tsakanin ta da mijinta?")</f>
        <v>A ra'ayinka, wane tasiri mace ya kamata ta yi bisa yanke shawarwari da zan zana a tsakanin ta da mijinta?</v>
      </c>
      <c r="J328" s="188" t="s">
        <v>2852</v>
      </c>
      <c r="K328" s="188" t="s">
        <v>2853</v>
      </c>
      <c r="L328" s="188" t="s">
        <v>2854</v>
      </c>
    </row>
    <row r="329">
      <c r="A329" s="199" t="s">
        <v>2855</v>
      </c>
      <c r="B329" s="147" t="s">
        <v>2856</v>
      </c>
      <c r="C329" s="190" t="s">
        <v>2857</v>
      </c>
      <c r="D329" s="190" t="s">
        <v>2858</v>
      </c>
      <c r="E329" s="190" t="s">
        <v>2859</v>
      </c>
      <c r="F329" s="195">
        <v>125.0</v>
      </c>
      <c r="G329" s="188" t="str">
        <f>IFERROR(__xludf.DUMMYFUNCTION("TRIM(REGEXREPLACE(C329, ""[0-9]+[a-f]?\."", """"))"),"Daily household expenses (Less than 500 CFA)")</f>
        <v>Daily household expenses (Less than 500 CFA)</v>
      </c>
      <c r="H329" s="188" t="str">
        <f>IFERROR(__xludf.DUMMYFUNCTION("TRIM(REGEXREPLACE(D329, ""[0-9]+[a-f]?\."", """"))"),"Dépenses quotidiennes du ménage (Moins de 500 CFA)")</f>
        <v>Dépenses quotidiennes du ménage (Moins de 500 CFA)</v>
      </c>
      <c r="I329" s="188" t="str">
        <f>IFERROR(__xludf.DUMMYFUNCTION("TRIM(REGEXREPLACE(E329, ""[0-9]+[a-f]?\."", """"))"),"Kashe kashen kuɗin gida na yau da kullun ( Kasa da dala ɗari)")</f>
        <v>Kashe kashen kuɗin gida na yau da kullun ( Kasa da dala ɗari)</v>
      </c>
      <c r="J329" s="188" t="s">
        <v>2861</v>
      </c>
      <c r="K329" s="188" t="s">
        <v>2862</v>
      </c>
      <c r="L329" s="188" t="s">
        <v>2863</v>
      </c>
    </row>
    <row r="330">
      <c r="A330" s="199" t="s">
        <v>2855</v>
      </c>
      <c r="B330" s="147" t="s">
        <v>2864</v>
      </c>
      <c r="C330" s="190" t="s">
        <v>2865</v>
      </c>
      <c r="D330" s="190" t="s">
        <v>2866</v>
      </c>
      <c r="E330" s="190" t="s">
        <v>2867</v>
      </c>
      <c r="F330" s="195">
        <v>126.0</v>
      </c>
      <c r="G330" s="188" t="str">
        <f>IFERROR(__xludf.DUMMYFUNCTION("TRIM(REGEXREPLACE(C330, ""[0-9]+[a-f]?\."", """"))"),"Household purchases worth more than 500 CFA")</f>
        <v>Household purchases worth more than 500 CFA</v>
      </c>
      <c r="H330" s="188" t="str">
        <f>IFERROR(__xludf.DUMMYFUNCTION("TRIM(REGEXREPLACE(D330, ""[0-9]+[a-f]?\."", """"))"),"Achats liés au bien être des ménages d'une valeur supérieure à 500 CFA")</f>
        <v>Achats liés au bien être des ménages d'une valeur supérieure à 500 CFA</v>
      </c>
      <c r="I330" s="188" t="str">
        <f>IFERROR(__xludf.DUMMYFUNCTION("TRIM(REGEXREPLACE(E330, ""[0-9]+[a-f]?\."", """"))"),"Sayayyar gida na sama da ɗari")</f>
        <v>Sayayyar gida na sama da ɗari</v>
      </c>
      <c r="J330" s="188" t="s">
        <v>2868</v>
      </c>
      <c r="K330" s="188" t="s">
        <v>2869</v>
      </c>
      <c r="L330" s="188" t="s">
        <v>2870</v>
      </c>
    </row>
    <row r="331">
      <c r="A331" s="199" t="s">
        <v>2855</v>
      </c>
      <c r="B331" s="147" t="s">
        <v>2872</v>
      </c>
      <c r="C331" s="190" t="s">
        <v>2873</v>
      </c>
      <c r="D331" s="190" t="s">
        <v>2875</v>
      </c>
      <c r="E331" s="190" t="s">
        <v>2876</v>
      </c>
      <c r="F331" s="195">
        <v>127.0</v>
      </c>
      <c r="G331" s="188" t="str">
        <f>IFERROR(__xludf.DUMMYFUNCTION("TRIM(REGEXREPLACE(C331, ""[0-9]+[a-f]?\."", """"))"),"Family planning (how many children to have)")</f>
        <v>Family planning (how many children to have)</v>
      </c>
      <c r="H331" s="188" t="str">
        <f>IFERROR(__xludf.DUMMYFUNCTION("TRIM(REGEXREPLACE(D331, ""[0-9]+[a-f]?\."", """"))"),"Planification familiale (combien d'enfants avoir)")</f>
        <v>Planification familiale (combien d'enfants avoir)</v>
      </c>
      <c r="I331" s="188" t="str">
        <f>IFERROR(__xludf.DUMMYFUNCTION("TRIM(REGEXREPLACE(E331, ""[0-9]+[a-f]?\."", """"))"),"Tsarin iyali (ƴaƴa nawa za a haifa)")</f>
        <v>Tsarin iyali (ƴaƴa nawa za a haifa)</v>
      </c>
      <c r="J331" s="188" t="s">
        <v>2877</v>
      </c>
      <c r="K331" s="188" t="s">
        <v>2878</v>
      </c>
      <c r="L331" s="188" t="s">
        <v>2879</v>
      </c>
    </row>
    <row r="332">
      <c r="A332" s="199" t="s">
        <v>2855</v>
      </c>
      <c r="B332" s="147" t="s">
        <v>2880</v>
      </c>
      <c r="C332" s="190" t="s">
        <v>2882</v>
      </c>
      <c r="D332" s="190" t="s">
        <v>2883</v>
      </c>
      <c r="E332" s="190" t="s">
        <v>2884</v>
      </c>
      <c r="F332" s="195">
        <v>128.0</v>
      </c>
      <c r="G332" s="188" t="str">
        <f>IFERROR(__xludf.DUMMYFUNCTION("TRIM(REGEXREPLACE(C332, ""[0-9]+[a-f]?\."", """"))"),"Whether the husband will migrate to find work")</f>
        <v>Whether the husband will migrate to find work</v>
      </c>
      <c r="H332" s="188" t="str">
        <f>IFERROR(__xludf.DUMMYFUNCTION("TRIM(REGEXREPLACE(D332, ""[0-9]+[a-f]?\."", """"))"),"Si le mari va migrer pour trouver du travail")</f>
        <v>Si le mari va migrer pour trouver du travail</v>
      </c>
      <c r="I332" s="188" t="str">
        <f>IFERROR(__xludf.DUMMYFUNCTION("TRIM(REGEXREPLACE(E332, ""[0-9]+[a-f]?\."", """"))"),"Ko mijin zai yi tahiya don neman aiki")</f>
        <v>Ko mijin zai yi tahiya don neman aiki</v>
      </c>
      <c r="J332" s="188" t="s">
        <v>2886</v>
      </c>
      <c r="K332" s="188" t="s">
        <v>2887</v>
      </c>
      <c r="L332" s="188" t="s">
        <v>2888</v>
      </c>
    </row>
    <row r="333">
      <c r="A333" s="199" t="s">
        <v>2855</v>
      </c>
      <c r="B333" s="147" t="s">
        <v>2889</v>
      </c>
      <c r="C333" s="190" t="s">
        <v>2890</v>
      </c>
      <c r="D333" s="190" t="s">
        <v>2891</v>
      </c>
      <c r="E333" s="190" t="s">
        <v>2892</v>
      </c>
      <c r="F333" s="195">
        <v>129.0</v>
      </c>
      <c r="G333" s="188" t="str">
        <f>IFERROR(__xludf.DUMMYFUNCTION("TRIM(REGEXREPLACE(C333, ""[0-9]+[a-f]?\."", """"))"),"Who to vote for in local elections?")</f>
        <v>Who to vote for in local elections?</v>
      </c>
      <c r="H333" s="188" t="str">
        <f>IFERROR(__xludf.DUMMYFUNCTION("TRIM(REGEXREPLACE(D333, ""[0-9]+[a-f]?\."", """"))"),"Pour qui voter aux élections municipales ?")</f>
        <v>Pour qui voter aux élections municipales ?</v>
      </c>
      <c r="I333" s="188" t="str">
        <f>IFERROR(__xludf.DUMMYFUNCTION("TRIM(REGEXREPLACE(E333, ""[0-9]+[a-f]?\."", """"))"),"Wanene za'a zaɓa a zaɓen ƙananan hukumomi?")</f>
        <v>Wanene za'a zaɓa a zaɓen ƙananan hukumomi?</v>
      </c>
      <c r="J333" s="188" t="s">
        <v>2893</v>
      </c>
      <c r="K333" s="188" t="s">
        <v>2894</v>
      </c>
      <c r="L333" s="188" t="s">
        <v>2895</v>
      </c>
    </row>
    <row r="334">
      <c r="A334" s="199" t="s">
        <v>2855</v>
      </c>
      <c r="B334" s="147" t="s">
        <v>2897</v>
      </c>
      <c r="C334" s="190" t="s">
        <v>2898</v>
      </c>
      <c r="D334" s="190" t="s">
        <v>2899</v>
      </c>
      <c r="E334" s="190" t="s">
        <v>2900</v>
      </c>
      <c r="F334" s="195">
        <v>130.0</v>
      </c>
      <c r="G334" s="188" t="str">
        <f>IFERROR(__xludf.DUMMYFUNCTION("TRIM(REGEXREPLACE(C334, ""[0-9]+[a-f]?\."", """"))"),"To whom your daughter should marry?")</f>
        <v>To whom your daughter should marry?</v>
      </c>
      <c r="H334" s="188" t="str">
        <f>IFERROR(__xludf.DUMMYFUNCTION("TRIM(REGEXREPLACE(D334, ""[0-9]+[a-f]?\."", """"))"),"Avec qui votre fille devrait-elle se marier ?")</f>
        <v>Avec qui votre fille devrait-elle se marier ?</v>
      </c>
      <c r="I334" s="188" t="str">
        <f>IFERROR(__xludf.DUMMYFUNCTION("TRIM(REGEXREPLACE(E334, ""[0-9]+[a-f]?\."", """"))"),"Wa ya kamata ƴarku ta aura?")</f>
        <v>Wa ya kamata ƴarku ta aura?</v>
      </c>
      <c r="J334" s="188" t="s">
        <v>2901</v>
      </c>
      <c r="K334" s="188" t="s">
        <v>2902</v>
      </c>
      <c r="L334" s="188" t="s">
        <v>2903</v>
      </c>
    </row>
    <row r="335">
      <c r="A335" s="199" t="s">
        <v>2855</v>
      </c>
      <c r="B335" s="147" t="s">
        <v>2904</v>
      </c>
      <c r="C335" s="190" t="s">
        <v>2905</v>
      </c>
      <c r="D335" s="190" t="s">
        <v>2906</v>
      </c>
      <c r="E335" s="190" t="s">
        <v>2907</v>
      </c>
      <c r="F335" s="195">
        <v>131.0</v>
      </c>
      <c r="G335" s="188" t="str">
        <f>IFERROR(__xludf.DUMMYFUNCTION("TRIM(REGEXREPLACE(C335, ""[0-9]+[a-f]?\."", """"))"),"Children's enrollment in school")</f>
        <v>Children's enrollment in school</v>
      </c>
      <c r="H335" s="188" t="str">
        <f>IFERROR(__xludf.DUMMYFUNCTION("TRIM(REGEXREPLACE(D335, ""[0-9]+[a-f]?\."", """"))"),"Inscription des enfants à l'école")</f>
        <v>Inscription des enfants à l'école</v>
      </c>
      <c r="I335" s="188" t="str">
        <f>IFERROR(__xludf.DUMMYFUNCTION("TRIM(REGEXREPLACE(E335, ""[0-9]+[a-f]?\."", """"))"),"Rubuta yara a makaranta")</f>
        <v>Rubuta yara a makaranta</v>
      </c>
      <c r="J335" s="188" t="s">
        <v>2908</v>
      </c>
      <c r="K335" s="188" t="s">
        <v>2909</v>
      </c>
      <c r="L335" s="188" t="s">
        <v>2910</v>
      </c>
    </row>
    <row r="336" hidden="1">
      <c r="A336" s="255" t="s">
        <v>331</v>
      </c>
      <c r="B336" s="277" t="s">
        <v>2845</v>
      </c>
      <c r="C336" s="190"/>
      <c r="D336" s="190"/>
      <c r="E336" s="190"/>
      <c r="F336" s="195">
        <v>41.0</v>
      </c>
      <c r="G336" s="188" t="str">
        <f>IFERROR(__xludf.DUMMYFUNCTION("TRIM(REGEXREPLACE(C336, ""[0-9]+[a-f]?\."", """"))"),"")</f>
        <v/>
      </c>
      <c r="H336" s="188" t="str">
        <f>IFERROR(__xludf.DUMMYFUNCTION("TRIM(REGEXREPLACE(D336, ""[0-9]+[a-f]?\."", """"))"),"")</f>
        <v/>
      </c>
      <c r="I336" s="188" t="str">
        <f>IFERROR(__xludf.DUMMYFUNCTION("TRIM(REGEXREPLACE(E336, ""[0-9]+[a-f]?\."", """"))"),"")</f>
        <v/>
      </c>
      <c r="J336" s="188" t="str">
        <f t="shared" ref="J336:L336" si="18">$F336 &amp; ". "&amp;G336</f>
        <v>41. </v>
      </c>
      <c r="K336" s="188" t="str">
        <f t="shared" si="18"/>
        <v>41. </v>
      </c>
      <c r="L336" s="188" t="str">
        <f t="shared" si="18"/>
        <v>41. </v>
      </c>
    </row>
    <row r="337" hidden="1">
      <c r="A337" s="255" t="s">
        <v>331</v>
      </c>
      <c r="B337" s="152" t="s">
        <v>2824</v>
      </c>
      <c r="C337" s="190" t="s">
        <v>2825</v>
      </c>
      <c r="D337" s="190"/>
      <c r="E337" s="190"/>
      <c r="F337" s="195">
        <v>42.0</v>
      </c>
      <c r="G337" s="188" t="str">
        <f>IFERROR(__xludf.DUMMYFUNCTION("TRIM(REGEXREPLACE(C337, ""[0-9]+[a-f]?\."", """"))"),"Spouse consultation")</f>
        <v>Spouse consultation</v>
      </c>
      <c r="H337" s="188" t="str">
        <f>IFERROR(__xludf.DUMMYFUNCTION("TRIM(REGEXREPLACE(D337, ""[0-9]+[a-f]?\."", """"))"),"")</f>
        <v/>
      </c>
      <c r="I337" s="188" t="str">
        <f>IFERROR(__xludf.DUMMYFUNCTION("TRIM(REGEXREPLACE(E337, ""[0-9]+[a-f]?\."", """"))"),"")</f>
        <v/>
      </c>
      <c r="J337" s="188" t="str">
        <f t="shared" ref="J337:L337" si="19">$F337 &amp; ". "&amp;G337</f>
        <v>42. Spouse consultation</v>
      </c>
      <c r="K337" s="188" t="str">
        <f t="shared" si="19"/>
        <v>42. </v>
      </c>
      <c r="L337" s="188" t="str">
        <f t="shared" si="19"/>
        <v>42. </v>
      </c>
    </row>
    <row r="338" hidden="1">
      <c r="A338" s="262"/>
      <c r="B338" s="263"/>
      <c r="C338" s="190" t="s">
        <v>55</v>
      </c>
      <c r="D338" s="190" t="s">
        <v>55</v>
      </c>
      <c r="E338" s="190" t="s">
        <v>55</v>
      </c>
      <c r="F338" s="195">
        <v>43.0</v>
      </c>
      <c r="G338" s="188" t="str">
        <f>IFERROR(__xludf.DUMMYFUNCTION("TRIM(REGEXREPLACE(C338, ""[0-9]+[a-f]?\."", """"))"),"")</f>
        <v/>
      </c>
      <c r="H338" s="188" t="str">
        <f>IFERROR(__xludf.DUMMYFUNCTION("TRIM(REGEXREPLACE(D338, ""[0-9]+[a-f]?\."", """"))"),"")</f>
        <v/>
      </c>
      <c r="I338" s="188" t="str">
        <f>IFERROR(__xludf.DUMMYFUNCTION("TRIM(REGEXREPLACE(E338, ""[0-9]+[a-f]?\."", """"))"),"")</f>
        <v/>
      </c>
      <c r="J338" s="188" t="str">
        <f t="shared" ref="J338:L338" si="20">$F338 &amp; ". "&amp;G338</f>
        <v>43. </v>
      </c>
      <c r="K338" s="188" t="str">
        <f t="shared" si="20"/>
        <v>43. </v>
      </c>
      <c r="L338" s="188" t="str">
        <f t="shared" si="20"/>
        <v>43. </v>
      </c>
    </row>
    <row r="339" hidden="1">
      <c r="A339" s="255" t="s">
        <v>278</v>
      </c>
      <c r="B339" s="143" t="s">
        <v>2913</v>
      </c>
      <c r="C339" s="190" t="s">
        <v>2914</v>
      </c>
      <c r="D339" s="190"/>
      <c r="E339" s="190"/>
      <c r="F339" s="195">
        <v>203.0</v>
      </c>
      <c r="G339" s="188" t="str">
        <f>IFERROR(__xludf.DUMMYFUNCTION("TRIM(REGEXREPLACE(C339, ""[0-9]+[a-f]?\."", """"))"),"Family consultation")</f>
        <v>Family consultation</v>
      </c>
      <c r="H339" s="188" t="str">
        <f>IFERROR(__xludf.DUMMYFUNCTION("TRIM(REGEXREPLACE(D339, ""[0-9]+[a-f]?\."", """"))"),"")</f>
        <v/>
      </c>
      <c r="I339" s="188" t="str">
        <f>IFERROR(__xludf.DUMMYFUNCTION("TRIM(REGEXREPLACE(E339, ""[0-9]+[a-f]?\."", """"))"),"")</f>
        <v/>
      </c>
      <c r="J339" s="188" t="s">
        <v>2915</v>
      </c>
      <c r="K339" s="188" t="s">
        <v>2916</v>
      </c>
      <c r="L339" s="188" t="s">
        <v>2917</v>
      </c>
    </row>
    <row r="340" hidden="1">
      <c r="A340" s="255" t="s">
        <v>278</v>
      </c>
      <c r="B340" s="277" t="s">
        <v>2919</v>
      </c>
      <c r="C340" s="190"/>
      <c r="D340" s="190"/>
      <c r="E340" s="190"/>
      <c r="F340" s="195">
        <v>204.0</v>
      </c>
      <c r="G340" s="188" t="str">
        <f>IFERROR(__xludf.DUMMYFUNCTION("TRIM(REGEXREPLACE(C340, ""[0-9]+[a-f]?\."", """"))"),"")</f>
        <v/>
      </c>
      <c r="H340" s="188" t="str">
        <f>IFERROR(__xludf.DUMMYFUNCTION("TRIM(REGEXREPLACE(D340, ""[0-9]+[a-f]?\."", """"))"),"")</f>
        <v/>
      </c>
      <c r="I340" s="188" t="str">
        <f>IFERROR(__xludf.DUMMYFUNCTION("TRIM(REGEXREPLACE(E340, ""[0-9]+[a-f]?\."", """"))"),"")</f>
        <v/>
      </c>
      <c r="J340" s="188" t="s">
        <v>2920</v>
      </c>
      <c r="K340" s="188" t="s">
        <v>2921</v>
      </c>
      <c r="L340" s="188" t="s">
        <v>2922</v>
      </c>
    </row>
    <row r="341">
      <c r="A341" s="281" t="s">
        <v>46</v>
      </c>
      <c r="B341" s="132" t="s">
        <v>2923</v>
      </c>
      <c r="C341" s="190" t="s">
        <v>2924</v>
      </c>
      <c r="D341" s="190" t="s">
        <v>2925</v>
      </c>
      <c r="E341" s="190" t="s">
        <v>2926</v>
      </c>
      <c r="F341" s="195">
        <v>132.0</v>
      </c>
      <c r="G341" s="188" t="str">
        <f>IFERROR(__xludf.DUMMYFUNCTION("TRIM(REGEXREPLACE(C341,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341" s="188" t="str">
        <f>IFERROR(__xludf.DUMMYFUNCTION("TRIM(REGEXREPLACE(D341,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341" s="188" t="str">
        <f>IFERROR(__xludf.DUMMYFUNCTION("TRIM(REGEXREPLACE(E341,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341" s="188" t="s">
        <v>2927</v>
      </c>
      <c r="K341" s="188" t="s">
        <v>2929</v>
      </c>
      <c r="L341" s="188" t="s">
        <v>2930</v>
      </c>
    </row>
    <row r="342">
      <c r="A342" s="290" t="s">
        <v>2011</v>
      </c>
      <c r="B342" s="147" t="s">
        <v>2931</v>
      </c>
      <c r="C342" s="190" t="s">
        <v>2932</v>
      </c>
      <c r="D342" s="190" t="s">
        <v>2933</v>
      </c>
      <c r="E342" s="190" t="s">
        <v>2934</v>
      </c>
      <c r="F342" s="195">
        <v>133.0</v>
      </c>
      <c r="G342" s="188" t="str">
        <f>IFERROR(__xludf.DUMMYFUNCTION("TRIM(REGEXREPLACE(C342, ""[0-9]+[a-f]?\."", """"))"),"Things that happen at work or in the fields?")</f>
        <v>Things that happen at work or in the fields?</v>
      </c>
      <c r="H342" s="188" t="str">
        <f>IFERROR(__xludf.DUMMYFUNCTION("TRIM(REGEXREPLACE(D342, ""[0-9]+[a-f]?\."", """"))"),"Des choses qui se passent au travail ou dans les champs ?")</f>
        <v>Des choses qui se passent au travail ou dans les champs ?</v>
      </c>
      <c r="I342" s="188" t="str">
        <f>IFERROR(__xludf.DUMMYFUNCTION("TRIM(REGEXREPLACE(E342, ""[0-9]+[a-f]?\."", """"))"),"Abubuwan da ke faruwa a wurin aiki ko a gona?")</f>
        <v>Abubuwan da ke faruwa a wurin aiki ko a gona?</v>
      </c>
      <c r="J342" s="188" t="s">
        <v>2935</v>
      </c>
      <c r="K342" s="188" t="s">
        <v>2937</v>
      </c>
      <c r="L342" s="188" t="s">
        <v>2938</v>
      </c>
    </row>
    <row r="343">
      <c r="A343" s="290" t="s">
        <v>2011</v>
      </c>
      <c r="B343" s="147" t="s">
        <v>2939</v>
      </c>
      <c r="C343" s="190" t="s">
        <v>2940</v>
      </c>
      <c r="D343" s="190" t="s">
        <v>2941</v>
      </c>
      <c r="E343" s="190" t="s">
        <v>2942</v>
      </c>
      <c r="F343" s="195">
        <v>134.0</v>
      </c>
      <c r="G343" s="188" t="str">
        <f>IFERROR(__xludf.DUMMYFUNCTION("TRIM(REGEXREPLACE(C343, ""[0-9]+[a-f]?\."", """"))"),"Things that happen in the community?")</f>
        <v>Things that happen in the community?</v>
      </c>
      <c r="H343" s="188" t="str">
        <f>IFERROR(__xludf.DUMMYFUNCTION("TRIM(REGEXREPLACE(D343, ""[0-9]+[a-f]?\."", """"))"),"Des choses qui se passent dans la communauté ?")</f>
        <v>Des choses qui se passent dans la communauté ?</v>
      </c>
      <c r="I343" s="188" t="str">
        <f>IFERROR(__xludf.DUMMYFUNCTION("TRIM(REGEXREPLACE(E343, ""[0-9]+[a-f]?\."", """"))"),"Abubuwan da ke faruwa a cikin al'umma?")</f>
        <v>Abubuwan da ke faruwa a cikin al'umma?</v>
      </c>
      <c r="J343" s="188" t="s">
        <v>2943</v>
      </c>
      <c r="K343" s="188" t="s">
        <v>2944</v>
      </c>
      <c r="L343" s="188" t="s">
        <v>2945</v>
      </c>
    </row>
    <row r="344">
      <c r="A344" s="290" t="s">
        <v>2011</v>
      </c>
      <c r="B344" s="147" t="s">
        <v>2946</v>
      </c>
      <c r="C344" s="190" t="s">
        <v>2947</v>
      </c>
      <c r="D344" s="190" t="s">
        <v>2948</v>
      </c>
      <c r="E344" s="190" t="s">
        <v>2949</v>
      </c>
      <c r="F344" s="195">
        <v>135.0</v>
      </c>
      <c r="G344" s="188" t="str">
        <f>IFERROR(__xludf.DUMMYFUNCTION("TRIM(REGEXREPLACE(C344, ""[0-9]+[a-f]?\."", """"))"),"Who to vote for in local elections?")</f>
        <v>Who to vote for in local elections?</v>
      </c>
      <c r="H344" s="188" t="str">
        <f>IFERROR(__xludf.DUMMYFUNCTION("TRIM(REGEXREPLACE(D344, ""[0-9]+[a-f]?\."", """"))"),"Pour qui voter aux élections municipales ?")</f>
        <v>Pour qui voter aux élections municipales ?</v>
      </c>
      <c r="I344" s="188" t="str">
        <f>IFERROR(__xludf.DUMMYFUNCTION("TRIM(REGEXREPLACE(E344, ""[0-9]+[a-f]?\."", """"))"),"Wanene za'a zaɓa a zaɓen ƙananan hukumomi?")</f>
        <v>Wanene za'a zaɓa a zaɓen ƙananan hukumomi?</v>
      </c>
      <c r="J344" s="188" t="s">
        <v>2951</v>
      </c>
      <c r="K344" s="188" t="s">
        <v>2952</v>
      </c>
      <c r="L344" s="188" t="s">
        <v>2953</v>
      </c>
    </row>
    <row r="345">
      <c r="A345" s="290" t="s">
        <v>2011</v>
      </c>
      <c r="B345" s="147" t="s">
        <v>2954</v>
      </c>
      <c r="C345" s="190" t="s">
        <v>2955</v>
      </c>
      <c r="D345" s="190" t="s">
        <v>2956</v>
      </c>
      <c r="E345" s="190" t="s">
        <v>2957</v>
      </c>
      <c r="F345" s="195">
        <v>136.0</v>
      </c>
      <c r="G345" s="188" t="str">
        <f>IFERROR(__xludf.DUMMYFUNCTION("TRIM(REGEXREPLACE(C345, ""[0-9]+[a-f]?\."", """"))"),"How to you invest your money such as whether to improve your house")</f>
        <v>How to you invest your money such as whether to improve your house</v>
      </c>
      <c r="H345" s="188" t="str">
        <f>IFERROR(__xludf.DUMMYFUNCTION("TRIM(REGEXREPLACE(D345, ""[0-9]+[a-f]?\."", """"))"),"Comment investir votre argent, par exemple pour améliorer votre maison")</f>
        <v>Comment investir votre argent, par exemple pour améliorer votre maison</v>
      </c>
      <c r="I345" s="188" t="str">
        <f>IFERROR(__xludf.DUMMYFUNCTION("TRIM(REGEXREPLACE(E345, ""[0-9]+[a-f]?\."", """"))"),"Yadda za ku kashe kuɗin ku, kamar gyaran gidanku")</f>
        <v>Yadda za ku kashe kuɗin ku, kamar gyaran gidanku</v>
      </c>
      <c r="J345" s="188" t="s">
        <v>2958</v>
      </c>
      <c r="K345" s="188" t="s">
        <v>2959</v>
      </c>
      <c r="L345" s="188" t="s">
        <v>2960</v>
      </c>
    </row>
    <row r="346">
      <c r="A346" s="290" t="s">
        <v>2011</v>
      </c>
      <c r="B346" s="147" t="s">
        <v>2961</v>
      </c>
      <c r="C346" s="190" t="s">
        <v>2962</v>
      </c>
      <c r="D346" s="190" t="s">
        <v>2963</v>
      </c>
      <c r="E346" s="190" t="s">
        <v>2964</v>
      </c>
      <c r="F346" s="195">
        <v>137.0</v>
      </c>
      <c r="G346" s="188" t="str">
        <f>IFERROR(__xludf.DUMMYFUNCTION("TRIM(REGEXREPLACE(C346, ""[0-9]+[a-f]?\."", """"))"),"Household members decisions to migrate")</f>
        <v>Household members decisions to migrate</v>
      </c>
      <c r="H346" s="188" t="str">
        <f>IFERROR(__xludf.DUMMYFUNCTION("TRIM(REGEXREPLACE(D346, ""[0-9]+[a-f]?\."", """"))"),"Planification familiale (quand avoir des enfants)")</f>
        <v>Planification familiale (quand avoir des enfants)</v>
      </c>
      <c r="I346" s="188" t="str">
        <f>IFERROR(__xludf.DUMMYFUNCTION("TRIM(REGEXREPLACE(E346, ""[0-9]+[a-f]?\."", """"))"),"Tsarin iyali (lokacin ɗaukan ciki)")</f>
        <v>Tsarin iyali (lokacin ɗaukan ciki)</v>
      </c>
      <c r="J346" s="188" t="s">
        <v>2965</v>
      </c>
      <c r="K346" s="188" t="s">
        <v>2967</v>
      </c>
      <c r="L346" s="188" t="s">
        <v>2968</v>
      </c>
    </row>
    <row r="347" hidden="1">
      <c r="A347" s="255" t="s">
        <v>331</v>
      </c>
      <c r="B347" s="277" t="s">
        <v>2919</v>
      </c>
      <c r="C347" s="190"/>
      <c r="D347" s="190"/>
      <c r="E347" s="190"/>
      <c r="F347" s="195">
        <v>208.0</v>
      </c>
      <c r="G347" s="188" t="str">
        <f>IFERROR(__xludf.DUMMYFUNCTION("TRIM(REGEXREPLACE(C347, ""[0-9]+[a-f]?\."", """"))"),"")</f>
        <v/>
      </c>
      <c r="H347" s="188" t="str">
        <f>IFERROR(__xludf.DUMMYFUNCTION("TRIM(REGEXREPLACE(D347, ""[0-9]+[a-f]?\."", """"))"),"")</f>
        <v/>
      </c>
      <c r="I347" s="188" t="str">
        <f>IFERROR(__xludf.DUMMYFUNCTION("TRIM(REGEXREPLACE(E347, ""[0-9]+[a-f]?\."", """"))"),"")</f>
        <v/>
      </c>
      <c r="J347" s="188" t="s">
        <v>2969</v>
      </c>
      <c r="K347" s="188" t="s">
        <v>2970</v>
      </c>
      <c r="L347" s="188" t="s">
        <v>2970</v>
      </c>
    </row>
    <row r="348">
      <c r="A348" s="290" t="s">
        <v>1060</v>
      </c>
      <c r="B348" s="147" t="s">
        <v>2971</v>
      </c>
      <c r="C348" s="190" t="s">
        <v>2972</v>
      </c>
      <c r="D348" s="190" t="s">
        <v>2973</v>
      </c>
      <c r="E348" s="190" t="s">
        <v>2974</v>
      </c>
      <c r="F348" s="195">
        <v>138.0</v>
      </c>
      <c r="G348" s="188" t="str">
        <f>IFERROR(__xludf.DUMMYFUNCTION("TRIM(REGEXREPLACE(C348, ""[0-9]+[a-f]?\."", """"))"),"Do you and members of your household ever disagree about any of these topics?")</f>
        <v>Do you and members of your household ever disagree about any of these topics?</v>
      </c>
      <c r="H348" s="188" t="str">
        <f>IFERROR(__xludf.DUMMYFUNCTION("TRIM(REGEXREPLACE(D348, ""[0-9]+[a-f]?\."", """"))"),"Vous et votre conjoint êtes-vous déjà en désaccord sur ces sujets ?")</f>
        <v>Vous et votre conjoint êtes-vous déjà en désaccord sur ces sujets ?</v>
      </c>
      <c r="I348" s="188" t="str">
        <f>IFERROR(__xludf.DUMMYFUNCTION("TRIM(REGEXREPLACE(E348, ""[0-9]+[a-f]?\."", """"))"),"Ko kai da matarka kun taɓa samun saɓani game da waɗannan batutuwa?")</f>
        <v>Ko kai da matarka kun taɓa samun saɓani game da waɗannan batutuwa?</v>
      </c>
      <c r="J348" s="188" t="s">
        <v>2976</v>
      </c>
      <c r="K348" s="188" t="s">
        <v>2977</v>
      </c>
      <c r="L348" s="188" t="s">
        <v>2978</v>
      </c>
    </row>
    <row r="349">
      <c r="A349" s="290" t="s">
        <v>1060</v>
      </c>
      <c r="B349" s="147" t="s">
        <v>2979</v>
      </c>
      <c r="C349" s="190" t="s">
        <v>2980</v>
      </c>
      <c r="D349" s="190" t="s">
        <v>2981</v>
      </c>
      <c r="E349" s="190" t="s">
        <v>2982</v>
      </c>
      <c r="F349" s="195">
        <v>139.0</v>
      </c>
      <c r="G349" s="188" t="str">
        <f>IFERROR(__xludf.DUMMYFUNCTION("TRIM(REGEXREPLACE(C349, ""[0-9]+[a-f]?\."", """"))"),"Do these conversations ever get contentious?")</f>
        <v>Do these conversations ever get contentious?</v>
      </c>
      <c r="H349" s="188" t="str">
        <f>IFERROR(__xludf.DUMMYFUNCTION("TRIM(REGEXREPLACE(D349, ""[0-9]+[a-f]?\."", """"))"),"Ces conversations deviennent-elles parfois controversées ?")</f>
        <v>Ces conversations deviennent-elles parfois controversées ?</v>
      </c>
      <c r="I349" s="188" t="str">
        <f>IFERROR(__xludf.DUMMYFUNCTION("TRIM(REGEXREPLACE(E349, ""[0-9]+[a-f]?\."", """"))"),"Ko waɗannan hirarrakin sun taɓa zama sabani?")</f>
        <v>Ko waɗannan hirarrakin sun taɓa zama sabani?</v>
      </c>
      <c r="J349" s="188" t="s">
        <v>2983</v>
      </c>
      <c r="K349" s="188" t="s">
        <v>2984</v>
      </c>
      <c r="L349" s="188" t="s">
        <v>2985</v>
      </c>
    </row>
    <row r="350" hidden="1">
      <c r="A350" s="210" t="s">
        <v>256</v>
      </c>
      <c r="B350" s="210" t="s">
        <v>2986</v>
      </c>
      <c r="C350" s="190"/>
      <c r="D350" s="190"/>
      <c r="E350" s="190"/>
      <c r="F350" s="195">
        <v>49.0</v>
      </c>
      <c r="G350" s="188" t="str">
        <f>IFERROR(__xludf.DUMMYFUNCTION("TRIM(REGEXREPLACE(C350, ""[0-9]+[a-f]?\."", """"))"),"")</f>
        <v/>
      </c>
      <c r="H350" s="188" t="str">
        <f>IFERROR(__xludf.DUMMYFUNCTION("TRIM(REGEXREPLACE(D350, ""[0-9]+[a-f]?\."", """"))"),"")</f>
        <v/>
      </c>
      <c r="I350" s="188" t="str">
        <f>IFERROR(__xludf.DUMMYFUNCTION("TRIM(REGEXREPLACE(E350, ""[0-9]+[a-f]?\."", """"))"),"")</f>
        <v/>
      </c>
      <c r="J350" s="188" t="str">
        <f t="shared" ref="J350:L350" si="21">$F350 &amp; ". "&amp;G350</f>
        <v>49. </v>
      </c>
      <c r="K350" s="188" t="str">
        <f t="shared" si="21"/>
        <v>49. </v>
      </c>
      <c r="L350" s="188" t="str">
        <f t="shared" si="21"/>
        <v>49. </v>
      </c>
    </row>
    <row r="351" hidden="1">
      <c r="A351" s="210" t="s">
        <v>112</v>
      </c>
      <c r="B351" s="261" t="s">
        <v>2988</v>
      </c>
      <c r="C351" s="190"/>
      <c r="D351" s="190"/>
      <c r="E351" s="190"/>
      <c r="F351" s="195">
        <v>50.0</v>
      </c>
      <c r="G351" s="188" t="str">
        <f>IFERROR(__xludf.DUMMYFUNCTION("TRIM(REGEXREPLACE(C351, ""[0-9]+[a-f]?\."", """"))"),"")</f>
        <v/>
      </c>
      <c r="H351" s="188" t="str">
        <f>IFERROR(__xludf.DUMMYFUNCTION("TRIM(REGEXREPLACE(D351, ""[0-9]+[a-f]?\."", """"))"),"")</f>
        <v/>
      </c>
      <c r="I351" s="188" t="str">
        <f>IFERROR(__xludf.DUMMYFUNCTION("TRIM(REGEXREPLACE(E351, ""[0-9]+[a-f]?\."", """"))"),"")</f>
        <v/>
      </c>
      <c r="J351" s="188" t="str">
        <f t="shared" ref="J351:L351" si="22">$F351 &amp; ". "&amp;G351</f>
        <v>50. </v>
      </c>
      <c r="K351" s="188" t="str">
        <f t="shared" si="22"/>
        <v>50. </v>
      </c>
      <c r="L351" s="188" t="str">
        <f t="shared" si="22"/>
        <v>50. </v>
      </c>
    </row>
    <row r="352" hidden="1">
      <c r="A352" s="255" t="s">
        <v>331</v>
      </c>
      <c r="B352" s="152" t="s">
        <v>2913</v>
      </c>
      <c r="C352" s="190" t="s">
        <v>2914</v>
      </c>
      <c r="D352" s="190"/>
      <c r="E352" s="190"/>
      <c r="F352" s="195">
        <v>218.0</v>
      </c>
      <c r="G352" s="188" t="str">
        <f>IFERROR(__xludf.DUMMYFUNCTION("TRIM(REGEXREPLACE(C352, ""[0-9]+[a-f]?\."", """"))"),"Family consultation")</f>
        <v>Family consultation</v>
      </c>
      <c r="H352" s="188" t="str">
        <f>IFERROR(__xludf.DUMMYFUNCTION("TRIM(REGEXREPLACE(D352, ""[0-9]+[a-f]?\."", """"))"),"")</f>
        <v/>
      </c>
      <c r="I352" s="188" t="str">
        <f>IFERROR(__xludf.DUMMYFUNCTION("TRIM(REGEXREPLACE(E352, ""[0-9]+[a-f]?\."", """"))"),"")</f>
        <v/>
      </c>
      <c r="J352" s="188" t="s">
        <v>2990</v>
      </c>
      <c r="K352" s="188" t="s">
        <v>2991</v>
      </c>
      <c r="L352" s="188" t="s">
        <v>2992</v>
      </c>
    </row>
    <row r="353" hidden="1">
      <c r="A353" s="262"/>
      <c r="B353" s="263"/>
      <c r="C353" s="190" t="s">
        <v>55</v>
      </c>
      <c r="D353" s="190" t="s">
        <v>55</v>
      </c>
      <c r="E353" s="190" t="s">
        <v>55</v>
      </c>
      <c r="F353" s="195">
        <v>235.0</v>
      </c>
      <c r="G353" s="188" t="str">
        <f>IFERROR(__xludf.DUMMYFUNCTION("TRIM(REGEXREPLACE(C353, ""[0-9]+[a-f]?\."", """"))"),"")</f>
        <v/>
      </c>
      <c r="H353" s="188" t="str">
        <f>IFERROR(__xludf.DUMMYFUNCTION("TRIM(REGEXREPLACE(D353, ""[0-9]+[a-f]?\."", """"))"),"")</f>
        <v/>
      </c>
      <c r="I353" s="188" t="str">
        <f>IFERROR(__xludf.DUMMYFUNCTION("TRIM(REGEXREPLACE(E353, ""[0-9]+[a-f]?\."", """"))"),"")</f>
        <v/>
      </c>
      <c r="J353" s="188" t="s">
        <v>2993</v>
      </c>
      <c r="K353" s="188" t="s">
        <v>2995</v>
      </c>
      <c r="L353" s="188" t="s">
        <v>2996</v>
      </c>
    </row>
    <row r="354" hidden="1">
      <c r="A354" s="255" t="s">
        <v>278</v>
      </c>
      <c r="B354" s="143" t="s">
        <v>2997</v>
      </c>
      <c r="C354" s="190" t="s">
        <v>2998</v>
      </c>
      <c r="D354" s="190"/>
      <c r="E354" s="190"/>
      <c r="F354" s="191"/>
      <c r="G354" s="188" t="str">
        <f>IFERROR(__xludf.DUMMYFUNCTION("TRIM(REGEXREPLACE(C354, ""[0-9]+[a-f]?\."", """"))"),"Society Opinions")</f>
        <v>Society Opinions</v>
      </c>
      <c r="H354" s="188" t="str">
        <f>IFERROR(__xludf.DUMMYFUNCTION("TRIM(REGEXREPLACE(D354, ""[0-9]+[a-f]?\."", """"))"),"")</f>
        <v/>
      </c>
      <c r="I354" s="188" t="str">
        <f>IFERROR(__xludf.DUMMYFUNCTION("TRIM(REGEXREPLACE(E354, ""[0-9]+[a-f]?\."", """"))"),"")</f>
        <v/>
      </c>
      <c r="J354" s="188"/>
      <c r="K354" s="188"/>
      <c r="L354" s="192"/>
    </row>
    <row r="355" hidden="1">
      <c r="A355" s="210" t="s">
        <v>256</v>
      </c>
      <c r="B355" s="294" t="s">
        <v>2999</v>
      </c>
      <c r="C355" s="190"/>
      <c r="D355" s="190"/>
      <c r="E355" s="190"/>
      <c r="F355" s="195">
        <v>219.0</v>
      </c>
      <c r="G355" s="188" t="str">
        <f>IFERROR(__xludf.DUMMYFUNCTION("TRIM(REGEXREPLACE(C355, ""[0-9]+[a-f]?\."", """"))"),"")</f>
        <v/>
      </c>
      <c r="H355" s="188" t="str">
        <f>IFERROR(__xludf.DUMMYFUNCTION("TRIM(REGEXREPLACE(D355, ""[0-9]+[a-f]?\."", """"))"),"")</f>
        <v/>
      </c>
      <c r="I355" s="188" t="str">
        <f>IFERROR(__xludf.DUMMYFUNCTION("TRIM(REGEXREPLACE(E355, ""[0-9]+[a-f]?\."", """"))"),"")</f>
        <v/>
      </c>
      <c r="J355" s="188" t="s">
        <v>3001</v>
      </c>
      <c r="K355" s="188" t="s">
        <v>3002</v>
      </c>
      <c r="L355" s="188" t="s">
        <v>3003</v>
      </c>
    </row>
    <row r="356">
      <c r="A356" s="238" t="s">
        <v>46</v>
      </c>
      <c r="B356" s="132" t="s">
        <v>3004</v>
      </c>
      <c r="C356" s="190" t="s">
        <v>3005</v>
      </c>
      <c r="D356" s="190" t="s">
        <v>3006</v>
      </c>
      <c r="E356" s="190" t="s">
        <v>3007</v>
      </c>
      <c r="F356" s="195">
        <v>140.0</v>
      </c>
      <c r="G356" s="188" t="str">
        <f>IFERROR(__xludf.DUMMYFUNCTION("TRIM(REGEXREPLACE(C356, ""[0-9]+[a-f]?\."", """"))"),"Now I wil ask you about your opinions about people who are different from you and the type of society you want to live in.")</f>
        <v>Now I wil ask you about your opinions about people who are different from you and the type of society you want to live in.</v>
      </c>
      <c r="H356" s="188" t="str">
        <f>IFERROR(__xludf.DUMMYFUNCTION("TRIM(REGEXREPLACE(D356, ""[0-9]+[a-f]?\."", """"))"),"Maintenant, je vais vous demander votre opinion sur les personnes différentes de vous et sur le type de société dans laquelle vous souhaitez vivre.")</f>
        <v>Maintenant, je vais vous demander votre opinion sur les personnes différentes de vous et sur le type de société dans laquelle vous souhaitez vivre.</v>
      </c>
      <c r="I356" s="188" t="str">
        <f>IFERROR(__xludf.DUMMYFUNCTION("TRIM(REGEXREPLACE(E356, ""[0-9]+[a-f]?\."", """"))"),"Yanzu zan tambaye ra'ayinku game da wasu mutane daban, da kuma irin al'ummar da kuke son rayuwa a ciki.")</f>
        <v>Yanzu zan tambaye ra'ayinku game da wasu mutane daban, da kuma irin al'ummar da kuke son rayuwa a ciki.</v>
      </c>
      <c r="J356" s="188" t="s">
        <v>3008</v>
      </c>
      <c r="K356" s="188" t="s">
        <v>3009</v>
      </c>
      <c r="L356" s="188" t="s">
        <v>3010</v>
      </c>
    </row>
    <row r="357">
      <c r="A357" s="238" t="s">
        <v>46</v>
      </c>
      <c r="B357" s="132" t="s">
        <v>3012</v>
      </c>
      <c r="C357" s="190" t="s">
        <v>3013</v>
      </c>
      <c r="D357" s="190" t="s">
        <v>3014</v>
      </c>
      <c r="E357" s="190" t="s">
        <v>3015</v>
      </c>
      <c r="F357" s="195">
        <v>141.0</v>
      </c>
      <c r="G357" s="188" t="str">
        <f>IFERROR(__xludf.DUMMYFUNCTION("TRIM(REGEXREPLACE(C357,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357" s="188" t="str">
        <f>IFERROR(__xludf.DUMMYFUNCTION("TRIM(REGEXREPLACE(D357,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357" s="188" t="str">
        <f>IFERROR(__xludf.DUMMYFUNCTION("TRIM(REGEXREPLACE(E357,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357" s="188" t="s">
        <v>3016</v>
      </c>
      <c r="K357" s="188" t="s">
        <v>3017</v>
      </c>
      <c r="L357" s="188" t="s">
        <v>3018</v>
      </c>
    </row>
    <row r="358">
      <c r="A358" s="258" t="s">
        <v>247</v>
      </c>
      <c r="B358" s="259" t="s">
        <v>3019</v>
      </c>
      <c r="C358" s="190" t="s">
        <v>3020</v>
      </c>
      <c r="D358" s="190" t="s">
        <v>3021</v>
      </c>
      <c r="E358" s="190" t="s">
        <v>3023</v>
      </c>
      <c r="F358" s="195">
        <v>142.0</v>
      </c>
      <c r="G358" s="188" t="str">
        <f>IFERROR(__xludf.DUMMYFUNCTION("TRIM(REGEXREPLACE(C358, ""[0-9]+[a-f]?\."", """"))"),"Followers of other religions")</f>
        <v>Followers of other religions</v>
      </c>
      <c r="H358" s="188" t="str">
        <f>IFERROR(__xludf.DUMMYFUNCTION("TRIM(REGEXREPLACE(D358, ""[0-9]+[a-f]?\."", """"))"),"Adeptes d'autres religions")</f>
        <v>Adeptes d'autres religions</v>
      </c>
      <c r="I358" s="188" t="str">
        <f>IFERROR(__xludf.DUMMYFUNCTION("TRIM(REGEXREPLACE(E358, ""[0-9]+[a-f]?\."", """"))"),"Mabiya wasu addinai")</f>
        <v>Mabiya wasu addinai</v>
      </c>
      <c r="J358" s="188" t="s">
        <v>3024</v>
      </c>
      <c r="K358" s="188" t="s">
        <v>3025</v>
      </c>
      <c r="L358" s="188" t="s">
        <v>3026</v>
      </c>
    </row>
    <row r="359">
      <c r="A359" s="258" t="s">
        <v>247</v>
      </c>
      <c r="B359" s="259" t="s">
        <v>3027</v>
      </c>
      <c r="C359" s="190" t="s">
        <v>3028</v>
      </c>
      <c r="D359" s="190" t="s">
        <v>3029</v>
      </c>
      <c r="E359" s="190" t="s">
        <v>3030</v>
      </c>
      <c r="F359" s="195">
        <v>143.0</v>
      </c>
      <c r="G359" s="188" t="str">
        <f>IFERROR(__xludf.DUMMYFUNCTION("TRIM(REGEXREPLACE(C359, ""[0-9]+[a-f]?\."", """"))"),"People of different ethnic groups")</f>
        <v>People of different ethnic groups</v>
      </c>
      <c r="H359" s="188" t="str">
        <f>IFERROR(__xludf.DUMMYFUNCTION("TRIM(REGEXREPLACE(D359, ""[0-9]+[a-f]?\."", """"))"),"Personnes de différents groupes ethniques")</f>
        <v>Personnes de différents groupes ethniques</v>
      </c>
      <c r="I359" s="188" t="str">
        <f>IFERROR(__xludf.DUMMYFUNCTION("TRIM(REGEXREPLACE(E359, ""[0-9]+[a-f]?\."", """"))"),"Mutanen wasu kabilu daban")</f>
        <v>Mutanen wasu kabilu daban</v>
      </c>
      <c r="J359" s="188" t="s">
        <v>3031</v>
      </c>
      <c r="K359" s="188" t="s">
        <v>3032</v>
      </c>
      <c r="L359" s="188" t="s">
        <v>3033</v>
      </c>
    </row>
    <row r="360">
      <c r="A360" s="258" t="s">
        <v>247</v>
      </c>
      <c r="B360" s="259" t="s">
        <v>3035</v>
      </c>
      <c r="C360" s="190" t="s">
        <v>3036</v>
      </c>
      <c r="D360" s="190" t="s">
        <v>3037</v>
      </c>
      <c r="E360" s="190" t="s">
        <v>3038</v>
      </c>
      <c r="F360" s="195">
        <v>144.0</v>
      </c>
      <c r="G360" s="188" t="str">
        <f>IFERROR(__xludf.DUMMYFUNCTION("TRIM(REGEXREPLACE(C360, ""[0-9]+[a-f]?\."", """"))"),"Immigrants who come to Niger as foreign workers")</f>
        <v>Immigrants who come to Niger as foreign workers</v>
      </c>
      <c r="H360" s="188" t="str">
        <f>IFERROR(__xludf.DUMMYFUNCTION("TRIM(REGEXREPLACE(D360, ""[0-9]+[a-f]?\."", """"))"),"Les immigrés qui viennent au Niger en tant que travailleurs étrangers")</f>
        <v>Les immigrés qui viennent au Niger en tant que travailleurs étrangers</v>
      </c>
      <c r="I360" s="188" t="str">
        <f>IFERROR(__xludf.DUMMYFUNCTION("TRIM(REGEXREPLACE(E360, ""[0-9]+[a-f]?\."", """"))"),"Baƙin haure masu zuwa Nijar a matsayin ma'aikata ƴan ƙasashen waje")</f>
        <v>Baƙin haure masu zuwa Nijar a matsayin ma'aikata ƴan ƙasashen waje</v>
      </c>
      <c r="J360" s="188" t="s">
        <v>3039</v>
      </c>
      <c r="K360" s="188" t="s">
        <v>3040</v>
      </c>
      <c r="L360" s="188" t="s">
        <v>3041</v>
      </c>
    </row>
    <row r="361">
      <c r="A361" s="258" t="s">
        <v>247</v>
      </c>
      <c r="B361" s="259" t="s">
        <v>3042</v>
      </c>
      <c r="C361" s="190" t="s">
        <v>3043</v>
      </c>
      <c r="D361" s="190" t="s">
        <v>3044</v>
      </c>
      <c r="E361" s="190" t="s">
        <v>3045</v>
      </c>
      <c r="F361" s="195">
        <v>145.0</v>
      </c>
      <c r="G361" s="188" t="str">
        <f>IFERROR(__xludf.DUMMYFUNCTION("TRIM(REGEXREPLACE(C361, ""[0-9]+[a-f]?\."", """"))"),"People of a different sect of Islam")</f>
        <v>People of a different sect of Islam</v>
      </c>
      <c r="H361" s="188" t="str">
        <f>IFERROR(__xludf.DUMMYFUNCTION("TRIM(REGEXREPLACE(D361, ""[0-9]+[a-f]?\."", """"))"),"Les gens d'une autre secte de l'Islam")</f>
        <v>Les gens d'une autre secte de l'Islam</v>
      </c>
      <c r="I361" s="188" t="str">
        <f>IFERROR(__xludf.DUMMYFUNCTION("TRIM(REGEXREPLACE(E361, ""[0-9]+[a-f]?\."", """"))"),"Mabiya wasu ɗarikun musulunci")</f>
        <v>Mabiya wasu ɗarikun musulunci</v>
      </c>
      <c r="J361" s="188" t="s">
        <v>3048</v>
      </c>
      <c r="K361" s="188" t="s">
        <v>3049</v>
      </c>
      <c r="L361" s="188" t="s">
        <v>3050</v>
      </c>
    </row>
    <row r="362">
      <c r="A362" s="199" t="s">
        <v>1060</v>
      </c>
      <c r="B362" s="147" t="s">
        <v>3051</v>
      </c>
      <c r="C362" s="190" t="s">
        <v>3052</v>
      </c>
      <c r="D362" s="190" t="s">
        <v>3053</v>
      </c>
      <c r="E362" s="190" t="s">
        <v>3054</v>
      </c>
      <c r="F362" s="195">
        <v>146.0</v>
      </c>
      <c r="G362" s="188" t="str">
        <f>IFERROR(__xludf.DUMMYFUNCTION("TRIM(REGEXREPLACE(C362, ""[0-9]+[a-f]?\."", """"))"),"Imagine one of your daughters wanted to marry someone of a different religious faith, would you give them your permission?")</f>
        <v>Imagine one of your daughters wanted to marry someone of a different religious faith, would you give them your permission?</v>
      </c>
      <c r="H362" s="188" t="str">
        <f>IFERROR(__xludf.DUMMYFUNCTION("TRIM(REGEXREPLACE(D362, ""[0-9]+[a-f]?\."", """"))"),"Imaginez qu'une de vos filles veuille épouser quelqu'un d'une confession religieuse différente, leur donneriez-vous votre permission ?")</f>
        <v>Imaginez qu'une de vos filles veuille épouser quelqu'un d'une confession religieuse différente, leur donneriez-vous votre permission ?</v>
      </c>
      <c r="I362" s="188" t="str">
        <f>IFERROR(__xludf.DUMMYFUNCTION("TRIM(REGEXREPLACE(E362, ""[0-9]+[a-f]?\."", """"))"),"Ku ƙaddara da wata ɗaiyarku ta na son ta auri wani mai biyar wani addini daban, za ku bada izininku?")</f>
        <v>Ku ƙaddara da wata ɗaiyarku ta na son ta auri wani mai biyar wani addini daban, za ku bada izininku?</v>
      </c>
      <c r="J362" s="188" t="s">
        <v>3056</v>
      </c>
      <c r="K362" s="188" t="s">
        <v>3057</v>
      </c>
      <c r="L362" s="188" t="s">
        <v>3058</v>
      </c>
    </row>
    <row r="363">
      <c r="A363" s="199" t="s">
        <v>1060</v>
      </c>
      <c r="B363" s="147" t="s">
        <v>3059</v>
      </c>
      <c r="C363" s="190" t="s">
        <v>3060</v>
      </c>
      <c r="D363" s="190" t="s">
        <v>3061</v>
      </c>
      <c r="E363" s="190" t="s">
        <v>3062</v>
      </c>
      <c r="F363" s="195">
        <v>147.0</v>
      </c>
      <c r="G363" s="188" t="str">
        <f>IFERROR(__xludf.DUMMYFUNCTION("TRIM(REGEXREPLACE(C363, ""[0-9]+[a-f]?\."", """"))"),"Imagine one of your sons wanted to marry someone of a different religious faith, would you give them your permission?")</f>
        <v>Imagine one of your sons wanted to marry someone of a different religious faith, would you give them your permission?</v>
      </c>
      <c r="H363" s="188" t="str">
        <f>IFERROR(__xludf.DUMMYFUNCTION("TRIM(REGEXREPLACE(D363, ""[0-9]+[a-f]?\."", """"))"),"Imaginez que l'un de vos fils veuille épouser quelqu'un d'une confession religieuse différente, leur donneriez-vous votre permission ?")</f>
        <v>Imaginez que l'un de vos fils veuille épouser quelqu'un d'une confession religieuse différente, leur donneriez-vous votre permission ?</v>
      </c>
      <c r="I363" s="188" t="str">
        <f>IFERROR(__xludf.DUMMYFUNCTION("TRIM(REGEXREPLACE(E363, ""[0-9]+[a-f]?\."", """"))"),"Ku ƙaddara da wani ɗanku ya na son ya auri wata ƴan addini daban, za ku bada izininku?")</f>
        <v>Ku ƙaddara da wani ɗanku ya na son ya auri wata ƴan addini daban, za ku bada izininku?</v>
      </c>
      <c r="J363" s="188" t="s">
        <v>3064</v>
      </c>
      <c r="K363" s="188" t="s">
        <v>3065</v>
      </c>
      <c r="L363" s="188" t="s">
        <v>3066</v>
      </c>
    </row>
    <row r="364">
      <c r="A364" s="199" t="s">
        <v>1060</v>
      </c>
      <c r="B364" s="147" t="s">
        <v>3067</v>
      </c>
      <c r="C364" s="190" t="s">
        <v>3068</v>
      </c>
      <c r="D364" s="190" t="s">
        <v>3069</v>
      </c>
      <c r="E364" s="190" t="s">
        <v>3070</v>
      </c>
      <c r="F364" s="195">
        <v>148.0</v>
      </c>
      <c r="G364" s="188" t="str">
        <f>IFERROR(__xludf.DUMMYFUNCTION("TRIM(REGEXREPLACE(C364, ""[0-9]+[a-f]?\."", """"))"),"Imagine one of your daughters wanted to marry someone of a different ethnic group, would you give them your permission?")</f>
        <v>Imagine one of your daughters wanted to marry someone of a different ethnic group, would you give them your permission?</v>
      </c>
      <c r="H364" s="188" t="str">
        <f>IFERROR(__xludf.DUMMYFUNCTION("TRIM(REGEXREPLACE(D364, ""[0-9]+[a-f]?\."", """"))"),"Imaginez qu'une de vos filles veuille épouser quelqu'un d'un groupe ethnique différent, leur donneriez-vous votre permission ?")</f>
        <v>Imaginez qu'une de vos filles veuille épouser quelqu'un d'un groupe ethnique différent, leur donneriez-vous votre permission ?</v>
      </c>
      <c r="I364" s="188" t="str">
        <f>IFERROR(__xludf.DUMMYFUNCTION("TRIM(REGEXREPLACE(E364, ""[0-9]+[a-f]?\."", """"))"),"Ku ƙaddara da wata ɗiyarka tana son ta auri ɗan wata kabila daban, za ku bada izininka?")</f>
        <v>Ku ƙaddara da wata ɗiyarka tana son ta auri ɗan wata kabila daban, za ku bada izininka?</v>
      </c>
      <c r="J364" s="188" t="s">
        <v>3072</v>
      </c>
      <c r="K364" s="188" t="s">
        <v>3073</v>
      </c>
      <c r="L364" s="188" t="s">
        <v>3074</v>
      </c>
    </row>
    <row r="365">
      <c r="A365" s="199" t="s">
        <v>1060</v>
      </c>
      <c r="B365" s="147" t="s">
        <v>3075</v>
      </c>
      <c r="C365" s="190" t="s">
        <v>3076</v>
      </c>
      <c r="D365" s="190" t="s">
        <v>3077</v>
      </c>
      <c r="E365" s="190" t="s">
        <v>3078</v>
      </c>
      <c r="F365" s="195">
        <v>149.0</v>
      </c>
      <c r="G365" s="188" t="str">
        <f>IFERROR(__xludf.DUMMYFUNCTION("TRIM(REGEXREPLACE(C365, ""[0-9]+[a-f]?\."", """"))"),"Imagine one of your sons wanted to marry someone of a different ethnic group, would you give them your permission?")</f>
        <v>Imagine one of your sons wanted to marry someone of a different ethnic group, would you give them your permission?</v>
      </c>
      <c r="H365" s="188" t="str">
        <f>IFERROR(__xludf.DUMMYFUNCTION("TRIM(REGEXREPLACE(D365, ""[0-9]+[a-f]?\."", """"))"),"Imaginez que l'un de vos fils veuille épouser quelqu'un d'un groupe ethnique différent, leur donneriez-vous votre permission ?")</f>
        <v>Imaginez que l'un de vos fils veuille épouser quelqu'un d'un groupe ethnique différent, leur donneriez-vous votre permission ?</v>
      </c>
      <c r="I365" s="188" t="str">
        <f>IFERROR(__xludf.DUMMYFUNCTION("TRIM(REGEXREPLACE(E365, ""[0-9]+[a-f]?\."", """"))"),"Ku ƙaddara da wani ɗanku ya na son ya auri wata ƴar wata ƙabila daban, za ku bada izininku?")</f>
        <v>Ku ƙaddara da wani ɗanku ya na son ya auri wata ƴar wata ƙabila daban, za ku bada izininku?</v>
      </c>
      <c r="J365" s="188" t="s">
        <v>3079</v>
      </c>
      <c r="K365" s="188" t="s">
        <v>3080</v>
      </c>
      <c r="L365" s="188" t="s">
        <v>3081</v>
      </c>
    </row>
    <row r="366">
      <c r="A366" s="199" t="s">
        <v>3082</v>
      </c>
      <c r="B366" s="147" t="s">
        <v>3083</v>
      </c>
      <c r="C366" s="190" t="s">
        <v>3084</v>
      </c>
      <c r="D366" s="190" t="s">
        <v>3085</v>
      </c>
      <c r="E366" s="190" t="s">
        <v>3086</v>
      </c>
      <c r="F366" s="195">
        <v>150.0</v>
      </c>
      <c r="G366" s="188" t="str">
        <f>IFERROR(__xludf.DUMMYFUNCTION("TRIM(REGEXREPLACE(C366,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366" s="188" t="str">
        <f>IFERROR(__xludf.DUMMYFUNCTION("TRIM(REGEXREPLACE(D366,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366" s="188" t="str">
        <f>IFERROR(__xludf.DUMMYFUNCTION("TRIM(REGEXREPLACE(E366, ""[0-9]+[a-f]?\."", """"))"),"1) Tsarin dimoraɗiyya ta fi kowace irin tsari mulki
 2) A wani yanayi ana iya fifita gwamnatin da ba ta dimokraɗiyya ba
 3) Ga mai irina, ba ruwanmu da wace irin gwamnati muke da ita”.")</f>
        <v>1) Tsarin dimoraɗiyya ta fi kowace irin tsari mulki
 2) A wani yanayi ana iya fifita gwamnatin da ba ta dimokraɗiyya ba
 3) Ga mai irina, ba ruwanmu da wace irin gwamnati muke da ita”.</v>
      </c>
      <c r="J366" s="188" t="s">
        <v>3088</v>
      </c>
      <c r="K366" s="188" t="s">
        <v>3089</v>
      </c>
      <c r="L366" s="188" t="s">
        <v>3090</v>
      </c>
    </row>
    <row r="367">
      <c r="A367" s="199" t="s">
        <v>3091</v>
      </c>
      <c r="B367" s="147" t="s">
        <v>3092</v>
      </c>
      <c r="C367" s="190" t="s">
        <v>3093</v>
      </c>
      <c r="D367" s="190" t="s">
        <v>3094</v>
      </c>
      <c r="E367" s="190" t="s">
        <v>3095</v>
      </c>
      <c r="F367" s="195">
        <v>151.0</v>
      </c>
      <c r="G367" s="188" t="str">
        <f>IFERROR(__xludf.DUMMYFUNCTION("TRIM(REGEXREPLACE(C367, ""[0-9]+[a-f]?\."", """"))"),"I will read you two statements. Which of the following statements is closest to your view? Choose Statement 1 or Statement 
 A government that enjoys the support of the people should be free to do whatever the people want, even if it is outside the law."&amp;"
 The actions of any government, no matter how popular it is, must always follow the law.")</f>
        <v>I will read you two statements. Which of the following statements is closest to your view? Choose Statement 1 or Statement 
 A government that enjoys the support of the people should be free to do whatever the people want, even if it is outside the law.
 The actions of any government, no matter how popular it is, must always follow the law.</v>
      </c>
      <c r="H367" s="188" t="str">
        <f>IFERROR(__xludf.DUMMYFUNCTION("TRIM(REGEXREPLACE(D367, ""[0-9]+[a-f]?\."", """"))"),"Je vais vous lire deux déclarations. Laquelle des déclarations suivantes est la plus proche de votre point de vue ? Choisissez la déclaration 1 ou la déclaration 
 Un gouvernement qui bénéficie du soutien du peuple devrait être libre de faire ce que le "&amp;"peuple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Un gouvernement qui bénéficie du soutien du peuple devrait être libre de faire ce que le peuple veut, même si cela n'est pas prévu par la loi.
 Les actions de tout gouvernement, aussi populaire soit-il, doivent toujours respecter la loi.</v>
      </c>
      <c r="I367" s="188" t="str">
        <f>IFERROR(__xludf.DUMMYFUNCTION("TRIM(REGEXREPLACE(E367, ""[0-9]+[a-f]?\."", """"))"),"Zan karanta muku wasu maganganu guda biyu, a cikin waɗannan maganganu wanne ne ya fi kusa da ra'ayinku? Zabi Bayani na 1 ko Bayani na 
 Gwamnatin da ke samun goyon bayan al’umma tana da ƴancin yin duk abin da jama’a ke so, ko da ba bisa doka ba ne.
 Ayy"&amp;"ukan kowane gwamnati komai farin jininta, dole ne ta bi doka.")</f>
        <v>Zan karanta muku wasu maganganu guda biyu, a cikin waɗannan maganganu wanne ne ya fi kusa da ra'ayinku? Zabi Bayani na 1 ko Bayani na 
 Gwamnatin da ke samun goyon bayan al’umma tana da ƴancin yin duk abin da jama’a ke so, ko da ba bisa doka ba ne.
 Ayyukan kowane gwamnati komai farin jininta, dole ne ta bi doka.</v>
      </c>
      <c r="J367" s="188" t="s">
        <v>3096</v>
      </c>
      <c r="K367" s="188" t="s">
        <v>3097</v>
      </c>
      <c r="L367" s="188" t="s">
        <v>3098</v>
      </c>
    </row>
    <row r="368">
      <c r="A368" s="199" t="s">
        <v>3091</v>
      </c>
      <c r="B368" s="147" t="s">
        <v>3099</v>
      </c>
      <c r="C368" s="190" t="s">
        <v>3101</v>
      </c>
      <c r="D368" s="190" t="s">
        <v>3102</v>
      </c>
      <c r="E368" s="190" t="s">
        <v>3103</v>
      </c>
      <c r="F368" s="195">
        <v>152.0</v>
      </c>
      <c r="G368" s="188" t="str">
        <f>IFERROR(__xludf.DUMMYFUNCTION("TRIM(REGEXREPLACE(C368, ""[0-9]+[a-f]?\."", """"))"),"I will read you two statements. Which of the following statements is closest to your view? Choose Statement 1 or Statement 
 Using violence to accomplish your goals is never justified, no matter how worthy your cause
 It is sometime necessary to use viole"&amp;"nce in pursuit of a good cause.")</f>
        <v>I will read you two statements. Which of the following statements is closest to your view? Choose Statement 1 or Statement 
 Using violence to accomplish your goals is never justified, no matter how worthy your cause
 It is sometime necessary to use violence in pursuit of a good cause.</v>
      </c>
      <c r="H368" s="188" t="str">
        <f>IFERROR(__xludf.DUMMYFUNCTION("TRIM(REGEXREPLACE(D368, ""[0-9]+[a-f]?\."", """"))"),"Je vais vous lire deux déclarations. Laquelle des déclarations suivantes est la plus proche de votre point de vue ? Choisissez la déclaration 1 ou la déclaration 
 Utiliser la violence pour atteindre vos objectifs n'est jamais justifié, quelle que soit "&amp;"la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v>
      </c>
      <c r="I368" s="188" t="str">
        <f>IFERROR(__xludf.DUMMYFUNCTION("TRIM(REGEXREPLACE(E368, ""[0-9]+[a-f]?\."", """"))"),"Zan karanta muku maganganu guda biyu. A cikin wadannan maganganun wanne ne ya fi kusa da ra'ayin ku? Zabi Bayani na 1 ko Bayani na 
 Yin amfani da ƙarfi don cimma burinku ba zai taɓa zama daidai ba, komai cancantar dalilanku
 Wani lokaci ya zama dole a yi"&amp;" amfani da ƙarfi wajen neman manufa mai kyau.")</f>
        <v>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v>
      </c>
      <c r="J368" s="188" t="s">
        <v>3105</v>
      </c>
      <c r="K368" s="188" t="s">
        <v>3106</v>
      </c>
      <c r="L368" s="188" t="s">
        <v>3107</v>
      </c>
    </row>
    <row r="369" hidden="1">
      <c r="A369" s="210" t="s">
        <v>256</v>
      </c>
      <c r="B369" s="210" t="s">
        <v>3108</v>
      </c>
      <c r="C369" s="190"/>
      <c r="D369" s="190"/>
      <c r="E369" s="190"/>
      <c r="F369" s="195">
        <v>243.0</v>
      </c>
      <c r="G369" s="188" t="str">
        <f>IFERROR(__xludf.DUMMYFUNCTION("TRIM(REGEXREPLACE(C369, ""[0-9]+[a-f]?\."", """"))"),"")</f>
        <v/>
      </c>
      <c r="H369" s="188" t="str">
        <f>IFERROR(__xludf.DUMMYFUNCTION("TRIM(REGEXREPLACE(D369, ""[0-9]+[a-f]?\."", """"))"),"")</f>
        <v/>
      </c>
      <c r="I369" s="188" t="str">
        <f>IFERROR(__xludf.DUMMYFUNCTION("TRIM(REGEXREPLACE(E369, ""[0-9]+[a-f]?\."", """"))"),"")</f>
        <v/>
      </c>
      <c r="J369" s="188" t="s">
        <v>3109</v>
      </c>
      <c r="K369" s="188" t="s">
        <v>3110</v>
      </c>
      <c r="L369" s="188" t="s">
        <v>3111</v>
      </c>
    </row>
    <row r="370" hidden="1">
      <c r="A370" s="221" t="s">
        <v>112</v>
      </c>
      <c r="B370" s="261" t="s">
        <v>3112</v>
      </c>
      <c r="C370" s="190"/>
      <c r="D370" s="190"/>
      <c r="E370" s="190"/>
      <c r="F370" s="195">
        <v>244.0</v>
      </c>
      <c r="G370" s="188" t="str">
        <f>IFERROR(__xludf.DUMMYFUNCTION("TRIM(REGEXREPLACE(C370, ""[0-9]+[a-f]?\."", """"))"),"")</f>
        <v/>
      </c>
      <c r="H370" s="188" t="str">
        <f>IFERROR(__xludf.DUMMYFUNCTION("TRIM(REGEXREPLACE(D370, ""[0-9]+[a-f]?\."", """"))"),"")</f>
        <v/>
      </c>
      <c r="I370" s="188" t="str">
        <f>IFERROR(__xludf.DUMMYFUNCTION("TRIM(REGEXREPLACE(E370, ""[0-9]+[a-f]?\."", """"))"),"")</f>
        <v/>
      </c>
      <c r="J370" s="188" t="s">
        <v>3114</v>
      </c>
      <c r="K370" s="188" t="s">
        <v>3115</v>
      </c>
      <c r="L370" s="188" t="s">
        <v>3116</v>
      </c>
    </row>
    <row r="371" hidden="1">
      <c r="A371" s="255" t="s">
        <v>331</v>
      </c>
      <c r="B371" s="152" t="s">
        <v>2997</v>
      </c>
      <c r="C371" s="190" t="s">
        <v>2998</v>
      </c>
      <c r="D371" s="190"/>
      <c r="E371" s="190"/>
      <c r="F371" s="195">
        <v>62.0</v>
      </c>
      <c r="G371" s="188" t="str">
        <f>IFERROR(__xludf.DUMMYFUNCTION("TRIM(REGEXREPLACE(C371, ""[0-9]+[a-f]?\."", """"))"),"Society Opinions")</f>
        <v>Society Opinions</v>
      </c>
      <c r="H371" s="188" t="str">
        <f>IFERROR(__xludf.DUMMYFUNCTION("TRIM(REGEXREPLACE(D371, ""[0-9]+[a-f]?\."", """"))"),"")</f>
        <v/>
      </c>
      <c r="I371" s="188" t="str">
        <f>IFERROR(__xludf.DUMMYFUNCTION("TRIM(REGEXREPLACE(E371, ""[0-9]+[a-f]?\."", """"))"),"")</f>
        <v/>
      </c>
      <c r="J371" s="188" t="str">
        <f t="shared" ref="J371:L371" si="23">$F371 &amp; ". "&amp;G371</f>
        <v>62. Society Opinions</v>
      </c>
      <c r="K371" s="188" t="str">
        <f t="shared" si="23"/>
        <v>62. </v>
      </c>
      <c r="L371" s="188" t="str">
        <f t="shared" si="23"/>
        <v>62. </v>
      </c>
    </row>
    <row r="372" hidden="1">
      <c r="A372" s="255" t="s">
        <v>331</v>
      </c>
      <c r="B372" s="152" t="s">
        <v>1713</v>
      </c>
      <c r="C372" s="190" t="s">
        <v>1714</v>
      </c>
      <c r="D372" s="190"/>
      <c r="E372" s="190"/>
      <c r="F372" s="195">
        <v>246.0</v>
      </c>
      <c r="G372" s="188" t="str">
        <f>IFERROR(__xludf.DUMMYFUNCTION("TRIM(REGEXREPLACE(C372, ""[0-9]+[a-f]?\."", """"))"),"SHM Questionnaire")</f>
        <v>SHM Questionnaire</v>
      </c>
      <c r="H372" s="188" t="str">
        <f>IFERROR(__xludf.DUMMYFUNCTION("TRIM(REGEXREPLACE(D372, ""[0-9]+[a-f]?\."", """"))"),"")</f>
        <v/>
      </c>
      <c r="I372" s="188" t="str">
        <f>IFERROR(__xludf.DUMMYFUNCTION("TRIM(REGEXREPLACE(E372, ""[0-9]+[a-f]?\."", """"))"),"")</f>
        <v/>
      </c>
      <c r="J372" s="188" t="s">
        <v>3118</v>
      </c>
      <c r="K372" s="188" t="s">
        <v>3119</v>
      </c>
      <c r="L372" s="188" t="s">
        <v>3120</v>
      </c>
    </row>
    <row r="373" hidden="1">
      <c r="A373" s="197" t="s">
        <v>256</v>
      </c>
      <c r="B373" s="225" t="s">
        <v>3121</v>
      </c>
      <c r="C373" s="190"/>
      <c r="D373" s="190"/>
      <c r="E373" s="190"/>
      <c r="F373" s="195">
        <v>232.0</v>
      </c>
      <c r="G373" s="188" t="str">
        <f>IFERROR(__xludf.DUMMYFUNCTION("TRIM(REGEXREPLACE(C373, ""[0-9]+[a-f]?\."", """"))"),"")</f>
        <v/>
      </c>
      <c r="H373" s="188" t="str">
        <f>IFERROR(__xludf.DUMMYFUNCTION("TRIM(REGEXREPLACE(D373, ""[0-9]+[a-f]?\."", """"))"),"")</f>
        <v/>
      </c>
      <c r="I373" s="188" t="str">
        <f>IFERROR(__xludf.DUMMYFUNCTION("TRIM(REGEXREPLACE(E373, ""[0-9]+[a-f]?\."", """"))"),"")</f>
        <v/>
      </c>
      <c r="J373" s="188" t="s">
        <v>3123</v>
      </c>
      <c r="K373" s="188" t="s">
        <v>3124</v>
      </c>
      <c r="L373" s="188" t="s">
        <v>3125</v>
      </c>
    </row>
    <row r="374" hidden="1">
      <c r="A374" s="221" t="s">
        <v>112</v>
      </c>
      <c r="B374" s="296" t="s">
        <v>3126</v>
      </c>
      <c r="C374" s="190"/>
      <c r="D374" s="190"/>
      <c r="E374" s="190"/>
      <c r="F374" s="191"/>
      <c r="G374" s="188" t="str">
        <f>IFERROR(__xludf.DUMMYFUNCTION("TRIM(REGEXREPLACE(C374, ""[0-9]+[a-f]?\."", """"))"),"")</f>
        <v/>
      </c>
      <c r="H374" s="188" t="str">
        <f>IFERROR(__xludf.DUMMYFUNCTION("TRIM(REGEXREPLACE(D374, ""[0-9]+[a-f]?\."", """"))"),"")</f>
        <v/>
      </c>
      <c r="I374" s="188" t="str">
        <f>IFERROR(__xludf.DUMMYFUNCTION("TRIM(REGEXREPLACE(E374, ""[0-9]+[a-f]?\."", """"))"),"")</f>
        <v/>
      </c>
      <c r="J374" s="188"/>
      <c r="K374" s="188"/>
      <c r="L374" s="192"/>
    </row>
    <row r="375" hidden="1">
      <c r="A375" s="262"/>
      <c r="B375" s="263"/>
      <c r="C375" s="190"/>
      <c r="D375" s="190"/>
      <c r="E375" s="190"/>
      <c r="F375" s="195">
        <v>226.0</v>
      </c>
      <c r="G375" s="188" t="str">
        <f>IFERROR(__xludf.DUMMYFUNCTION("TRIM(REGEXREPLACE(C375, ""[0-9]+[a-f]?\."", """"))"),"")</f>
        <v/>
      </c>
      <c r="H375" s="188" t="str">
        <f>IFERROR(__xludf.DUMMYFUNCTION("TRIM(REGEXREPLACE(D375, ""[0-9]+[a-f]?\."", """"))"),"")</f>
        <v/>
      </c>
      <c r="I375" s="188" t="str">
        <f>IFERROR(__xludf.DUMMYFUNCTION("TRIM(REGEXREPLACE(E375, ""[0-9]+[a-f]?\."", """"))"),"")</f>
        <v/>
      </c>
      <c r="J375" s="188" t="s">
        <v>3127</v>
      </c>
      <c r="K375" s="188" t="s">
        <v>3128</v>
      </c>
      <c r="L375" s="188" t="s">
        <v>3129</v>
      </c>
    </row>
    <row r="376" hidden="1">
      <c r="A376" s="221" t="s">
        <v>256</v>
      </c>
      <c r="B376" s="198" t="s">
        <v>3130</v>
      </c>
      <c r="C376" s="190"/>
      <c r="D376" s="190"/>
      <c r="E376" s="190"/>
      <c r="F376" s="195">
        <v>63.0</v>
      </c>
      <c r="G376" s="188" t="str">
        <f>IFERROR(__xludf.DUMMYFUNCTION("TRIM(REGEXREPLACE(C376, ""[0-9]+[a-f]?\."", """"))"),"")</f>
        <v/>
      </c>
      <c r="H376" s="188" t="str">
        <f>IFERROR(__xludf.DUMMYFUNCTION("TRIM(REGEXREPLACE(D376, ""[0-9]+[a-f]?\."", """"))"),"")</f>
        <v/>
      </c>
      <c r="I376" s="188" t="str">
        <f>IFERROR(__xludf.DUMMYFUNCTION("TRIM(REGEXREPLACE(E376, ""[0-9]+[a-f]?\."", """"))"),"")</f>
        <v/>
      </c>
      <c r="J376" s="188" t="str">
        <f t="shared" ref="J376:L376" si="24">$F376 &amp; ". "&amp;G376</f>
        <v>63. </v>
      </c>
      <c r="K376" s="188" t="str">
        <f t="shared" si="24"/>
        <v>63. </v>
      </c>
      <c r="L376" s="188" t="str">
        <f t="shared" si="24"/>
        <v>63. </v>
      </c>
    </row>
    <row r="377" hidden="1">
      <c r="A377" s="255" t="s">
        <v>278</v>
      </c>
      <c r="B377" s="143" t="s">
        <v>3131</v>
      </c>
      <c r="C377" s="190" t="s">
        <v>3132</v>
      </c>
      <c r="D377" s="190"/>
      <c r="E377" s="190"/>
      <c r="F377" s="195">
        <v>227.0</v>
      </c>
      <c r="G377" s="188" t="str">
        <f>IFERROR(__xludf.DUMMYFUNCTION("TRIM(REGEXREPLACE(C377, ""[0-9]+[a-f]?\."", """"))"),"Woman Questionnaire")</f>
        <v>Woman Questionnaire</v>
      </c>
      <c r="H377" s="188" t="str">
        <f>IFERROR(__xludf.DUMMYFUNCTION("TRIM(REGEXREPLACE(D377, ""[0-9]+[a-f]?\."", """"))"),"")</f>
        <v/>
      </c>
      <c r="I377" s="188" t="str">
        <f>IFERROR(__xludf.DUMMYFUNCTION("TRIM(REGEXREPLACE(E377, ""[0-9]+[a-f]?\."", """"))"),"")</f>
        <v/>
      </c>
      <c r="J377" s="188" t="s">
        <v>3133</v>
      </c>
      <c r="K377" s="188" t="s">
        <v>3134</v>
      </c>
      <c r="L377" s="188" t="s">
        <v>3135</v>
      </c>
    </row>
    <row r="378">
      <c r="A378" s="297" t="s">
        <v>46</v>
      </c>
      <c r="B378" s="298" t="s">
        <v>3136</v>
      </c>
      <c r="C378" s="190" t="s">
        <v>3137</v>
      </c>
      <c r="D378" s="190" t="s">
        <v>3138</v>
      </c>
      <c r="E378" s="190" t="s">
        <v>3139</v>
      </c>
      <c r="F378" s="195">
        <v>153.0</v>
      </c>
      <c r="G378" s="188" t="str">
        <f>IFERROR(__xludf.DUMMYFUNCTION("TRIM(REGEXREPLACE(C378, ""[0-9]+[a-f]?\."", """"))"),"Woman Questions")</f>
        <v>Woman Questions</v>
      </c>
      <c r="H378" s="188" t="str">
        <f>IFERROR(__xludf.DUMMYFUNCTION("TRIM(REGEXREPLACE(D378, ""[0-9]+[a-f]?\."", """"))"),"Questions de femme")</f>
        <v>Questions de femme</v>
      </c>
      <c r="I378" s="188" t="str">
        <f>IFERROR(__xludf.DUMMYFUNCTION("TRIM(REGEXREPLACE(E378, ""[0-9]+[a-f]?\."", """"))"),"Tambayoyin Mata")</f>
        <v>Tambayoyin Mata</v>
      </c>
      <c r="J378" s="188" t="s">
        <v>3141</v>
      </c>
      <c r="K378" s="188" t="s">
        <v>3142</v>
      </c>
      <c r="L378" s="188" t="s">
        <v>3143</v>
      </c>
    </row>
    <row r="379" hidden="1">
      <c r="A379" s="221" t="s">
        <v>256</v>
      </c>
      <c r="B379" s="198" t="s">
        <v>3144</v>
      </c>
      <c r="C379" s="190"/>
      <c r="D379" s="190"/>
      <c r="E379" s="190"/>
      <c r="F379" s="195">
        <v>234.0</v>
      </c>
      <c r="G379" s="188" t="str">
        <f>IFERROR(__xludf.DUMMYFUNCTION("TRIM(REGEXREPLACE(C379, ""[0-9]+[a-f]?\."", """"))"),"")</f>
        <v/>
      </c>
      <c r="H379" s="188" t="str">
        <f>IFERROR(__xludf.DUMMYFUNCTION("TRIM(REGEXREPLACE(D379, ""[0-9]+[a-f]?\."", """"))"),"")</f>
        <v/>
      </c>
      <c r="I379" s="188" t="str">
        <f>IFERROR(__xludf.DUMMYFUNCTION("TRIM(REGEXREPLACE(E379, ""[0-9]+[a-f]?\."", """"))"),"")</f>
        <v/>
      </c>
      <c r="J379" s="188" t="s">
        <v>3145</v>
      </c>
      <c r="K379" s="188" t="s">
        <v>3146</v>
      </c>
      <c r="L379" s="188" t="s">
        <v>3147</v>
      </c>
    </row>
    <row r="380">
      <c r="A380" s="297" t="s">
        <v>46</v>
      </c>
      <c r="B380" s="298" t="s">
        <v>3148</v>
      </c>
      <c r="C380" s="190" t="s">
        <v>3149</v>
      </c>
      <c r="D380" s="190" t="s">
        <v>3150</v>
      </c>
      <c r="E380" s="190" t="s">
        <v>3151</v>
      </c>
      <c r="F380" s="195">
        <v>154.0</v>
      </c>
      <c r="G380" s="188" t="str">
        <f>IFERROR(__xludf.DUMMYFUNCTION("TRIM(REGEXREPLACE(C380, ""[0-9]+[a-f]?\."", """"))"),"Before we begin, I would like to ask you about the locations of other respondents of this household")</f>
        <v>Before we begin, I would like to ask you about the locations of other respondents of this household</v>
      </c>
      <c r="H380" s="188" t="str">
        <f>IFERROR(__xludf.DUMMYFUNCTION("TRIM(REGEXREPLACE(D380, ""[0-9]+[a-f]?\."", """"))"),"Avant de commencer, j'aimerais vous poser des questions sur l'endroit o' se trouvent les autres répondants de ce ménage.")</f>
        <v>Avant de commencer, j'aimerais vous poser des questions sur l'endroit o' se trouvent les autres répondants de ce ménage.</v>
      </c>
      <c r="I380" s="188" t="str">
        <f>IFERROR(__xludf.DUMMYFUNCTION("TRIM(REGEXREPLACE(E380, ""[0-9]+[a-f]?\."", """"))"),"Kafin mu fara, Ina so in tambaye ku game da wuraren da sauran masu amsa wannan gidan")</f>
        <v>Kafin mu fara, Ina so in tambaye ku game da wuraren da sauran masu amsa wannan gidan</v>
      </c>
      <c r="J380" s="188" t="s">
        <v>3152</v>
      </c>
      <c r="K380" s="188" t="s">
        <v>3153</v>
      </c>
      <c r="L380" s="188" t="s">
        <v>3154</v>
      </c>
    </row>
    <row r="381">
      <c r="A381" s="299" t="s">
        <v>2456</v>
      </c>
      <c r="B381" s="300" t="s">
        <v>3155</v>
      </c>
      <c r="C381" s="190" t="s">
        <v>3156</v>
      </c>
      <c r="D381" s="190" t="s">
        <v>3157</v>
      </c>
      <c r="E381" s="190" t="s">
        <v>3158</v>
      </c>
      <c r="F381" s="195">
        <v>155.0</v>
      </c>
      <c r="G381" s="188" t="str">
        <f>IFERROR(__xludf.DUMMYFUNCTION("TRIM(REGEXREPLACE(C381, ""[0-9]+[a-f]?\."", """"))"),"Is ${pm_name} currently living in your household?")</f>
        <v>Is ${pm_name} currently living in your household?</v>
      </c>
      <c r="H381" s="188" t="str">
        <f>IFERROR(__xludf.DUMMYFUNCTION("TRIM(REGEXREPLACE(D381, ""[0-9]+[a-f]?\."", """"))"),"${pm_name} vit-il actuellement dans votre ménage?")</f>
        <v>${pm_name} vit-il actuellement dans votre ménage?</v>
      </c>
      <c r="I381" s="188" t="str">
        <f>IFERROR(__xludf.DUMMYFUNCTION("TRIM(REGEXREPLACE(E381, ""[0-9]+[a-f]?\."", """"))"),"Ko ${pm_name} yana zaune a gidan ku a hali yanzu?")</f>
        <v>Ko ${pm_name} yana zaune a gidan ku a hali yanzu?</v>
      </c>
      <c r="J381" s="188" t="s">
        <v>3159</v>
      </c>
      <c r="K381" s="188" t="s">
        <v>3160</v>
      </c>
      <c r="L381" s="188" t="s">
        <v>3162</v>
      </c>
    </row>
    <row r="382">
      <c r="A382" s="299" t="s">
        <v>1060</v>
      </c>
      <c r="B382" s="300" t="s">
        <v>3163</v>
      </c>
      <c r="C382" s="190" t="s">
        <v>3164</v>
      </c>
      <c r="D382" s="190" t="s">
        <v>3165</v>
      </c>
      <c r="E382" s="190" t="s">
        <v>3166</v>
      </c>
      <c r="F382" s="195">
        <v>156.0</v>
      </c>
      <c r="G382" s="188" t="str">
        <f>IFERROR(__xludf.DUMMYFUNCTION("TRIM(REGEXREPLACE(C382, ""[0-9]+[a-f]?\."", """"))"),"Where is ${pm_name} living right now?
 Enumerator: Is location in Niger?")</f>
        <v>Where is ${pm_name} living right now?
 Enumerator: Is location in Niger?</v>
      </c>
      <c r="H382" s="188" t="str">
        <f>IFERROR(__xludf.DUMMYFUNCTION("TRIM(REGEXREPLACE(D382, ""[0-9]+[a-f]?\."", """"))"),"Où est ${pm_name} en ce moment?
 Énquêteur: le lieu est-il au Niger?")</f>
        <v>Où est ${pm_name} en ce moment?
 Énquêteur: le lieu est-il au Niger?</v>
      </c>
      <c r="I382" s="188" t="str">
        <f>IFERROR(__xludf.DUMMYFUNCTION("TRIM(REGEXREPLACE(E382, ""[0-9]+[a-f]?\."", """"))"),"Ina ${pm_name} yake a yanzu?
 Dan bincike: Ko wurin a Nijar ne?")</f>
        <v>Ina ${pm_name} yake a yanzu?
 Dan bincike: Ko wurin a Nijar ne?</v>
      </c>
      <c r="J382" s="188" t="s">
        <v>3167</v>
      </c>
      <c r="K382" s="188" t="s">
        <v>3168</v>
      </c>
      <c r="L382" s="188" t="s">
        <v>3169</v>
      </c>
    </row>
    <row r="383">
      <c r="A383" s="299" t="s">
        <v>1779</v>
      </c>
      <c r="B383" s="300" t="s">
        <v>3170</v>
      </c>
      <c r="C383" s="190" t="s">
        <v>3171</v>
      </c>
      <c r="D383" s="190" t="s">
        <v>3172</v>
      </c>
      <c r="E383" s="190" t="s">
        <v>3173</v>
      </c>
      <c r="F383" s="195">
        <v>157.0</v>
      </c>
      <c r="G383" s="188" t="str">
        <f>IFERROR(__xludf.DUMMYFUNCTION("TRIM(REGEXREPLACE(C383, ""[0-9]+[a-f]?\."", """"))"),"Enumerator: Select region in Niger")</f>
        <v>Enumerator: Select region in Niger</v>
      </c>
      <c r="H383" s="188" t="str">
        <f>IFERROR(__xludf.DUMMYFUNCTION("TRIM(REGEXREPLACE(D383, ""[0-9]+[a-f]?\."", """"))"),"Enquêteur : Sélectionnez une région au Niger")</f>
        <v>Enquêteur : Sélectionnez une région au Niger</v>
      </c>
      <c r="I383" s="188" t="str">
        <f>IFERROR(__xludf.DUMMYFUNCTION("TRIM(REGEXREPLACE(E383, ""[0-9]+[a-f]?\."", """"))"),"Ɗan bincike: Zaɓi Jaha ɗaya a Nijar")</f>
        <v>Ɗan bincike: Zaɓi Jaha ɗaya a Nijar</v>
      </c>
      <c r="J383" s="188" t="s">
        <v>3174</v>
      </c>
      <c r="K383" s="188" t="s">
        <v>3175</v>
      </c>
      <c r="L383" s="188" t="s">
        <v>3176</v>
      </c>
    </row>
    <row r="384">
      <c r="A384" s="299" t="s">
        <v>2482</v>
      </c>
      <c r="B384" s="300" t="s">
        <v>3177</v>
      </c>
      <c r="C384" s="190" t="s">
        <v>3178</v>
      </c>
      <c r="D384" s="190" t="s">
        <v>3179</v>
      </c>
      <c r="E384" s="190" t="s">
        <v>3180</v>
      </c>
      <c r="F384" s="195">
        <v>158.0</v>
      </c>
      <c r="G384" s="188" t="str">
        <f>IFERROR(__xludf.DUMMYFUNCTION("TRIM(REGEXREPLACE(C384, ""[0-9]+[a-f]?\."", """"))"),"Enumerator: Select country")</f>
        <v>Enumerator: Select country</v>
      </c>
      <c r="H384" s="188" t="str">
        <f>IFERROR(__xludf.DUMMYFUNCTION("TRIM(REGEXREPLACE(D384, ""[0-9]+[a-f]?\."", """"))"),"Enquêteur : sélectionnez le pays")</f>
        <v>Enquêteur : sélectionnez le pays</v>
      </c>
      <c r="I384" s="188" t="str">
        <f>IFERROR(__xludf.DUMMYFUNCTION("TRIM(REGEXREPLACE(E384, ""[0-9]+[a-f]?\."", """"))"),"Ɗan bincike: Zaɓi ƙasa")</f>
        <v>Ɗan bincike: Zaɓi ƙasa</v>
      </c>
      <c r="J384" s="188" t="s">
        <v>3181</v>
      </c>
      <c r="K384" s="188" t="s">
        <v>3182</v>
      </c>
      <c r="L384" s="188" t="s">
        <v>3183</v>
      </c>
    </row>
    <row r="385">
      <c r="A385" s="301" t="s">
        <v>220</v>
      </c>
      <c r="B385" s="302" t="s">
        <v>3184</v>
      </c>
      <c r="C385" s="190" t="s">
        <v>3185</v>
      </c>
      <c r="D385" s="190" t="s">
        <v>3186</v>
      </c>
      <c r="E385" s="190" t="s">
        <v>3187</v>
      </c>
      <c r="F385" s="195">
        <v>159.0</v>
      </c>
      <c r="G385" s="188" t="str">
        <f>IFERROR(__xludf.DUMMYFUNCTION("TRIM(REGEXREPLACE(C385, ""[0-9]+[a-f]?\."", """"))"),"Enumerator: Enter other country")</f>
        <v>Enumerator: Enter other country</v>
      </c>
      <c r="H385" s="188" t="str">
        <f>IFERROR(__xludf.DUMMYFUNCTION("TRIM(REGEXREPLACE(D385, ""[0-9]+[a-f]?\."", """"))"),"Enquêteur : Entrez un autre pays")</f>
        <v>Enquêteur : Entrez un autre pays</v>
      </c>
      <c r="I385" s="188" t="str">
        <f>IFERROR(__xludf.DUMMYFUNCTION("TRIM(REGEXREPLACE(E385, ""[0-9]+[a-f]?\."", """"))"),"Ɗan bincike: Shigar da wata ƙasa")</f>
        <v>Ɗan bincike: Shigar da wata ƙasa</v>
      </c>
      <c r="J385" s="188" t="s">
        <v>3188</v>
      </c>
      <c r="K385" s="188" t="s">
        <v>3189</v>
      </c>
      <c r="L385" s="188" t="s">
        <v>3190</v>
      </c>
    </row>
    <row r="386">
      <c r="A386" s="299" t="s">
        <v>1814</v>
      </c>
      <c r="B386" s="300" t="s">
        <v>3191</v>
      </c>
      <c r="C386" s="190" t="s">
        <v>3192</v>
      </c>
      <c r="D386" s="190" t="s">
        <v>3193</v>
      </c>
      <c r="E386" s="190" t="s">
        <v>3194</v>
      </c>
      <c r="F386" s="195">
        <v>160.0</v>
      </c>
      <c r="G386" s="188" t="str">
        <f>IFERROR(__xludf.DUMMYFUNCTION("TRIM(REGEXREPLACE(C386, ""[0-9]+[a-f]?\."", """"))"),"Enumerator: Select town")</f>
        <v>Enumerator: Select town</v>
      </c>
      <c r="H386" s="188" t="str">
        <f>IFERROR(__xludf.DUMMYFUNCTION("TRIM(REGEXREPLACE(D386, ""[0-9]+[a-f]?\."", """"))"),"Enquêteur : Sélectionnez la ville")</f>
        <v>Enquêteur : Sélectionnez la ville</v>
      </c>
      <c r="I386" s="188" t="str">
        <f>IFERROR(__xludf.DUMMYFUNCTION("TRIM(REGEXREPLACE(E386, ""[0-9]+[a-f]?\."", """"))"),"Ɗan bincike: Zaɓi gari")</f>
        <v>Ɗan bincike: Zaɓi gari</v>
      </c>
      <c r="J386" s="188" t="s">
        <v>3196</v>
      </c>
      <c r="K386" s="188" t="s">
        <v>3197</v>
      </c>
      <c r="L386" s="188" t="s">
        <v>3198</v>
      </c>
    </row>
    <row r="387">
      <c r="A387" s="301" t="s">
        <v>220</v>
      </c>
      <c r="B387" s="302" t="s">
        <v>3199</v>
      </c>
      <c r="C387" s="190" t="s">
        <v>3200</v>
      </c>
      <c r="D387" s="190" t="s">
        <v>3201</v>
      </c>
      <c r="E387" s="190" t="s">
        <v>3202</v>
      </c>
      <c r="F387" s="195">
        <v>161.0</v>
      </c>
      <c r="G387" s="188" t="str">
        <f>IFERROR(__xludf.DUMMYFUNCTION("TRIM(REGEXREPLACE(C387, ""[0-9]+[a-f]?\."", """"))"),"Enumerator: Enter other town")</f>
        <v>Enumerator: Enter other town</v>
      </c>
      <c r="H387" s="188" t="str">
        <f>IFERROR(__xludf.DUMMYFUNCTION("TRIM(REGEXREPLACE(D387, ""[0-9]+[a-f]?\."", """"))"),"Enquêteur : Entrez un autre ville")</f>
        <v>Enquêteur : Entrez un autre ville</v>
      </c>
      <c r="I387" s="188" t="str">
        <f>IFERROR(__xludf.DUMMYFUNCTION("TRIM(REGEXREPLACE(E387, ""[0-9]+[a-f]?\."", """"))"),"Ɗan bincike: Shigar da wata gari")</f>
        <v>Ɗan bincike: Shigar da wata gari</v>
      </c>
      <c r="J387" s="188" t="s">
        <v>3203</v>
      </c>
      <c r="K387" s="188" t="s">
        <v>3204</v>
      </c>
      <c r="L387" s="188" t="s">
        <v>3205</v>
      </c>
    </row>
    <row r="388">
      <c r="A388" s="299" t="s">
        <v>2456</v>
      </c>
      <c r="B388" s="300" t="s">
        <v>3206</v>
      </c>
      <c r="C388" s="190" t="s">
        <v>3207</v>
      </c>
      <c r="D388" s="190" t="s">
        <v>3208</v>
      </c>
      <c r="E388" s="190" t="s">
        <v>3209</v>
      </c>
      <c r="F388" s="195">
        <v>162.0</v>
      </c>
      <c r="G388" s="188" t="str">
        <f>IFERROR(__xludf.DUMMYFUNCTION("TRIM(REGEXREPLACE(C388, ""[0-9]+[a-f]?\."", """"))"),"Will ${pm_name} be in the household within the next two weeks?")</f>
        <v>Will ${pm_name} be in the household within the next two weeks?</v>
      </c>
      <c r="H388" s="188" t="str">
        <f>IFERROR(__xludf.DUMMYFUNCTION("TRIM(REGEXREPLACE(D388, ""[0-9]+[a-f]?\."", """"))"),"Est-ce que ${pm_name} sera dans le menage dans les deux prochaines semaines ?")</f>
        <v>Est-ce que ${pm_name} sera dans le menage dans les deux prochaines semaines ?</v>
      </c>
      <c r="I388" s="188" t="str">
        <f>IFERROR(__xludf.DUMMYFUNCTION("TRIM(REGEXREPLACE(E388, ""[0-9]+[a-f]?\."", """"))"),"Ko ${pm_name} zai kasance a cikin gida a cikin sati biyu masu zuwa?")</f>
        <v>Ko ${pm_name} zai kasance a cikin gida a cikin sati biyu masu zuwa?</v>
      </c>
      <c r="J388" s="188" t="s">
        <v>3210</v>
      </c>
      <c r="K388" s="188" t="s">
        <v>3211</v>
      </c>
      <c r="L388" s="188" t="s">
        <v>3212</v>
      </c>
    </row>
    <row r="389">
      <c r="A389" s="299" t="s">
        <v>1060</v>
      </c>
      <c r="B389" s="299" t="s">
        <v>3213</v>
      </c>
      <c r="C389" s="190" t="s">
        <v>3214</v>
      </c>
      <c r="D389" s="190" t="s">
        <v>3215</v>
      </c>
      <c r="E389" s="190" t="s">
        <v>3216</v>
      </c>
      <c r="F389" s="195">
        <v>163.0</v>
      </c>
      <c r="G389" s="188" t="str">
        <f>IFERROR(__xludf.DUMMYFUNCTION("TRIM(REGEXREPLACE(C389, ""[0-9]+[a-f]?\."", """"))"),"Have you spoken with ${pm_name} in the past month?")</f>
        <v>Have you spoken with ${pm_name} in the past month?</v>
      </c>
      <c r="H389" s="188" t="str">
        <f>IFERROR(__xludf.DUMMYFUNCTION("TRIM(REGEXREPLACE(D389, ""[0-9]+[a-f]?\."", """"))"),"Avez-vous parlé à ${pm_name} au cours du mois dernier ?")</f>
        <v>Avez-vous parlé à ${pm_name} au cours du mois dernier ?</v>
      </c>
      <c r="I389" s="188" t="str">
        <f>IFERROR(__xludf.DUMMYFUNCTION("TRIM(REGEXREPLACE(E389, ""[0-9]+[a-f]?\."", """"))"),"Ko kun yi magana da ${pm_name} a cikin watan da ya gabata?")</f>
        <v>Ko kun yi magana da ${pm_name} a cikin watan da ya gabata?</v>
      </c>
      <c r="J389" s="188" t="s">
        <v>3217</v>
      </c>
      <c r="K389" s="188" t="s">
        <v>3218</v>
      </c>
      <c r="L389" s="188" t="s">
        <v>3219</v>
      </c>
    </row>
    <row r="390">
      <c r="A390" s="299" t="s">
        <v>2456</v>
      </c>
      <c r="B390" s="300" t="s">
        <v>3220</v>
      </c>
      <c r="C390" s="282" t="s">
        <v>3221</v>
      </c>
      <c r="D390" s="282" t="s">
        <v>3222</v>
      </c>
      <c r="E390" s="190" t="s">
        <v>3223</v>
      </c>
      <c r="F390" s="195">
        <v>164.0</v>
      </c>
      <c r="G390" s="188" t="str">
        <f>IFERROR(__xludf.DUMMYFUNCTION("TRIM(REGEXREPLACE(C390, ""[0-9]+[a-f]?\."", """"))"),"Are you currently living in your household?")</f>
        <v>Are you currently living in your household?</v>
      </c>
      <c r="H390" s="188" t="str">
        <f>IFERROR(__xludf.DUMMYFUNCTION("TRIM(REGEXREPLACE(D390, ""[0-9]+[a-f]?\."", """"))"),"Vivez-vous vit-il actuellement dans votre ménage?")</f>
        <v>Vivez-vous vit-il actuellement dans votre ménage?</v>
      </c>
      <c r="I390" s="188" t="str">
        <f>IFERROR(__xludf.DUMMYFUNCTION("TRIM(REGEXREPLACE(E390, ""[0-9]+[a-f]?\."", """"))"),"Ko ${shm_name} yana zaune a gidan ku a hali yanzu?")</f>
        <v>Ko ${shm_name} yana zaune a gidan ku a hali yanzu?</v>
      </c>
      <c r="J390" s="188" t="s">
        <v>3224</v>
      </c>
      <c r="K390" s="188" t="s">
        <v>3225</v>
      </c>
      <c r="L390" s="188" t="s">
        <v>3226</v>
      </c>
    </row>
    <row r="391">
      <c r="A391" s="299" t="s">
        <v>1060</v>
      </c>
      <c r="B391" s="300" t="s">
        <v>3227</v>
      </c>
      <c r="C391" s="282" t="s">
        <v>3228</v>
      </c>
      <c r="D391" s="282" t="s">
        <v>3229</v>
      </c>
      <c r="E391" s="282" t="s">
        <v>3230</v>
      </c>
      <c r="F391" s="195">
        <v>165.0</v>
      </c>
      <c r="G391" s="188" t="str">
        <f>IFERROR(__xludf.DUMMYFUNCTION("TRIM(REGEXREPLACE(C391, ""[0-9]+[a-f]?\."", """"))"),"Where are you living?
 Enumerator: Is location in Niger?")</f>
        <v>Where are you living?
 Enumerator: Is location in Niger?</v>
      </c>
      <c r="H391" s="188" t="str">
        <f>IFERROR(__xludf.DUMMYFUNCTION("TRIM(REGEXREPLACE(D391, ""[0-9]+[a-f]?\."", """"))"),"Où habites-tu?
 Enquêteur : le lieu est-il au Niger?")</f>
        <v>Où habites-tu?
 Enquêteur : le lieu est-il au Niger?</v>
      </c>
      <c r="I391" s="188" t="str">
        <f>IFERROR(__xludf.DUMMYFUNCTION("TRIM(REGEXREPLACE(E391, ""[0-9]+[a-f]?\."", """"))"),"Ina kuke zaune?
 Mai bincike: Wurin a Nijar ne?")</f>
        <v>Ina kuke zaune?
 Mai bincike: Wurin a Nijar ne?</v>
      </c>
      <c r="J391" s="188" t="s">
        <v>3231</v>
      </c>
      <c r="K391" s="188" t="s">
        <v>3232</v>
      </c>
      <c r="L391" s="188" t="s">
        <v>3233</v>
      </c>
    </row>
    <row r="392">
      <c r="A392" s="299" t="s">
        <v>1779</v>
      </c>
      <c r="B392" s="300" t="s">
        <v>3234</v>
      </c>
      <c r="C392" s="190" t="s">
        <v>3235</v>
      </c>
      <c r="D392" s="190" t="s">
        <v>3236</v>
      </c>
      <c r="E392" s="190" t="s">
        <v>3238</v>
      </c>
      <c r="F392" s="195">
        <v>166.0</v>
      </c>
      <c r="G392" s="188" t="str">
        <f>IFERROR(__xludf.DUMMYFUNCTION("TRIM(REGEXREPLACE(C392, ""[0-9]+[a-f]?\."", """"))"),"Enumerator: Select region in Niger")</f>
        <v>Enumerator: Select region in Niger</v>
      </c>
      <c r="H392" s="188" t="str">
        <f>IFERROR(__xludf.DUMMYFUNCTION("TRIM(REGEXREPLACE(D392, ""[0-9]+[a-f]?\."", """"))"),"Enquêteur : Sélectionnez une région au Niger")</f>
        <v>Enquêteur : Sélectionnez une région au Niger</v>
      </c>
      <c r="I392" s="188" t="str">
        <f>IFERROR(__xludf.DUMMYFUNCTION("TRIM(REGEXREPLACE(E392, ""[0-9]+[a-f]?\."", """"))"),"Ɗan bincike: Zaɓi Jaha ɗaya a Nijar")</f>
        <v>Ɗan bincike: Zaɓi Jaha ɗaya a Nijar</v>
      </c>
      <c r="J392" s="188" t="s">
        <v>3239</v>
      </c>
      <c r="K392" s="188" t="s">
        <v>3240</v>
      </c>
      <c r="L392" s="188" t="s">
        <v>3241</v>
      </c>
    </row>
    <row r="393">
      <c r="A393" s="299" t="s">
        <v>2482</v>
      </c>
      <c r="B393" s="300" t="s">
        <v>3242</v>
      </c>
      <c r="C393" s="190" t="s">
        <v>3243</v>
      </c>
      <c r="D393" s="190" t="s">
        <v>3244</v>
      </c>
      <c r="E393" s="190" t="s">
        <v>3245</v>
      </c>
      <c r="F393" s="195">
        <v>167.0</v>
      </c>
      <c r="G393" s="188" t="str">
        <f>IFERROR(__xludf.DUMMYFUNCTION("TRIM(REGEXREPLACE(C393, ""[0-9]+[a-f]?\."", """"))"),"Enumerator: Select country")</f>
        <v>Enumerator: Select country</v>
      </c>
      <c r="H393" s="188" t="str">
        <f>IFERROR(__xludf.DUMMYFUNCTION("TRIM(REGEXREPLACE(D393, ""[0-9]+[a-f]?\."", """"))"),"Enquêteur : sélectionnez le pays")</f>
        <v>Enquêteur : sélectionnez le pays</v>
      </c>
      <c r="I393" s="188" t="str">
        <f>IFERROR(__xludf.DUMMYFUNCTION("TRIM(REGEXREPLACE(E393, ""[0-9]+[a-f]?\."", """"))"),"Ɗan bincike: Zaɓi ƙasa")</f>
        <v>Ɗan bincike: Zaɓi ƙasa</v>
      </c>
      <c r="J393" s="188" t="s">
        <v>3246</v>
      </c>
      <c r="K393" s="188" t="s">
        <v>3247</v>
      </c>
      <c r="L393" s="188" t="s">
        <v>3248</v>
      </c>
    </row>
    <row r="394">
      <c r="A394" s="301" t="s">
        <v>220</v>
      </c>
      <c r="B394" s="302" t="s">
        <v>3249</v>
      </c>
      <c r="C394" s="190" t="s">
        <v>3250</v>
      </c>
      <c r="D394" s="190" t="s">
        <v>3251</v>
      </c>
      <c r="E394" s="190" t="s">
        <v>3252</v>
      </c>
      <c r="F394" s="195">
        <v>168.0</v>
      </c>
      <c r="G394" s="188" t="str">
        <f>IFERROR(__xludf.DUMMYFUNCTION("TRIM(REGEXREPLACE(C394, ""[0-9]+[a-f]?\."", """"))"),"Enumerator: Enter other country")</f>
        <v>Enumerator: Enter other country</v>
      </c>
      <c r="H394" s="188" t="str">
        <f>IFERROR(__xludf.DUMMYFUNCTION("TRIM(REGEXREPLACE(D394, ""[0-9]+[a-f]?\."", """"))"),"Enquêteur : Entrez un autre pays")</f>
        <v>Enquêteur : Entrez un autre pays</v>
      </c>
      <c r="I394" s="188" t="str">
        <f>IFERROR(__xludf.DUMMYFUNCTION("TRIM(REGEXREPLACE(E394, ""[0-9]+[a-f]?\."", """"))"),"Ɗan bincike: Shigar da wata ƙasa")</f>
        <v>Ɗan bincike: Shigar da wata ƙasa</v>
      </c>
      <c r="J394" s="188" t="s">
        <v>3253</v>
      </c>
      <c r="K394" s="188" t="s">
        <v>3254</v>
      </c>
      <c r="L394" s="188" t="s">
        <v>3255</v>
      </c>
    </row>
    <row r="395">
      <c r="A395" s="299" t="s">
        <v>1814</v>
      </c>
      <c r="B395" s="300" t="s">
        <v>3256</v>
      </c>
      <c r="C395" s="190" t="s">
        <v>3257</v>
      </c>
      <c r="D395" s="190" t="s">
        <v>3258</v>
      </c>
      <c r="E395" s="190" t="s">
        <v>3259</v>
      </c>
      <c r="F395" s="195">
        <v>169.0</v>
      </c>
      <c r="G395" s="188" t="str">
        <f>IFERROR(__xludf.DUMMYFUNCTION("TRIM(REGEXREPLACE(C395, ""[0-9]+[a-f]?\."", """"))"),"Enumerator: Select town")</f>
        <v>Enumerator: Select town</v>
      </c>
      <c r="H395" s="188" t="str">
        <f>IFERROR(__xludf.DUMMYFUNCTION("TRIM(REGEXREPLACE(D395, ""[0-9]+[a-f]?\."", """"))"),"Enquêteur : Sélectionnez la ville")</f>
        <v>Enquêteur : Sélectionnez la ville</v>
      </c>
      <c r="I395" s="188" t="str">
        <f>IFERROR(__xludf.DUMMYFUNCTION("TRIM(REGEXREPLACE(E395, ""[0-9]+[a-f]?\."", """"))"),"Ɗan bincike: Zaɓi gari")</f>
        <v>Ɗan bincike: Zaɓi gari</v>
      </c>
      <c r="J395" s="188" t="s">
        <v>3260</v>
      </c>
      <c r="K395" s="188" t="s">
        <v>3261</v>
      </c>
      <c r="L395" s="188" t="s">
        <v>3262</v>
      </c>
    </row>
    <row r="396">
      <c r="A396" s="301" t="s">
        <v>220</v>
      </c>
      <c r="B396" s="302" t="s">
        <v>3263</v>
      </c>
      <c r="C396" s="190" t="s">
        <v>3264</v>
      </c>
      <c r="D396" s="190" t="s">
        <v>3265</v>
      </c>
      <c r="E396" s="190" t="s">
        <v>3266</v>
      </c>
      <c r="F396" s="195">
        <v>170.0</v>
      </c>
      <c r="G396" s="188" t="str">
        <f>IFERROR(__xludf.DUMMYFUNCTION("TRIM(REGEXREPLACE(C396, ""[0-9]+[a-f]?\."", """"))"),"Enumerator: Enter other town")</f>
        <v>Enumerator: Enter other town</v>
      </c>
      <c r="H396" s="188" t="str">
        <f>IFERROR(__xludf.DUMMYFUNCTION("TRIM(REGEXREPLACE(D396, ""[0-9]+[a-f]?\."", """"))"),"Enquêteur : Entrez un autre ville")</f>
        <v>Enquêteur : Entrez un autre ville</v>
      </c>
      <c r="I396" s="188" t="str">
        <f>IFERROR(__xludf.DUMMYFUNCTION("TRIM(REGEXREPLACE(E396, ""[0-9]+[a-f]?\."", """"))"),"Ɗan bincike: Shigar da wata gari")</f>
        <v>Ɗan bincike: Shigar da wata gari</v>
      </c>
      <c r="J396" s="188" t="s">
        <v>3267</v>
      </c>
      <c r="K396" s="188" t="s">
        <v>3268</v>
      </c>
      <c r="L396" s="188" t="s">
        <v>3269</v>
      </c>
    </row>
    <row r="397" hidden="1">
      <c r="A397" s="221" t="s">
        <v>256</v>
      </c>
      <c r="B397" s="198" t="s">
        <v>3270</v>
      </c>
      <c r="C397" s="190"/>
      <c r="D397" s="190"/>
      <c r="E397" s="190"/>
      <c r="F397" s="195">
        <v>266.0</v>
      </c>
      <c r="G397" s="188" t="str">
        <f>IFERROR(__xludf.DUMMYFUNCTION("TRIM(REGEXREPLACE(C397, ""[0-9]+[a-f]?\."", """"))"),"")</f>
        <v/>
      </c>
      <c r="H397" s="188" t="str">
        <f>IFERROR(__xludf.DUMMYFUNCTION("TRIM(REGEXREPLACE(D397, ""[0-9]+[a-f]?\."", """"))"),"")</f>
        <v/>
      </c>
      <c r="I397" s="188" t="str">
        <f>IFERROR(__xludf.DUMMYFUNCTION("TRIM(REGEXREPLACE(E397, ""[0-9]+[a-f]?\."", """"))"),"")</f>
        <v/>
      </c>
      <c r="J397" s="188" t="s">
        <v>3271</v>
      </c>
      <c r="K397" s="188" t="s">
        <v>3272</v>
      </c>
      <c r="L397" s="188" t="s">
        <v>3273</v>
      </c>
    </row>
    <row r="398" hidden="1">
      <c r="A398" s="221" t="s">
        <v>112</v>
      </c>
      <c r="B398" s="198" t="s">
        <v>3274</v>
      </c>
      <c r="C398" s="190"/>
      <c r="D398" s="190"/>
      <c r="E398" s="190"/>
      <c r="F398" s="195">
        <v>267.0</v>
      </c>
      <c r="G398" s="188" t="str">
        <f>IFERROR(__xludf.DUMMYFUNCTION("TRIM(REGEXREPLACE(C398, ""[0-9]+[a-f]?\."", """"))"),"")</f>
        <v/>
      </c>
      <c r="H398" s="188" t="str">
        <f>IFERROR(__xludf.DUMMYFUNCTION("TRIM(REGEXREPLACE(D398, ""[0-9]+[a-f]?\."", """"))"),"")</f>
        <v/>
      </c>
      <c r="I398" s="188" t="str">
        <f>IFERROR(__xludf.DUMMYFUNCTION("TRIM(REGEXREPLACE(E398, ""[0-9]+[a-f]?\."", """"))"),"")</f>
        <v/>
      </c>
      <c r="J398" s="188" t="s">
        <v>3275</v>
      </c>
      <c r="K398" s="188" t="s">
        <v>3276</v>
      </c>
      <c r="L398" s="188" t="s">
        <v>3277</v>
      </c>
    </row>
    <row r="399" hidden="1">
      <c r="A399" s="221" t="s">
        <v>256</v>
      </c>
      <c r="B399" s="198" t="s">
        <v>3278</v>
      </c>
      <c r="C399" s="190"/>
      <c r="D399" s="190"/>
      <c r="E399" s="190"/>
      <c r="F399" s="195">
        <v>71.0</v>
      </c>
      <c r="G399" s="188" t="str">
        <f>IFERROR(__xludf.DUMMYFUNCTION("TRIM(REGEXREPLACE(C399, ""[0-9]+[a-f]?\."", """"))"),"")</f>
        <v/>
      </c>
      <c r="H399" s="188" t="str">
        <f>IFERROR(__xludf.DUMMYFUNCTION("TRIM(REGEXREPLACE(D399, ""[0-9]+[a-f]?\."", """"))"),"")</f>
        <v/>
      </c>
      <c r="I399" s="188" t="str">
        <f>IFERROR(__xludf.DUMMYFUNCTION("TRIM(REGEXREPLACE(E399, ""[0-9]+[a-f]?\."", """"))"),"")</f>
        <v/>
      </c>
      <c r="J399" s="188" t="str">
        <f t="shared" ref="J399:L399" si="25">$F399 &amp; ". "&amp;G399</f>
        <v>71. </v>
      </c>
      <c r="K399" s="188" t="str">
        <f t="shared" si="25"/>
        <v>71. </v>
      </c>
      <c r="L399" s="188" t="str">
        <f t="shared" si="25"/>
        <v>71. </v>
      </c>
    </row>
    <row r="400">
      <c r="A400" s="297" t="s">
        <v>46</v>
      </c>
      <c r="B400" s="298" t="s">
        <v>3279</v>
      </c>
      <c r="C400" s="190" t="s">
        <v>3280</v>
      </c>
      <c r="D400" s="190" t="s">
        <v>3281</v>
      </c>
      <c r="E400" s="190" t="s">
        <v>3282</v>
      </c>
      <c r="F400" s="195">
        <v>171.0</v>
      </c>
      <c r="G400" s="188" t="str">
        <f>IFERROR(__xludf.DUMMYFUNCTION("TRIM(REGEXREPLACE(C400, ""[0-9]+[a-f]?\."", """"))"),"I would like to ask you about different ways you may use money that you earn.")</f>
        <v>I would like to ask you about different ways you may use money that you earn.</v>
      </c>
      <c r="H400" s="188" t="str">
        <f>IFERROR(__xludf.DUMMYFUNCTION("TRIM(REGEXREPLACE(D400, ""[0-9]+[a-f]?\."", """"))"),"Maintenant, je voudrais vous poser des questions sur les différentes façons dont vous pouvez utiliser l'argent que vous gagnez.")</f>
        <v>Maintenant, je voudrais vous poser des questions sur les différentes façons dont vous pouvez utiliser l'argent que vous gagnez.</v>
      </c>
      <c r="I400" s="188" t="str">
        <f>IFERROR(__xludf.DUMMYFUNCTION("TRIM(REGEXREPLACE(E400, ""[0-9]+[a-f]?\."", """"))"),"Yanzu ina so in tambaye ku hanyoyi daban-daban da zaku iya amfani da su wajen kashe kuɗin da kuke samu.")</f>
        <v>Yanzu ina so in tambaye ku hanyoyi daban-daban da zaku iya amfani da su wajen kashe kuɗin da kuke samu.</v>
      </c>
      <c r="J400" s="188" t="s">
        <v>3283</v>
      </c>
      <c r="K400" s="188" t="s">
        <v>3284</v>
      </c>
      <c r="L400" s="188" t="s">
        <v>3285</v>
      </c>
    </row>
    <row r="401">
      <c r="A401" s="299" t="s">
        <v>3286</v>
      </c>
      <c r="B401" s="300" t="s">
        <v>3287</v>
      </c>
      <c r="C401" s="190" t="s">
        <v>3288</v>
      </c>
      <c r="D401" s="190" t="s">
        <v>3289</v>
      </c>
      <c r="E401" s="190" t="s">
        <v>3290</v>
      </c>
      <c r="F401" s="195">
        <v>172.0</v>
      </c>
      <c r="G401" s="188" t="str">
        <f>IFERROR(__xludf.DUMMYFUNCTION("TRIM(REGEXREPLACE(C401, ""[0-9]+[a-f]?\."", """"))"),"Do you currently have savings of each of the following types that you have put aside for yourself, separate from your household?")</f>
        <v>Do you currently have savings of each of the following types that you have put aside for yourself, separate from your household?</v>
      </c>
      <c r="H401" s="188" t="str">
        <f>IFERROR(__xludf.DUMMYFUNCTION("TRIM(REGEXREPLACE(D401,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401" s="188" t="str">
        <f>IFERROR(__xludf.DUMMYFUNCTION("TRIM(REGEXREPLACE(E401, ""[0-9]+[a-f]?\."", """"))"),"Ko a halin yanzu kuna da tanadi na kowane nau'in waɗannan nau'ikan da kuka ware wa kanku?")</f>
        <v>Ko a halin yanzu kuna da tanadi na kowane nau'in waɗannan nau'ikan da kuka ware wa kanku?</v>
      </c>
      <c r="J401" s="188" t="s">
        <v>3291</v>
      </c>
      <c r="K401" s="188" t="s">
        <v>3292</v>
      </c>
      <c r="L401" s="188" t="s">
        <v>3293</v>
      </c>
    </row>
    <row r="402">
      <c r="A402" s="301" t="s">
        <v>220</v>
      </c>
      <c r="B402" s="302" t="s">
        <v>3294</v>
      </c>
      <c r="C402" s="190" t="s">
        <v>3295</v>
      </c>
      <c r="D402" s="190" t="s">
        <v>3296</v>
      </c>
      <c r="E402" s="190" t="s">
        <v>3297</v>
      </c>
      <c r="F402" s="195">
        <v>173.0</v>
      </c>
      <c r="G402" s="188" t="str">
        <f>IFERROR(__xludf.DUMMYFUNCTION("TRIM(REGEXREPLACE(C402, ""[0-9]+[a-f]?\."", """"))"),"Specify other:")</f>
        <v>Specify other:</v>
      </c>
      <c r="H402" s="188" t="str">
        <f>IFERROR(__xludf.DUMMYFUNCTION("TRIM(REGEXREPLACE(D402, ""[0-9]+[a-f]?\."", """"))"),"Précisez autre :")</f>
        <v>Précisez autre :</v>
      </c>
      <c r="I402" s="188" t="str">
        <f>IFERROR(__xludf.DUMMYFUNCTION("TRIM(REGEXREPLACE(E402, ""[0-9]+[a-f]?\."", """"))"),"Ƙayyade wasu:")</f>
        <v>Ƙayyade wasu:</v>
      </c>
      <c r="J402" s="188" t="s">
        <v>3298</v>
      </c>
      <c r="K402" s="188" t="s">
        <v>3299</v>
      </c>
      <c r="L402" s="188" t="s">
        <v>3300</v>
      </c>
    </row>
    <row r="403" hidden="1">
      <c r="A403" s="305" t="s">
        <v>385</v>
      </c>
      <c r="B403" s="223" t="s">
        <v>3301</v>
      </c>
      <c r="C403" s="190" t="s">
        <v>3302</v>
      </c>
      <c r="D403" s="190" t="s">
        <v>3303</v>
      </c>
      <c r="E403" s="190" t="s">
        <v>3304</v>
      </c>
      <c r="F403" s="195">
        <v>272.0</v>
      </c>
      <c r="G403" s="188" t="str">
        <f>IFERROR(__xludf.DUMMYFUNCTION("TRIM(REGEXREPLACE(C403, ""[0-9]+[a-f]?\."", """"))"),"Savings Amount")</f>
        <v>Savings Amount</v>
      </c>
      <c r="H403" s="188" t="str">
        <f>IFERROR(__xludf.DUMMYFUNCTION("TRIM(REGEXREPLACE(D403, ""[0-9]+[a-f]?\."", """"))"),"Montant de l'épargne")</f>
        <v>Montant de l'épargne</v>
      </c>
      <c r="I403" s="188" t="str">
        <f>IFERROR(__xludf.DUMMYFUNCTION("TRIM(REGEXREPLACE(E403, ""[0-9]+[a-f]?\."", """"))"),"Yawan kuɗin ajiye")</f>
        <v>Yawan kuɗin ajiye</v>
      </c>
      <c r="J403" s="188" t="s">
        <v>3305</v>
      </c>
      <c r="K403" s="188" t="s">
        <v>3306</v>
      </c>
      <c r="L403" s="188" t="s">
        <v>3307</v>
      </c>
    </row>
    <row r="404" hidden="1">
      <c r="A404" s="221" t="s">
        <v>112</v>
      </c>
      <c r="B404" s="198" t="s">
        <v>3308</v>
      </c>
      <c r="C404" s="190" t="s">
        <v>3309</v>
      </c>
      <c r="D404" s="190" t="s">
        <v>3310</v>
      </c>
      <c r="E404" s="190" t="s">
        <v>3311</v>
      </c>
      <c r="F404" s="195">
        <v>273.0</v>
      </c>
      <c r="G404" s="188" t="str">
        <f>IFERROR(__xludf.DUMMYFUNCTION("TRIM(REGEXREPLACE(C404, ""[0-9]+[a-f]?\."", """"))"),"Savings Type Name")</f>
        <v>Savings Type Name</v>
      </c>
      <c r="H404" s="188" t="str">
        <f>IFERROR(__xludf.DUMMYFUNCTION("TRIM(REGEXREPLACE(D404, ""[0-9]+[a-f]?\."", """"))"),"Nom du type d'épargne")</f>
        <v>Nom du type d'épargne</v>
      </c>
      <c r="I404" s="188" t="str">
        <f>IFERROR(__xludf.DUMMYFUNCTION("TRIM(REGEXREPLACE(E404, ""[0-9]+[a-f]?\."", """"))"),"Sunan Nau'in Ajiya")</f>
        <v>Sunan Nau'in Ajiya</v>
      </c>
      <c r="J404" s="188" t="s">
        <v>3312</v>
      </c>
      <c r="K404" s="188" t="s">
        <v>3313</v>
      </c>
      <c r="L404" s="188" t="s">
        <v>3314</v>
      </c>
    </row>
    <row r="405">
      <c r="A405" s="306" t="s">
        <v>247</v>
      </c>
      <c r="B405" s="307" t="s">
        <v>3315</v>
      </c>
      <c r="C405" s="190" t="s">
        <v>3316</v>
      </c>
      <c r="D405" s="190" t="s">
        <v>3317</v>
      </c>
      <c r="E405" s="190" t="s">
        <v>3318</v>
      </c>
      <c r="F405" s="195">
        <v>174.0</v>
      </c>
      <c r="G405" s="188" t="str">
        <f>IFERROR(__xludf.DUMMYFUNCTION("TRIM(REGEXREPLACE(C405, ""[0-9]+[a-f]?\."", """"))"),"Please share with us your best estimate of the value in CFA ${w_savings_name}")</f>
        <v>Please share with us your best estimate of the value in CFA ${w_savings_name}</v>
      </c>
      <c r="H405" s="188" t="str">
        <f>IFERROR(__xludf.DUMMYFUNCTION("TRIM(REGEXREPLACE(D405, ""[0-9]+[a-f]?\."", """"))"),"Veuillez partager avec nous votre meilleure estimation de la valeur en CFA ${w_savings_name}")</f>
        <v>Veuillez partager avec nous votre meilleure estimation de la valeur en CFA ${w_savings_name}</v>
      </c>
      <c r="I405" s="188" t="str">
        <f>IFERROR(__xludf.DUMMYFUNCTION("TRIM(REGEXREPLACE(E405, ""[0-9]+[a-f]?\."", """"))"),"Da fatan zaku faɗa mana ƙimar da kuke ganin yayi daidai a cikin CFA ${w_savings_name}")</f>
        <v>Da fatan zaku faɗa mana ƙimar da kuke ganin yayi daidai a cikin CFA ${w_savings_name}</v>
      </c>
      <c r="J405" s="188" t="s">
        <v>3319</v>
      </c>
      <c r="K405" s="188" t="s">
        <v>3320</v>
      </c>
      <c r="L405" s="188" t="s">
        <v>3321</v>
      </c>
    </row>
    <row r="406">
      <c r="A406" s="299" t="s">
        <v>2456</v>
      </c>
      <c r="B406" s="300" t="s">
        <v>3323</v>
      </c>
      <c r="C406" s="190" t="s">
        <v>3324</v>
      </c>
      <c r="D406" s="190" t="s">
        <v>3325</v>
      </c>
      <c r="E406" s="190" t="s">
        <v>3326</v>
      </c>
      <c r="F406" s="195">
        <v>175.0</v>
      </c>
      <c r="G406" s="188" t="str">
        <f>IFERROR(__xludf.DUMMYFUNCTION("TRIM(REGEXREPLACE(C406, ""[0-9]+[a-f]?\."", """"))"),"Do you earn interest on this money ${w_savings_name}?")</f>
        <v>Do you earn interest on this money ${w_savings_name}?</v>
      </c>
      <c r="H406" s="188" t="str">
        <f>IFERROR(__xludf.DUMMYFUNCTION("TRIM(REGEXREPLACE(D406, ""[0-9]+[a-f]?\."", """"))"),"Gagnez-vous des intérêts sur cet argent ${w_savings_name} ?")</f>
        <v>Gagnez-vous des intérêts sur cet argent ${w_savings_name} ?</v>
      </c>
      <c r="I406" s="188" t="str">
        <f>IFERROR(__xludf.DUMMYFUNCTION("TRIM(REGEXREPLACE(E406, ""[0-9]+[a-f]?\."", """"))"),"Kuna samun riba akan wannan kuɗin ${w_savings_name}?")</f>
        <v>Kuna samun riba akan wannan kuɗin ${w_savings_name}?</v>
      </c>
      <c r="J406" s="188" t="s">
        <v>3327</v>
      </c>
      <c r="K406" s="188" t="s">
        <v>3328</v>
      </c>
      <c r="L406" s="188" t="s">
        <v>3329</v>
      </c>
    </row>
    <row r="407" hidden="1">
      <c r="A407" s="305" t="s">
        <v>450</v>
      </c>
      <c r="B407" s="224" t="s">
        <v>3301</v>
      </c>
      <c r="C407" s="190" t="s">
        <v>3302</v>
      </c>
      <c r="D407" s="190" t="s">
        <v>3303</v>
      </c>
      <c r="E407" s="190" t="s">
        <v>3304</v>
      </c>
      <c r="F407" s="195">
        <v>276.0</v>
      </c>
      <c r="G407" s="188" t="str">
        <f>IFERROR(__xludf.DUMMYFUNCTION("TRIM(REGEXREPLACE(C407, ""[0-9]+[a-f]?\."", """"))"),"Savings Amount")</f>
        <v>Savings Amount</v>
      </c>
      <c r="H407" s="188" t="str">
        <f>IFERROR(__xludf.DUMMYFUNCTION("TRIM(REGEXREPLACE(D407, ""[0-9]+[a-f]?\."", """"))"),"Montant de l'épargne")</f>
        <v>Montant de l'épargne</v>
      </c>
      <c r="I407" s="188" t="str">
        <f>IFERROR(__xludf.DUMMYFUNCTION("TRIM(REGEXREPLACE(E407, ""[0-9]+[a-f]?\."", """"))"),"Yawan kuɗin ajiye")</f>
        <v>Yawan kuɗin ajiye</v>
      </c>
      <c r="J407" s="188" t="s">
        <v>3330</v>
      </c>
      <c r="K407" s="188" t="s">
        <v>3331</v>
      </c>
      <c r="L407" s="188" t="s">
        <v>3332</v>
      </c>
    </row>
    <row r="408">
      <c r="A408" s="147" t="s">
        <v>3333</v>
      </c>
      <c r="B408" s="147" t="s">
        <v>3334</v>
      </c>
      <c r="C408" s="190" t="s">
        <v>3335</v>
      </c>
      <c r="D408" s="190" t="s">
        <v>3336</v>
      </c>
      <c r="E408" s="190" t="s">
        <v>3337</v>
      </c>
      <c r="F408" s="195">
        <v>176.0</v>
      </c>
      <c r="G408" s="188" t="str">
        <f>IFERROR(__xludf.DUMMYFUNCTION("TRIM(REGEXREPLACE(C408, ""[0-9]+[a-f]?\."", """"))"),"Do you already have a plan for using the money you have saved?")</f>
        <v>Do you already have a plan for using the money you have saved?</v>
      </c>
      <c r="H408" s="188" t="str">
        <f>IFERROR(__xludf.DUMMYFUNCTION("TRIM(REGEXREPLACE(D408, ""[0-9]+[a-f]?\."", """"))"),"Avez-vous déjà prévu d'utiliser l'argent que vous avez économisé ?")</f>
        <v>Avez-vous déjà prévu d'utiliser l'argent que vous avez économisé ?</v>
      </c>
      <c r="I408" s="188" t="str">
        <f>IFERROR(__xludf.DUMMYFUNCTION("TRIM(REGEXREPLACE(E408, ""[0-9]+[a-f]?\."", """"))"),"Shin kuna da shirin yin amfani da kuɗin da kuka adana?")</f>
        <v>Shin kuna da shirin yin amfani da kuɗin da kuka adana?</v>
      </c>
      <c r="J408" s="188" t="s">
        <v>3340</v>
      </c>
      <c r="K408" s="188" t="s">
        <v>3341</v>
      </c>
      <c r="L408" s="188" t="s">
        <v>3342</v>
      </c>
    </row>
    <row r="409">
      <c r="A409" s="240" t="s">
        <v>220</v>
      </c>
      <c r="B409" s="240" t="s">
        <v>3344</v>
      </c>
      <c r="C409" s="190" t="s">
        <v>3345</v>
      </c>
      <c r="D409" s="190" t="s">
        <v>3346</v>
      </c>
      <c r="E409" s="190" t="s">
        <v>3348</v>
      </c>
      <c r="F409" s="195">
        <v>177.0</v>
      </c>
      <c r="G409" s="188" t="str">
        <f>IFERROR(__xludf.DUMMYFUNCTION("TRIM(REGEXREPLACE(C409, ""[0-9]+[a-f]?\."", """"))"),"Specify other:")</f>
        <v>Specify other:</v>
      </c>
      <c r="H409" s="188" t="str">
        <f>IFERROR(__xludf.DUMMYFUNCTION("TRIM(REGEXREPLACE(D409, ""[0-9]+[a-f]?\."", """"))"),"Autre à préciser")</f>
        <v>Autre à préciser</v>
      </c>
      <c r="I409" s="188" t="str">
        <f>IFERROR(__xludf.DUMMYFUNCTION("TRIM(REGEXREPLACE(E409, ""[0-9]+[a-f]?\."", """"))"),"Wani daban a baiyana")</f>
        <v>Wani daban a baiyana</v>
      </c>
      <c r="J409" s="188" t="s">
        <v>3349</v>
      </c>
      <c r="K409" s="188" t="s">
        <v>3350</v>
      </c>
      <c r="L409" s="188" t="s">
        <v>3351</v>
      </c>
    </row>
    <row r="410">
      <c r="A410" s="147" t="s">
        <v>3352</v>
      </c>
      <c r="B410" s="147" t="s">
        <v>3353</v>
      </c>
      <c r="C410" s="190" t="s">
        <v>3354</v>
      </c>
      <c r="D410" s="190" t="s">
        <v>3355</v>
      </c>
      <c r="E410" s="190" t="s">
        <v>3356</v>
      </c>
      <c r="F410" s="195">
        <v>178.0</v>
      </c>
      <c r="G410" s="188" t="str">
        <f>IFERROR(__xludf.DUMMYFUNCTION("TRIM(REGEXREPLACE(C410, ""[0-9]+[a-f]?\."", """"))"),"You mentioned that you are saving for a major purchase. What are you planning to buy?")</f>
        <v>You mentioned that you are saving for a major purchase. What are you planning to buy?</v>
      </c>
      <c r="H410" s="188" t="str">
        <f>IFERROR(__xludf.DUMMYFUNCTION("TRIM(REGEXREPLACE(D410, ""[0-9]+[a-f]?\."", """"))"),"Vous avez mentionné que vous économisez pour un achat important. Qu'envisagez-vous d'acheter ?")</f>
        <v>Vous avez mentionné que vous économisez pour un achat important. Qu'envisagez-vous d'acheter ?</v>
      </c>
      <c r="I410" s="188" t="str">
        <f>IFERROR(__xludf.DUMMYFUNCTION("TRIM(REGEXREPLACE(E410, ""[0-9]+[a-f]?\."", """"))"),"Kun ambaci cewa kuna tanadi don sayen wani abu mai muhimmanci. Me kuke shirin saye?")</f>
        <v>Kun ambaci cewa kuna tanadi don sayen wani abu mai muhimmanci. Me kuke shirin saye?</v>
      </c>
      <c r="J410" s="188" t="s">
        <v>3357</v>
      </c>
      <c r="K410" s="188" t="s">
        <v>3358</v>
      </c>
      <c r="L410" s="188" t="s">
        <v>3359</v>
      </c>
    </row>
    <row r="411">
      <c r="A411" s="240" t="s">
        <v>220</v>
      </c>
      <c r="B411" s="240" t="s">
        <v>3360</v>
      </c>
      <c r="C411" s="190" t="s">
        <v>3345</v>
      </c>
      <c r="D411" s="190" t="s">
        <v>3346</v>
      </c>
      <c r="E411" s="190" t="s">
        <v>3348</v>
      </c>
      <c r="F411" s="195">
        <v>179.0</v>
      </c>
      <c r="G411" s="188" t="str">
        <f>IFERROR(__xludf.DUMMYFUNCTION("TRIM(REGEXREPLACE(C411, ""[0-9]+[a-f]?\."", """"))"),"Specify other:")</f>
        <v>Specify other:</v>
      </c>
      <c r="H411" s="188" t="str">
        <f>IFERROR(__xludf.DUMMYFUNCTION("TRIM(REGEXREPLACE(D411, ""[0-9]+[a-f]?\."", """"))"),"Autre à préciser")</f>
        <v>Autre à préciser</v>
      </c>
      <c r="I411" s="188" t="str">
        <f>IFERROR(__xludf.DUMMYFUNCTION("TRIM(REGEXREPLACE(E411, ""[0-9]+[a-f]?\."", """"))"),"Wani daban a baiyana")</f>
        <v>Wani daban a baiyana</v>
      </c>
      <c r="J411" s="188" t="s">
        <v>3361</v>
      </c>
      <c r="K411" s="188" t="s">
        <v>3362</v>
      </c>
      <c r="L411" s="188" t="s">
        <v>3363</v>
      </c>
    </row>
    <row r="412" hidden="1">
      <c r="A412" s="221"/>
      <c r="B412" s="198"/>
      <c r="C412" s="190"/>
      <c r="D412" s="190"/>
      <c r="E412" s="190"/>
      <c r="F412" s="195">
        <v>255.0</v>
      </c>
      <c r="G412" s="188" t="str">
        <f>IFERROR(__xludf.DUMMYFUNCTION("TRIM(REGEXREPLACE(C412, ""[0-9]+[a-f]?\."", """"))"),"")</f>
        <v/>
      </c>
      <c r="H412" s="188" t="str">
        <f>IFERROR(__xludf.DUMMYFUNCTION("TRIM(REGEXREPLACE(D412, ""[0-9]+[a-f]?\."", """"))"),"")</f>
        <v/>
      </c>
      <c r="I412" s="188" t="str">
        <f>IFERROR(__xludf.DUMMYFUNCTION("TRIM(REGEXREPLACE(E412, ""[0-9]+[a-f]?\."", """"))"),"")</f>
        <v/>
      </c>
      <c r="J412" s="188" t="s">
        <v>3367</v>
      </c>
      <c r="K412" s="188" t="s">
        <v>3368</v>
      </c>
      <c r="L412" s="188" t="s">
        <v>3369</v>
      </c>
    </row>
    <row r="413" hidden="1">
      <c r="A413" s="221"/>
      <c r="B413" s="198"/>
      <c r="C413" s="190"/>
      <c r="D413" s="190"/>
      <c r="E413" s="190"/>
      <c r="F413" s="195">
        <v>256.0</v>
      </c>
      <c r="G413" s="188" t="str">
        <f>IFERROR(__xludf.DUMMYFUNCTION("TRIM(REGEXREPLACE(C413, ""[0-9]+[a-f]?\."", """"))"),"")</f>
        <v/>
      </c>
      <c r="H413" s="188" t="str">
        <f>IFERROR(__xludf.DUMMYFUNCTION("TRIM(REGEXREPLACE(D413, ""[0-9]+[a-f]?\."", """"))"),"")</f>
        <v/>
      </c>
      <c r="I413" s="188" t="str">
        <f>IFERROR(__xludf.DUMMYFUNCTION("TRIM(REGEXREPLACE(E413, ""[0-9]+[a-f]?\."", """"))"),"")</f>
        <v/>
      </c>
      <c r="J413" s="188" t="s">
        <v>3373</v>
      </c>
      <c r="K413" s="188" t="s">
        <v>3374</v>
      </c>
      <c r="L413" s="188" t="s">
        <v>3375</v>
      </c>
    </row>
    <row r="414" hidden="1">
      <c r="A414" s="221" t="s">
        <v>256</v>
      </c>
      <c r="B414" s="198" t="s">
        <v>3376</v>
      </c>
      <c r="C414" s="190"/>
      <c r="D414" s="190"/>
      <c r="E414" s="190"/>
      <c r="F414" s="195">
        <v>257.0</v>
      </c>
      <c r="G414" s="188" t="str">
        <f>IFERROR(__xludf.DUMMYFUNCTION("TRIM(REGEXREPLACE(C414, ""[0-9]+[a-f]?\."", """"))"),"")</f>
        <v/>
      </c>
      <c r="H414" s="188" t="str">
        <f>IFERROR(__xludf.DUMMYFUNCTION("TRIM(REGEXREPLACE(D414, ""[0-9]+[a-f]?\."", """"))"),"")</f>
        <v/>
      </c>
      <c r="I414" s="188" t="str">
        <f>IFERROR(__xludf.DUMMYFUNCTION("TRIM(REGEXREPLACE(E414, ""[0-9]+[a-f]?\."", """"))"),"")</f>
        <v/>
      </c>
      <c r="J414" s="188" t="s">
        <v>3380</v>
      </c>
      <c r="K414" s="188" t="s">
        <v>3381</v>
      </c>
      <c r="L414" s="188" t="s">
        <v>3382</v>
      </c>
    </row>
    <row r="415" hidden="1">
      <c r="A415" s="221" t="s">
        <v>112</v>
      </c>
      <c r="B415" s="198" t="s">
        <v>3383</v>
      </c>
      <c r="C415" s="190"/>
      <c r="D415" s="190"/>
      <c r="E415" s="190"/>
      <c r="F415" s="195">
        <v>284.0</v>
      </c>
      <c r="G415" s="188" t="str">
        <f>IFERROR(__xludf.DUMMYFUNCTION("TRIM(REGEXREPLACE(C415, ""[0-9]+[a-f]?\."", """"))"),"")</f>
        <v/>
      </c>
      <c r="H415" s="188" t="str">
        <f>IFERROR(__xludf.DUMMYFUNCTION("TRIM(REGEXREPLACE(D415, ""[0-9]+[a-f]?\."", """"))"),"")</f>
        <v/>
      </c>
      <c r="I415" s="188" t="str">
        <f>IFERROR(__xludf.DUMMYFUNCTION("TRIM(REGEXREPLACE(E415, ""[0-9]+[a-f]?\."", """"))"),"")</f>
        <v/>
      </c>
      <c r="J415" s="188" t="s">
        <v>3384</v>
      </c>
      <c r="K415" s="188" t="s">
        <v>3385</v>
      </c>
      <c r="L415" s="188" t="s">
        <v>3387</v>
      </c>
    </row>
    <row r="416" hidden="1">
      <c r="A416" s="308"/>
      <c r="B416" s="309"/>
      <c r="C416" s="190"/>
      <c r="D416" s="190"/>
      <c r="E416" s="190"/>
      <c r="F416" s="195">
        <v>258.0</v>
      </c>
      <c r="G416" s="188" t="str">
        <f>IFERROR(__xludf.DUMMYFUNCTION("TRIM(REGEXREPLACE(C416, ""[0-9]+[a-f]?\."", """"))"),"")</f>
        <v/>
      </c>
      <c r="H416" s="188" t="str">
        <f>IFERROR(__xludf.DUMMYFUNCTION("TRIM(REGEXREPLACE(D416, ""[0-9]+[a-f]?\."", """"))"),"")</f>
        <v/>
      </c>
      <c r="I416" s="188" t="str">
        <f>IFERROR(__xludf.DUMMYFUNCTION("TRIM(REGEXREPLACE(E416, ""[0-9]+[a-f]?\."", """"))"),"")</f>
        <v/>
      </c>
      <c r="J416" s="188" t="s">
        <v>3391</v>
      </c>
      <c r="K416" s="188" t="s">
        <v>3392</v>
      </c>
      <c r="L416" s="188" t="s">
        <v>3393</v>
      </c>
    </row>
    <row r="417" hidden="1">
      <c r="A417" s="221" t="s">
        <v>256</v>
      </c>
      <c r="B417" s="198" t="s">
        <v>3394</v>
      </c>
      <c r="C417" s="190"/>
      <c r="D417" s="190"/>
      <c r="E417" s="190"/>
      <c r="F417" s="195">
        <v>259.0</v>
      </c>
      <c r="G417" s="188" t="str">
        <f>IFERROR(__xludf.DUMMYFUNCTION("TRIM(REGEXREPLACE(C417, ""[0-9]+[a-f]?\."", """"))"),"")</f>
        <v/>
      </c>
      <c r="H417" s="188" t="str">
        <f>IFERROR(__xludf.DUMMYFUNCTION("TRIM(REGEXREPLACE(D417, ""[0-9]+[a-f]?\."", """"))"),"")</f>
        <v/>
      </c>
      <c r="I417" s="188" t="str">
        <f>IFERROR(__xludf.DUMMYFUNCTION("TRIM(REGEXREPLACE(E417, ""[0-9]+[a-f]?\."", """"))"),"")</f>
        <v/>
      </c>
      <c r="J417" s="188" t="s">
        <v>3395</v>
      </c>
      <c r="K417" s="188" t="s">
        <v>3396</v>
      </c>
      <c r="L417" s="188" t="s">
        <v>3397</v>
      </c>
    </row>
    <row r="418" hidden="1">
      <c r="A418" s="310" t="s">
        <v>278</v>
      </c>
      <c r="B418" s="311" t="s">
        <v>3398</v>
      </c>
      <c r="C418" s="190"/>
      <c r="D418" s="190"/>
      <c r="E418" s="190"/>
      <c r="F418" s="195">
        <v>77.0</v>
      </c>
      <c r="G418" s="188" t="str">
        <f>IFERROR(__xludf.DUMMYFUNCTION("TRIM(REGEXREPLACE(C418, ""[0-9]+[a-f]?\."", """"))"),"")</f>
        <v/>
      </c>
      <c r="H418" s="188" t="str">
        <f>IFERROR(__xludf.DUMMYFUNCTION("TRIM(REGEXREPLACE(D418, ""[0-9]+[a-f]?\."", """"))"),"")</f>
        <v/>
      </c>
      <c r="I418" s="188" t="str">
        <f>IFERROR(__xludf.DUMMYFUNCTION("TRIM(REGEXREPLACE(E418, ""[0-9]+[a-f]?\."", """"))"),"")</f>
        <v/>
      </c>
      <c r="J418" s="188" t="str">
        <f t="shared" ref="J418:L418" si="26">$F418 &amp; ". "&amp;G418</f>
        <v>77. </v>
      </c>
      <c r="K418" s="188" t="str">
        <f t="shared" si="26"/>
        <v>77. </v>
      </c>
      <c r="L418" s="188" t="str">
        <f t="shared" si="26"/>
        <v>77. </v>
      </c>
    </row>
    <row r="419">
      <c r="A419" s="297" t="s">
        <v>46</v>
      </c>
      <c r="B419" s="298" t="s">
        <v>3399</v>
      </c>
      <c r="C419" s="190" t="s">
        <v>3400</v>
      </c>
      <c r="D419" s="190" t="s">
        <v>3401</v>
      </c>
      <c r="E419" s="190" t="s">
        <v>3402</v>
      </c>
      <c r="F419" s="195">
        <v>180.0</v>
      </c>
      <c r="G419" s="188" t="str">
        <f>IFERROR(__xludf.DUMMYFUNCTION("TRIM(REGEXREPLACE(C419, ""[0-9]+[a-f]?\."", """"))"),"I would like to ask you a few questions about your health and wellbeing")</f>
        <v>I would like to ask you a few questions about your health and wellbeing</v>
      </c>
      <c r="H419" s="188" t="str">
        <f>IFERROR(__xludf.DUMMYFUNCTION("TRIM(REGEXREPLACE(D419, ""[0-9]+[a-f]?\."", """"))"),"Je voudrais vous poser quelques questions sur votre santé et votre bien-être")</f>
        <v>Je voudrais vous poser quelques questions sur votre santé et votre bien-être</v>
      </c>
      <c r="I419" s="188" t="str">
        <f>IFERROR(__xludf.DUMMYFUNCTION("TRIM(REGEXREPLACE(E419, ""[0-9]+[a-f]?\."", """"))"),"Ina so in yi muku wasu ƴan tambayoyi game da lafiyar jikinku da jin daɗin ku")</f>
        <v>Ina so in yi muku wasu ƴan tambayoyi game da lafiyar jikinku da jin daɗin ku</v>
      </c>
      <c r="J419" s="188" t="s">
        <v>3403</v>
      </c>
      <c r="K419" s="188" t="s">
        <v>3404</v>
      </c>
      <c r="L419" s="188" t="s">
        <v>3405</v>
      </c>
    </row>
    <row r="420">
      <c r="A420" s="299" t="s">
        <v>1916</v>
      </c>
      <c r="B420" s="300" t="s">
        <v>3406</v>
      </c>
      <c r="C420" s="190" t="s">
        <v>3407</v>
      </c>
      <c r="D420" s="190" t="s">
        <v>3408</v>
      </c>
      <c r="E420" s="190" t="s">
        <v>3409</v>
      </c>
      <c r="F420" s="195">
        <v>181.0</v>
      </c>
      <c r="G420" s="188" t="str">
        <f>IFERROR(__xludf.DUMMYFUNCTION("TRIM(REGEXREPLACE(C420, ""[0-9]+[a-f]?\."", """"))"),"In general, how would you characterize your physical health?")</f>
        <v>In general, how would you characterize your physical health?</v>
      </c>
      <c r="H420" s="188" t="str">
        <f>IFERROR(__xludf.DUMMYFUNCTION("TRIM(REGEXREPLACE(D420, ""[0-9]+[a-f]?\."", """"))"),"En général, comment caractériseriez-vous votre santé physique ?")</f>
        <v>En général, comment caractériseriez-vous votre santé physique ?</v>
      </c>
      <c r="I420" s="188" t="str">
        <f>IFERROR(__xludf.DUMMYFUNCTION("TRIM(REGEXREPLACE(E420, ""[0-9]+[a-f]?\."", """"))"),"A taƙaice, yaya za ku siffanta lafiyar jikin ku?")</f>
        <v>A taƙaice, yaya za ku siffanta lafiyar jikin ku?</v>
      </c>
      <c r="J420" s="188" t="s">
        <v>3411</v>
      </c>
      <c r="K420" s="188" t="s">
        <v>3412</v>
      </c>
      <c r="L420" s="188" t="s">
        <v>3414</v>
      </c>
    </row>
    <row r="421">
      <c r="A421" s="299" t="s">
        <v>1060</v>
      </c>
      <c r="B421" s="300" t="s">
        <v>3417</v>
      </c>
      <c r="C421" s="190" t="s">
        <v>3418</v>
      </c>
      <c r="D421" s="190" t="s">
        <v>3419</v>
      </c>
      <c r="E421" s="190" t="s">
        <v>3421</v>
      </c>
      <c r="F421" s="195">
        <v>182.0</v>
      </c>
      <c r="G421" s="188" t="str">
        <f>IFERROR(__xludf.DUMMYFUNCTION("TRIM(REGEXREPLACE(C421, ""[0-9]+[a-f]?\."", """"))"),"Do you currently suffer from any illness or disability that limits your ability to travel or work?")</f>
        <v>Do you currently suffer from any illness or disability that limits your ability to travel or work?</v>
      </c>
      <c r="H421" s="188" t="str">
        <f>IFERROR(__xludf.DUMMYFUNCTION("TRIM(REGEXREPLACE(D421, ""[0-9]+[a-f]?\."", """"))"),"Souffrez-vous actuellement d'une maladie ou d'un handicap qui limite votre capacité à voyager ou à travailler ?")</f>
        <v>Souffrez-vous actuellement d'une maladie ou d'un handicap qui limite votre capacité à voyager ou à travailler ?</v>
      </c>
      <c r="I421" s="188" t="str">
        <f>IFERROR(__xludf.DUMMYFUNCTION("TRIM(REGEXREPLACE(E421, ""[0-9]+[a-f]?\."", """"))"),"A halin yanzu, ko kuna fama da wata rashin lafiya ko naƙasa da ke iya kawo muku cikas game da tahiya bulaguro ko yin aiki?")</f>
        <v>A halin yanzu, ko kuna fama da wata rashin lafiya ko naƙasa da ke iya kawo muku cikas game da tahiya bulaguro ko yin aiki?</v>
      </c>
      <c r="J421" s="188" t="s">
        <v>3422</v>
      </c>
      <c r="K421" s="188" t="s">
        <v>3423</v>
      </c>
      <c r="L421" s="188" t="s">
        <v>3424</v>
      </c>
    </row>
    <row r="422">
      <c r="A422" s="299" t="s">
        <v>3425</v>
      </c>
      <c r="B422" s="300" t="s">
        <v>3426</v>
      </c>
      <c r="C422" s="190" t="s">
        <v>3427</v>
      </c>
      <c r="D422" s="190" t="s">
        <v>3428</v>
      </c>
      <c r="E422" s="190" t="s">
        <v>3429</v>
      </c>
      <c r="F422" s="195">
        <v>183.0</v>
      </c>
      <c r="G422" s="188" t="str">
        <f>IFERROR(__xludf.DUMMYFUNCTION("TRIM(REGEXREPLACE(C422, ""[0-9]+[a-f]?\."", """"))"),"What illness limits you in this way?")</f>
        <v>What illness limits you in this way?</v>
      </c>
      <c r="H422" s="188" t="str">
        <f>IFERROR(__xludf.DUMMYFUNCTION("TRIM(REGEXREPLACE(D422, ""[0-9]+[a-f]?\."", """"))"),"Quelle maladie vous limite de cette manière ?")</f>
        <v>Quelle maladie vous limite de cette manière ?</v>
      </c>
      <c r="I422" s="188" t="str">
        <f>IFERROR(__xludf.DUMMYFUNCTION("TRIM(REGEXREPLACE(E422, ""[0-9]+[a-f]?\."", """"))"),"Wace cuta ce ke tsaida ku a kan wannan?")</f>
        <v>Wace cuta ce ke tsaida ku a kan wannan?</v>
      </c>
      <c r="J422" s="188" t="s">
        <v>3434</v>
      </c>
      <c r="K422" s="188" t="s">
        <v>3435</v>
      </c>
      <c r="L422" s="188" t="s">
        <v>3436</v>
      </c>
    </row>
    <row r="423">
      <c r="A423" s="301" t="s">
        <v>220</v>
      </c>
      <c r="B423" s="302" t="s">
        <v>3437</v>
      </c>
      <c r="C423" s="190" t="s">
        <v>3438</v>
      </c>
      <c r="D423" s="190" t="s">
        <v>3439</v>
      </c>
      <c r="E423" s="190" t="s">
        <v>3440</v>
      </c>
      <c r="F423" s="195">
        <v>184.0</v>
      </c>
      <c r="G423" s="188" t="str">
        <f>IFERROR(__xludf.DUMMYFUNCTION("TRIM(REGEXREPLACE(C423, ""[0-9]+[a-f]?\."", """"))"),"Other, specify:")</f>
        <v>Other, specify:</v>
      </c>
      <c r="H423" s="188" t="str">
        <f>IFERROR(__xludf.DUMMYFUNCTION("TRIM(REGEXREPLACE(D423, ""[0-9]+[a-f]?\."", """"))"),"Autre précisez:")</f>
        <v>Autre précisez:</v>
      </c>
      <c r="I423" s="188" t="str">
        <f>IFERROR(__xludf.DUMMYFUNCTION("TRIM(REGEXREPLACE(E423, ""[0-9]+[a-f]?\."", """"))"),"Sauran, bayar da cikakkun bayanai:")</f>
        <v>Sauran, bayar da cikakkun bayanai:</v>
      </c>
      <c r="J423" s="188" t="s">
        <v>3441</v>
      </c>
      <c r="K423" s="188" t="s">
        <v>3442</v>
      </c>
      <c r="L423" s="188" t="s">
        <v>3443</v>
      </c>
    </row>
    <row r="424">
      <c r="A424" s="299" t="s">
        <v>1060</v>
      </c>
      <c r="B424" s="300" t="s">
        <v>3444</v>
      </c>
      <c r="C424" s="190" t="s">
        <v>3445</v>
      </c>
      <c r="D424" s="190" t="s">
        <v>1955</v>
      </c>
      <c r="E424" s="190" t="s">
        <v>3448</v>
      </c>
      <c r="F424" s="195">
        <v>185.0</v>
      </c>
      <c r="G424" s="188" t="str">
        <f>IFERROR(__xludf.DUMMYFUNCTION("TRIM(REGEXREPLACE(C424, ""[0-9]+[a-f]?\."", """"))"),"In the past six months, did you suffer from an illness or injury that disrupted your daily life?")</f>
        <v>In the past six months, did you suffer from an illness or injury that disrupted your daily life?</v>
      </c>
      <c r="H424" s="188" t="str">
        <f>IFERROR(__xludf.DUMMYFUNCTION("TRIM(REGEXREPLACE(D424, ""[0-9]+[a-f]?\."", """"))"),"Au cours des six derniers mois, avez-vous souffert d'une maladie ou d'une blessure qui a perturbé votre quotidien ?")</f>
        <v>Au cours des six derniers mois, avez-vous souffert d'une maladie ou d'une blessure qui a perturbé votre quotidien ?</v>
      </c>
      <c r="I424" s="188" t="str">
        <f>IFERROR(__xludf.DUMMYFUNCTION("TRIM(REGEXREPLACE(E424, ""[0-9]+[a-f]?\."", """"))"),"A cikin watanni shida da suka gabata, ko kun yi fama da rashin lafiya ko rauni wanda ya kawo cikas ga rayuwar yau da kullun?")</f>
        <v>A cikin watanni shida da suka gabata, ko kun yi fama da rashin lafiya ko rauni wanda ya kawo cikas ga rayuwar yau da kullun?</v>
      </c>
      <c r="J424" s="188" t="s">
        <v>3450</v>
      </c>
      <c r="K424" s="188" t="s">
        <v>3451</v>
      </c>
      <c r="L424" s="188" t="s">
        <v>3452</v>
      </c>
    </row>
    <row r="425">
      <c r="A425" s="299" t="s">
        <v>3425</v>
      </c>
      <c r="B425" s="300" t="s">
        <v>3453</v>
      </c>
      <c r="C425" s="190" t="s">
        <v>3454</v>
      </c>
      <c r="D425" s="190" t="s">
        <v>3455</v>
      </c>
      <c r="E425" s="190" t="s">
        <v>3456</v>
      </c>
      <c r="F425" s="195">
        <v>186.0</v>
      </c>
      <c r="G425" s="188" t="str">
        <f>IFERROR(__xludf.DUMMYFUNCTION("TRIM(REGEXREPLACE(C425, ""[0-9]+[a-f]?\."", """"))"),"What type of illness or injury did you experience?")</f>
        <v>What type of illness or injury did you experience?</v>
      </c>
      <c r="H425" s="188" t="str">
        <f>IFERROR(__xludf.DUMMYFUNCTION("TRIM(REGEXREPLACE(D425, ""[0-9]+[a-f]?\."", """"))"),"Preciser le type de maladie ou de blessure")</f>
        <v>Preciser le type de maladie ou de blessure</v>
      </c>
      <c r="I425" s="188" t="str">
        <f>IFERROR(__xludf.DUMMYFUNCTION("TRIM(REGEXREPLACE(E425, ""[0-9]+[a-f]?\."", """"))"),"Baiyana irin ciwo ko raunin da kuka yi fama da shi?")</f>
        <v>Baiyana irin ciwo ko raunin da kuka yi fama da shi?</v>
      </c>
      <c r="J425" s="188" t="s">
        <v>3458</v>
      </c>
      <c r="K425" s="188" t="s">
        <v>3459</v>
      </c>
      <c r="L425" s="188" t="s">
        <v>3461</v>
      </c>
    </row>
    <row r="426">
      <c r="A426" s="301" t="s">
        <v>220</v>
      </c>
      <c r="B426" s="302" t="s">
        <v>3463</v>
      </c>
      <c r="C426" s="190" t="s">
        <v>3464</v>
      </c>
      <c r="D426" s="190" t="s">
        <v>3465</v>
      </c>
      <c r="E426" s="190" t="s">
        <v>3466</v>
      </c>
      <c r="F426" s="195">
        <v>187.0</v>
      </c>
      <c r="G426" s="188" t="str">
        <f>IFERROR(__xludf.DUMMYFUNCTION("TRIM(REGEXREPLACE(C426, ""[0-9]+[a-f]?\."", """"))"),"Specify other illness or injury")</f>
        <v>Specify other illness or injury</v>
      </c>
      <c r="H426" s="188" t="str">
        <f>IFERROR(__xludf.DUMMYFUNCTION("TRIM(REGEXREPLACE(D426, ""[0-9]+[a-f]?\."", """"))"),"Preciser le type de maladie ou de blessure")</f>
        <v>Preciser le type de maladie ou de blessure</v>
      </c>
      <c r="I426" s="188" t="str">
        <f>IFERROR(__xludf.DUMMYFUNCTION("TRIM(REGEXREPLACE(E426, ""[0-9]+[a-f]?\."", """"))"),"Baiyana irin ciwo ko raunin da kuka fama?")</f>
        <v>Baiyana irin ciwo ko raunin da kuka fama?</v>
      </c>
      <c r="J426" s="188" t="s">
        <v>3467</v>
      </c>
      <c r="K426" s="188" t="s">
        <v>3468</v>
      </c>
      <c r="L426" s="188" t="s">
        <v>3469</v>
      </c>
    </row>
    <row r="427">
      <c r="A427" s="299" t="s">
        <v>1060</v>
      </c>
      <c r="B427" s="300" t="s">
        <v>3470</v>
      </c>
      <c r="C427" s="190" t="s">
        <v>3471</v>
      </c>
      <c r="D427" s="190" t="s">
        <v>3472</v>
      </c>
      <c r="E427" s="190" t="s">
        <v>3473</v>
      </c>
      <c r="F427" s="195">
        <v>188.0</v>
      </c>
      <c r="G427" s="188" t="str">
        <f>IFERROR(__xludf.DUMMYFUNCTION("TRIM(REGEXREPLACE(C427, ""[0-9]+[a-f]?\."", """"))"),"Did you seek any treatment for any illness or injury?")</f>
        <v>Did you seek any treatment for any illness or injury?</v>
      </c>
      <c r="H427" s="188" t="str">
        <f>IFERROR(__xludf.DUMMYFUNCTION("TRIM(REGEXREPLACE(D427, ""[0-9]+[a-f]?\."", """"))"),"Avez-vous cherché un traitement pour une maladie ou une blessure ?")</f>
        <v>Avez-vous cherché un traitement pour une maladie ou une blessure ?</v>
      </c>
      <c r="I427" s="188" t="str">
        <f>IFERROR(__xludf.DUMMYFUNCTION("TRIM(REGEXREPLACE(E427, ""[0-9]+[a-f]?\."", """"))"),"Ko kun nemi wani magani don wata cuta ko rauni?")</f>
        <v>Ko kun nemi wani magani don wata cuta ko rauni?</v>
      </c>
      <c r="J427" s="188" t="s">
        <v>3475</v>
      </c>
      <c r="K427" s="188" t="s">
        <v>3476</v>
      </c>
      <c r="L427" s="188" t="s">
        <v>3477</v>
      </c>
    </row>
    <row r="428">
      <c r="A428" s="297" t="s">
        <v>46</v>
      </c>
      <c r="B428" s="298" t="s">
        <v>3478</v>
      </c>
      <c r="C428" s="190" t="s">
        <v>3479</v>
      </c>
      <c r="D428" s="190" t="s">
        <v>3480</v>
      </c>
      <c r="E428" s="190" t="s">
        <v>3481</v>
      </c>
      <c r="F428" s="195">
        <v>189.0</v>
      </c>
      <c r="G428" s="188" t="str">
        <f>IFERROR(__xludf.DUMMYFUNCTION("TRIM(REGEXREPLACE(C428, ""[0-9]+[a-f]?\."", """"))"),"Now I want to ask you about the past week (7 days)")</f>
        <v>Now I want to ask you about the past week (7 days)</v>
      </c>
      <c r="H428" s="188" t="str">
        <f>IFERROR(__xludf.DUMMYFUNCTION("TRIM(REGEXREPLACE(D428, ""[0-9]+[a-f]?\."", """"))"),"Maintenant, je veux vous poser des questions sur la semaine dernière (7 jours)")</f>
        <v>Maintenant, je veux vous poser des questions sur la semaine dernière (7 jours)</v>
      </c>
      <c r="I428" s="188" t="str">
        <f>IFERROR(__xludf.DUMMYFUNCTION("TRIM(REGEXREPLACE(E428, ""[0-9]+[a-f]?\."", """"))"),"Yanzu ina son in muku tambayoyi bisa satin (makon) da ya wuce (kwana 7)")</f>
        <v>Yanzu ina son in muku tambayoyi bisa satin (makon) da ya wuce (kwana 7)</v>
      </c>
      <c r="J428" s="188" t="s">
        <v>3482</v>
      </c>
      <c r="K428" s="188" t="s">
        <v>3483</v>
      </c>
      <c r="L428" s="188" t="s">
        <v>3484</v>
      </c>
    </row>
    <row r="429">
      <c r="A429" s="306" t="s">
        <v>247</v>
      </c>
      <c r="B429" s="307" t="s">
        <v>3485</v>
      </c>
      <c r="C429" s="190" t="s">
        <v>3486</v>
      </c>
      <c r="D429" s="190" t="s">
        <v>3487</v>
      </c>
      <c r="E429" s="190" t="s">
        <v>3488</v>
      </c>
      <c r="F429" s="195">
        <v>190.0</v>
      </c>
      <c r="G429" s="188" t="str">
        <f>IFERROR(__xludf.DUMMYFUNCTION("TRIM(REGEXREPLACE(C429, ""[0-9]+[a-f]?\."", """"))"),"How many hours of sleep per night did you get on average in the last seven days?")</f>
        <v>How many hours of sleep per night did you get on average in the last seven days?</v>
      </c>
      <c r="H429" s="188" t="str">
        <f>IFERROR(__xludf.DUMMYFUNCTION("TRIM(REGEXREPLACE(D429, ""[0-9]+[a-f]?\."", """"))"),"Combien d'heures de sommeil par nuit avez-vous dormi en moyenne au cours des sept derniers jours ?")</f>
        <v>Combien d'heures de sommeil par nuit avez-vous dormi en moyenne au cours des sept derniers jours ?</v>
      </c>
      <c r="I429" s="188" t="str">
        <f>IFERROR(__xludf.DUMMYFUNCTION("TRIM(REGEXREPLACE(E429, ""[0-9]+[a-f]?\."", """"))"),"Misalin Sa'o'i nawa a taƙaice kuke yin barci a kowane dare a cikin kwanaki bakwai na ƙarshe da suka wuce?")</f>
        <v>Misalin Sa'o'i nawa a taƙaice kuke yin barci a kowane dare a cikin kwanaki bakwai na ƙarshe da suka wuce?</v>
      </c>
      <c r="J429" s="188" t="s">
        <v>3489</v>
      </c>
      <c r="K429" s="188" t="s">
        <v>3490</v>
      </c>
      <c r="L429" s="188" t="s">
        <v>3491</v>
      </c>
    </row>
    <row r="430" hidden="1">
      <c r="A430" s="313"/>
      <c r="B430" s="314"/>
      <c r="C430" s="190"/>
      <c r="D430" s="190"/>
      <c r="E430" s="190"/>
      <c r="F430" s="195">
        <v>89.0</v>
      </c>
      <c r="G430" s="188" t="str">
        <f>IFERROR(__xludf.DUMMYFUNCTION("TRIM(REGEXREPLACE(C430, ""[0-9]+[a-f]?\."", """"))"),"")</f>
        <v/>
      </c>
      <c r="H430" s="188" t="str">
        <f>IFERROR(__xludf.DUMMYFUNCTION("TRIM(REGEXREPLACE(D430, ""[0-9]+[a-f]?\."", """"))"),"")</f>
        <v/>
      </c>
      <c r="I430" s="188" t="str">
        <f>IFERROR(__xludf.DUMMYFUNCTION("TRIM(REGEXREPLACE(E430, ""[0-9]+[a-f]?\."", """"))"),"")</f>
        <v/>
      </c>
      <c r="J430" s="188" t="str">
        <f t="shared" ref="J430:L430" si="27">$F430 &amp; ". "&amp;G430</f>
        <v>89. </v>
      </c>
      <c r="K430" s="188" t="str">
        <f t="shared" si="27"/>
        <v>89. </v>
      </c>
      <c r="L430" s="188" t="str">
        <f t="shared" si="27"/>
        <v>89. </v>
      </c>
    </row>
    <row r="431" hidden="1">
      <c r="A431" s="310" t="s">
        <v>278</v>
      </c>
      <c r="B431" s="311" t="s">
        <v>3493</v>
      </c>
      <c r="C431" s="190"/>
      <c r="D431" s="190"/>
      <c r="E431" s="190"/>
      <c r="F431" s="195">
        <v>90.0</v>
      </c>
      <c r="G431" s="188" t="str">
        <f>IFERROR(__xludf.DUMMYFUNCTION("TRIM(REGEXREPLACE(C431, ""[0-9]+[a-f]?\."", """"))"),"")</f>
        <v/>
      </c>
      <c r="H431" s="188" t="str">
        <f>IFERROR(__xludf.DUMMYFUNCTION("TRIM(REGEXREPLACE(D431, ""[0-9]+[a-f]?\."", """"))"),"")</f>
        <v/>
      </c>
      <c r="I431" s="188" t="str">
        <f>IFERROR(__xludf.DUMMYFUNCTION("TRIM(REGEXREPLACE(E431, ""[0-9]+[a-f]?\."", """"))"),"")</f>
        <v/>
      </c>
      <c r="J431" s="188" t="str">
        <f t="shared" ref="J431:L431" si="28">$F431 &amp; ". "&amp;G431</f>
        <v>90. </v>
      </c>
      <c r="K431" s="188" t="str">
        <f t="shared" si="28"/>
        <v>90. </v>
      </c>
      <c r="L431" s="188" t="str">
        <f t="shared" si="28"/>
        <v>90. </v>
      </c>
    </row>
    <row r="432">
      <c r="A432" s="299" t="s">
        <v>2011</v>
      </c>
      <c r="B432" s="300" t="s">
        <v>3494</v>
      </c>
      <c r="C432" s="190" t="s">
        <v>3495</v>
      </c>
      <c r="D432" s="190" t="s">
        <v>3496</v>
      </c>
      <c r="E432" s="190" t="s">
        <v>3497</v>
      </c>
      <c r="F432" s="195">
        <v>191.0</v>
      </c>
      <c r="G432" s="188" t="str">
        <f>IFERROR(__xludf.DUMMYFUNCTION("TRIM(REGEXREPLACE(C432, ""[0-9]+[a-f]?\."", """"))"),"In the past week, how often did you experience the following feelings?")</f>
        <v>In the past week, how often did you experience the following feelings?</v>
      </c>
      <c r="H432" s="188" t="str">
        <f>IFERROR(__xludf.DUMMYFUNCTION("TRIM(REGEXREPLACE(D432, ""[0-9]+[a-f]?\."", """"))"),"Au cours de la semaine dernière, à quelle fréquence avez-vous ressenti les sentiments suivants ?")</f>
        <v>Au cours de la semaine dernière, à quelle fréquence avez-vous ressenti les sentiments suivants ?</v>
      </c>
      <c r="I432" s="188" t="str">
        <f>IFERROR(__xludf.DUMMYFUNCTION("TRIM(REGEXREPLACE(E432, ""[0-9]+[a-f]?\."", """"))"),"A cikin satin da ya wuce, sau nawa kuka ji irin waɗannan abubuwan a ranku?")</f>
        <v>A cikin satin da ya wuce, sau nawa kuka ji irin waɗannan abubuwan a ranku?</v>
      </c>
      <c r="J432" s="188" t="s">
        <v>3498</v>
      </c>
      <c r="K432" s="188" t="s">
        <v>3499</v>
      </c>
      <c r="L432" s="188" t="s">
        <v>3500</v>
      </c>
    </row>
    <row r="433">
      <c r="A433" s="299" t="s">
        <v>2011</v>
      </c>
      <c r="B433" s="300" t="s">
        <v>3503</v>
      </c>
      <c r="C433" s="190" t="s">
        <v>3504</v>
      </c>
      <c r="D433" s="190" t="s">
        <v>3506</v>
      </c>
      <c r="E433" s="190" t="s">
        <v>3507</v>
      </c>
      <c r="F433" s="195">
        <v>192.0</v>
      </c>
      <c r="G433" s="188" t="str">
        <f>IFERROR(__xludf.DUMMYFUNCTION("TRIM(REGEXREPLACE(C433, ""[0-9]+[a-f]?\."", """"))"),"Enjoyment")</f>
        <v>Enjoyment</v>
      </c>
      <c r="H433" s="188" t="str">
        <f>IFERROR(__xludf.DUMMYFUNCTION("TRIM(REGEXREPLACE(D433, ""[0-9]+[a-f]?\."", """"))"),"Plaisir")</f>
        <v>Plaisir</v>
      </c>
      <c r="I433" s="188" t="str">
        <f>IFERROR(__xludf.DUMMYFUNCTION("TRIM(REGEXREPLACE(E433, ""[0-9]+[a-f]?\."", """"))"),"jin daɗi")</f>
        <v>jin daɗi</v>
      </c>
      <c r="J433" s="188" t="s">
        <v>3508</v>
      </c>
      <c r="K433" s="188" t="s">
        <v>3509</v>
      </c>
      <c r="L433" s="188" t="s">
        <v>3510</v>
      </c>
    </row>
    <row r="434">
      <c r="A434" s="299" t="s">
        <v>2011</v>
      </c>
      <c r="B434" s="300" t="s">
        <v>3511</v>
      </c>
      <c r="C434" s="190" t="s">
        <v>3512</v>
      </c>
      <c r="D434" s="190" t="s">
        <v>3513</v>
      </c>
      <c r="E434" s="190" t="s">
        <v>3515</v>
      </c>
      <c r="F434" s="195">
        <v>193.0</v>
      </c>
      <c r="G434" s="188" t="str">
        <f>IFERROR(__xludf.DUMMYFUNCTION("TRIM(REGEXREPLACE(C434, ""[0-9]+[a-f]?\."", """"))"),"Happiness")</f>
        <v>Happiness</v>
      </c>
      <c r="H434" s="188" t="str">
        <f>IFERROR(__xludf.DUMMYFUNCTION("TRIM(REGEXREPLACE(D434, ""[0-9]+[a-f]?\."", """"))"),"Bonheur")</f>
        <v>Bonheur</v>
      </c>
      <c r="I434" s="188" t="str">
        <f>IFERROR(__xludf.DUMMYFUNCTION("TRIM(REGEXREPLACE(E434, ""[0-9]+[a-f]?\."", """"))"),"Farin ciki")</f>
        <v>Farin ciki</v>
      </c>
      <c r="J434" s="188" t="s">
        <v>3518</v>
      </c>
      <c r="K434" s="188" t="s">
        <v>3519</v>
      </c>
      <c r="L434" s="188" t="s">
        <v>3520</v>
      </c>
    </row>
    <row r="435">
      <c r="A435" s="299" t="s">
        <v>2011</v>
      </c>
      <c r="B435" s="300" t="s">
        <v>3521</v>
      </c>
      <c r="C435" s="190" t="s">
        <v>3522</v>
      </c>
      <c r="D435" s="190" t="s">
        <v>3522</v>
      </c>
      <c r="E435" s="190" t="s">
        <v>3523</v>
      </c>
      <c r="F435" s="195">
        <v>194.0</v>
      </c>
      <c r="G435" s="188" t="str">
        <f>IFERROR(__xludf.DUMMYFUNCTION("TRIM(REGEXREPLACE(C435, ""[0-9]+[a-f]?\."", """"))"),"Stress")</f>
        <v>Stress</v>
      </c>
      <c r="H435" s="188" t="str">
        <f>IFERROR(__xludf.DUMMYFUNCTION("TRIM(REGEXREPLACE(D435, ""[0-9]+[a-f]?\."", """"))"),"Stress")</f>
        <v>Stress</v>
      </c>
      <c r="I435" s="188" t="str">
        <f>IFERROR(__xludf.DUMMYFUNCTION("TRIM(REGEXREPLACE(E435, ""[0-9]+[a-f]?\."", """"))"),"Babbar Damuwa")</f>
        <v>Babbar Damuwa</v>
      </c>
      <c r="J435" s="188" t="s">
        <v>3526</v>
      </c>
      <c r="K435" s="188" t="s">
        <v>3526</v>
      </c>
      <c r="L435" s="188" t="s">
        <v>3528</v>
      </c>
    </row>
    <row r="436">
      <c r="A436" s="299" t="s">
        <v>2011</v>
      </c>
      <c r="B436" s="300" t="s">
        <v>3529</v>
      </c>
      <c r="C436" s="190" t="s">
        <v>3530</v>
      </c>
      <c r="D436" s="190" t="s">
        <v>3531</v>
      </c>
      <c r="E436" s="190" t="s">
        <v>3532</v>
      </c>
      <c r="F436" s="195">
        <v>195.0</v>
      </c>
      <c r="G436" s="188" t="str">
        <f>IFERROR(__xludf.DUMMYFUNCTION("TRIM(REGEXREPLACE(C436, ""[0-9]+[a-f]?\."", """"))"),"Worry")</f>
        <v>Worry</v>
      </c>
      <c r="H436" s="188" t="str">
        <f>IFERROR(__xludf.DUMMYFUNCTION("TRIM(REGEXREPLACE(D436, ""[0-9]+[a-f]?\."", """"))"),"Inquiétude")</f>
        <v>Inquiétude</v>
      </c>
      <c r="I436" s="188" t="str">
        <f>IFERROR(__xludf.DUMMYFUNCTION("TRIM(REGEXREPLACE(E436, ""[0-9]+[a-f]?\."", """"))"),"Damuwa")</f>
        <v>Damuwa</v>
      </c>
      <c r="J436" s="188" t="s">
        <v>3533</v>
      </c>
      <c r="K436" s="188" t="s">
        <v>3534</v>
      </c>
      <c r="L436" s="188" t="s">
        <v>3535</v>
      </c>
    </row>
    <row r="437">
      <c r="A437" s="299" t="s">
        <v>2011</v>
      </c>
      <c r="B437" s="300" t="s">
        <v>3536</v>
      </c>
      <c r="C437" s="190" t="s">
        <v>3537</v>
      </c>
      <c r="D437" s="190" t="s">
        <v>3538</v>
      </c>
      <c r="E437" s="190" t="s">
        <v>3539</v>
      </c>
      <c r="F437" s="195">
        <v>196.0</v>
      </c>
      <c r="G437" s="188" t="str">
        <f>IFERROR(__xludf.DUMMYFUNCTION("TRIM(REGEXREPLACE(C437, ""[0-9]+[a-f]?\."", """"))"),"Anger")</f>
        <v>Anger</v>
      </c>
      <c r="H437" s="188" t="str">
        <f>IFERROR(__xludf.DUMMYFUNCTION("TRIM(REGEXREPLACE(D437, ""[0-9]+[a-f]?\."", """"))"),"Colère")</f>
        <v>Colère</v>
      </c>
      <c r="I437" s="188" t="str">
        <f>IFERROR(__xludf.DUMMYFUNCTION("TRIM(REGEXREPLACE(E437, ""[0-9]+[a-f]?\."", """"))"),"Fushi")</f>
        <v>Fushi</v>
      </c>
      <c r="J437" s="188" t="s">
        <v>3543</v>
      </c>
      <c r="K437" s="188" t="s">
        <v>3544</v>
      </c>
      <c r="L437" s="188" t="s">
        <v>3545</v>
      </c>
    </row>
    <row r="438">
      <c r="A438" s="299" t="s">
        <v>2011</v>
      </c>
      <c r="B438" s="300" t="s">
        <v>3546</v>
      </c>
      <c r="C438" s="190" t="s">
        <v>3547</v>
      </c>
      <c r="D438" s="190" t="s">
        <v>3548</v>
      </c>
      <c r="E438" s="190" t="s">
        <v>3549</v>
      </c>
      <c r="F438" s="195">
        <v>197.0</v>
      </c>
      <c r="G438" s="188" t="str">
        <f>IFERROR(__xludf.DUMMYFUNCTION("TRIM(REGEXREPLACE(C438, ""[0-9]+[a-f]?\."", """"))"),"Physical pain")</f>
        <v>Physical pain</v>
      </c>
      <c r="H438" s="188" t="str">
        <f>IFERROR(__xludf.DUMMYFUNCTION("TRIM(REGEXREPLACE(D438, ""[0-9]+[a-f]?\."", """"))"),"Douleur physique")</f>
        <v>Douleur physique</v>
      </c>
      <c r="I438" s="188" t="str">
        <f>IFERROR(__xludf.DUMMYFUNCTION("TRIM(REGEXREPLACE(E438, ""[0-9]+[a-f]?\."", """"))"),"ciwon jiki")</f>
        <v>ciwon jiki</v>
      </c>
      <c r="J438" s="188" t="s">
        <v>3550</v>
      </c>
      <c r="K438" s="188" t="s">
        <v>3551</v>
      </c>
      <c r="L438" s="188" t="s">
        <v>3552</v>
      </c>
    </row>
    <row r="439">
      <c r="A439" s="299" t="s">
        <v>2011</v>
      </c>
      <c r="B439" s="300" t="s">
        <v>3553</v>
      </c>
      <c r="C439" s="190" t="s">
        <v>3554</v>
      </c>
      <c r="D439" s="190" t="s">
        <v>3555</v>
      </c>
      <c r="E439" s="190" t="s">
        <v>3556</v>
      </c>
      <c r="F439" s="195">
        <v>198.0</v>
      </c>
      <c r="G439" s="188" t="str">
        <f>IFERROR(__xludf.DUMMYFUNCTION("TRIM(REGEXREPLACE(C439, ""[0-9]+[a-f]?\."", """"))"),"Loneliness")</f>
        <v>Loneliness</v>
      </c>
      <c r="H439" s="188" t="str">
        <f>IFERROR(__xludf.DUMMYFUNCTION("TRIM(REGEXREPLACE(D439, ""[0-9]+[a-f]?\."", """"))"),"Solitude")</f>
        <v>Solitude</v>
      </c>
      <c r="I439" s="188" t="str">
        <f>IFERROR(__xludf.DUMMYFUNCTION("TRIM(REGEXREPLACE(E439, ""[0-9]+[a-f]?\."", """"))"),"kadaici")</f>
        <v>kadaici</v>
      </c>
      <c r="J439" s="188" t="s">
        <v>3558</v>
      </c>
      <c r="K439" s="188" t="s">
        <v>3560</v>
      </c>
      <c r="L439" s="188" t="s">
        <v>3562</v>
      </c>
    </row>
    <row r="440" hidden="1">
      <c r="A440" s="310" t="s">
        <v>331</v>
      </c>
      <c r="B440" s="315" t="s">
        <v>3493</v>
      </c>
      <c r="C440" s="190"/>
      <c r="D440" s="190"/>
      <c r="E440" s="190"/>
      <c r="F440" s="195">
        <v>99.0</v>
      </c>
      <c r="G440" s="188" t="str">
        <f>IFERROR(__xludf.DUMMYFUNCTION("TRIM(REGEXREPLACE(C440, ""[0-9]+[a-f]?\."", """"))"),"")</f>
        <v/>
      </c>
      <c r="H440" s="188" t="str">
        <f>IFERROR(__xludf.DUMMYFUNCTION("TRIM(REGEXREPLACE(D440, ""[0-9]+[a-f]?\."", """"))"),"")</f>
        <v/>
      </c>
      <c r="I440" s="188" t="str">
        <f>IFERROR(__xludf.DUMMYFUNCTION("TRIM(REGEXREPLACE(E440, ""[0-9]+[a-f]?\."", """"))"),"")</f>
        <v/>
      </c>
      <c r="J440" s="188" t="str">
        <f t="shared" ref="J440:L440" si="29">$F440 &amp; ". "&amp;G440</f>
        <v>99. </v>
      </c>
      <c r="K440" s="188" t="str">
        <f t="shared" si="29"/>
        <v>99. </v>
      </c>
      <c r="L440" s="188" t="str">
        <f t="shared" si="29"/>
        <v>99. </v>
      </c>
    </row>
    <row r="441" hidden="1">
      <c r="A441" s="310" t="s">
        <v>278</v>
      </c>
      <c r="B441" s="311" t="s">
        <v>3566</v>
      </c>
      <c r="C441" s="190"/>
      <c r="D441" s="190"/>
      <c r="E441" s="190"/>
      <c r="F441" s="195">
        <v>100.0</v>
      </c>
      <c r="G441" s="188" t="str">
        <f>IFERROR(__xludf.DUMMYFUNCTION("TRIM(REGEXREPLACE(C441, ""[0-9]+[a-f]?\."", """"))"),"")</f>
        <v/>
      </c>
      <c r="H441" s="188" t="str">
        <f>IFERROR(__xludf.DUMMYFUNCTION("TRIM(REGEXREPLACE(D441, ""[0-9]+[a-f]?\."", """"))"),"")</f>
        <v/>
      </c>
      <c r="I441" s="188" t="str">
        <f>IFERROR(__xludf.DUMMYFUNCTION("TRIM(REGEXREPLACE(E441, ""[0-9]+[a-f]?\."", """"))"),"")</f>
        <v/>
      </c>
      <c r="J441" s="188" t="str">
        <f t="shared" ref="J441:L441" si="30">$F441 &amp; ". "&amp;G441</f>
        <v>100. </v>
      </c>
      <c r="K441" s="188" t="str">
        <f t="shared" si="30"/>
        <v>100. </v>
      </c>
      <c r="L441" s="188" t="str">
        <f t="shared" si="30"/>
        <v>100. </v>
      </c>
    </row>
    <row r="442">
      <c r="A442" s="299" t="s">
        <v>2100</v>
      </c>
      <c r="B442" s="300" t="s">
        <v>3567</v>
      </c>
      <c r="C442" s="190" t="s">
        <v>3568</v>
      </c>
      <c r="D442" s="190" t="s">
        <v>3569</v>
      </c>
      <c r="E442" s="190" t="s">
        <v>3570</v>
      </c>
      <c r="F442" s="195">
        <v>199.0</v>
      </c>
      <c r="G442" s="188" t="str">
        <f>IFERROR(__xludf.DUMMYFUNCTION("TRIM(REGEXREPLACE(C442, ""[0-9]+[a-f]?\."", """"))"),"I will now read out several statements. You should tell me whether these statements are true for you by using the following scale.")</f>
        <v>I will now read out several statements. You should tell me whether these statements are true for you by using the following scale.</v>
      </c>
      <c r="H442" s="188" t="str">
        <f>IFERROR(__xludf.DUMMYFUNCTION("TRIM(REGEXREPLACE(D442,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442" s="188" t="str">
        <f>IFERROR(__xludf.DUMMYFUNCTION("TRIM(REGEXREPLACE(E442,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442" s="188" t="s">
        <v>3571</v>
      </c>
      <c r="K442" s="188" t="s">
        <v>3572</v>
      </c>
      <c r="L442" s="188" t="s">
        <v>3573</v>
      </c>
    </row>
    <row r="443">
      <c r="A443" s="299" t="s">
        <v>2100</v>
      </c>
      <c r="B443" s="300" t="s">
        <v>3574</v>
      </c>
      <c r="C443" s="190" t="s">
        <v>3575</v>
      </c>
      <c r="D443" s="190" t="s">
        <v>3576</v>
      </c>
      <c r="E443" s="190" t="s">
        <v>3577</v>
      </c>
      <c r="F443" s="195">
        <v>200.0</v>
      </c>
      <c r="G443" s="188" t="str">
        <f>IFERROR(__xludf.DUMMYFUNCTION("TRIM(REGEXREPLACE(C443, ""[0-9]+[a-f]?\."", """"))"),"I feel I do not have much to be proud of.")</f>
        <v>I feel I do not have much to be proud of.</v>
      </c>
      <c r="H443" s="188" t="str">
        <f>IFERROR(__xludf.DUMMYFUNCTION("TRIM(REGEXREPLACE(D443, ""[0-9]+[a-f]?\."", """"))"),"Je sens que je n'ai pas beaucoup de raisons d'être fier (comblé).")</f>
        <v>Je sens que je n'ai pas beaucoup de raisons d'être fier (comblé).</v>
      </c>
      <c r="I443" s="188" t="str">
        <f>IFERROR(__xludf.DUMMYFUNCTION("TRIM(REGEXREPLACE(E443, ""[0-9]+[a-f]?\."", """"))"),"Ina jin ba ni da hujjojin jin daɗi.")</f>
        <v>Ina jin ba ni da hujjojin jin daɗi.</v>
      </c>
      <c r="J443" s="188" t="s">
        <v>3578</v>
      </c>
      <c r="K443" s="188" t="s">
        <v>3579</v>
      </c>
      <c r="L443" s="188" t="s">
        <v>3580</v>
      </c>
    </row>
    <row r="444">
      <c r="A444" s="299" t="s">
        <v>2100</v>
      </c>
      <c r="B444" s="300" t="s">
        <v>3581</v>
      </c>
      <c r="C444" s="190" t="s">
        <v>3582</v>
      </c>
      <c r="D444" s="190" t="s">
        <v>3583</v>
      </c>
      <c r="E444" s="190" t="s">
        <v>3584</v>
      </c>
      <c r="F444" s="195">
        <v>201.0</v>
      </c>
      <c r="G444" s="188" t="str">
        <f>IFERROR(__xludf.DUMMYFUNCTION("TRIM(REGEXREPLACE(C444, ""[0-9]+[a-f]?\."", """"))"),"At times I think I am no good at all.")</f>
        <v>At times I think I am no good at all.</v>
      </c>
      <c r="H444" s="188" t="str">
        <f>IFERROR(__xludf.DUMMYFUNCTION("TRIM(REGEXREPLACE(D444, ""[0-9]+[a-f]?\."", """"))"),"Parfois, je pense que je suis utile a rien")</f>
        <v>Parfois, je pense que je suis utile a rien</v>
      </c>
      <c r="I444" s="188" t="str">
        <f>IFERROR(__xludf.DUMMYFUNCTION("TRIM(REGEXREPLACE(E444, ""[0-9]+[a-f]?\."", """"))"),"A wasu lokuta ina ganin bani da amfani.")</f>
        <v>A wasu lokuta ina ganin bani da amfani.</v>
      </c>
      <c r="J444" s="188" t="s">
        <v>3585</v>
      </c>
      <c r="K444" s="188" t="s">
        <v>3586</v>
      </c>
      <c r="L444" s="188" t="s">
        <v>3587</v>
      </c>
    </row>
    <row r="445" hidden="1">
      <c r="A445" s="310" t="s">
        <v>331</v>
      </c>
      <c r="B445" s="315" t="s">
        <v>3566</v>
      </c>
      <c r="C445" s="190"/>
      <c r="D445" s="190"/>
      <c r="E445" s="190"/>
      <c r="F445" s="195">
        <v>287.0</v>
      </c>
      <c r="G445" s="188" t="str">
        <f>IFERROR(__xludf.DUMMYFUNCTION("TRIM(REGEXREPLACE(C445, ""[0-9]+[a-f]?\."", """"))"),"")</f>
        <v/>
      </c>
      <c r="H445" s="188" t="str">
        <f>IFERROR(__xludf.DUMMYFUNCTION("TRIM(REGEXREPLACE(D445, ""[0-9]+[a-f]?\."", """"))"),"")</f>
        <v/>
      </c>
      <c r="I445" s="188" t="str">
        <f>IFERROR(__xludf.DUMMYFUNCTION("TRIM(REGEXREPLACE(E445, ""[0-9]+[a-f]?\."", """"))"),"")</f>
        <v/>
      </c>
      <c r="J445" s="188" t="s">
        <v>3591</v>
      </c>
      <c r="K445" s="188" t="s">
        <v>3592</v>
      </c>
      <c r="L445" s="188" t="s">
        <v>3593</v>
      </c>
    </row>
    <row r="446">
      <c r="A446" s="306" t="s">
        <v>247</v>
      </c>
      <c r="B446" s="307" t="s">
        <v>3594</v>
      </c>
      <c r="C446" s="190" t="s">
        <v>3595</v>
      </c>
      <c r="D446" s="190" t="s">
        <v>3596</v>
      </c>
      <c r="E446" s="190" t="s">
        <v>3597</v>
      </c>
      <c r="F446" s="195">
        <v>202.0</v>
      </c>
      <c r="G446" s="188" t="str">
        <f>IFERROR(__xludf.DUMMYFUNCTION("TRIM(REGEXREPLACE(C446, ""[0-9]+[a-f]?\."", """"))"),"Please imagine a ladder with steps numbered from zero at the bottom to ten at the top. Suppose we say that the top of the ladder represents the best possible life for you and the bottom of the ladder represents the worst possible life for you. If the top "&amp;"step is 10 and the bottom step is 0, on which step of the ladder do you feel you personally stand at the present time?")</f>
        <v>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446" s="188" t="str">
        <f>IFERROR(__xludf.DUMMYFUNCTION("TRIM(REGEXREPLACE(D446, ""[0-9]+[a-f]?\."", """"))"),"Veuillez imaginer une échelle avec des marches numérotées de 0 en bas à 10 en haut. Supposons que le haut de l'échelle représente la meilleure vie possible pour vous et que le bas de l'échelle représente la pire vie possible pour vous. Si l'échelon supéri"&amp;"eur est 10 et l'échelon inférieur est 0, sur quel échelon de l'échelle pensez-vous que vous vous situez personnellement à l'heure actuelle ?")</f>
        <v>Veuillez imaginer une échelle avec des marches numérotées de 0 en bas à 10 en haut.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446" s="188" t="str">
        <f>IFERROR(__xludf.DUMMYFUNCTION("TRIM(REGEXREPLACE(E446, ""[0-9]+[a-f]?\."", """"))"),"Ku ƙaddara da wani ma'auni mai lambobi daga 0 a ƙasa zuwa 10 goma a sama. A ce saman mataki yana nuna mafi kyawun rayuwa a gare ku kuma kasan mataki yana nuna mafi munin rayuwa a gare ku. Idan matakin saman ya kasance 10 kuma matakin ƙasa shine 0, akan wa"&amp;"ne mataki na kurangar kake jin kai da kanka kake a halin yanzu?")</f>
        <v>Ku ƙaddara da wani ma'auni mai lambobi daga 0 a ƙasa zuwa 10 goma a sama. A ce saman mataki yana nuna mafi kyawun rayuwa a gare ku kuma kasan mataki yana nuna mafi munin rayuwa a gare ku. Idan matakin saman ya kasance 10 kuma matakin ƙasa shine 0, akan wane mataki na kurangar kake jin kai da kanka kake a halin yanzu?</v>
      </c>
      <c r="J446" s="188" t="s">
        <v>3598</v>
      </c>
      <c r="K446" s="188" t="s">
        <v>3599</v>
      </c>
      <c r="L446" s="188" t="s">
        <v>3600</v>
      </c>
    </row>
    <row r="447" hidden="1">
      <c r="A447" s="313"/>
      <c r="B447" s="314"/>
      <c r="C447" s="190"/>
      <c r="D447" s="190"/>
      <c r="E447" s="190"/>
      <c r="F447" s="195">
        <v>102.0</v>
      </c>
      <c r="G447" s="188" t="str">
        <f>IFERROR(__xludf.DUMMYFUNCTION("TRIM(REGEXREPLACE(C447, ""[0-9]+[a-f]?\."", """"))"),"")</f>
        <v/>
      </c>
      <c r="H447" s="188" t="str">
        <f>IFERROR(__xludf.DUMMYFUNCTION("TRIM(REGEXREPLACE(D447, ""[0-9]+[a-f]?\."", """"))"),"")</f>
        <v/>
      </c>
      <c r="I447" s="188" t="str">
        <f>IFERROR(__xludf.DUMMYFUNCTION("TRIM(REGEXREPLACE(E447, ""[0-9]+[a-f]?\."", """"))"),"")</f>
        <v/>
      </c>
      <c r="J447" s="188" t="str">
        <f t="shared" ref="J447:L447" si="31">$F447 &amp; ". "&amp;G447</f>
        <v>102. </v>
      </c>
      <c r="K447" s="188" t="str">
        <f t="shared" si="31"/>
        <v>102. </v>
      </c>
      <c r="L447" s="188" t="str">
        <f t="shared" si="31"/>
        <v>102. </v>
      </c>
    </row>
    <row r="448" hidden="1">
      <c r="A448" s="310" t="s">
        <v>278</v>
      </c>
      <c r="B448" s="311" t="s">
        <v>3601</v>
      </c>
      <c r="C448" s="190" t="s">
        <v>3602</v>
      </c>
      <c r="D448" s="190"/>
      <c r="E448" s="190"/>
      <c r="F448" s="195">
        <v>103.0</v>
      </c>
      <c r="G448" s="188" t="str">
        <f>IFERROR(__xludf.DUMMYFUNCTION("TRIM(REGEXREPLACE(C448, ""[0-9]+[a-f]?\."", """"))"),"Worries")</f>
        <v>Worries</v>
      </c>
      <c r="H448" s="188" t="str">
        <f>IFERROR(__xludf.DUMMYFUNCTION("TRIM(REGEXREPLACE(D448, ""[0-9]+[a-f]?\."", """"))"),"")</f>
        <v/>
      </c>
      <c r="I448" s="188" t="str">
        <f>IFERROR(__xludf.DUMMYFUNCTION("TRIM(REGEXREPLACE(E448, ""[0-9]+[a-f]?\."", """"))"),"")</f>
        <v/>
      </c>
      <c r="J448" s="188" t="str">
        <f t="shared" ref="J448:L448" si="32">$F448 &amp; ". "&amp;G448</f>
        <v>103. Worries</v>
      </c>
      <c r="K448" s="188" t="str">
        <f t="shared" si="32"/>
        <v>103. </v>
      </c>
      <c r="L448" s="188" t="str">
        <f t="shared" si="32"/>
        <v>103. </v>
      </c>
    </row>
    <row r="449">
      <c r="A449" s="297" t="s">
        <v>46</v>
      </c>
      <c r="B449" s="298" t="s">
        <v>3604</v>
      </c>
      <c r="C449" s="190" t="s">
        <v>3605</v>
      </c>
      <c r="D449" s="190" t="s">
        <v>3608</v>
      </c>
      <c r="E449" s="190" t="s">
        <v>3610</v>
      </c>
      <c r="F449" s="195">
        <v>203.0</v>
      </c>
      <c r="G449" s="188" t="str">
        <f>IFERROR(__xludf.DUMMYFUNCTION("TRIM(REGEXREPLACE(C449, ""[0-9]+[a-f]?\."", """"))"),"Now I am going to ask you about the areas of your life that worry you.")</f>
        <v>Now I am going to ask you about the areas of your life that worry you.</v>
      </c>
      <c r="H449" s="188" t="str">
        <f>IFERROR(__xludf.DUMMYFUNCTION("TRIM(REGEXREPLACE(D449, ""[0-9]+[a-f]?\."", """"))"),"Je voudrais maintenant vous poser des questions sur les choses qui vous inquiètent dans votre vie.")</f>
        <v>Je voudrais maintenant vous poser des questions sur les choses qui vous inquiètent dans votre vie.</v>
      </c>
      <c r="I449" s="188" t="str">
        <f>IFERROR(__xludf.DUMMYFUNCTION("TRIM(REGEXREPLACE(E449, ""[0-9]+[a-f]?\."", """"))"),"Yanzu ina son in tambaye ku bisa abubuwan da ke damun ku a cikin rayuwar ku.")</f>
        <v>Yanzu ina son in tambaye ku bisa abubuwan da ke damun ku a cikin rayuwar ku.</v>
      </c>
      <c r="J449" s="188" t="s">
        <v>3611</v>
      </c>
      <c r="K449" s="188" t="s">
        <v>3612</v>
      </c>
      <c r="L449" s="188" t="s">
        <v>3613</v>
      </c>
    </row>
    <row r="450">
      <c r="A450" s="299" t="s">
        <v>2139</v>
      </c>
      <c r="B450" s="300" t="s">
        <v>3614</v>
      </c>
      <c r="C450" s="190" t="s">
        <v>3616</v>
      </c>
      <c r="D450" s="190" t="s">
        <v>3619</v>
      </c>
      <c r="E450" s="190" t="s">
        <v>3620</v>
      </c>
      <c r="F450" s="195">
        <v>204.0</v>
      </c>
      <c r="G450" s="188" t="str">
        <f>IFERROR(__xludf.DUMMYFUNCTION("TRIM(REGEXREPLACE(C450, ""[0-9]+[a-f]?\."", """"))"),"How stressed are you about the following areas of your life?")</f>
        <v>How stressed are you about the following areas of your life?</v>
      </c>
      <c r="H450" s="188" t="str">
        <f>IFERROR(__xludf.DUMMYFUNCTION("TRIM(REGEXREPLACE(D450, ""[0-9]+[a-f]?\."", """"))"),"Dans quelle mesure êtes-vous stressé par les domaines suivants de votre vie ?")</f>
        <v>Dans quelle mesure êtes-vous stressé par les domaines suivants de votre vie ?</v>
      </c>
      <c r="I450" s="188" t="str">
        <f>IFERROR(__xludf.DUMMYFUNCTION("TRIM(REGEXREPLACE(E450, ""[0-9]+[a-f]?\."", """"))"),"Yaya damuwarku game da abubuwa na rayuwarku da zan zana?")</f>
        <v>Yaya damuwarku game da abubuwa na rayuwarku da zan zana?</v>
      </c>
      <c r="J450" s="188" t="s">
        <v>3621</v>
      </c>
      <c r="K450" s="188" t="s">
        <v>3622</v>
      </c>
      <c r="L450" s="188" t="s">
        <v>3623</v>
      </c>
    </row>
    <row r="451">
      <c r="A451" s="299" t="s">
        <v>2139</v>
      </c>
      <c r="B451" s="300" t="s">
        <v>3624</v>
      </c>
      <c r="C451" s="190" t="s">
        <v>3625</v>
      </c>
      <c r="D451" s="190" t="s">
        <v>3626</v>
      </c>
      <c r="E451" s="190" t="s">
        <v>3627</v>
      </c>
      <c r="F451" s="195">
        <v>205.0</v>
      </c>
      <c r="G451" s="188" t="str">
        <f>IFERROR(__xludf.DUMMYFUNCTION("TRIM(REGEXREPLACE(C451, ""[0-9]+[a-f]?\."", """"))"),"Your own health problems, illness")</f>
        <v>Your own health problems, illness</v>
      </c>
      <c r="H451" s="188" t="str">
        <f>IFERROR(__xludf.DUMMYFUNCTION("TRIM(REGEXREPLACE(D451, ""[0-9]+[a-f]?\."", """"))"),"Vos propres problèmes de santé")</f>
        <v>Vos propres problèmes de santé</v>
      </c>
      <c r="I451" s="188" t="str">
        <f>IFERROR(__xludf.DUMMYFUNCTION("TRIM(REGEXREPLACE(E451, ""[0-9]+[a-f]?\."", """"))"),"Matsalolin lafiyar jikinku")</f>
        <v>Matsalolin lafiyar jikinku</v>
      </c>
      <c r="J451" s="188" t="s">
        <v>3628</v>
      </c>
      <c r="K451" s="188" t="s">
        <v>3630</v>
      </c>
      <c r="L451" s="188" t="s">
        <v>3631</v>
      </c>
    </row>
    <row r="452">
      <c r="A452" s="299" t="s">
        <v>2139</v>
      </c>
      <c r="B452" s="300" t="s">
        <v>3634</v>
      </c>
      <c r="C452" s="190" t="s">
        <v>3635</v>
      </c>
      <c r="D452" s="190" t="s">
        <v>3636</v>
      </c>
      <c r="E452" s="190" t="s">
        <v>3637</v>
      </c>
      <c r="F452" s="195">
        <v>206.0</v>
      </c>
      <c r="G452" s="188" t="str">
        <f>IFERROR(__xludf.DUMMYFUNCTION("TRIM(REGEXREPLACE(C452, ""[0-9]+[a-f]?\."", """"))"),"Problems at home and with relatives")</f>
        <v>Problems at home and with relatives</v>
      </c>
      <c r="H452" s="188" t="str">
        <f>IFERROR(__xludf.DUMMYFUNCTION("TRIM(REGEXREPLACE(D452, ""[0-9]+[a-f]?\."", """"))"),"Problèmes dans le ménage et avec les proches")</f>
        <v>Problèmes dans le ménage et avec les proches</v>
      </c>
      <c r="I452" s="188" t="str">
        <f>IFERROR(__xludf.DUMMYFUNCTION("TRIM(REGEXREPLACE(E452, ""[0-9]+[a-f]?\."", """"))"),"Matsaloli na cikin gida da na dangi")</f>
        <v>Matsaloli na cikin gida da na dangi</v>
      </c>
      <c r="J452" s="188" t="s">
        <v>3638</v>
      </c>
      <c r="K452" s="188" t="s">
        <v>3639</v>
      </c>
      <c r="L452" s="188" t="s">
        <v>3640</v>
      </c>
    </row>
    <row r="453">
      <c r="A453" s="299" t="s">
        <v>2139</v>
      </c>
      <c r="B453" s="300" t="s">
        <v>3641</v>
      </c>
      <c r="C453" s="190" t="s">
        <v>3642</v>
      </c>
      <c r="D453" s="190" t="s">
        <v>3643</v>
      </c>
      <c r="E453" s="190" t="s">
        <v>3644</v>
      </c>
      <c r="F453" s="195">
        <v>207.0</v>
      </c>
      <c r="G453" s="188" t="str">
        <f>IFERROR(__xludf.DUMMYFUNCTION("TRIM(REGEXREPLACE(C453, ""[0-9]+[a-f]?\."", """"))"),"Accidents and disasters")</f>
        <v>Accidents and disasters</v>
      </c>
      <c r="H453" s="188" t="str">
        <f>IFERROR(__xludf.DUMMYFUNCTION("TRIM(REGEXREPLACE(D453, ""[0-9]+[a-f]?\."", """"))"),"Accidents et catastrophes")</f>
        <v>Accidents et catastrophes</v>
      </c>
      <c r="I453" s="188" t="str">
        <f>IFERROR(__xludf.DUMMYFUNCTION("TRIM(REGEXREPLACE(E453, ""[0-9]+[a-f]?\."", """"))"),"Hatsari da bala'o'i")</f>
        <v>Hatsari da bala'o'i</v>
      </c>
      <c r="J453" s="188" t="s">
        <v>3645</v>
      </c>
      <c r="K453" s="188" t="s">
        <v>3647</v>
      </c>
      <c r="L453" s="188" t="s">
        <v>3649</v>
      </c>
    </row>
    <row r="454">
      <c r="A454" s="199" t="s">
        <v>2139</v>
      </c>
      <c r="B454" s="148" t="s">
        <v>3651</v>
      </c>
      <c r="C454" s="190" t="s">
        <v>2174</v>
      </c>
      <c r="D454" s="190" t="s">
        <v>2176</v>
      </c>
      <c r="E454" s="190" t="s">
        <v>2177</v>
      </c>
      <c r="F454" s="195">
        <v>208.0</v>
      </c>
      <c r="G454" s="188" t="str">
        <f>IFERROR(__xludf.DUMMYFUNCTION("TRIM(REGEXREPLACE(C454, ""[0-9]+[a-f]?\."", """"))"),"Problems with people in other ethnic groups")</f>
        <v>Problems with people in other ethnic groups</v>
      </c>
      <c r="H454" s="188" t="str">
        <f>IFERROR(__xludf.DUMMYFUNCTION("TRIM(REGEXREPLACE(D454, ""[0-9]+[a-f]?\."", """"))"),"Problèmes avec les personnes d'autres groupes ethniques")</f>
        <v>Problèmes avec les personnes d'autres groupes ethniques</v>
      </c>
      <c r="I454" s="188" t="str">
        <f>IFERROR(__xludf.DUMMYFUNCTION("TRIM(REGEXREPLACE(E454, ""[0-9]+[a-f]?\."", """"))"),"Matsaloli da mutanen wasu kabilu daban")</f>
        <v>Matsaloli da mutanen wasu kabilu daban</v>
      </c>
      <c r="J454" s="188" t="s">
        <v>3652</v>
      </c>
      <c r="K454" s="188" t="s">
        <v>3653</v>
      </c>
      <c r="L454" s="188" t="s">
        <v>3654</v>
      </c>
    </row>
    <row r="455">
      <c r="A455" s="299" t="s">
        <v>2139</v>
      </c>
      <c r="B455" s="300" t="s">
        <v>3658</v>
      </c>
      <c r="C455" s="190" t="s">
        <v>3659</v>
      </c>
      <c r="D455" s="190" t="s">
        <v>3660</v>
      </c>
      <c r="E455" s="190" t="s">
        <v>3661</v>
      </c>
      <c r="F455" s="195">
        <v>209.0</v>
      </c>
      <c r="G455" s="188" t="str">
        <f>IFERROR(__xludf.DUMMYFUNCTION("TRIM(REGEXREPLACE(C455, ""[0-9]+[a-f]?\."", """"))"),"Not enough money for basic needs (sucha as food and clothing)")</f>
        <v>Not enough money for basic needs (sucha as food and clothing)</v>
      </c>
      <c r="H455" s="188" t="str">
        <f>IFERROR(__xludf.DUMMYFUNCTION("TRIM(REGEXREPLACE(D455, ""[0-9]+[a-f]?\."", """"))"),"Pas assez d'argent pour les besoins de base (tels que la nourriture et les vêtements)")</f>
        <v>Pas assez d'argent pour les besoins de base (tels que la nourriture et les vêtements)</v>
      </c>
      <c r="I455" s="188" t="str">
        <f>IFERROR(__xludf.DUMMYFUNCTION("TRIM(REGEXREPLACE(E455, ""[0-9]+[a-f]?\."", """"))"),"Rashin isassun kuɗi don buƙatun asali (kamar abinci da sutura)")</f>
        <v>Rashin isassun kuɗi don buƙatun asali (kamar abinci da sutura)</v>
      </c>
      <c r="J455" s="188" t="s">
        <v>3662</v>
      </c>
      <c r="K455" s="188" t="s">
        <v>3663</v>
      </c>
      <c r="L455" s="188" t="s">
        <v>3664</v>
      </c>
    </row>
    <row r="456">
      <c r="A456" s="299" t="s">
        <v>2139</v>
      </c>
      <c r="B456" s="300" t="s">
        <v>3665</v>
      </c>
      <c r="C456" s="190" t="s">
        <v>3666</v>
      </c>
      <c r="D456" s="190" t="s">
        <v>3667</v>
      </c>
      <c r="E456" s="190" t="s">
        <v>3668</v>
      </c>
      <c r="F456" s="195">
        <v>210.0</v>
      </c>
      <c r="G456" s="188" t="str">
        <f>IFERROR(__xludf.DUMMYFUNCTION("TRIM(REGEXREPLACE(C456, ""[0-9]+[a-f]?\."", """"))"),"Not being able to educate all children")</f>
        <v>Not being able to educate all children</v>
      </c>
      <c r="H456" s="188" t="str">
        <f>IFERROR(__xludf.DUMMYFUNCTION("TRIM(REGEXREPLACE(D456, ""[0-9]+[a-f]?\."", """"))"),"Ne pas pouvoir scolariser tous les enfants")</f>
        <v>Ne pas pouvoir scolariser tous les enfants</v>
      </c>
      <c r="I456" s="188" t="str">
        <f>IFERROR(__xludf.DUMMYFUNCTION("TRIM(REGEXREPLACE(E456, ""[0-9]+[a-f]?\."", """"))"),"Rashin iya rubuta dukkan yara a makarantar boko")</f>
        <v>Rashin iya rubuta dukkan yara a makarantar boko</v>
      </c>
      <c r="J456" s="188" t="s">
        <v>3669</v>
      </c>
      <c r="K456" s="188" t="s">
        <v>3670</v>
      </c>
      <c r="L456" s="188" t="s">
        <v>3671</v>
      </c>
    </row>
    <row r="457">
      <c r="A457" s="299" t="s">
        <v>2139</v>
      </c>
      <c r="B457" s="300" t="s">
        <v>3672</v>
      </c>
      <c r="C457" s="190" t="s">
        <v>3673</v>
      </c>
      <c r="D457" s="190" t="s">
        <v>3674</v>
      </c>
      <c r="E457" s="190" t="s">
        <v>3675</v>
      </c>
      <c r="F457" s="195">
        <v>211.0</v>
      </c>
      <c r="G457" s="188" t="str">
        <f>IFERROR(__xludf.DUMMYFUNCTION("TRIM(REGEXREPLACE(C457, ""[0-9]+[a-f]?\."", """"))"),"Difficulty finding work")</f>
        <v>Difficulty finding work</v>
      </c>
      <c r="H457" s="188" t="str">
        <f>IFERROR(__xludf.DUMMYFUNCTION("TRIM(REGEXREPLACE(D457, ""[0-9]+[a-f]?\."", """"))"),"Difficulté à trouver du travail")</f>
        <v>Difficulté à trouver du travail</v>
      </c>
      <c r="I457" s="188" t="str">
        <f>IFERROR(__xludf.DUMMYFUNCTION("TRIM(REGEXREPLACE(E457, ""[0-9]+[a-f]?\."", """"))"),"Wahalar neman aiki")</f>
        <v>Wahalar neman aiki</v>
      </c>
      <c r="J457" s="188" t="s">
        <v>3676</v>
      </c>
      <c r="K457" s="188" t="s">
        <v>3677</v>
      </c>
      <c r="L457" s="188" t="s">
        <v>3678</v>
      </c>
    </row>
    <row r="458">
      <c r="A458" s="299" t="s">
        <v>2139</v>
      </c>
      <c r="B458" s="300" t="s">
        <v>3679</v>
      </c>
      <c r="C458" s="190" t="s">
        <v>3680</v>
      </c>
      <c r="D458" s="190" t="s">
        <v>3681</v>
      </c>
      <c r="E458" s="190" t="s">
        <v>3682</v>
      </c>
      <c r="F458" s="195">
        <v>212.0</v>
      </c>
      <c r="G458" s="188" t="str">
        <f>IFERROR(__xludf.DUMMYFUNCTION("TRIM(REGEXREPLACE(C458, ""[0-9]+[a-f]?\."", """"))"),"Idleness of children or spouse")</f>
        <v>Idleness of children or spouse</v>
      </c>
      <c r="H458" s="188" t="str">
        <f>IFERROR(__xludf.DUMMYFUNCTION("TRIM(REGEXREPLACE(D458, ""[0-9]+[a-f]?\."", """"))"),"L'oisiveté des enfants ou du conjoint")</f>
        <v>L'oisiveté des enfants ou du conjoint</v>
      </c>
      <c r="I458" s="188" t="str">
        <f>IFERROR(__xludf.DUMMYFUNCTION("TRIM(REGEXREPLACE(E458, ""[0-9]+[a-f]?\."", """"))"),"Zaman banza na yara ko mata")</f>
        <v>Zaman banza na yara ko mata</v>
      </c>
      <c r="J458" s="188" t="s">
        <v>3683</v>
      </c>
      <c r="K458" s="188" t="s">
        <v>3684</v>
      </c>
      <c r="L458" s="188" t="s">
        <v>3685</v>
      </c>
    </row>
    <row r="459">
      <c r="A459" s="299" t="s">
        <v>2139</v>
      </c>
      <c r="B459" s="300" t="s">
        <v>3686</v>
      </c>
      <c r="C459" s="190" t="s">
        <v>3687</v>
      </c>
      <c r="D459" s="190" t="s">
        <v>3688</v>
      </c>
      <c r="E459" s="190" t="s">
        <v>3689</v>
      </c>
      <c r="F459" s="195">
        <v>213.0</v>
      </c>
      <c r="G459" s="188" t="str">
        <f>IFERROR(__xludf.DUMMYFUNCTION("TRIM(REGEXREPLACE(C459, ""[0-9]+[a-f]?\."", """"))"),"Alcohol comsumption of children or spouse")</f>
        <v>Alcohol comsumption of children or spouse</v>
      </c>
      <c r="H459" s="188" t="str">
        <f>IFERROR(__xludf.DUMMYFUNCTION("TRIM(REGEXREPLACE(D459, ""[0-9]+[a-f]?\."", """"))"),"Consommation d'alcool des enfants ou du conjoint")</f>
        <v>Consommation d'alcool des enfants ou du conjoint</v>
      </c>
      <c r="I459" s="188" t="str">
        <f>IFERROR(__xludf.DUMMYFUNCTION("TRIM(REGEXREPLACE(E459, ""[0-9]+[a-f]?\."", """"))"),"Shan giya na yara ko mata")</f>
        <v>Shan giya na yara ko mata</v>
      </c>
      <c r="J459" s="188" t="s">
        <v>3694</v>
      </c>
      <c r="K459" s="188" t="s">
        <v>3695</v>
      </c>
      <c r="L459" s="188" t="s">
        <v>3696</v>
      </c>
    </row>
    <row r="460">
      <c r="A460" s="299" t="s">
        <v>2139</v>
      </c>
      <c r="B460" s="300" t="s">
        <v>3697</v>
      </c>
      <c r="C460" s="190" t="s">
        <v>3698</v>
      </c>
      <c r="D460" s="190" t="s">
        <v>3699</v>
      </c>
      <c r="E460" s="190" t="s">
        <v>3700</v>
      </c>
      <c r="F460" s="195">
        <v>214.0</v>
      </c>
      <c r="G460" s="188" t="str">
        <f>IFERROR(__xludf.DUMMYFUNCTION("TRIM(REGEXREPLACE(C460, ""[0-9]+[a-f]?\."", """"))"),"Death of a family member")</f>
        <v>Death of a family member</v>
      </c>
      <c r="H460" s="188" t="str">
        <f>IFERROR(__xludf.DUMMYFUNCTION("TRIM(REGEXREPLACE(D460, ""[0-9]+[a-f]?\."", """"))"),"Décès d'un membre de la famille")</f>
        <v>Décès d'un membre de la famille</v>
      </c>
      <c r="I460" s="188" t="str">
        <f>IFERROR(__xludf.DUMMYFUNCTION("TRIM(REGEXREPLACE(E460, ""[0-9]+[a-f]?\."", """"))"),"Mutuwar wani ɗan uwa")</f>
        <v>Mutuwar wani ɗan uwa</v>
      </c>
      <c r="J460" s="188" t="s">
        <v>3703</v>
      </c>
      <c r="K460" s="188" t="s">
        <v>3705</v>
      </c>
      <c r="L460" s="188" t="s">
        <v>3706</v>
      </c>
    </row>
    <row r="461">
      <c r="A461" s="299" t="s">
        <v>2139</v>
      </c>
      <c r="B461" s="300" t="s">
        <v>3707</v>
      </c>
      <c r="C461" s="190" t="s">
        <v>3708</v>
      </c>
      <c r="D461" s="190" t="s">
        <v>3709</v>
      </c>
      <c r="E461" s="190" t="s">
        <v>3710</v>
      </c>
      <c r="F461" s="195">
        <v>215.0</v>
      </c>
      <c r="G461" s="188" t="str">
        <f>IFERROR(__xludf.DUMMYFUNCTION("TRIM(REGEXREPLACE(C461, ""[0-9]+[a-f]?\."", """"))"),"Debts owed to others")</f>
        <v>Debts owed to others</v>
      </c>
      <c r="H461" s="188" t="str">
        <f>IFERROR(__xludf.DUMMYFUNCTION("TRIM(REGEXREPLACE(D461, ""[0-9]+[a-f]?\."", """"))"),"Dettes envers autrui")</f>
        <v>Dettes envers autrui</v>
      </c>
      <c r="I461" s="188" t="str">
        <f>IFERROR(__xludf.DUMMYFUNCTION("TRIM(REGEXREPLACE(E461, ""[0-9]+[a-f]?\."", """"))"),"Bashi da wasu ke binku")</f>
        <v>Bashi da wasu ke binku</v>
      </c>
      <c r="J461" s="188" t="s">
        <v>3714</v>
      </c>
      <c r="K461" s="188" t="s">
        <v>3715</v>
      </c>
      <c r="L461" s="188" t="s">
        <v>3716</v>
      </c>
    </row>
    <row r="462" hidden="1">
      <c r="A462" s="310" t="s">
        <v>331</v>
      </c>
      <c r="B462" s="315" t="s">
        <v>3601</v>
      </c>
      <c r="C462" s="190" t="s">
        <v>3602</v>
      </c>
      <c r="D462" s="190"/>
      <c r="E462" s="190"/>
      <c r="F462" s="195">
        <v>113.0</v>
      </c>
      <c r="G462" s="188" t="str">
        <f>IFERROR(__xludf.DUMMYFUNCTION("TRIM(REGEXREPLACE(C462, ""[0-9]+[a-f]?\."", """"))"),"Worries")</f>
        <v>Worries</v>
      </c>
      <c r="H462" s="188" t="str">
        <f>IFERROR(__xludf.DUMMYFUNCTION("TRIM(REGEXREPLACE(D462, ""[0-9]+[a-f]?\."", """"))"),"")</f>
        <v/>
      </c>
      <c r="I462" s="188" t="str">
        <f>IFERROR(__xludf.DUMMYFUNCTION("TRIM(REGEXREPLACE(E462, ""[0-9]+[a-f]?\."", """"))"),"")</f>
        <v/>
      </c>
      <c r="J462" s="188" t="str">
        <f t="shared" ref="J462:L462" si="33">$F462 &amp; ". "&amp;G462</f>
        <v>113. Worries</v>
      </c>
      <c r="K462" s="188" t="str">
        <f t="shared" si="33"/>
        <v>113. </v>
      </c>
      <c r="L462" s="188" t="str">
        <f t="shared" si="33"/>
        <v>113. </v>
      </c>
    </row>
    <row r="463" hidden="1">
      <c r="A463" s="313"/>
      <c r="B463" s="314"/>
      <c r="C463" s="190"/>
      <c r="D463" s="190"/>
      <c r="E463" s="190"/>
      <c r="F463" s="195">
        <v>319.0</v>
      </c>
      <c r="G463" s="188" t="str">
        <f>IFERROR(__xludf.DUMMYFUNCTION("TRIM(REGEXREPLACE(C463, ""[0-9]+[a-f]?\."", """"))"),"")</f>
        <v/>
      </c>
      <c r="H463" s="188" t="str">
        <f>IFERROR(__xludf.DUMMYFUNCTION("TRIM(REGEXREPLACE(D463, ""[0-9]+[a-f]?\."", """"))"),"")</f>
        <v/>
      </c>
      <c r="I463" s="188" t="str">
        <f>IFERROR(__xludf.DUMMYFUNCTION("TRIM(REGEXREPLACE(E463, ""[0-9]+[a-f]?\."", """"))"),"")</f>
        <v/>
      </c>
      <c r="J463" s="188" t="s">
        <v>3720</v>
      </c>
      <c r="K463" s="188" t="s">
        <v>3721</v>
      </c>
      <c r="L463" s="188" t="s">
        <v>3722</v>
      </c>
    </row>
    <row r="464">
      <c r="A464" s="297" t="s">
        <v>46</v>
      </c>
      <c r="B464" s="316" t="s">
        <v>3724</v>
      </c>
      <c r="C464" s="190" t="s">
        <v>3725</v>
      </c>
      <c r="D464" s="190" t="s">
        <v>2283</v>
      </c>
      <c r="E464" s="190" t="s">
        <v>2284</v>
      </c>
      <c r="F464" s="195">
        <v>216.0</v>
      </c>
      <c r="G464" s="188" t="str">
        <f>IFERROR(__xludf.DUMMYFUNCTION("TRIM(REGEXREPLACE(C464, ""[0-9]+[a-f]?\."", """"))"),"Now I will ask about some things that may have happened to you during the past six months.")</f>
        <v>Now I will ask about some things that may have happened to you during the past six months.</v>
      </c>
      <c r="H464" s="188" t="str">
        <f>IFERROR(__xludf.DUMMYFUNCTION("TRIM(REGEXREPLACE(D464, ""[0-9]+[a-f]?\."", """"))"),"Je vais maintenant vous interroger sur ce qui vous est arrivé au cours des six derniers mois.")</f>
        <v>Je vais maintenant vous interroger sur ce qui vous est arrivé au cours des six derniers mois.</v>
      </c>
      <c r="I464" s="188" t="str">
        <f>IFERROR(__xludf.DUMMYFUNCTION("TRIM(REGEXREPLACE(E464, ""[0-9]+[a-f]?\."", """"))"),"Yanzu zan yi tambaya game da wasu abubuwa da wataƙila suka faru da ku a cikin watanni shida da suka gabata.")</f>
        <v>Yanzu zan yi tambaya game da wasu abubuwa da wataƙila suka faru da ku a cikin watanni shida da suka gabata.</v>
      </c>
      <c r="J464" s="188" t="s">
        <v>3730</v>
      </c>
      <c r="K464" s="188" t="s">
        <v>3731</v>
      </c>
      <c r="L464" s="188" t="s">
        <v>3732</v>
      </c>
    </row>
    <row r="465">
      <c r="A465" s="299" t="s">
        <v>2011</v>
      </c>
      <c r="B465" s="300" t="s">
        <v>3733</v>
      </c>
      <c r="C465" s="190" t="s">
        <v>3734</v>
      </c>
      <c r="D465" s="190" t="s">
        <v>3735</v>
      </c>
      <c r="E465" s="190" t="s">
        <v>3736</v>
      </c>
      <c r="F465" s="195">
        <v>217.0</v>
      </c>
      <c r="G465" s="188" t="str">
        <f>IFERROR(__xludf.DUMMYFUNCTION("TRIM(REGEXREPLACE(C465, ""[0-9]+[a-f]?\."", """"))"),"How often, if at all, were you personally discriminated against based on your identity (ethnicity, religion, nationality)?")</f>
        <v>How often, if at all, were you personally discriminated against based on your identity (ethnicity, religion, nationality)?</v>
      </c>
      <c r="H465" s="188" t="str">
        <f>IFERROR(__xludf.DUMMYFUNCTION("TRIM(REGEXREPLACE(D465,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465" s="188" t="str">
        <f>IFERROR(__xludf.DUMMYFUNCTION("TRIM(REGEXREPLACE(E465, ""[0-9]+[a-f]?\."", """"))"),"Sau nawa, idan ya faru a gareku, aka nuna muku wariya dangance da kabilarku, ko addininku, ko ƙasarku2?")</f>
        <v>Sau nawa, idan ya faru a gareku, aka nuna muku wariya dangance da kabilarku, ko addininku, ko ƙasarku2?</v>
      </c>
      <c r="J465" s="188" t="s">
        <v>3740</v>
      </c>
      <c r="K465" s="188" t="s">
        <v>3741</v>
      </c>
      <c r="L465" s="188" t="s">
        <v>3742</v>
      </c>
    </row>
    <row r="466">
      <c r="A466" s="299" t="s">
        <v>2011</v>
      </c>
      <c r="B466" s="300" t="s">
        <v>3743</v>
      </c>
      <c r="C466" s="190" t="s">
        <v>3744</v>
      </c>
      <c r="D466" s="190" t="s">
        <v>3745</v>
      </c>
      <c r="E466" s="190" t="s">
        <v>3746</v>
      </c>
      <c r="F466" s="195">
        <v>218.0</v>
      </c>
      <c r="G466" s="188" t="str">
        <f>IFERROR(__xludf.DUMMYFUNCTION("TRIM(REGEXREPLACE(C466, ""[0-9]+[a-f]?\."", """"))"),"How often, if ever, have you felt unsafe walking in the neighborhood where you are staying?")</f>
        <v>How often, if ever, have you felt unsafe walking in the neighborhood where you are staying?</v>
      </c>
      <c r="H466" s="188" t="str">
        <f>IFERROR(__xludf.DUMMYFUNCTION("TRIM(REGEXREPLACE(D466, ""[0-9]+[a-f]?\."", """"))"),"Combien de fois, vous vous êtes-vous senti en danger en vous promenant dans le quartier où vous séjournez, si cela vous est jamais arrivé ?")</f>
        <v>Combien de fois, vous vous êtes-vous senti en danger en vous promenant dans le quartier où vous séjournez, si cela vous est jamais arrivé ?</v>
      </c>
      <c r="I466" s="188" t="str">
        <f>IFERROR(__xludf.DUMMYFUNCTION("TRIM(REGEXREPLACE(E466, ""[0-9]+[a-f]?\."", """"))"),"Sau nawa, idan ya faru a gareku, kuka ji kuna cikin hatsari yayin da kuke yawo a cikin unguwar da kuke zaune?")</f>
        <v>Sau nawa, idan ya faru a gareku, kuka ji kuna cikin hatsari yayin da kuke yawo a cikin unguwar da kuke zaune?</v>
      </c>
      <c r="J466" s="188" t="s">
        <v>3750</v>
      </c>
      <c r="K466" s="188" t="s">
        <v>3751</v>
      </c>
      <c r="L466" s="188" t="s">
        <v>3752</v>
      </c>
    </row>
    <row r="467" hidden="1">
      <c r="A467" s="317"/>
      <c r="B467" s="318"/>
      <c r="C467" s="190"/>
      <c r="D467" s="190"/>
      <c r="E467" s="190"/>
      <c r="F467" s="195">
        <v>323.0</v>
      </c>
      <c r="G467" s="188" t="str">
        <f>IFERROR(__xludf.DUMMYFUNCTION("TRIM(REGEXREPLACE(C467, ""[0-9]+[a-f]?\."", """"))"),"")</f>
        <v/>
      </c>
      <c r="H467" s="188" t="str">
        <f>IFERROR(__xludf.DUMMYFUNCTION("TRIM(REGEXREPLACE(D467, ""[0-9]+[a-f]?\."", """"))"),"")</f>
        <v/>
      </c>
      <c r="I467" s="188" t="str">
        <f>IFERROR(__xludf.DUMMYFUNCTION("TRIM(REGEXREPLACE(E467, ""[0-9]+[a-f]?\."", """"))"),"")</f>
        <v/>
      </c>
      <c r="J467" s="188" t="s">
        <v>3756</v>
      </c>
      <c r="K467" s="188" t="s">
        <v>3757</v>
      </c>
      <c r="L467" s="188" t="s">
        <v>3758</v>
      </c>
    </row>
    <row r="468" hidden="1">
      <c r="A468" s="310" t="s">
        <v>278</v>
      </c>
      <c r="B468" s="311" t="s">
        <v>3759</v>
      </c>
      <c r="C468" s="190"/>
      <c r="D468" s="190"/>
      <c r="E468" s="190"/>
      <c r="F468" s="195">
        <v>324.0</v>
      </c>
      <c r="G468" s="188" t="str">
        <f>IFERROR(__xludf.DUMMYFUNCTION("TRIM(REGEXREPLACE(C468, ""[0-9]+[a-f]?\."", """"))"),"")</f>
        <v/>
      </c>
      <c r="H468" s="188" t="str">
        <f>IFERROR(__xludf.DUMMYFUNCTION("TRIM(REGEXREPLACE(D468, ""[0-9]+[a-f]?\."", """"))"),"")</f>
        <v/>
      </c>
      <c r="I468" s="188" t="str">
        <f>IFERROR(__xludf.DUMMYFUNCTION("TRIM(REGEXREPLACE(E468, ""[0-9]+[a-f]?\."", """"))"),"")</f>
        <v/>
      </c>
      <c r="J468" s="188" t="s">
        <v>3761</v>
      </c>
      <c r="K468" s="188" t="s">
        <v>3763</v>
      </c>
      <c r="L468" s="188" t="s">
        <v>3764</v>
      </c>
    </row>
    <row r="469">
      <c r="A469" s="299" t="s">
        <v>1060</v>
      </c>
      <c r="B469" s="300" t="s">
        <v>3765</v>
      </c>
      <c r="C469" s="190" t="s">
        <v>3766</v>
      </c>
      <c r="D469" s="190" t="s">
        <v>3767</v>
      </c>
      <c r="E469" s="190" t="s">
        <v>3768</v>
      </c>
      <c r="F469" s="195">
        <v>219.0</v>
      </c>
      <c r="G469" s="188" t="str">
        <f>IFERROR(__xludf.DUMMYFUNCTION("TRIM(REGEXREPLACE(C469, ""[0-9]+[a-f]?\."", """"))"),"Have you experienced any of the following during ${period}?")</f>
        <v>Have you experienced any of the following during ${period}?</v>
      </c>
      <c r="H469" s="188" t="str">
        <f>IFERROR(__xludf.DUMMYFUNCTION("TRIM(REGEXREPLACE(D469, ""[0-9]+[a-f]?\."", """"))"),"Avez-vous vécu l'une des situations suivantes depuis le debut de ${period_french} ?")</f>
        <v>Avez-vous vécu l'une des situations suivantes depuis le debut de ${period_french} ?</v>
      </c>
      <c r="I469" s="188" t="str">
        <f>IFERROR(__xludf.DUMMYFUNCTION("TRIM(REGEXREPLACE(E469, ""[0-9]+[a-f]?\."", """"))"),"Ko kun taɓa fuskantar ɗayan waɗannan abubuwan a wannan wurin, lokacin ${period_hausa}?")</f>
        <v>Ko kun taɓa fuskantar ɗayan waɗannan abubuwan a wannan wurin, lokacin ${period_hausa}?</v>
      </c>
      <c r="J469" s="188" t="s">
        <v>3769</v>
      </c>
      <c r="K469" s="188" t="s">
        <v>3770</v>
      </c>
      <c r="L469" s="188" t="s">
        <v>3771</v>
      </c>
    </row>
    <row r="470">
      <c r="A470" s="299" t="s">
        <v>1060</v>
      </c>
      <c r="B470" s="300" t="s">
        <v>3772</v>
      </c>
      <c r="C470" s="190" t="s">
        <v>3774</v>
      </c>
      <c r="D470" s="190" t="s">
        <v>3776</v>
      </c>
      <c r="E470" s="190" t="s">
        <v>3778</v>
      </c>
      <c r="F470" s="195">
        <v>220.0</v>
      </c>
      <c r="G470" s="188" t="str">
        <f>IFERROR(__xludf.DUMMYFUNCTION("TRIM(REGEXREPLACE(C470, ""[0-9]+[a-f]?\."", """"))"),"Physical attack")</f>
        <v>Physical attack</v>
      </c>
      <c r="H470" s="188" t="str">
        <f>IFERROR(__xludf.DUMMYFUNCTION("TRIM(REGEXREPLACE(D470, ""[0-9]+[a-f]?\."", """"))"),"Attaque physique")</f>
        <v>Attaque physique</v>
      </c>
      <c r="I470" s="188" t="str">
        <f>IFERROR(__xludf.DUMMYFUNCTION("TRIM(REGEXREPLACE(E470, ""[0-9]+[a-f]?\."", """"))"),"harin jiki")</f>
        <v>harin jiki</v>
      </c>
      <c r="J470" s="188" t="s">
        <v>3780</v>
      </c>
      <c r="K470" s="188" t="s">
        <v>3782</v>
      </c>
      <c r="L470" s="188" t="s">
        <v>3783</v>
      </c>
    </row>
    <row r="471">
      <c r="A471" s="299" t="s">
        <v>1060</v>
      </c>
      <c r="B471" s="300" t="s">
        <v>3784</v>
      </c>
      <c r="C471" s="190" t="s">
        <v>3786</v>
      </c>
      <c r="D471" s="190" t="s">
        <v>3787</v>
      </c>
      <c r="E471" s="190" t="s">
        <v>3788</v>
      </c>
      <c r="F471" s="195">
        <v>221.0</v>
      </c>
      <c r="G471" s="188" t="str">
        <f>IFERROR(__xludf.DUMMYFUNCTION("TRIM(REGEXREPLACE(C471, ""[0-9]+[a-f]?\."", """"))"),"Threat of physical violence/attack")</f>
        <v>Threat of physical violence/attack</v>
      </c>
      <c r="H471" s="188" t="str">
        <f>IFERROR(__xludf.DUMMYFUNCTION("TRIM(REGEXREPLACE(D471, ""[0-9]+[a-f]?\."", """"))"),"Menace de violence physique/agression")</f>
        <v>Menace de violence physique/agression</v>
      </c>
      <c r="I471" s="188" t="str">
        <f>IFERROR(__xludf.DUMMYFUNCTION("TRIM(REGEXREPLACE(E471, ""[0-9]+[a-f]?\."", """"))"),"Barazanar ​​harin jiki")</f>
        <v>Barazanar ​​harin jiki</v>
      </c>
      <c r="J471" s="188" t="s">
        <v>3789</v>
      </c>
      <c r="K471" s="188" t="s">
        <v>3790</v>
      </c>
      <c r="L471" s="188" t="s">
        <v>3792</v>
      </c>
    </row>
    <row r="472">
      <c r="A472" s="299" t="s">
        <v>1060</v>
      </c>
      <c r="B472" s="300" t="s">
        <v>3794</v>
      </c>
      <c r="C472" s="190" t="s">
        <v>3795</v>
      </c>
      <c r="D472" s="190" t="s">
        <v>3796</v>
      </c>
      <c r="E472" s="190" t="s">
        <v>3797</v>
      </c>
      <c r="F472" s="195">
        <v>222.0</v>
      </c>
      <c r="G472" s="188" t="str">
        <f>IFERROR(__xludf.DUMMYFUNCTION("TRIM(REGEXREPLACE(C472, ""[0-9]+[a-f]?\."", """"))"),"Theft of either money or property?")</f>
        <v>Theft of either money or property?</v>
      </c>
      <c r="H472" s="188" t="str">
        <f>IFERROR(__xludf.DUMMYFUNCTION("TRIM(REGEXREPLACE(D472, ""[0-9]+[a-f]?\."", """"))"),"Vol d'argent ou de propriété?")</f>
        <v>Vol d'argent ou de propriété?</v>
      </c>
      <c r="I472" s="188" t="str">
        <f>IFERROR(__xludf.DUMMYFUNCTION("TRIM(REGEXREPLACE(E472, ""[0-9]+[a-f]?\."", """"))"),"Satar kudi ko dukiya?")</f>
        <v>Satar kudi ko dukiya?</v>
      </c>
      <c r="J472" s="188" t="s">
        <v>3798</v>
      </c>
      <c r="K472" s="188" t="s">
        <v>3799</v>
      </c>
      <c r="L472" s="188" t="s">
        <v>3800</v>
      </c>
    </row>
    <row r="473">
      <c r="A473" s="299" t="s">
        <v>1060</v>
      </c>
      <c r="B473" s="300" t="s">
        <v>3801</v>
      </c>
      <c r="C473" s="190" t="s">
        <v>3802</v>
      </c>
      <c r="D473" s="190" t="s">
        <v>3803</v>
      </c>
      <c r="E473" s="190" t="s">
        <v>3804</v>
      </c>
      <c r="F473" s="195">
        <v>223.0</v>
      </c>
      <c r="G473" s="188" t="str">
        <f>IFERROR(__xludf.DUMMYFUNCTION("TRIM(REGEXREPLACE(C473, ""[0-9]+[a-f]?\."", """"))"),"Detention or arrest by state security forces?")</f>
        <v>Detention or arrest by state security forces?</v>
      </c>
      <c r="H473" s="188" t="str">
        <f>IFERROR(__xludf.DUMMYFUNCTION("TRIM(REGEXREPLACE(D473, ""[0-9]+[a-f]?\."", """"))"),"Détention ou arrestation par les forces de sécurité de l'État ?")</f>
        <v>Détention ou arrestation par les forces de sécurité de l'État ?</v>
      </c>
      <c r="I473" s="188" t="str">
        <f>IFERROR(__xludf.DUMMYFUNCTION("TRIM(REGEXREPLACE(E473, ""[0-9]+[a-f]?\."", """"))"),"Kaso ko kamu daga jami'an tsaron gwamnati?")</f>
        <v>Kaso ko kamu daga jami'an tsaron gwamnati?</v>
      </c>
      <c r="J473" s="188" t="s">
        <v>3805</v>
      </c>
      <c r="K473" s="188" t="s">
        <v>3806</v>
      </c>
      <c r="L473" s="188" t="s">
        <v>3807</v>
      </c>
    </row>
    <row r="474" hidden="1">
      <c r="A474" s="310" t="s">
        <v>331</v>
      </c>
      <c r="B474" s="315" t="s">
        <v>3759</v>
      </c>
      <c r="C474" s="190"/>
      <c r="D474" s="190"/>
      <c r="E474" s="190"/>
      <c r="F474" s="195">
        <v>276.0</v>
      </c>
      <c r="G474" s="188" t="str">
        <f>IFERROR(__xludf.DUMMYFUNCTION("TRIM(REGEXREPLACE(C474, ""[0-9]+[a-f]?\."", """"))"),"")</f>
        <v/>
      </c>
      <c r="H474" s="188" t="str">
        <f>IFERROR(__xludf.DUMMYFUNCTION("TRIM(REGEXREPLACE(D474, ""[0-9]+[a-f]?\."", """"))"),"")</f>
        <v/>
      </c>
      <c r="I474" s="188" t="str">
        <f>IFERROR(__xludf.DUMMYFUNCTION("TRIM(REGEXREPLACE(E474, ""[0-9]+[a-f]?\."", """"))"),"")</f>
        <v/>
      </c>
      <c r="J474" s="188" t="s">
        <v>3808</v>
      </c>
      <c r="K474" s="188" t="s">
        <v>3809</v>
      </c>
      <c r="L474" s="188" t="s">
        <v>3810</v>
      </c>
    </row>
    <row r="475" hidden="1">
      <c r="A475" s="310" t="s">
        <v>278</v>
      </c>
      <c r="B475" s="311" t="s">
        <v>3811</v>
      </c>
      <c r="C475" s="190"/>
      <c r="D475" s="190"/>
      <c r="E475" s="190"/>
      <c r="F475" s="195">
        <v>277.0</v>
      </c>
      <c r="G475" s="188" t="str">
        <f>IFERROR(__xludf.DUMMYFUNCTION("TRIM(REGEXREPLACE(C475, ""[0-9]+[a-f]?\."", """"))"),"")</f>
        <v/>
      </c>
      <c r="H475" s="188" t="str">
        <f>IFERROR(__xludf.DUMMYFUNCTION("TRIM(REGEXREPLACE(D475, ""[0-9]+[a-f]?\."", """"))"),"")</f>
        <v/>
      </c>
      <c r="I475" s="188" t="str">
        <f>IFERROR(__xludf.DUMMYFUNCTION("TRIM(REGEXREPLACE(E475, ""[0-9]+[a-f]?\."", """"))"),"")</f>
        <v/>
      </c>
      <c r="J475" s="188" t="s">
        <v>3812</v>
      </c>
      <c r="K475" s="188" t="s">
        <v>3813</v>
      </c>
      <c r="L475" s="188" t="s">
        <v>3814</v>
      </c>
    </row>
    <row r="476">
      <c r="A476" s="297" t="s">
        <v>46</v>
      </c>
      <c r="B476" s="298" t="s">
        <v>3815</v>
      </c>
      <c r="C476" s="190" t="s">
        <v>3816</v>
      </c>
      <c r="D476" s="190" t="s">
        <v>3817</v>
      </c>
      <c r="E476" s="190" t="s">
        <v>3818</v>
      </c>
      <c r="F476" s="195">
        <v>224.0</v>
      </c>
      <c r="G476" s="188" t="str">
        <f>IFERROR(__xludf.DUMMYFUNCTION("TRIM(REGEXREPLACE(C476, ""[0-9]+[a-f]?\."", """"))"),"Now I would like to ask you to tell me more about your specific experience with:")</f>
        <v>Now I would like to ask you to tell me more about your specific experience with:</v>
      </c>
      <c r="H476" s="188" t="str">
        <f>IFERROR(__xludf.DUMMYFUNCTION("TRIM(REGEXREPLACE(D476, ""[0-9]+[a-f]?\."", """"))"),"J'aimerais maintenant vous demander de m'en dire un peu plus sur votre expérience spécifique avec :")</f>
        <v>J'aimerais maintenant vous demander de m'en dire un peu plus sur votre expérience spécifique avec :</v>
      </c>
      <c r="I476" s="188" t="str">
        <f>IFERROR(__xludf.DUMMYFUNCTION("TRIM(REGEXREPLACE(E476, ""[0-9]+[a-f]?\."", """"))"),"Yanzu ina so in tambaye ku ƙarin bayani game da takamaiman gogewarku na masamman game da:")</f>
        <v>Yanzu ina so in tambaye ku ƙarin bayani game da takamaiman gogewarku na masamman game da:</v>
      </c>
      <c r="J476" s="188" t="s">
        <v>3819</v>
      </c>
      <c r="K476" s="188" t="s">
        <v>3820</v>
      </c>
      <c r="L476" s="188" t="s">
        <v>3821</v>
      </c>
    </row>
    <row r="477">
      <c r="A477" s="301" t="s">
        <v>220</v>
      </c>
      <c r="B477" s="302" t="s">
        <v>3822</v>
      </c>
      <c r="C477" s="190" t="s">
        <v>3823</v>
      </c>
      <c r="D477" s="190" t="s">
        <v>3824</v>
      </c>
      <c r="E477" s="190" t="s">
        <v>3825</v>
      </c>
      <c r="F477" s="195">
        <v>225.0</v>
      </c>
      <c r="G477" s="188" t="str">
        <f>IFERROR(__xludf.DUMMYFUNCTION("TRIM(REGEXREPLACE(C477, ""[0-9]+[a-f]?\."", """"))"),"Physical attack")</f>
        <v>Physical attack</v>
      </c>
      <c r="H477" s="188" t="str">
        <f>IFERROR(__xludf.DUMMYFUNCTION("TRIM(REGEXREPLACE(D477, ""[0-9]+[a-f]?\."", """"))"),"Attaque physique")</f>
        <v>Attaque physique</v>
      </c>
      <c r="I477" s="188" t="str">
        <f>IFERROR(__xludf.DUMMYFUNCTION("TRIM(REGEXREPLACE(E477, ""[0-9]+[a-f]?\."", """"))"),"harin jiki")</f>
        <v>harin jiki</v>
      </c>
      <c r="J477" s="188" t="s">
        <v>3826</v>
      </c>
      <c r="K477" s="188" t="s">
        <v>3828</v>
      </c>
      <c r="L477" s="188" t="s">
        <v>3829</v>
      </c>
    </row>
    <row r="478">
      <c r="A478" s="301" t="s">
        <v>220</v>
      </c>
      <c r="B478" s="302" t="s">
        <v>3830</v>
      </c>
      <c r="C478" s="190" t="s">
        <v>3831</v>
      </c>
      <c r="D478" s="190" t="s">
        <v>3832</v>
      </c>
      <c r="E478" s="190" t="s">
        <v>3833</v>
      </c>
      <c r="F478" s="195">
        <v>226.0</v>
      </c>
      <c r="G478" s="188" t="str">
        <f>IFERROR(__xludf.DUMMYFUNCTION("TRIM(REGEXREPLACE(C478, ""[0-9]+[a-f]?\."", """"))"),"Threat of physical violence/attack")</f>
        <v>Threat of physical violence/attack</v>
      </c>
      <c r="H478" s="188" t="str">
        <f>IFERROR(__xludf.DUMMYFUNCTION("TRIM(REGEXREPLACE(D478, ""[0-9]+[a-f]?\."", """"))"),"Menace de violence physique/agression")</f>
        <v>Menace de violence physique/agression</v>
      </c>
      <c r="I478" s="188" t="str">
        <f>IFERROR(__xludf.DUMMYFUNCTION("TRIM(REGEXREPLACE(E478, ""[0-9]+[a-f]?\."", """"))"),"Barazanar ​​harin jiki")</f>
        <v>Barazanar ​​harin jiki</v>
      </c>
      <c r="J478" s="188" t="s">
        <v>3836</v>
      </c>
      <c r="K478" s="188" t="s">
        <v>3838</v>
      </c>
      <c r="L478" s="188" t="s">
        <v>3839</v>
      </c>
    </row>
    <row r="479">
      <c r="A479" s="301" t="s">
        <v>220</v>
      </c>
      <c r="B479" s="302" t="s">
        <v>3841</v>
      </c>
      <c r="C479" s="190" t="s">
        <v>3842</v>
      </c>
      <c r="D479" s="190" t="s">
        <v>3843</v>
      </c>
      <c r="E479" s="190" t="s">
        <v>3844</v>
      </c>
      <c r="F479" s="195">
        <v>227.0</v>
      </c>
      <c r="G479" s="188" t="str">
        <f>IFERROR(__xludf.DUMMYFUNCTION("TRIM(REGEXREPLACE(C479, ""[0-9]+[a-f]?\."", """"))"),"Theft of either money or property?")</f>
        <v>Theft of either money or property?</v>
      </c>
      <c r="H479" s="188" t="str">
        <f>IFERROR(__xludf.DUMMYFUNCTION("TRIM(REGEXREPLACE(D479, ""[0-9]+[a-f]?\."", """"))"),"Vol d'argent ou de propriété?")</f>
        <v>Vol d'argent ou de propriété?</v>
      </c>
      <c r="I479" s="188" t="str">
        <f>IFERROR(__xludf.DUMMYFUNCTION("TRIM(REGEXREPLACE(E479, ""[0-9]+[a-f]?\."", """"))"),"Satar kudi ko dukiya?")</f>
        <v>Satar kudi ko dukiya?</v>
      </c>
      <c r="J479" s="188" t="s">
        <v>3845</v>
      </c>
      <c r="K479" s="188" t="s">
        <v>3846</v>
      </c>
      <c r="L479" s="188" t="s">
        <v>3847</v>
      </c>
    </row>
    <row r="480">
      <c r="A480" s="301" t="s">
        <v>220</v>
      </c>
      <c r="B480" s="302" t="s">
        <v>3848</v>
      </c>
      <c r="C480" s="190" t="s">
        <v>3850</v>
      </c>
      <c r="D480" s="190" t="s">
        <v>3852</v>
      </c>
      <c r="E480" s="190" t="s">
        <v>3853</v>
      </c>
      <c r="F480" s="195">
        <v>228.0</v>
      </c>
      <c r="G480" s="188" t="str">
        <f>IFERROR(__xludf.DUMMYFUNCTION("TRIM(REGEXREPLACE(C480, ""[0-9]+[a-f]?\."", """"))"),"Detention or arrest by state security forces?")</f>
        <v>Detention or arrest by state security forces?</v>
      </c>
      <c r="H480" s="188" t="str">
        <f>IFERROR(__xludf.DUMMYFUNCTION("TRIM(REGEXREPLACE(D480, ""[0-9]+[a-f]?\."", """"))"),"Détention ou arrestation par les forces de sécurité de l'État ?")</f>
        <v>Détention ou arrestation par les forces de sécurité de l'État ?</v>
      </c>
      <c r="I480" s="188" t="str">
        <f>IFERROR(__xludf.DUMMYFUNCTION("TRIM(REGEXREPLACE(E480, ""[0-9]+[a-f]?\."", """"))"),"Kaso ko kamu daga jami'an tsaron gwamnati?")</f>
        <v>Kaso ko kamu daga jami'an tsaron gwamnati?</v>
      </c>
      <c r="J480" s="188" t="s">
        <v>3855</v>
      </c>
      <c r="K480" s="188" t="s">
        <v>3856</v>
      </c>
      <c r="L480" s="188" t="s">
        <v>3857</v>
      </c>
    </row>
    <row r="481" hidden="1">
      <c r="A481" s="310" t="s">
        <v>331</v>
      </c>
      <c r="B481" s="315" t="s">
        <v>3811</v>
      </c>
      <c r="C481" s="190"/>
      <c r="D481" s="190"/>
      <c r="E481" s="190"/>
      <c r="F481" s="195">
        <v>119.0</v>
      </c>
      <c r="G481" s="188" t="str">
        <f>IFERROR(__xludf.DUMMYFUNCTION("TRIM(REGEXREPLACE(C481, ""[0-9]+[a-f]?\."", """"))"),"")</f>
        <v/>
      </c>
      <c r="H481" s="188" t="str">
        <f>IFERROR(__xludf.DUMMYFUNCTION("TRIM(REGEXREPLACE(D481, ""[0-9]+[a-f]?\."", """"))"),"")</f>
        <v/>
      </c>
      <c r="I481" s="188" t="str">
        <f>IFERROR(__xludf.DUMMYFUNCTION("TRIM(REGEXREPLACE(E481, ""[0-9]+[a-f]?\."", """"))"),"")</f>
        <v/>
      </c>
      <c r="J481" s="188" t="str">
        <f t="shared" ref="J481:L481" si="34">$F481 &amp; ". "&amp;G481</f>
        <v>119. </v>
      </c>
      <c r="K481" s="188" t="str">
        <f t="shared" si="34"/>
        <v>119. </v>
      </c>
      <c r="L481" s="188" t="str">
        <f t="shared" si="34"/>
        <v>119. </v>
      </c>
    </row>
    <row r="482" hidden="1">
      <c r="A482" s="313"/>
      <c r="B482" s="314"/>
      <c r="C482" s="190"/>
      <c r="D482" s="190"/>
      <c r="E482" s="190"/>
      <c r="F482" s="191"/>
      <c r="G482" s="188" t="str">
        <f>IFERROR(__xludf.DUMMYFUNCTION("TRIM(REGEXREPLACE(C482, ""[0-9]+[a-f]?\."", """"))"),"")</f>
        <v/>
      </c>
      <c r="H482" s="188" t="str">
        <f>IFERROR(__xludf.DUMMYFUNCTION("TRIM(REGEXREPLACE(D482, ""[0-9]+[a-f]?\."", """"))"),"")</f>
        <v/>
      </c>
      <c r="I482" s="188" t="str">
        <f>IFERROR(__xludf.DUMMYFUNCTION("TRIM(REGEXREPLACE(E482, ""[0-9]+[a-f]?\."", """"))"),"")</f>
        <v/>
      </c>
      <c r="J482" s="188"/>
      <c r="K482" s="188"/>
      <c r="L482" s="192"/>
    </row>
    <row r="483">
      <c r="A483" s="297" t="s">
        <v>46</v>
      </c>
      <c r="B483" s="298" t="s">
        <v>3864</v>
      </c>
      <c r="C483" s="190" t="s">
        <v>3865</v>
      </c>
      <c r="D483" s="190" t="s">
        <v>3866</v>
      </c>
      <c r="E483" s="190" t="s">
        <v>3867</v>
      </c>
      <c r="F483" s="195">
        <v>229.0</v>
      </c>
      <c r="G483" s="188" t="str">
        <f>IFERROR(__xludf.DUMMYFUNCTION("TRIM(REGEXREPLACE(C483, ""[0-9]+[a-f]?\."", """"))"),"I will now ask you about meals people in your household have consumed in the past 7 days.")</f>
        <v>I will now ask you about meals people in your household have consumed in the past 7 days.</v>
      </c>
      <c r="H483" s="188" t="str">
        <f>IFERROR(__xludf.DUMMYFUNCTION("TRIM(REGEXREPLACE(D483,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483" s="188" t="str">
        <f>IFERROR(__xludf.DUMMYFUNCTION("TRIM(REGEXREPLACE(E483, ""[0-9]+[a-f]?\."", """"))"),"Yanzu zan tambaye ku bisa abincin da mutanen gidanku suka ci a cikin kwanaki 7 da suka wuce.")</f>
        <v>Yanzu zan tambaye ku bisa abincin da mutanen gidanku suka ci a cikin kwanaki 7 da suka wuce.</v>
      </c>
      <c r="J483" s="188" t="s">
        <v>3868</v>
      </c>
      <c r="K483" s="188" t="s">
        <v>3869</v>
      </c>
      <c r="L483" s="188" t="s">
        <v>3870</v>
      </c>
    </row>
    <row r="484">
      <c r="A484" s="299" t="s">
        <v>2456</v>
      </c>
      <c r="B484" s="300" t="s">
        <v>3873</v>
      </c>
      <c r="C484" s="190" t="s">
        <v>3875</v>
      </c>
      <c r="D484" s="190" t="s">
        <v>3876</v>
      </c>
      <c r="E484" s="190" t="s">
        <v>3877</v>
      </c>
      <c r="F484" s="195">
        <v>230.0</v>
      </c>
      <c r="G484" s="188" t="str">
        <f>IFERROR(__xludf.DUMMYFUNCTION("TRIM(REGEXREPLACE(C484, ""[0-9]+[a-f]?\."", """"))"),"In the last 7 days, have adults gone a whole day without meals?")</f>
        <v>In the last 7 days, have adults gone a whole day without meals?</v>
      </c>
      <c r="H484" s="188" t="str">
        <f>IFERROR(__xludf.DUMMYFUNCTION("TRIM(REGEXREPLACE(D484, ""[0-9]+[a-f]?\."", """"))"),"Au cours des 7 derniers jours, des adultes sont-ils restés une journée entière sans manger de repas ?")</f>
        <v>Au cours des 7 derniers jours, des adultes sont-ils restés une journée entière sans manger de repas ?</v>
      </c>
      <c r="I484" s="188" t="str">
        <f>IFERROR(__xludf.DUMMYFUNCTION("TRIM(REGEXREPLACE(E484, ""[0-9]+[a-f]?\."", """"))"),"A cikin kwanaki 7 da suka wuce, ko manya gidanku sun zauna tsawon wuni guda basu ci abinci ba?")</f>
        <v>A cikin kwanaki 7 da suka wuce, ko manya gidanku sun zauna tsawon wuni guda basu ci abinci ba?</v>
      </c>
      <c r="J484" s="188" t="s">
        <v>3878</v>
      </c>
      <c r="K484" s="188" t="s">
        <v>3879</v>
      </c>
      <c r="L484" s="188" t="s">
        <v>3880</v>
      </c>
    </row>
    <row r="485">
      <c r="A485" s="306" t="s">
        <v>247</v>
      </c>
      <c r="B485" s="307" t="s">
        <v>3884</v>
      </c>
      <c r="C485" s="190" t="s">
        <v>3885</v>
      </c>
      <c r="D485" s="190" t="s">
        <v>3886</v>
      </c>
      <c r="E485" s="190" t="s">
        <v>3887</v>
      </c>
      <c r="F485" s="195">
        <v>231.0</v>
      </c>
      <c r="G485" s="188" t="str">
        <f>IFERROR(__xludf.DUMMYFUNCTION("TRIM(REGEXREPLACE(C485, ""[0-9]+[a-f]?\."", """"))"),"How many days?")</f>
        <v>How many days?</v>
      </c>
      <c r="H485" s="188" t="str">
        <f>IFERROR(__xludf.DUMMYFUNCTION("TRIM(REGEXREPLACE(D485, ""[0-9]+[a-f]?\."", """"))"),"Pendant combien de jours?")</f>
        <v>Pendant combien de jours?</v>
      </c>
      <c r="I485" s="188" t="str">
        <f>IFERROR(__xludf.DUMMYFUNCTION("TRIM(REGEXREPLACE(E485, ""[0-9]+[a-f]?\."", """"))"),"151a Tsawon kwanaki nawa?")</f>
        <v>151a Tsawon kwanaki nawa?</v>
      </c>
      <c r="J485" s="188" t="s">
        <v>3888</v>
      </c>
      <c r="K485" s="188" t="s">
        <v>3889</v>
      </c>
      <c r="L485" s="188" t="s">
        <v>3890</v>
      </c>
    </row>
    <row r="486">
      <c r="A486" s="299" t="s">
        <v>2456</v>
      </c>
      <c r="B486" s="300" t="s">
        <v>3891</v>
      </c>
      <c r="C486" s="190" t="s">
        <v>3892</v>
      </c>
      <c r="D486" s="190" t="s">
        <v>3893</v>
      </c>
      <c r="E486" s="190" t="s">
        <v>3894</v>
      </c>
      <c r="F486" s="195">
        <v>232.0</v>
      </c>
      <c r="G486" s="188" t="str">
        <f>IFERROR(__xludf.DUMMYFUNCTION("TRIM(REGEXREPLACE(C486, ""[0-9]+[a-f]?\."", """"))"),"In the last 7 days, have adults cut the size of meals or skipped meals?")</f>
        <v>In the last 7 days, have adults cut the size of meals or skipped meals?</v>
      </c>
      <c r="H486" s="188" t="str">
        <f>IFERROR(__xludf.DUMMYFUNCTION("TRIM(REGEXREPLACE(D486, ""[0-9]+[a-f]?\."", """"))"),"Au cours des 7 derniers jours, les adultes ont-ils réduit la taille de leur repas ou les ont-ils sauté?")</f>
        <v>Au cours des 7 derniers jours, les adultes ont-ils réduit la taille de leur repas ou les ont-ils sauté?</v>
      </c>
      <c r="I486" s="188" t="str">
        <f>IFERROR(__xludf.DUMMYFUNCTION("TRIM(REGEXREPLACE(E486, ""[0-9]+[a-f]?\."", """"))"),"A cikin kwanaki 7 na ƙarshe, ko manyan gidanku sun rage yawan abincin da suka saba ci ko sun tsallake shi?")</f>
        <v>A cikin kwanaki 7 na ƙarshe, ko manyan gidanku sun rage yawan abincin da suka saba ci ko sun tsallake shi?</v>
      </c>
      <c r="J486" s="188" t="s">
        <v>3896</v>
      </c>
      <c r="K486" s="188" t="s">
        <v>3898</v>
      </c>
      <c r="L486" s="188" t="s">
        <v>3900</v>
      </c>
    </row>
    <row r="487">
      <c r="A487" s="306" t="s">
        <v>247</v>
      </c>
      <c r="B487" s="307" t="s">
        <v>3901</v>
      </c>
      <c r="C487" s="190" t="s">
        <v>3902</v>
      </c>
      <c r="D487" s="190" t="s">
        <v>3903</v>
      </c>
      <c r="E487" s="190" t="s">
        <v>3904</v>
      </c>
      <c r="F487" s="195">
        <v>233.0</v>
      </c>
      <c r="G487" s="188" t="str">
        <f>IFERROR(__xludf.DUMMYFUNCTION("TRIM(REGEXREPLACE(C487, ""[0-9]+[a-f]?\."", """"))"),"How many days?")</f>
        <v>How many days?</v>
      </c>
      <c r="H487" s="188" t="str">
        <f>IFERROR(__xludf.DUMMYFUNCTION("TRIM(REGEXREPLACE(D487, ""[0-9]+[a-f]?\."", """"))"),"Pendant combien de jours?")</f>
        <v>Pendant combien de jours?</v>
      </c>
      <c r="I487" s="188" t="str">
        <f>IFERROR(__xludf.DUMMYFUNCTION("TRIM(REGEXREPLACE(E487, ""[0-9]+[a-f]?\."", """"))"),"Tsawon kwanaki nawa?")</f>
        <v>Tsawon kwanaki nawa?</v>
      </c>
      <c r="J487" s="188" t="s">
        <v>3905</v>
      </c>
      <c r="K487" s="188" t="s">
        <v>3906</v>
      </c>
      <c r="L487" s="188" t="s">
        <v>3907</v>
      </c>
    </row>
    <row r="488">
      <c r="A488" s="306" t="s">
        <v>247</v>
      </c>
      <c r="B488" s="307" t="s">
        <v>3908</v>
      </c>
      <c r="C488" s="190" t="s">
        <v>3910</v>
      </c>
      <c r="D488" s="190" t="s">
        <v>3911</v>
      </c>
      <c r="E488" s="190" t="s">
        <v>3913</v>
      </c>
      <c r="F488" s="195">
        <v>234.0</v>
      </c>
      <c r="G488" s="188" t="str">
        <f>IFERROR(__xludf.DUMMYFUNCTION("TRIM(REGEXREPLACE(C488, ""[0-9]+[a-f]?\."", """"))"),"In the past week how many days have adults in your household consumed animal protein (including fish, meat, poultry)?")</f>
        <v>In the past week how many days have adults in your household consumed animal protein (including fish, meat, poultry)?</v>
      </c>
      <c r="H488" s="188" t="str">
        <f>IFERROR(__xludf.DUMMYFUNCTION("TRIM(REGEXREPLACE(D488,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488" s="188" t="str">
        <f>IFERROR(__xludf.DUMMYFUNCTION("TRIM(REGEXREPLACE(E488, ""[0-9]+[a-f]?\."", """"))"),"A cikin kwanaki 7 da suka wuce sau nawa manyan gidanku suka ci abinci masu gina jiki kamar su kifi ko nama ko kaji?")</f>
        <v>A cikin kwanaki 7 da suka wuce sau nawa manyan gidanku suka ci abinci masu gina jiki kamar su kifi ko nama ko kaji?</v>
      </c>
      <c r="J488" s="188" t="s">
        <v>3915</v>
      </c>
      <c r="K488" s="188" t="s">
        <v>3916</v>
      </c>
      <c r="L488" s="188" t="s">
        <v>3917</v>
      </c>
    </row>
    <row r="489">
      <c r="A489" s="299" t="s">
        <v>2456</v>
      </c>
      <c r="B489" s="300" t="s">
        <v>3918</v>
      </c>
      <c r="C489" s="190" t="s">
        <v>3919</v>
      </c>
      <c r="D489" s="190" t="s">
        <v>3920</v>
      </c>
      <c r="E489" s="190" t="s">
        <v>3921</v>
      </c>
      <c r="F489" s="195">
        <v>235.0</v>
      </c>
      <c r="G489" s="188" t="str">
        <f>IFERROR(__xludf.DUMMYFUNCTION("TRIM(REGEXREPLACE(C489, ""[0-9]+[a-f]?\."", """"))"),"In the last 7 days, have children (&lt;14) gone a whole day without meals?")</f>
        <v>In the last 7 days, have children (&lt;14) gone a whole day without meals?</v>
      </c>
      <c r="H489" s="188" t="str">
        <f>IFERROR(__xludf.DUMMYFUNCTION("TRIM(REGEXREPLACE(D489, ""[0-9]+[a-f]?\."", """"))"),"Au cours des 7 derniers jours, des enfants (&lt;14) ont-ils passé une journée entière sans manger de repas ?")</f>
        <v>Au cours des 7 derniers jours, des enfants (&lt;14) ont-ils passé une journée entière sans manger de repas ?</v>
      </c>
      <c r="I489" s="188" t="str">
        <f>IFERROR(__xludf.DUMMYFUNCTION("TRIM(REGEXREPLACE(E489, ""[0-9]+[a-f]?\."", """"))"),"A cikin kwanaki 7 na ƙarshe, ko yara ƴan ƙasa da shekara goma sha huɗu sun zauna tsawon wuni guda ba su ci da abinci ba?")</f>
        <v>A cikin kwanaki 7 na ƙarshe, ko yara ƴan ƙasa da shekara goma sha huɗu sun zauna tsawon wuni guda ba su ci da abinci ba?</v>
      </c>
      <c r="J489" s="188" t="s">
        <v>3922</v>
      </c>
      <c r="K489" s="188" t="s">
        <v>3923</v>
      </c>
      <c r="L489" s="188" t="s">
        <v>3924</v>
      </c>
    </row>
    <row r="490">
      <c r="A490" s="306" t="s">
        <v>247</v>
      </c>
      <c r="B490" s="307" t="s">
        <v>3925</v>
      </c>
      <c r="C490" s="190" t="s">
        <v>3926</v>
      </c>
      <c r="D490" s="190" t="s">
        <v>3927</v>
      </c>
      <c r="E490" s="190" t="s">
        <v>3928</v>
      </c>
      <c r="F490" s="195">
        <v>236.0</v>
      </c>
      <c r="G490" s="188" t="str">
        <f>IFERROR(__xludf.DUMMYFUNCTION("TRIM(REGEXREPLACE(C490, ""[0-9]+[a-f]?\."", """"))"),"How many days?")</f>
        <v>How many days?</v>
      </c>
      <c r="H490" s="188" t="str">
        <f>IFERROR(__xludf.DUMMYFUNCTION("TRIM(REGEXREPLACE(D490, ""[0-9]+[a-f]?\."", """"))"),"Pendant combien de jours?")</f>
        <v>Pendant combien de jours?</v>
      </c>
      <c r="I490" s="188" t="str">
        <f>IFERROR(__xludf.DUMMYFUNCTION("TRIM(REGEXREPLACE(E490, ""[0-9]+[a-f]?\."", """"))"),"154a Tsawon kwanaki nawa?")</f>
        <v>154a Tsawon kwanaki nawa?</v>
      </c>
      <c r="J490" s="188" t="s">
        <v>3929</v>
      </c>
      <c r="K490" s="188" t="s">
        <v>3930</v>
      </c>
      <c r="L490" s="188" t="s">
        <v>3931</v>
      </c>
    </row>
    <row r="491">
      <c r="A491" s="299" t="s">
        <v>2456</v>
      </c>
      <c r="B491" s="300" t="s">
        <v>3932</v>
      </c>
      <c r="C491" s="190" t="s">
        <v>3933</v>
      </c>
      <c r="D491" s="190" t="s">
        <v>3934</v>
      </c>
      <c r="E491" s="190" t="s">
        <v>3935</v>
      </c>
      <c r="F491" s="195">
        <v>237.0</v>
      </c>
      <c r="G491" s="188" t="str">
        <f>IFERROR(__xludf.DUMMYFUNCTION("TRIM(REGEXREPLACE(C491, ""[0-9]+[a-f]?\."", """"))"),"In the last 7 days, have children (&lt;14) cut the size of meals or skipped meals?")</f>
        <v>In the last 7 days, have children (&lt;14) cut the size of meals or skipped meals?</v>
      </c>
      <c r="H491" s="188" t="str">
        <f>IFERROR(__xludf.DUMMYFUNCTION("TRIM(REGEXREPLACE(D491, ""[0-9]+[a-f]?\."", """"))"),"Au cours des 7 derniers jours, des enfants (&lt;14) ont-ils réduit la taille de leurs repas ou les ont-ils sauté?")</f>
        <v>Au cours des 7 derniers jours, des enfants (&lt;14) ont-ils réduit la taille de leurs repas ou les ont-ils sauté?</v>
      </c>
      <c r="I491" s="188" t="str">
        <f>IFERROR(__xludf.DUMMYFUNCTION("TRIM(REGEXREPLACE(E491, ""[0-9]+[a-f]?\."", """"))"),"A cikin kwanaki 7 na ƙarshe, suna da yara (&lt;14) sun rage yawan abinci ko sun rasa gaba ɗaya?")</f>
        <v>A cikin kwanaki 7 na ƙarshe, suna da yara (&lt;14) sun rage yawan abinci ko sun rasa gaba ɗaya?</v>
      </c>
      <c r="J491" s="188" t="s">
        <v>3938</v>
      </c>
      <c r="K491" s="188" t="s">
        <v>3940</v>
      </c>
      <c r="L491" s="188" t="s">
        <v>3941</v>
      </c>
    </row>
    <row r="492">
      <c r="A492" s="306" t="s">
        <v>247</v>
      </c>
      <c r="B492" s="307" t="s">
        <v>3943</v>
      </c>
      <c r="C492" s="190" t="s">
        <v>3944</v>
      </c>
      <c r="D492" s="190" t="s">
        <v>3945</v>
      </c>
      <c r="E492" s="190" t="s">
        <v>3946</v>
      </c>
      <c r="F492" s="195">
        <v>238.0</v>
      </c>
      <c r="G492" s="188" t="str">
        <f>IFERROR(__xludf.DUMMYFUNCTION("TRIM(REGEXREPLACE(C492, ""[0-9]+[a-f]?\."", """"))"),"How many days?")</f>
        <v>How many days?</v>
      </c>
      <c r="H492" s="188" t="str">
        <f>IFERROR(__xludf.DUMMYFUNCTION("TRIM(REGEXREPLACE(D492, ""[0-9]+[a-f]?\."", """"))"),"Pendant combien de jours?")</f>
        <v>Pendant combien de jours?</v>
      </c>
      <c r="I492" s="188" t="str">
        <f>IFERROR(__xludf.DUMMYFUNCTION("TRIM(REGEXREPLACE(E492, ""[0-9]+[a-f]?\."", """"))"),"155a Tsawon kwanaki nawa?")</f>
        <v>155a Tsawon kwanaki nawa?</v>
      </c>
      <c r="J492" s="188" t="s">
        <v>3947</v>
      </c>
      <c r="K492" s="188" t="s">
        <v>3948</v>
      </c>
      <c r="L492" s="188" t="s">
        <v>3949</v>
      </c>
    </row>
    <row r="493">
      <c r="A493" s="306" t="s">
        <v>247</v>
      </c>
      <c r="B493" s="307" t="s">
        <v>3950</v>
      </c>
      <c r="C493" s="190" t="s">
        <v>3951</v>
      </c>
      <c r="D493" s="190" t="s">
        <v>3952</v>
      </c>
      <c r="E493" s="190" t="s">
        <v>3953</v>
      </c>
      <c r="F493" s="195">
        <v>239.0</v>
      </c>
      <c r="G493" s="188" t="str">
        <f>IFERROR(__xludf.DUMMYFUNCTION("TRIM(REGEXREPLACE(C493, ""[0-9]+[a-f]?\."", """"))"),"In the past week how many days have children in your household consumed animal protein (inlcuding fish, meat, poultry)?")</f>
        <v>In the past week how many days have children in your household consumed animal protein (inlcuding fish, meat, poultry)?</v>
      </c>
      <c r="H493" s="188" t="str">
        <f>IFERROR(__xludf.DUMMYFUNCTION("TRIM(REGEXREPLACE(D493,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493" s="188" t="str">
        <f>IFERROR(__xludf.DUMMYFUNCTION("TRIM(REGEXREPLACE(E493, ""[0-9]+[a-f]?\."", """"))"),"A cikin kwanaki 7 da suka gabata sau nawa yara a cikin gidanku suka ci abinci masu gina jiki kamar su kifi, nama, kaji ?")</f>
        <v>A cikin kwanaki 7 da suka gabata sau nawa yara a cikin gidanku suka ci abinci masu gina jiki kamar su kifi, nama, kaji ?</v>
      </c>
      <c r="J493" s="188" t="s">
        <v>3954</v>
      </c>
      <c r="K493" s="188" t="s">
        <v>3955</v>
      </c>
      <c r="L493" s="188" t="s">
        <v>3957</v>
      </c>
    </row>
    <row r="494" hidden="1">
      <c r="A494" s="320"/>
      <c r="B494" s="321"/>
      <c r="C494" s="190" t="s">
        <v>55</v>
      </c>
      <c r="D494" s="190" t="s">
        <v>55</v>
      </c>
      <c r="E494" s="190" t="s">
        <v>55</v>
      </c>
      <c r="F494" s="195">
        <v>123.0</v>
      </c>
      <c r="G494" s="188" t="str">
        <f>IFERROR(__xludf.DUMMYFUNCTION("TRIM(REGEXREPLACE(C494, ""[0-9]+[a-f]?\."", """"))"),"")</f>
        <v/>
      </c>
      <c r="H494" s="188" t="str">
        <f>IFERROR(__xludf.DUMMYFUNCTION("TRIM(REGEXREPLACE(D494, ""[0-9]+[a-f]?\."", """"))"),"")</f>
        <v/>
      </c>
      <c r="I494" s="188" t="str">
        <f>IFERROR(__xludf.DUMMYFUNCTION("TRIM(REGEXREPLACE(E494, ""[0-9]+[a-f]?\."", """"))"),"")</f>
        <v/>
      </c>
      <c r="J494" s="188" t="str">
        <f t="shared" ref="J494:L494" si="35">$F494 &amp; ". "&amp;G494</f>
        <v>123. </v>
      </c>
      <c r="K494" s="188" t="str">
        <f t="shared" si="35"/>
        <v>123. </v>
      </c>
      <c r="L494" s="188" t="str">
        <f t="shared" si="35"/>
        <v>123. </v>
      </c>
    </row>
    <row r="495" hidden="1">
      <c r="A495" s="310" t="s">
        <v>278</v>
      </c>
      <c r="B495" s="311" t="s">
        <v>3960</v>
      </c>
      <c r="C495" s="190"/>
      <c r="D495" s="190"/>
      <c r="E495" s="190"/>
      <c r="F495" s="195">
        <v>124.0</v>
      </c>
      <c r="G495" s="188" t="str">
        <f>IFERROR(__xludf.DUMMYFUNCTION("TRIM(REGEXREPLACE(C495, ""[0-9]+[a-f]?\."", """"))"),"")</f>
        <v/>
      </c>
      <c r="H495" s="188" t="str">
        <f>IFERROR(__xludf.DUMMYFUNCTION("TRIM(REGEXREPLACE(D495, ""[0-9]+[a-f]?\."", """"))"),"")</f>
        <v/>
      </c>
      <c r="I495" s="188" t="str">
        <f>IFERROR(__xludf.DUMMYFUNCTION("TRIM(REGEXREPLACE(E495, ""[0-9]+[a-f]?\."", """"))"),"")</f>
        <v/>
      </c>
      <c r="J495" s="188" t="str">
        <f t="shared" ref="J495:L495" si="36">$F495 &amp; ". "&amp;G495</f>
        <v>124. </v>
      </c>
      <c r="K495" s="188" t="str">
        <f t="shared" si="36"/>
        <v>124. </v>
      </c>
      <c r="L495" s="188" t="str">
        <f t="shared" si="36"/>
        <v>124. </v>
      </c>
    </row>
    <row r="496">
      <c r="A496" s="299" t="s">
        <v>3962</v>
      </c>
      <c r="B496" s="300" t="s">
        <v>3964</v>
      </c>
      <c r="C496" s="190" t="s">
        <v>3966</v>
      </c>
      <c r="D496" s="190" t="s">
        <v>3968</v>
      </c>
      <c r="E496" s="190" t="s">
        <v>3969</v>
      </c>
      <c r="F496" s="195">
        <v>240.0</v>
      </c>
      <c r="G496" s="188" t="str">
        <f>IFERROR(__xludf.DUMMYFUNCTION("TRIM(REGEXREPLACE(C496, ""[0-9]+[a-f]?\."", """"))"),"Has your household spent money on the following types of expenses in the past month?")</f>
        <v>Has your household spent money on the following types of expenses in the past month?</v>
      </c>
      <c r="H496" s="188" t="str">
        <f>IFERROR(__xludf.DUMMYFUNCTION("TRIM(REGEXREPLACE(D496, ""[0-9]+[a-f]?\."", """"))"),"Votre ménage a-t-il dépensé de l'argent pour les types de dépenses suivants au cours du dernier mois ?")</f>
        <v>Votre ménage a-t-il dépensé de l'argent pour les types de dépenses suivants au cours du dernier mois ?</v>
      </c>
      <c r="I496" s="188" t="str">
        <f>IFERROR(__xludf.DUMMYFUNCTION("TRIM(REGEXREPLACE(E496, ""[0-9]+[a-f]?\."", """"))"),"Shin gidanku ya kashe kuɗi akan irin waɗannan abubuwan a cikin watan da ya gabata?")</f>
        <v>Shin gidanku ya kashe kuɗi akan irin waɗannan abubuwan a cikin watan da ya gabata?</v>
      </c>
      <c r="J496" s="188" t="s">
        <v>3970</v>
      </c>
      <c r="K496" s="188" t="s">
        <v>3971</v>
      </c>
      <c r="L496" s="188" t="s">
        <v>3972</v>
      </c>
    </row>
    <row r="497" hidden="1">
      <c r="A497" s="305" t="s">
        <v>385</v>
      </c>
      <c r="B497" s="223" t="s">
        <v>3973</v>
      </c>
      <c r="C497" s="190" t="s">
        <v>3974</v>
      </c>
      <c r="D497" s="190" t="s">
        <v>3975</v>
      </c>
      <c r="E497" s="190" t="s">
        <v>3976</v>
      </c>
      <c r="F497" s="195">
        <v>126.0</v>
      </c>
      <c r="G497" s="188" t="str">
        <f>IFERROR(__xludf.DUMMYFUNCTION("TRIM(REGEXREPLACE(C497, ""[0-9]+[a-f]?\."", """"))"),"Consumption - Monthly")</f>
        <v>Consumption - Monthly</v>
      </c>
      <c r="H497" s="188" t="str">
        <f>IFERROR(__xludf.DUMMYFUNCTION("TRIM(REGEXREPLACE(D497, ""[0-9]+[a-f]?\."", """"))"),"Consommation - Mensuelle")</f>
        <v>Consommation - Mensuelle</v>
      </c>
      <c r="I497" s="188" t="str">
        <f>IFERROR(__xludf.DUMMYFUNCTION("TRIM(REGEXREPLACE(E497, ""[0-9]+[a-f]?\."", """"))"),"Cimaka - kowane wata")</f>
        <v>Cimaka - kowane wata</v>
      </c>
      <c r="J497" s="188" t="str">
        <f t="shared" ref="J497:L497" si="37">$F497 &amp; ". "&amp;G497</f>
        <v>126. Consumption - Monthly</v>
      </c>
      <c r="K497" s="188" t="str">
        <f t="shared" si="37"/>
        <v>126. Consommation - Mensuelle</v>
      </c>
      <c r="L497" s="188" t="str">
        <f t="shared" si="37"/>
        <v>126. Cimaka - kowane wata</v>
      </c>
    </row>
    <row r="498" hidden="1">
      <c r="A498" s="221" t="s">
        <v>112</v>
      </c>
      <c r="B498" s="198" t="s">
        <v>3980</v>
      </c>
      <c r="C498" s="190" t="s">
        <v>3981</v>
      </c>
      <c r="D498" s="190" t="s">
        <v>3983</v>
      </c>
      <c r="E498" s="190" t="s">
        <v>3984</v>
      </c>
      <c r="F498" s="195">
        <v>127.0</v>
      </c>
      <c r="G498" s="188" t="str">
        <f>IFERROR(__xludf.DUMMYFUNCTION("TRIM(REGEXREPLACE(C498, ""[0-9]+[a-f]?\."", """"))"),"item")</f>
        <v>item</v>
      </c>
      <c r="H498" s="188" t="str">
        <f>IFERROR(__xludf.DUMMYFUNCTION("TRIM(REGEXREPLACE(D498, ""[0-9]+[a-f]?\."", """"))"),"article")</f>
        <v>article</v>
      </c>
      <c r="I498" s="188" t="str">
        <f>IFERROR(__xludf.DUMMYFUNCTION("TRIM(REGEXREPLACE(E498, ""[0-9]+[a-f]?\."", """"))"),"kaya")</f>
        <v>kaya</v>
      </c>
      <c r="J498" s="188" t="str">
        <f t="shared" ref="J498:L498" si="38">$F498 &amp; ". "&amp;G498</f>
        <v>127. item</v>
      </c>
      <c r="K498" s="188" t="str">
        <f t="shared" si="38"/>
        <v>127. article</v>
      </c>
      <c r="L498" s="188" t="str">
        <f t="shared" si="38"/>
        <v>127. kaya</v>
      </c>
    </row>
    <row r="499">
      <c r="A499" s="306" t="s">
        <v>247</v>
      </c>
      <c r="B499" s="307" t="s">
        <v>3988</v>
      </c>
      <c r="C499" s="190" t="s">
        <v>3989</v>
      </c>
      <c r="D499" s="190" t="s">
        <v>3990</v>
      </c>
      <c r="E499" s="190" t="s">
        <v>3991</v>
      </c>
      <c r="F499" s="195">
        <v>241.0</v>
      </c>
      <c r="G499" s="188" t="str">
        <f>IFERROR(__xludf.DUMMYFUNCTION("TRIM(REGEXREPLACE(C499, ""[0-9]+[a-f]?\."", """"))"),"How much did your household spend on ${w_item} in the past month (in CFA)?")</f>
        <v>How much did your household spend on ${w_item} in the past month (in CFA)?</v>
      </c>
      <c r="H499" s="188" t="str">
        <f>IFERROR(__xludf.DUMMYFUNCTION("TRIM(REGEXREPLACE(D499, ""[0-9]+[a-f]?\."", """"))"),"Combien votre ménage a-t-il dépensé pour ${w_item} au cours du dernier mois (en CFA) ?")</f>
        <v>Combien votre ménage a-t-il dépensé pour ${w_item} au cours du dernier mois (en CFA) ?</v>
      </c>
      <c r="I499" s="188" t="str">
        <f>IFERROR(__xludf.DUMMYFUNCTION("TRIM(REGEXREPLACE(E499, ""[0-9]+[a-f]?\."", """"))"),"Nawa ne (a CFA) gidanku ya kashe akan ${w_item} cikin watan da ya gabata ?")</f>
        <v>Nawa ne (a CFA) gidanku ya kashe akan ${w_item} cikin watan da ya gabata ?</v>
      </c>
      <c r="J499" s="188" t="s">
        <v>3992</v>
      </c>
      <c r="K499" s="188" t="s">
        <v>3993</v>
      </c>
      <c r="L499" s="188" t="s">
        <v>3994</v>
      </c>
    </row>
    <row r="500" hidden="1">
      <c r="A500" s="305" t="s">
        <v>450</v>
      </c>
      <c r="B500" s="224" t="s">
        <v>3973</v>
      </c>
      <c r="C500" s="190" t="s">
        <v>3974</v>
      </c>
      <c r="D500" s="190" t="s">
        <v>3975</v>
      </c>
      <c r="E500" s="190" t="s">
        <v>3976</v>
      </c>
      <c r="F500" s="195">
        <v>129.0</v>
      </c>
      <c r="G500" s="188" t="str">
        <f>IFERROR(__xludf.DUMMYFUNCTION("TRIM(REGEXREPLACE(C500, ""[0-9]+[a-f]?\."", """"))"),"Consumption - Monthly")</f>
        <v>Consumption - Monthly</v>
      </c>
      <c r="H500" s="188" t="str">
        <f>IFERROR(__xludf.DUMMYFUNCTION("TRIM(REGEXREPLACE(D500, ""[0-9]+[a-f]?\."", """"))"),"Consommation - Mensuelle")</f>
        <v>Consommation - Mensuelle</v>
      </c>
      <c r="I500" s="188" t="str">
        <f>IFERROR(__xludf.DUMMYFUNCTION("TRIM(REGEXREPLACE(E500, ""[0-9]+[a-f]?\."", """"))"),"Cimaka - kowane wata")</f>
        <v>Cimaka - kowane wata</v>
      </c>
      <c r="J500" s="188" t="str">
        <f t="shared" ref="J500:L500" si="39">$F500 &amp; ". "&amp;G500</f>
        <v>129. Consumption - Monthly</v>
      </c>
      <c r="K500" s="188" t="str">
        <f t="shared" si="39"/>
        <v>129. Consommation - Mensuelle</v>
      </c>
      <c r="L500" s="188" t="str">
        <f t="shared" si="39"/>
        <v>129. Cimaka - kowane wata</v>
      </c>
    </row>
    <row r="501">
      <c r="A501" s="299" t="s">
        <v>3995</v>
      </c>
      <c r="B501" s="300" t="s">
        <v>3996</v>
      </c>
      <c r="C501" s="190" t="s">
        <v>3997</v>
      </c>
      <c r="D501" s="190" t="s">
        <v>3999</v>
      </c>
      <c r="E501" s="190" t="s">
        <v>4001</v>
      </c>
      <c r="F501" s="195">
        <v>242.0</v>
      </c>
      <c r="G501" s="188" t="str">
        <f>IFERROR(__xludf.DUMMYFUNCTION("TRIM(REGEXREPLACE(C501, ""[0-9]+[a-f]?\."", """"))"),"Has your household spent money on the following types of expenses in the past week?")</f>
        <v>Has your household spent money on the following types of expenses in the past week?</v>
      </c>
      <c r="H501" s="188" t="str">
        <f>IFERROR(__xludf.DUMMYFUNCTION("TRIM(REGEXREPLACE(D501, ""[0-9]+[a-f]?\."", """"))"),"Votre ménage a-t-il dépensé de l'argent pour les types de dépenses suivants au cours de la semaine dernière ?")</f>
        <v>Votre ménage a-t-il dépensé de l'argent pour les types de dépenses suivants au cours de la semaine dernière ?</v>
      </c>
      <c r="I501" s="188" t="str">
        <f>IFERROR(__xludf.DUMMYFUNCTION("TRIM(REGEXREPLACE(E501, ""[0-9]+[a-f]?\."", """"))"),"Ko gidanku sun kashe kuɗi akan ire iren waɗannan abubuwan a cikin satin da ya gabata?")</f>
        <v>Ko gidanku sun kashe kuɗi akan ire iren waɗannan abubuwan a cikin satin da ya gabata?</v>
      </c>
      <c r="J501" s="188" t="s">
        <v>4004</v>
      </c>
      <c r="K501" s="188" t="s">
        <v>4005</v>
      </c>
      <c r="L501" s="188" t="s">
        <v>4006</v>
      </c>
    </row>
    <row r="502" hidden="1">
      <c r="A502" s="305" t="s">
        <v>385</v>
      </c>
      <c r="B502" s="223" t="s">
        <v>4007</v>
      </c>
      <c r="C502" s="190" t="s">
        <v>4008</v>
      </c>
      <c r="D502" s="190" t="s">
        <v>4009</v>
      </c>
      <c r="E502" s="190" t="s">
        <v>4010</v>
      </c>
      <c r="F502" s="195">
        <v>306.0</v>
      </c>
      <c r="G502" s="188" t="str">
        <f>IFERROR(__xludf.DUMMYFUNCTION("TRIM(REGEXREPLACE(C502, ""[0-9]+[a-f]?\."", """"))"),"Consumption - Weekly")</f>
        <v>Consumption - Weekly</v>
      </c>
      <c r="H502" s="188" t="str">
        <f>IFERROR(__xludf.DUMMYFUNCTION("TRIM(REGEXREPLACE(D502, ""[0-9]+[a-f]?\."", """"))"),"Consommation - Hebdomadaire")</f>
        <v>Consommation - Hebdomadaire</v>
      </c>
      <c r="I502" s="188" t="str">
        <f>IFERROR(__xludf.DUMMYFUNCTION("TRIM(REGEXREPLACE(E502, ""[0-9]+[a-f]?\."", """"))"),"Cimakar - sati-sati")</f>
        <v>Cimakar - sati-sati</v>
      </c>
      <c r="J502" s="188" t="s">
        <v>4011</v>
      </c>
      <c r="K502" s="188" t="s">
        <v>4012</v>
      </c>
      <c r="L502" s="188" t="s">
        <v>4013</v>
      </c>
    </row>
    <row r="503" hidden="1">
      <c r="A503" s="221" t="s">
        <v>112</v>
      </c>
      <c r="B503" s="198" t="s">
        <v>4014</v>
      </c>
      <c r="C503" s="190" t="s">
        <v>4015</v>
      </c>
      <c r="D503" s="190" t="s">
        <v>4016</v>
      </c>
      <c r="E503" s="190" t="s">
        <v>4017</v>
      </c>
      <c r="F503" s="195">
        <v>130.0</v>
      </c>
      <c r="G503" s="188" t="str">
        <f>IFERROR(__xludf.DUMMYFUNCTION("TRIM(REGEXREPLACE(C503, ""[0-9]+[a-f]?\."", """"))"),"item weekly")</f>
        <v>item weekly</v>
      </c>
      <c r="H503" s="188" t="str">
        <f>IFERROR(__xludf.DUMMYFUNCTION("TRIM(REGEXREPLACE(D503, ""[0-9]+[a-f]?\."", """"))"),"article hebdomadaire")</f>
        <v>article hebdomadaire</v>
      </c>
      <c r="I503" s="188" t="str">
        <f>IFERROR(__xludf.DUMMYFUNCTION("TRIM(REGEXREPLACE(E503, ""[0-9]+[a-f]?\."", """"))"),"kayan sati-sati")</f>
        <v>kayan sati-sati</v>
      </c>
      <c r="J503" s="188" t="str">
        <f t="shared" ref="J503:L503" si="40">$F503 &amp; ". "&amp;G503</f>
        <v>130. item weekly</v>
      </c>
      <c r="K503" s="188" t="str">
        <f t="shared" si="40"/>
        <v>130. article hebdomadaire</v>
      </c>
      <c r="L503" s="188" t="str">
        <f t="shared" si="40"/>
        <v>130. kayan sati-sati</v>
      </c>
    </row>
    <row r="504">
      <c r="A504" s="306" t="s">
        <v>247</v>
      </c>
      <c r="B504" s="307" t="s">
        <v>4019</v>
      </c>
      <c r="C504" s="190" t="s">
        <v>4020</v>
      </c>
      <c r="D504" s="190" t="s">
        <v>4021</v>
      </c>
      <c r="E504" s="190" t="s">
        <v>4022</v>
      </c>
      <c r="F504" s="195">
        <v>243.0</v>
      </c>
      <c r="G504" s="188" t="str">
        <f>IFERROR(__xludf.DUMMYFUNCTION("TRIM(REGEXREPLACE(C504, ""[0-9]+[a-f]?\."", """"))"),"How much did your household spend on ${w_item_week} in the past week (in CFA)?")</f>
        <v>How much did your household spend on ${w_item_week} in the past week (in CFA)?</v>
      </c>
      <c r="H504" s="188" t="str">
        <f>IFERROR(__xludf.DUMMYFUNCTION("TRIM(REGEXREPLACE(D504, ""[0-9]+[a-f]?\."", """"))"),"Combien votre ménage a-t-il dépensé en ${w_item_week} la semaine dernière (en CFA) ?")</f>
        <v>Combien votre ménage a-t-il dépensé en ${w_item_week} la semaine dernière (en CFA) ?</v>
      </c>
      <c r="I504" s="188" t="str">
        <f>IFERROR(__xludf.DUMMYFUNCTION("TRIM(REGEXREPLACE(E504, ""[0-9]+[a-f]?\."", """"))"),"Nawa ne gidan ku ya kashe (a CFA) a ${w_item_week} satin da ya gabata ?")</f>
        <v>Nawa ne gidan ku ya kashe (a CFA) a ${w_item_week} satin da ya gabata ?</v>
      </c>
      <c r="J504" s="188" t="s">
        <v>4023</v>
      </c>
      <c r="K504" s="188" t="s">
        <v>4024</v>
      </c>
      <c r="L504" s="188" t="s">
        <v>4025</v>
      </c>
    </row>
    <row r="505" hidden="1">
      <c r="A505" s="305" t="s">
        <v>450</v>
      </c>
      <c r="B505" s="224" t="s">
        <v>4007</v>
      </c>
      <c r="C505" s="190" t="s">
        <v>4008</v>
      </c>
      <c r="D505" s="190" t="s">
        <v>4009</v>
      </c>
      <c r="E505" s="190" t="s">
        <v>4010</v>
      </c>
      <c r="F505" s="195">
        <v>334.0</v>
      </c>
      <c r="G505" s="188" t="str">
        <f>IFERROR(__xludf.DUMMYFUNCTION("TRIM(REGEXREPLACE(C505, ""[0-9]+[a-f]?\."", """"))"),"Consumption - Weekly")</f>
        <v>Consumption - Weekly</v>
      </c>
      <c r="H505" s="188" t="str">
        <f>IFERROR(__xludf.DUMMYFUNCTION("TRIM(REGEXREPLACE(D505, ""[0-9]+[a-f]?\."", """"))"),"Consommation - Hebdomadaire")</f>
        <v>Consommation - Hebdomadaire</v>
      </c>
      <c r="I505" s="188" t="str">
        <f>IFERROR(__xludf.DUMMYFUNCTION("TRIM(REGEXREPLACE(E505, ""[0-9]+[a-f]?\."", """"))"),"Cimakar - sati-sati")</f>
        <v>Cimakar - sati-sati</v>
      </c>
      <c r="J505" s="188" t="s">
        <v>4026</v>
      </c>
      <c r="K505" s="188" t="s">
        <v>4027</v>
      </c>
      <c r="L505" s="188" t="s">
        <v>4028</v>
      </c>
    </row>
    <row r="506" hidden="1">
      <c r="A506" s="310" t="s">
        <v>278</v>
      </c>
      <c r="B506" s="311" t="s">
        <v>4029</v>
      </c>
      <c r="C506" s="190"/>
      <c r="D506" s="190"/>
      <c r="E506" s="190"/>
      <c r="F506" s="195">
        <v>297.0</v>
      </c>
      <c r="G506" s="188" t="str">
        <f>IFERROR(__xludf.DUMMYFUNCTION("TRIM(REGEXREPLACE(C506, ""[0-9]+[a-f]?\."", """"))"),"")</f>
        <v/>
      </c>
      <c r="H506" s="188" t="str">
        <f>IFERROR(__xludf.DUMMYFUNCTION("TRIM(REGEXREPLACE(D506, ""[0-9]+[a-f]?\."", """"))"),"")</f>
        <v/>
      </c>
      <c r="I506" s="188" t="str">
        <f>IFERROR(__xludf.DUMMYFUNCTION("TRIM(REGEXREPLACE(E506, ""[0-9]+[a-f]?\."", """"))"),"")</f>
        <v/>
      </c>
      <c r="J506" s="188" t="s">
        <v>4033</v>
      </c>
      <c r="K506" s="188" t="s">
        <v>4034</v>
      </c>
      <c r="L506" s="188" t="s">
        <v>4035</v>
      </c>
    </row>
    <row r="507">
      <c r="A507" s="299" t="s">
        <v>2456</v>
      </c>
      <c r="B507" s="300" t="s">
        <v>4037</v>
      </c>
      <c r="C507" s="190" t="s">
        <v>4039</v>
      </c>
      <c r="D507" s="190" t="s">
        <v>4040</v>
      </c>
      <c r="E507" s="190" t="s">
        <v>4041</v>
      </c>
      <c r="F507" s="195">
        <v>244.0</v>
      </c>
      <c r="G507" s="188" t="str">
        <f>IFERROR(__xludf.DUMMYFUNCTION("TRIM(REGEXREPLACE(C507, ""[0-9]+[a-f]?\."", """"))"),"For Tabaski, did your household purchase any of the following?")</f>
        <v>For Tabaski, did your household purchase any of the following?</v>
      </c>
      <c r="H507" s="188" t="str">
        <f>IFERROR(__xludf.DUMMYFUNCTION("TRIM(REGEXREPLACE(D507, ""[0-9]+[a-f]?\."", """"))"),"Pour la Tabaski, votre menage a-t-il acheté l'un des articles suivants ?")</f>
        <v>Pour la Tabaski, votre menage a-t-il acheté l'un des articles suivants ?</v>
      </c>
      <c r="I507" s="188" t="str">
        <f>IFERROR(__xludf.DUMMYFUNCTION("TRIM(REGEXREPLACE(E507, ""[0-9]+[a-f]?\."", """"))"),"Don sallar laiya, gidanku sun sayi ɗaya daga cikin waɗannan abubuwan ?")</f>
        <v>Don sallar laiya, gidanku sun sayi ɗaya daga cikin waɗannan abubuwan ?</v>
      </c>
      <c r="J507" s="188" t="s">
        <v>4042</v>
      </c>
      <c r="K507" s="188" t="s">
        <v>4043</v>
      </c>
      <c r="L507" s="188" t="s">
        <v>4044</v>
      </c>
    </row>
    <row r="508">
      <c r="A508" s="299" t="s">
        <v>2456</v>
      </c>
      <c r="B508" s="300" t="s">
        <v>4045</v>
      </c>
      <c r="C508" s="190" t="s">
        <v>4046</v>
      </c>
      <c r="D508" s="190" t="s">
        <v>4047</v>
      </c>
      <c r="E508" s="190" t="s">
        <v>4048</v>
      </c>
      <c r="F508" s="195">
        <v>245.0</v>
      </c>
      <c r="G508" s="188" t="str">
        <f>IFERROR(__xludf.DUMMYFUNCTION("TRIM(REGEXREPLACE(C508, ""[0-9]+[a-f]?\."", """"))"),"Clothing")</f>
        <v>Clothing</v>
      </c>
      <c r="H508" s="188" t="str">
        <f>IFERROR(__xludf.DUMMYFUNCTION("TRIM(REGEXREPLACE(D508, ""[0-9]+[a-f]?\."", """"))"),"Vêtements")</f>
        <v>Vêtements</v>
      </c>
      <c r="I508" s="188" t="str">
        <f>IFERROR(__xludf.DUMMYFUNCTION("TRIM(REGEXREPLACE(E508, ""[0-9]+[a-f]?\."", """"))"),"Tufafi")</f>
        <v>Tufafi</v>
      </c>
      <c r="J508" s="188" t="s">
        <v>4050</v>
      </c>
      <c r="K508" s="188" t="s">
        <v>4051</v>
      </c>
      <c r="L508" s="188" t="s">
        <v>4052</v>
      </c>
    </row>
    <row r="509">
      <c r="A509" s="299" t="s">
        <v>2456</v>
      </c>
      <c r="B509" s="300" t="s">
        <v>4053</v>
      </c>
      <c r="C509" s="190" t="s">
        <v>4054</v>
      </c>
      <c r="D509" s="190" t="s">
        <v>4055</v>
      </c>
      <c r="E509" s="190" t="s">
        <v>4056</v>
      </c>
      <c r="F509" s="195">
        <v>246.0</v>
      </c>
      <c r="G509" s="188" t="str">
        <f>IFERROR(__xludf.DUMMYFUNCTION("TRIM(REGEXREPLACE(C509, ""[0-9]+[a-f]?\."", """"))"),"Sheep")</f>
        <v>Sheep</v>
      </c>
      <c r="H509" s="188" t="str">
        <f>IFERROR(__xludf.DUMMYFUNCTION("TRIM(REGEXREPLACE(D509, ""[0-9]+[a-f]?\."", """"))"),"Mouton")</f>
        <v>Mouton</v>
      </c>
      <c r="I509" s="188" t="str">
        <f>IFERROR(__xludf.DUMMYFUNCTION("TRIM(REGEXREPLACE(E509, ""[0-9]+[a-f]?\."", """"))"),"Rago")</f>
        <v>Rago</v>
      </c>
      <c r="J509" s="188" t="s">
        <v>4060</v>
      </c>
      <c r="K509" s="188" t="s">
        <v>4061</v>
      </c>
      <c r="L509" s="188" t="s">
        <v>4062</v>
      </c>
    </row>
    <row r="510">
      <c r="A510" s="299" t="s">
        <v>2456</v>
      </c>
      <c r="B510" s="300" t="s">
        <v>4063</v>
      </c>
      <c r="C510" s="190" t="s">
        <v>4064</v>
      </c>
      <c r="D510" s="190" t="s">
        <v>4065</v>
      </c>
      <c r="E510" s="190" t="s">
        <v>4066</v>
      </c>
      <c r="F510" s="195">
        <v>247.0</v>
      </c>
      <c r="G510" s="188" t="str">
        <f>IFERROR(__xludf.DUMMYFUNCTION("TRIM(REGEXREPLACE(C510, ""[0-9]+[a-f]?\."", """"))"),"Goat")</f>
        <v>Goat</v>
      </c>
      <c r="H510" s="188" t="str">
        <f>IFERROR(__xludf.DUMMYFUNCTION("TRIM(REGEXREPLACE(D510, ""[0-9]+[a-f]?\."", """"))"),"Chèvre")</f>
        <v>Chèvre</v>
      </c>
      <c r="I510" s="188" t="str">
        <f>IFERROR(__xludf.DUMMYFUNCTION("TRIM(REGEXREPLACE(E510, ""[0-9]+[a-f]?\."", """"))"),"Akuya")</f>
        <v>Akuya</v>
      </c>
      <c r="J510" s="188" t="s">
        <v>4067</v>
      </c>
      <c r="K510" s="188" t="s">
        <v>4068</v>
      </c>
      <c r="L510" s="188" t="s">
        <v>4069</v>
      </c>
    </row>
    <row r="511">
      <c r="A511" s="299" t="s">
        <v>2456</v>
      </c>
      <c r="B511" s="300" t="s">
        <v>4070</v>
      </c>
      <c r="C511" s="190" t="s">
        <v>4072</v>
      </c>
      <c r="D511" s="190" t="s">
        <v>4074</v>
      </c>
      <c r="E511" s="190" t="s">
        <v>4075</v>
      </c>
      <c r="F511" s="195">
        <v>248.0</v>
      </c>
      <c r="G511" s="188" t="str">
        <f>IFERROR(__xludf.DUMMYFUNCTION("TRIM(REGEXREPLACE(C511, ""[0-9]+[a-f]?\."", """"))"),"Poultry")</f>
        <v>Poultry</v>
      </c>
      <c r="H511" s="188" t="str">
        <f>IFERROR(__xludf.DUMMYFUNCTION("TRIM(REGEXREPLACE(D511, ""[0-9]+[a-f]?\."", """"))"),"Volaille")</f>
        <v>Volaille</v>
      </c>
      <c r="I511" s="188" t="str">
        <f>IFERROR(__xludf.DUMMYFUNCTION("TRIM(REGEXREPLACE(E511, ""[0-9]+[a-f]?\."", """"))"),"Kaji/zabi")</f>
        <v>Kaji/zabi</v>
      </c>
      <c r="J511" s="188" t="s">
        <v>4077</v>
      </c>
      <c r="K511" s="188" t="s">
        <v>4078</v>
      </c>
      <c r="L511" s="188" t="s">
        <v>4079</v>
      </c>
    </row>
    <row r="512" hidden="1">
      <c r="A512" s="310" t="s">
        <v>331</v>
      </c>
      <c r="B512" s="311" t="s">
        <v>4029</v>
      </c>
      <c r="C512" s="190"/>
      <c r="D512" s="190"/>
      <c r="E512" s="190"/>
      <c r="F512" s="195">
        <v>316.0</v>
      </c>
      <c r="G512" s="188" t="str">
        <f>IFERROR(__xludf.DUMMYFUNCTION("TRIM(REGEXREPLACE(C512, ""[0-9]+[a-f]?\."", """"))"),"")</f>
        <v/>
      </c>
      <c r="H512" s="188" t="str">
        <f>IFERROR(__xludf.DUMMYFUNCTION("TRIM(REGEXREPLACE(D512, ""[0-9]+[a-f]?\."", """"))"),"")</f>
        <v/>
      </c>
      <c r="I512" s="188" t="str">
        <f>IFERROR(__xludf.DUMMYFUNCTION("TRIM(REGEXREPLACE(E512, ""[0-9]+[a-f]?\."", """"))"),"")</f>
        <v/>
      </c>
      <c r="J512" s="188" t="s">
        <v>4080</v>
      </c>
      <c r="K512" s="188" t="s">
        <v>4081</v>
      </c>
      <c r="L512" s="188" t="s">
        <v>4082</v>
      </c>
    </row>
    <row r="513" hidden="1">
      <c r="A513" s="310" t="s">
        <v>331</v>
      </c>
      <c r="B513" s="315" t="s">
        <v>3960</v>
      </c>
      <c r="C513" s="190"/>
      <c r="D513" s="190"/>
      <c r="E513" s="190"/>
      <c r="F513" s="195">
        <v>317.0</v>
      </c>
      <c r="G513" s="188" t="str">
        <f>IFERROR(__xludf.DUMMYFUNCTION("TRIM(REGEXREPLACE(C513, ""[0-9]+[a-f]?\."", """"))"),"")</f>
        <v/>
      </c>
      <c r="H513" s="188" t="str">
        <f>IFERROR(__xludf.DUMMYFUNCTION("TRIM(REGEXREPLACE(D513, ""[0-9]+[a-f]?\."", """"))"),"")</f>
        <v/>
      </c>
      <c r="I513" s="188" t="str">
        <f>IFERROR(__xludf.DUMMYFUNCTION("TRIM(REGEXREPLACE(E513, ""[0-9]+[a-f]?\."", """"))"),"")</f>
        <v/>
      </c>
      <c r="J513" s="188" t="s">
        <v>4083</v>
      </c>
      <c r="K513" s="188" t="s">
        <v>4084</v>
      </c>
      <c r="L513" s="188" t="s">
        <v>4085</v>
      </c>
    </row>
    <row r="514" hidden="1">
      <c r="A514" s="317"/>
      <c r="B514" s="318"/>
      <c r="C514" s="190"/>
      <c r="D514" s="190"/>
      <c r="E514" s="190"/>
      <c r="F514" s="195">
        <v>301.0</v>
      </c>
      <c r="G514" s="188" t="str">
        <f>IFERROR(__xludf.DUMMYFUNCTION("TRIM(REGEXREPLACE(C514, ""[0-9]+[a-f]?\."", """"))"),"")</f>
        <v/>
      </c>
      <c r="H514" s="188" t="str">
        <f>IFERROR(__xludf.DUMMYFUNCTION("TRIM(REGEXREPLACE(D514, ""[0-9]+[a-f]?\."", """"))"),"")</f>
        <v/>
      </c>
      <c r="I514" s="188" t="str">
        <f>IFERROR(__xludf.DUMMYFUNCTION("TRIM(REGEXREPLACE(E514, ""[0-9]+[a-f]?\."", """"))"),"")</f>
        <v/>
      </c>
      <c r="J514" s="188" t="s">
        <v>4087</v>
      </c>
      <c r="K514" s="188" t="s">
        <v>4088</v>
      </c>
      <c r="L514" s="188" t="s">
        <v>4089</v>
      </c>
    </row>
    <row r="515">
      <c r="A515" s="299" t="s">
        <v>4090</v>
      </c>
      <c r="B515" s="300" t="s">
        <v>4091</v>
      </c>
      <c r="C515" s="190" t="s">
        <v>4092</v>
      </c>
      <c r="D515" s="190" t="s">
        <v>4093</v>
      </c>
      <c r="E515" s="190" t="s">
        <v>4094</v>
      </c>
      <c r="F515" s="195">
        <v>249.0</v>
      </c>
      <c r="G515" s="188" t="str">
        <f>IFERROR(__xludf.DUMMYFUNCTION("TRIM(REGEXREPLACE(C515, ""[0-9]+[a-f]?\."", """"))"),"During ${period}, was your household negatively affected by any of the following types of events?")</f>
        <v>During ${period}, was your household negatively affected by any of the following types of events?</v>
      </c>
      <c r="H515" s="188" t="str">
        <f>IFERROR(__xludf.DUMMYFUNCTION("TRIM(REGEXREPLACE(D515, ""[0-9]+[a-f]?\."", """"))"),"Au cours de ${period_french}, votre ménage a-t-il été affecté négativement par l'un des types d'événements suivants ?")</f>
        <v>Au cours de ${period_french}, votre ménage a-t-il été affecté négativement par l'un des types d'événements suivants ?</v>
      </c>
      <c r="I515" s="188" t="str">
        <f>IFERROR(__xludf.DUMMYFUNCTION("TRIM(REGEXREPLACE(E515, ""[0-9]+[a-f]?\."", """"))"),"A lokacin ${period_hausa}, ko gidanku ya fuskanci wani daga cikin matsaloli nan masu zuwa? Zaɓi duk abin da ya dace")</f>
        <v>A lokacin ${period_hausa}, ko gidanku ya fuskanci wani daga cikin matsaloli nan masu zuwa? Zaɓi duk abin da ya dace</v>
      </c>
      <c r="J515" s="188" t="s">
        <v>4095</v>
      </c>
      <c r="K515" s="188" t="s">
        <v>4096</v>
      </c>
      <c r="L515" s="188" t="s">
        <v>4097</v>
      </c>
    </row>
    <row r="516">
      <c r="A516" s="301" t="s">
        <v>220</v>
      </c>
      <c r="B516" s="302" t="s">
        <v>4098</v>
      </c>
      <c r="C516" s="190" t="s">
        <v>4099</v>
      </c>
      <c r="D516" s="190" t="s">
        <v>4100</v>
      </c>
      <c r="E516" s="190" t="s">
        <v>4101</v>
      </c>
      <c r="F516" s="195">
        <v>250.0</v>
      </c>
      <c r="G516" s="188" t="str">
        <f>IFERROR(__xludf.DUMMYFUNCTION("TRIM(REGEXREPLACE(C516, ""[0-9]+[a-f]?\."", """"))"),"Please briefly describe the event(s) that negatveily affected your household")</f>
        <v>Please briefly describe the event(s) that negatveily affected your household</v>
      </c>
      <c r="H516" s="188" t="str">
        <f>IFERROR(__xludf.DUMMYFUNCTION("TRIM(REGEXREPLACE(D516, ""[0-9]+[a-f]?\."", """"))"),"Veuillez décrire brièvement le/les événement(s) qui ont eu des effets négatifs sur votre ménage au cours des 3 derniers mois")</f>
        <v>Veuillez décrire brièvement le/les événement(s) qui ont eu des effets négatifs sur votre ménage au cours des 3 derniers mois</v>
      </c>
      <c r="I516" s="188" t="str">
        <f>IFERROR(__xludf.DUMMYFUNCTION("TRIM(REGEXREPLACE(E516, ""[0-9]+[a-f]?\."", """"))"),"Da fatan za ku yi taƙaitaccen bayani a kan abin da ya shafi gidan ku")</f>
        <v>Da fatan za ku yi taƙaitaccen bayani a kan abin da ya shafi gidan ku</v>
      </c>
      <c r="J516" s="188" t="s">
        <v>4102</v>
      </c>
      <c r="K516" s="188" t="s">
        <v>4103</v>
      </c>
      <c r="L516" s="188" t="s">
        <v>4104</v>
      </c>
    </row>
    <row r="517" hidden="1">
      <c r="A517" s="305" t="s">
        <v>385</v>
      </c>
      <c r="B517" s="223" t="s">
        <v>4106</v>
      </c>
      <c r="C517" s="190" t="s">
        <v>4107</v>
      </c>
      <c r="D517" s="190"/>
      <c r="E517" s="190"/>
      <c r="F517" s="195">
        <v>304.0</v>
      </c>
      <c r="G517" s="188" t="str">
        <f>IFERROR(__xludf.DUMMYFUNCTION("TRIM(REGEXREPLACE(C517, ""[0-9]+[a-f]?\."", """"))"),"Emergency response")</f>
        <v>Emergency response</v>
      </c>
      <c r="H517" s="188" t="str">
        <f>IFERROR(__xludf.DUMMYFUNCTION("TRIM(REGEXREPLACE(D517, ""[0-9]+[a-f]?\."", """"))"),"")</f>
        <v/>
      </c>
      <c r="I517" s="188" t="str">
        <f>IFERROR(__xludf.DUMMYFUNCTION("TRIM(REGEXREPLACE(E517, ""[0-9]+[a-f]?\."", """"))"),"")</f>
        <v/>
      </c>
      <c r="J517" s="188" t="s">
        <v>4111</v>
      </c>
      <c r="K517" s="188" t="s">
        <v>4112</v>
      </c>
      <c r="L517" s="188" t="s">
        <v>4113</v>
      </c>
    </row>
    <row r="518" hidden="1">
      <c r="A518" s="221" t="s">
        <v>112</v>
      </c>
      <c r="B518" s="198" t="s">
        <v>4114</v>
      </c>
      <c r="C518" s="190" t="s">
        <v>4115</v>
      </c>
      <c r="D518" s="190"/>
      <c r="E518" s="190"/>
      <c r="F518" s="195">
        <v>305.0</v>
      </c>
      <c r="G518" s="188" t="str">
        <f>IFERROR(__xludf.DUMMYFUNCTION("TRIM(REGEXREPLACE(C518, ""[0-9]+[a-f]?\."", """"))"),"Emergency Name")</f>
        <v>Emergency Name</v>
      </c>
      <c r="H518" s="188" t="str">
        <f>IFERROR(__xludf.DUMMYFUNCTION("TRIM(REGEXREPLACE(D518, ""[0-9]+[a-f]?\."", """"))"),"")</f>
        <v/>
      </c>
      <c r="I518" s="188" t="str">
        <f>IFERROR(__xludf.DUMMYFUNCTION("TRIM(REGEXREPLACE(E518, ""[0-9]+[a-f]?\."", """"))"),"")</f>
        <v/>
      </c>
      <c r="J518" s="188" t="s">
        <v>4116</v>
      </c>
      <c r="K518" s="188" t="s">
        <v>4117</v>
      </c>
      <c r="L518" s="188" t="s">
        <v>4118</v>
      </c>
    </row>
    <row r="519" hidden="1">
      <c r="A519" s="310" t="s">
        <v>278</v>
      </c>
      <c r="B519" s="311" t="s">
        <v>4119</v>
      </c>
      <c r="C519" s="190"/>
      <c r="D519" s="190"/>
      <c r="E519" s="190"/>
      <c r="F519" s="195">
        <v>306.0</v>
      </c>
      <c r="G519" s="188" t="str">
        <f>IFERROR(__xludf.DUMMYFUNCTION("TRIM(REGEXREPLACE(C519, ""[0-9]+[a-f]?\."", """"))"),"")</f>
        <v/>
      </c>
      <c r="H519" s="188" t="str">
        <f>IFERROR(__xludf.DUMMYFUNCTION("TRIM(REGEXREPLACE(D519, ""[0-9]+[a-f]?\."", """"))"),"")</f>
        <v/>
      </c>
      <c r="I519" s="188" t="str">
        <f>IFERROR(__xludf.DUMMYFUNCTION("TRIM(REGEXREPLACE(E519, ""[0-9]+[a-f]?\."", """"))"),"")</f>
        <v/>
      </c>
      <c r="J519" s="188" t="s">
        <v>4121</v>
      </c>
      <c r="K519" s="188" t="s">
        <v>4123</v>
      </c>
      <c r="L519" s="188" t="s">
        <v>4125</v>
      </c>
    </row>
    <row r="520">
      <c r="A520" s="299" t="s">
        <v>2456</v>
      </c>
      <c r="B520" s="300" t="s">
        <v>4126</v>
      </c>
      <c r="C520" s="190" t="s">
        <v>4127</v>
      </c>
      <c r="D520" s="190" t="s">
        <v>4128</v>
      </c>
      <c r="E520" s="190" t="s">
        <v>4129</v>
      </c>
      <c r="F520" s="195">
        <v>251.0</v>
      </c>
      <c r="G520" s="188" t="str">
        <f>IFERROR(__xludf.DUMMYFUNCTION("TRIM(REGEXREPLACE(C520, ""[0-9]+[a-f]?\."", """"))"),"In response to ${w_emergency_name}, did you or your household take the following actions?")</f>
        <v>In response to ${w_emergency_name}, did you or your household take the following actions?</v>
      </c>
      <c r="H520" s="188" t="str">
        <f>IFERROR(__xludf.DUMMYFUNCTION("TRIM(REGEXREPLACE(D520, ""[0-9]+[a-f]?\."", """"))"),"En réponse à ${w_emergency_name}, avez-vous vous ou votre ménage pris les mesures suivantes ??")</f>
        <v>En réponse à ${w_emergency_name}, avez-vous vous ou votre ménage pris les mesures suivantes ??</v>
      </c>
      <c r="I520" s="188" t="str">
        <f>IFERROR(__xludf.DUMMYFUNCTION("TRIM(REGEXREPLACE(E520, ""[0-9]+[a-f]?\."", """"))"),"Dangance da ${w_emergency_name}, ku ko ƴan gindanku kun ɗauki waɗannan matakai?")</f>
        <v>Dangance da ${w_emergency_name}, ku ko ƴan gindanku kun ɗauki waɗannan matakai?</v>
      </c>
      <c r="J520" s="188" t="s">
        <v>4130</v>
      </c>
      <c r="K520" s="188" t="s">
        <v>4132</v>
      </c>
      <c r="L520" s="188" t="s">
        <v>4134</v>
      </c>
    </row>
    <row r="521">
      <c r="A521" s="299" t="s">
        <v>2456</v>
      </c>
      <c r="B521" s="300" t="s">
        <v>4136</v>
      </c>
      <c r="C521" s="190" t="s">
        <v>4137</v>
      </c>
      <c r="D521" s="190" t="s">
        <v>4138</v>
      </c>
      <c r="E521" s="190" t="s">
        <v>4139</v>
      </c>
      <c r="F521" s="195">
        <v>252.0</v>
      </c>
      <c r="G521" s="188" t="str">
        <f>IFERROR(__xludf.DUMMYFUNCTION("TRIM(REGEXREPLACE(C521, ""[0-9]+[a-f]?\."", """"))"),"Sell assets?")</f>
        <v>Sell assets?</v>
      </c>
      <c r="H521" s="188" t="str">
        <f>IFERROR(__xludf.DUMMYFUNCTION("TRIM(REGEXREPLACE(D521, ""[0-9]+[a-f]?\."", """"))"),"Vendre des actifs")</f>
        <v>Vendre des actifs</v>
      </c>
      <c r="I521" s="188" t="str">
        <f>IFERROR(__xludf.DUMMYFUNCTION("TRIM(REGEXREPLACE(E521, ""[0-9]+[a-f]?\."", """"))"),"Saida kadarori")</f>
        <v>Saida kadarori</v>
      </c>
      <c r="J521" s="188" t="s">
        <v>4140</v>
      </c>
      <c r="K521" s="188" t="s">
        <v>4141</v>
      </c>
      <c r="L521" s="188" t="s">
        <v>4142</v>
      </c>
    </row>
    <row r="522">
      <c r="A522" s="299" t="s">
        <v>2456</v>
      </c>
      <c r="B522" s="300" t="s">
        <v>4143</v>
      </c>
      <c r="C522" s="190" t="s">
        <v>4144</v>
      </c>
      <c r="D522" s="190" t="s">
        <v>4146</v>
      </c>
      <c r="E522" s="190" t="s">
        <v>4148</v>
      </c>
      <c r="F522" s="195">
        <v>253.0</v>
      </c>
      <c r="G522" s="188" t="str">
        <f>IFERROR(__xludf.DUMMYFUNCTION("TRIM(REGEXREPLACE(C522, ""[0-9]+[a-f]?\."", """"))"),"Borrow money?")</f>
        <v>Borrow money?</v>
      </c>
      <c r="H522" s="188" t="str">
        <f>IFERROR(__xludf.DUMMYFUNCTION("TRIM(REGEXREPLACE(D522, ""[0-9]+[a-f]?\."", """"))"),"Emprunter de l'argent")</f>
        <v>Emprunter de l'argent</v>
      </c>
      <c r="I522" s="188" t="str">
        <f>IFERROR(__xludf.DUMMYFUNCTION("TRIM(REGEXREPLACE(E522, ""[0-9]+[a-f]?\."", """"))"),"Bashin kuɗi")</f>
        <v>Bashin kuɗi</v>
      </c>
      <c r="J522" s="188" t="s">
        <v>4150</v>
      </c>
      <c r="K522" s="188" t="s">
        <v>4151</v>
      </c>
      <c r="L522" s="188" t="s">
        <v>4152</v>
      </c>
    </row>
    <row r="523">
      <c r="A523" s="299" t="s">
        <v>2456</v>
      </c>
      <c r="B523" s="300" t="s">
        <v>4153</v>
      </c>
      <c r="C523" s="190" t="s">
        <v>4154</v>
      </c>
      <c r="D523" s="190" t="s">
        <v>4155</v>
      </c>
      <c r="E523" s="190" t="s">
        <v>4156</v>
      </c>
      <c r="F523" s="195">
        <v>254.0</v>
      </c>
      <c r="G523" s="188" t="str">
        <f>IFERROR(__xludf.DUMMYFUNCTION("TRIM(REGEXREPLACE(C523, ""[0-9]+[a-f]?\."", """"))"),"Spend your savings?")</f>
        <v>Spend your savings?</v>
      </c>
      <c r="H523" s="188" t="str">
        <f>IFERROR(__xludf.DUMMYFUNCTION("TRIM(REGEXREPLACE(D523, ""[0-9]+[a-f]?\."", """"))"),"Utiliser votre épargne")</f>
        <v>Utiliser votre épargne</v>
      </c>
      <c r="I523" s="188" t="str">
        <f>IFERROR(__xludf.DUMMYFUNCTION("TRIM(REGEXREPLACE(E523, ""[0-9]+[a-f]?\."", """"))"),"Kashe kuɗin ajiyar ku")</f>
        <v>Kashe kuɗin ajiyar ku</v>
      </c>
      <c r="J523" s="188" t="s">
        <v>4162</v>
      </c>
      <c r="K523" s="188" t="s">
        <v>4163</v>
      </c>
      <c r="L523" s="188" t="s">
        <v>4164</v>
      </c>
    </row>
    <row r="524">
      <c r="A524" s="299" t="s">
        <v>2456</v>
      </c>
      <c r="B524" s="300" t="s">
        <v>4165</v>
      </c>
      <c r="C524" s="190" t="s">
        <v>4166</v>
      </c>
      <c r="D524" s="190" t="s">
        <v>4167</v>
      </c>
      <c r="E524" s="190" t="s">
        <v>4168</v>
      </c>
      <c r="F524" s="195">
        <v>255.0</v>
      </c>
      <c r="G524" s="188" t="str">
        <f>IFERROR(__xludf.DUMMYFUNCTION("TRIM(REGEXREPLACE(C524, ""[0-9]+[a-f]?\."", """"))"),"Reduce spending on food or change your food consumption?")</f>
        <v>Reduce spending on food or change your food consumption?</v>
      </c>
      <c r="H524" s="188" t="str">
        <f>IFERROR(__xludf.DUMMYFUNCTION("TRIM(REGEXREPLACE(D524, ""[0-9]+[a-f]?\."", """"))"),"Réduire les dépenses alimentaires ou changé des habitudes de consommation ?")</f>
        <v>Réduire les dépenses alimentaires ou changé des habitudes de consommation ?</v>
      </c>
      <c r="I524" s="188" t="str">
        <f>IFERROR(__xludf.DUMMYFUNCTION("TRIM(REGEXREPLACE(E524, ""[0-9]+[a-f]?\."", """"))"),"Rage kashe kuɗi akan abinci ko canza abincin?")</f>
        <v>Rage kashe kuɗi akan abinci ko canza abincin?</v>
      </c>
      <c r="J524" s="188" t="s">
        <v>4169</v>
      </c>
      <c r="K524" s="188" t="s">
        <v>4170</v>
      </c>
      <c r="L524" s="188" t="s">
        <v>4171</v>
      </c>
    </row>
    <row r="525" hidden="1">
      <c r="A525" s="310" t="s">
        <v>331</v>
      </c>
      <c r="B525" s="315" t="s">
        <v>4119</v>
      </c>
      <c r="C525" s="190"/>
      <c r="D525" s="190"/>
      <c r="E525" s="190"/>
      <c r="F525" s="195">
        <v>336.0</v>
      </c>
      <c r="G525" s="188" t="str">
        <f>IFERROR(__xludf.DUMMYFUNCTION("TRIM(REGEXREPLACE(C525, ""[0-9]+[a-f]?\."", """"))"),"")</f>
        <v/>
      </c>
      <c r="H525" s="188" t="str">
        <f>IFERROR(__xludf.DUMMYFUNCTION("TRIM(REGEXREPLACE(D525, ""[0-9]+[a-f]?\."", """"))"),"")</f>
        <v/>
      </c>
      <c r="I525" s="188" t="str">
        <f>IFERROR(__xludf.DUMMYFUNCTION("TRIM(REGEXREPLACE(E525, ""[0-9]+[a-f]?\."", """"))"),"")</f>
        <v/>
      </c>
      <c r="J525" s="188" t="s">
        <v>4172</v>
      </c>
      <c r="K525" s="188" t="s">
        <v>4172</v>
      </c>
      <c r="L525" s="188" t="s">
        <v>4172</v>
      </c>
    </row>
    <row r="526" hidden="1">
      <c r="A526" s="310" t="s">
        <v>278</v>
      </c>
      <c r="B526" s="311" t="s">
        <v>4173</v>
      </c>
      <c r="C526" s="190"/>
      <c r="D526" s="190"/>
      <c r="E526" s="190"/>
      <c r="F526" s="195">
        <v>337.0</v>
      </c>
      <c r="G526" s="188" t="str">
        <f>IFERROR(__xludf.DUMMYFUNCTION("TRIM(REGEXREPLACE(C526, ""[0-9]+[a-f]?\."", """"))"),"")</f>
        <v/>
      </c>
      <c r="H526" s="188" t="str">
        <f>IFERROR(__xludf.DUMMYFUNCTION("TRIM(REGEXREPLACE(D526, ""[0-9]+[a-f]?\."", """"))"),"")</f>
        <v/>
      </c>
      <c r="I526" s="188" t="str">
        <f>IFERROR(__xludf.DUMMYFUNCTION("TRIM(REGEXREPLACE(E526, ""[0-9]+[a-f]?\."", """"))"),"")</f>
        <v/>
      </c>
      <c r="J526" s="188" t="s">
        <v>4179</v>
      </c>
      <c r="K526" s="188" t="s">
        <v>4180</v>
      </c>
      <c r="L526" s="188" t="s">
        <v>4181</v>
      </c>
    </row>
    <row r="527">
      <c r="A527" s="297" t="s">
        <v>46</v>
      </c>
      <c r="B527" s="298" t="s">
        <v>4182</v>
      </c>
      <c r="C527" s="190" t="s">
        <v>4183</v>
      </c>
      <c r="D527" s="190" t="s">
        <v>4184</v>
      </c>
      <c r="E527" s="190" t="s">
        <v>4185</v>
      </c>
      <c r="F527" s="195">
        <v>256.0</v>
      </c>
      <c r="G527" s="188" t="str">
        <f>IFERROR(__xludf.DUMMYFUNCTION("TRIM(REGEXREPLACE(C527, ""[0-9]+[a-f]?\."", """"))"),"For ${w_emergency_name}
 What was the value of the following in CFA?")</f>
        <v>For ${w_emergency_name}
 What was the value of the following in CFA?</v>
      </c>
      <c r="H527" s="188" t="str">
        <f>IFERROR(__xludf.DUMMYFUNCTION("TRIM(REGEXREPLACE(D527, ""[0-9]+[a-f]?\."", """"))"),"Par rapport à ${w_emergency_name}
 Quelle était la valeur des éléments suivantes en CFA?")</f>
        <v>Par rapport à ${w_emergency_name}
 Quelle était la valeur des éléments suivantes en CFA?</v>
      </c>
      <c r="I527" s="188" t="str">
        <f>IFERROR(__xludf.DUMMYFUNCTION("TRIM(REGEXREPLACE(E527, ""[0-9]+[a-f]?\."", """"))"),"Game da ${w_emergency_name}
 Nawa ne kimar waɗannan abubuwan a kuɗin CFA?")</f>
        <v>Game da ${w_emergency_name}
 Nawa ne kimar waɗannan abubuwan a kuɗin CFA?</v>
      </c>
      <c r="J527" s="188" t="s">
        <v>4189</v>
      </c>
      <c r="K527" s="188" t="s">
        <v>4190</v>
      </c>
      <c r="L527" s="188" t="s">
        <v>4191</v>
      </c>
    </row>
    <row r="528">
      <c r="A528" s="306" t="s">
        <v>247</v>
      </c>
      <c r="B528" s="307" t="s">
        <v>4192</v>
      </c>
      <c r="C528" s="190" t="s">
        <v>4193</v>
      </c>
      <c r="D528" s="190" t="s">
        <v>4194</v>
      </c>
      <c r="E528" s="190" t="s">
        <v>4195</v>
      </c>
      <c r="F528" s="195">
        <v>257.0</v>
      </c>
      <c r="G528" s="188" t="str">
        <f>IFERROR(__xludf.DUMMYFUNCTION("TRIM(REGEXREPLACE(C528, ""[0-9]+[a-f]?\."", """"))"),"Assets you sold")</f>
        <v>Assets you sold</v>
      </c>
      <c r="H528" s="188" t="str">
        <f>IFERROR(__xludf.DUMMYFUNCTION("TRIM(REGEXREPLACE(D528, ""[0-9]+[a-f]?\."", """"))"),"Les actifs que vous avez vendus")</f>
        <v>Les actifs que vous avez vendus</v>
      </c>
      <c r="I528" s="188" t="str">
        <f>IFERROR(__xludf.DUMMYFUNCTION("TRIM(REGEXREPLACE(E528, ""[0-9]+[a-f]?\."", """"))"),"Kadarorin da kuka saida")</f>
        <v>Kadarorin da kuka saida</v>
      </c>
      <c r="J528" s="188" t="s">
        <v>4200</v>
      </c>
      <c r="K528" s="188" t="s">
        <v>4201</v>
      </c>
      <c r="L528" s="188" t="s">
        <v>4202</v>
      </c>
    </row>
    <row r="529">
      <c r="A529" s="306" t="s">
        <v>247</v>
      </c>
      <c r="B529" s="307" t="s">
        <v>4203</v>
      </c>
      <c r="C529" s="190" t="s">
        <v>4204</v>
      </c>
      <c r="D529" s="190" t="s">
        <v>4205</v>
      </c>
      <c r="E529" s="190" t="s">
        <v>4206</v>
      </c>
      <c r="F529" s="195">
        <v>258.0</v>
      </c>
      <c r="G529" s="188" t="str">
        <f>IFERROR(__xludf.DUMMYFUNCTION("TRIM(REGEXREPLACE(C529, ""[0-9]+[a-f]?\."", """"))"),"Loan(s) you took")</f>
        <v>Loan(s) you took</v>
      </c>
      <c r="H529" s="188" t="str">
        <f>IFERROR(__xludf.DUMMYFUNCTION("TRIM(REGEXREPLACE(D529, ""[0-9]+[a-f]?\."", """"))"),"Les prêt(s) que vous avez contracté")</f>
        <v>Les prêt(s) que vous avez contracté</v>
      </c>
      <c r="I529" s="188" t="str">
        <f>IFERROR(__xludf.DUMMYFUNCTION("TRIM(REGEXREPLACE(E529, ""[0-9]+[a-f]?\."", """"))"),"Bashin da kuka ɗauka")</f>
        <v>Bashin da kuka ɗauka</v>
      </c>
      <c r="J529" s="188" t="s">
        <v>4210</v>
      </c>
      <c r="K529" s="188" t="s">
        <v>4211</v>
      </c>
      <c r="L529" s="188" t="s">
        <v>4212</v>
      </c>
    </row>
    <row r="530">
      <c r="A530" s="306" t="s">
        <v>247</v>
      </c>
      <c r="B530" s="307" t="s">
        <v>4213</v>
      </c>
      <c r="C530" s="190" t="s">
        <v>4214</v>
      </c>
      <c r="D530" s="190" t="s">
        <v>4215</v>
      </c>
      <c r="E530" s="190" t="s">
        <v>4216</v>
      </c>
      <c r="F530" s="195">
        <v>259.0</v>
      </c>
      <c r="G530" s="188" t="str">
        <f>IFERROR(__xludf.DUMMYFUNCTION("TRIM(REGEXREPLACE(C530, ""[0-9]+[a-f]?\."", """"))"),"Savings you spent?")</f>
        <v>Savings you spent?</v>
      </c>
      <c r="H530" s="188" t="str">
        <f>IFERROR(__xludf.DUMMYFUNCTION("TRIM(REGEXREPLACE(D530, ""[0-9]+[a-f]?\."", """"))"),"L'épargne que vous avez utilisé")</f>
        <v>L'épargne que vous avez utilisé</v>
      </c>
      <c r="I530" s="188" t="str">
        <f>IFERROR(__xludf.DUMMYFUNCTION("TRIM(REGEXREPLACE(E530, ""[0-9]+[a-f]?\."", """"))"),"Ajiyar da kuka kashe")</f>
        <v>Ajiyar da kuka kashe</v>
      </c>
      <c r="J530" s="188" t="s">
        <v>4220</v>
      </c>
      <c r="K530" s="188" t="s">
        <v>4221</v>
      </c>
      <c r="L530" s="188" t="s">
        <v>4223</v>
      </c>
    </row>
    <row r="531" hidden="1">
      <c r="A531" s="310" t="s">
        <v>331</v>
      </c>
      <c r="B531" s="315" t="s">
        <v>4173</v>
      </c>
      <c r="C531" s="190"/>
      <c r="D531" s="190"/>
      <c r="E531" s="190"/>
      <c r="F531" s="195">
        <v>133.0</v>
      </c>
      <c r="G531" s="188" t="str">
        <f>IFERROR(__xludf.DUMMYFUNCTION("TRIM(REGEXREPLACE(C531, ""[0-9]+[a-f]?\."", """"))"),"")</f>
        <v/>
      </c>
      <c r="H531" s="188" t="str">
        <f>IFERROR(__xludf.DUMMYFUNCTION("TRIM(REGEXREPLACE(D531, ""[0-9]+[a-f]?\."", """"))"),"")</f>
        <v/>
      </c>
      <c r="I531" s="188" t="str">
        <f>IFERROR(__xludf.DUMMYFUNCTION("TRIM(REGEXREPLACE(E531, ""[0-9]+[a-f]?\."", """"))"),"")</f>
        <v/>
      </c>
      <c r="J531" s="188" t="str">
        <f t="shared" ref="J531:L531" si="41">$F531 &amp; ". "&amp;G531</f>
        <v>133. </v>
      </c>
      <c r="K531" s="188" t="str">
        <f t="shared" si="41"/>
        <v>133. </v>
      </c>
      <c r="L531" s="188" t="str">
        <f t="shared" si="41"/>
        <v>133. </v>
      </c>
    </row>
    <row r="532" hidden="1">
      <c r="A532" s="305" t="s">
        <v>450</v>
      </c>
      <c r="B532" s="224" t="s">
        <v>4106</v>
      </c>
      <c r="C532" s="190" t="s">
        <v>4107</v>
      </c>
      <c r="D532" s="190"/>
      <c r="E532" s="190"/>
      <c r="F532" s="195">
        <v>343.0</v>
      </c>
      <c r="G532" s="188" t="str">
        <f>IFERROR(__xludf.DUMMYFUNCTION("TRIM(REGEXREPLACE(C532, ""[0-9]+[a-f]?\."", """"))"),"Emergency response")</f>
        <v>Emergency response</v>
      </c>
      <c r="H532" s="188" t="str">
        <f>IFERROR(__xludf.DUMMYFUNCTION("TRIM(REGEXREPLACE(D532, ""[0-9]+[a-f]?\."", """"))"),"")</f>
        <v/>
      </c>
      <c r="I532" s="188" t="str">
        <f>IFERROR(__xludf.DUMMYFUNCTION("TRIM(REGEXREPLACE(E532, ""[0-9]+[a-f]?\."", """"))"),"")</f>
        <v/>
      </c>
      <c r="J532" s="188" t="s">
        <v>4225</v>
      </c>
      <c r="K532" s="188" t="s">
        <v>4226</v>
      </c>
      <c r="L532" s="188" t="s">
        <v>4226</v>
      </c>
    </row>
    <row r="533" hidden="1">
      <c r="A533" s="313"/>
      <c r="B533" s="314"/>
      <c r="C533" s="190"/>
      <c r="D533" s="190"/>
      <c r="E533" s="190"/>
      <c r="F533" s="195">
        <v>344.0</v>
      </c>
      <c r="G533" s="188" t="str">
        <f>IFERROR(__xludf.DUMMYFUNCTION("TRIM(REGEXREPLACE(C533, ""[0-9]+[a-f]?\."", """"))"),"")</f>
        <v/>
      </c>
      <c r="H533" s="188" t="str">
        <f>IFERROR(__xludf.DUMMYFUNCTION("TRIM(REGEXREPLACE(D533, ""[0-9]+[a-f]?\."", """"))"),"")</f>
        <v/>
      </c>
      <c r="I533" s="188" t="str">
        <f>IFERROR(__xludf.DUMMYFUNCTION("TRIM(REGEXREPLACE(E533, ""[0-9]+[a-f]?\."", """"))"),"")</f>
        <v/>
      </c>
      <c r="J533" s="188" t="s">
        <v>4231</v>
      </c>
      <c r="K533" s="188" t="s">
        <v>4232</v>
      </c>
      <c r="L533" s="188" t="s">
        <v>4233</v>
      </c>
    </row>
    <row r="534">
      <c r="A534" s="297" t="s">
        <v>46</v>
      </c>
      <c r="B534" s="298" t="s">
        <v>4234</v>
      </c>
      <c r="C534" s="190" t="s">
        <v>4235</v>
      </c>
      <c r="D534" s="190" t="s">
        <v>4236</v>
      </c>
      <c r="E534" s="190" t="s">
        <v>4237</v>
      </c>
      <c r="F534" s="195">
        <v>260.0</v>
      </c>
      <c r="G534" s="188" t="str">
        <f>IFERROR(__xludf.DUMMYFUNCTION("TRIM(REGEXREPLACE(C534, ""[0-9]+[a-f]?\."", """"))"),"I would like to ask your opinion about a several different topics. There are no right answers to these questions, we just want to understand what you think.")</f>
        <v>I would like to ask your opinion about a several different topics. There are no right answers to these questions, we just want to understand what you think.</v>
      </c>
      <c r="H534" s="188" t="str">
        <f>IFERROR(__xludf.DUMMYFUNCTION("TRIM(REGEXREPLACE(D534, ""[0-9]+[a-f]?\."", """"))"),"J'aimerais vous demander votre avis sur plusieurs sujets différents. Il n'y a pas de bonnes réponses à ces questions, nous voulons juste comprendre ce que vous pensez.")</f>
        <v>J'aimerais vous demander votre avis sur plusieurs sujets différents. Il n'y a pas de bonnes réponses à ces questions, nous voulons juste comprendre ce que vous pensez.</v>
      </c>
      <c r="I534" s="188" t="str">
        <f>IFERROR(__xludf.DUMMYFUNCTION("TRIM(REGEXREPLACE(E534, ""[0-9]+[a-f]?\."", """"))"),"Ina so in tambayi ra'ayin ku game bisa batutuwa daban-daban. Babu amsoshin da suka dace ga waɗannan tambayoyin, muna son mu fafimci ra'ayinki ne kawai.")</f>
        <v>Ina so in tambayi ra'ayin ku game bisa batutuwa daban-daban. Babu amsoshin da suka dace ga waɗannan tambayoyin, muna son mu fafimci ra'ayinki ne kawai.</v>
      </c>
      <c r="J534" s="188" t="s">
        <v>4238</v>
      </c>
      <c r="K534" s="188" t="s">
        <v>4239</v>
      </c>
      <c r="L534" s="188" t="s">
        <v>4244</v>
      </c>
    </row>
    <row r="535" hidden="1">
      <c r="A535" s="310" t="s">
        <v>278</v>
      </c>
      <c r="B535" s="311" t="s">
        <v>4246</v>
      </c>
      <c r="C535" s="190"/>
      <c r="D535" s="190"/>
      <c r="E535" s="190"/>
      <c r="F535" s="195">
        <v>135.0</v>
      </c>
      <c r="G535" s="188" t="str">
        <f>IFERROR(__xludf.DUMMYFUNCTION("TRIM(REGEXREPLACE(C535, ""[0-9]+[a-f]?\."", """"))"),"")</f>
        <v/>
      </c>
      <c r="H535" s="188" t="str">
        <f>IFERROR(__xludf.DUMMYFUNCTION("TRIM(REGEXREPLACE(D535, ""[0-9]+[a-f]?\."", """"))"),"")</f>
        <v/>
      </c>
      <c r="I535" s="188" t="str">
        <f>IFERROR(__xludf.DUMMYFUNCTION("TRIM(REGEXREPLACE(E535, ""[0-9]+[a-f]?\."", """"))"),"")</f>
        <v/>
      </c>
      <c r="J535" s="188" t="str">
        <f t="shared" ref="J535:L535" si="42">$F535 &amp; ". "&amp;G535</f>
        <v>135. </v>
      </c>
      <c r="K535" s="188" t="str">
        <f t="shared" si="42"/>
        <v>135. </v>
      </c>
      <c r="L535" s="188" t="str">
        <f t="shared" si="42"/>
        <v>135. </v>
      </c>
    </row>
    <row r="536">
      <c r="A536" s="299" t="s">
        <v>4250</v>
      </c>
      <c r="B536" s="300" t="s">
        <v>4251</v>
      </c>
      <c r="C536" s="190" t="s">
        <v>4252</v>
      </c>
      <c r="D536" s="190" t="s">
        <v>4253</v>
      </c>
      <c r="E536" s="190" t="s">
        <v>4254</v>
      </c>
      <c r="F536" s="195">
        <v>261.0</v>
      </c>
      <c r="G536" s="188" t="str">
        <f>IFERROR(__xludf.DUMMYFUNCTION("TRIM(REGEXREPLACE(C536, ""[0-9]+[a-f]?\."", """"))"),"I would like to ask you about how decisions are made in your household. Please tell me to what degree does your opinion matter in decisions related to the following topics:")</f>
        <v>I would like to ask you about how decisions are made in your household. Please tell me to what degree does your opinion matter in decisions related to the following topics:</v>
      </c>
      <c r="H536" s="188" t="str">
        <f>IFERROR(__xludf.DUMMYFUNCTION("TRIM(REGEXREPLACE(D536, ""[0-9]+[a-f]?\."", """"))"),"Je voudrais vous poser quelques quetions sur la prise de décision dans votre ménage, dans quelle mesure votre opinion compte-t-elle dans les décisions liées aux sujets suivants :")</f>
        <v>Je voudrais vous poser quelques quetions sur la prise de décision dans votre ménage, dans quelle mesure votre opinion compte-t-elle dans les décisions liées aux sujets suivants :</v>
      </c>
      <c r="I536" s="188" t="str">
        <f>IFERROR(__xludf.DUMMYFUNCTION("TRIM(REGEXREPLACE(E536, ""[0-9]+[a-f]?\."", """"))"),"Ina son in tambaye ku yadda ake yanke hukunci a gidanku. Da fatan za ku gaya mani matsayin ra'ayinku a yanke shawara bisa abubuwa masu zuwa:")</f>
        <v>Ina son in tambaye ku yadda ake yanke hukunci a gidanku. Da fatan za ku gaya mani matsayin ra'ayinku a yanke shawara bisa abubuwa masu zuwa:</v>
      </c>
      <c r="J536" s="188" t="s">
        <v>4255</v>
      </c>
      <c r="K536" s="188" t="s">
        <v>4257</v>
      </c>
      <c r="L536" s="188" t="s">
        <v>4258</v>
      </c>
    </row>
    <row r="537">
      <c r="A537" s="299" t="s">
        <v>4250</v>
      </c>
      <c r="B537" s="300" t="s">
        <v>4259</v>
      </c>
      <c r="C537" s="190" t="s">
        <v>4261</v>
      </c>
      <c r="D537" s="190" t="s">
        <v>4263</v>
      </c>
      <c r="E537" s="190" t="s">
        <v>4265</v>
      </c>
      <c r="F537" s="195">
        <v>262.0</v>
      </c>
      <c r="G537" s="188" t="str">
        <f>IFERROR(__xludf.DUMMYFUNCTION("TRIM(REGEXREPLACE(C537, ""[0-9]+[a-f]?\."", """"))"),"How to use money that you earn")</f>
        <v>How to use money that you earn</v>
      </c>
      <c r="H537" s="188" t="str">
        <f>IFERROR(__xludf.DUMMYFUNCTION("TRIM(REGEXREPLACE(D537, ""[0-9]+[a-f]?\."", """"))"),"Comment utiliser l'argent que vous gagnez")</f>
        <v>Comment utiliser l'argent que vous gagnez</v>
      </c>
      <c r="I537" s="188" t="str">
        <f>IFERROR(__xludf.DUMMYFUNCTION("TRIM(REGEXREPLACE(E537, ""[0-9]+[a-f]?\."", """"))"),"Yadda ake amfani da kuɗin da kuke samu")</f>
        <v>Yadda ake amfani da kuɗin da kuke samu</v>
      </c>
      <c r="J537" s="188" t="s">
        <v>4266</v>
      </c>
      <c r="K537" s="188" t="s">
        <v>4267</v>
      </c>
      <c r="L537" s="188" t="s">
        <v>4268</v>
      </c>
    </row>
    <row r="538">
      <c r="A538" s="299" t="s">
        <v>4250</v>
      </c>
      <c r="B538" s="300" t="s">
        <v>4269</v>
      </c>
      <c r="C538" s="190" t="s">
        <v>4270</v>
      </c>
      <c r="D538" s="190" t="s">
        <v>4271</v>
      </c>
      <c r="E538" s="190" t="s">
        <v>4272</v>
      </c>
      <c r="F538" s="195">
        <v>263.0</v>
      </c>
      <c r="G538" s="188" t="str">
        <f>IFERROR(__xludf.DUMMYFUNCTION("TRIM(REGEXREPLACE(C538, ""[0-9]+[a-f]?\."", """"))"),"Daily household expenses (Less than 500 CFA)")</f>
        <v>Daily household expenses (Less than 500 CFA)</v>
      </c>
      <c r="H538" s="188" t="str">
        <f>IFERROR(__xludf.DUMMYFUNCTION("TRIM(REGEXREPLACE(D538, ""[0-9]+[a-f]?\."", """"))"),"Dépenses quotidiennes du ménage (Moins de 500 CFA)")</f>
        <v>Dépenses quotidiennes du ménage (Moins de 500 CFA)</v>
      </c>
      <c r="I538" s="188" t="str">
        <f>IFERROR(__xludf.DUMMYFUNCTION("TRIM(REGEXREPLACE(E538, ""[0-9]+[a-f]?\."", """"))"),"Kashe Kuɗin gidan na yau da kullum ( Kasa da dala ɗari CFA 500)")</f>
        <v>Kashe Kuɗin gidan na yau da kullum ( Kasa da dala ɗari CFA 500)</v>
      </c>
      <c r="J538" s="188" t="s">
        <v>4274</v>
      </c>
      <c r="K538" s="188" t="s">
        <v>4276</v>
      </c>
      <c r="L538" s="188" t="s">
        <v>4278</v>
      </c>
    </row>
    <row r="539">
      <c r="A539" s="299" t="s">
        <v>4250</v>
      </c>
      <c r="B539" s="300" t="s">
        <v>4279</v>
      </c>
      <c r="C539" s="190" t="s">
        <v>4280</v>
      </c>
      <c r="D539" s="190" t="s">
        <v>4281</v>
      </c>
      <c r="E539" s="190" t="s">
        <v>4282</v>
      </c>
      <c r="F539" s="195">
        <v>264.0</v>
      </c>
      <c r="G539" s="188" t="str">
        <f>IFERROR(__xludf.DUMMYFUNCTION("TRIM(REGEXREPLACE(C539, ""[0-9]+[a-f]?\."", """"))"),"Household purchases (over 500 CFA)")</f>
        <v>Household purchases (over 500 CFA)</v>
      </c>
      <c r="H539" s="188" t="str">
        <f>IFERROR(__xludf.DUMMYFUNCTION("TRIM(REGEXREPLACE(D539, ""[0-9]+[a-f]?\."", """"))"),"Achats du ménage (plus de 500 CFA)")</f>
        <v>Achats du ménage (plus de 500 CFA)</v>
      </c>
      <c r="I539" s="188" t="str">
        <f>IFERROR(__xludf.DUMMYFUNCTION("TRIM(REGEXREPLACE(E539, ""[0-9]+[a-f]?\."", """"))"),"Sayayya na gida (sama da dala ɗari CFA 500)")</f>
        <v>Sayayya na gida (sama da dala ɗari CFA 500)</v>
      </c>
      <c r="J539" s="188" t="s">
        <v>4283</v>
      </c>
      <c r="K539" s="188" t="s">
        <v>4284</v>
      </c>
      <c r="L539" s="188" t="s">
        <v>4285</v>
      </c>
    </row>
    <row r="540">
      <c r="A540" s="299" t="s">
        <v>4250</v>
      </c>
      <c r="B540" s="300" t="s">
        <v>4286</v>
      </c>
      <c r="C540" s="190" t="s">
        <v>4287</v>
      </c>
      <c r="D540" s="190" t="s">
        <v>4288</v>
      </c>
      <c r="E540" s="190" t="s">
        <v>4289</v>
      </c>
      <c r="F540" s="195">
        <v>265.0</v>
      </c>
      <c r="G540" s="188" t="str">
        <f>IFERROR(__xludf.DUMMYFUNCTION("TRIM(REGEXREPLACE(C540, ""[0-9]+[a-f]?\."", """"))"),"What to do if someone in your household falls ill")</f>
        <v>What to do if someone in your household falls ill</v>
      </c>
      <c r="H540" s="188" t="str">
        <f>IFERROR(__xludf.DUMMYFUNCTION("TRIM(REGEXREPLACE(D540, ""[0-9]+[a-f]?\."", """"))"),"Que faire si un membre de votre ménage tombe malade")</f>
        <v>Que faire si un membre de votre ménage tombe malade</v>
      </c>
      <c r="I540" s="188" t="str">
        <f>IFERROR(__xludf.DUMMYFUNCTION("TRIM(REGEXREPLACE(E540, ""[0-9]+[a-f]?\."", """"))"),"Abin da za'a yi idan wani a cikin gidanku ya kamu da rashin lafiya")</f>
        <v>Abin da za'a yi idan wani a cikin gidanku ya kamu da rashin lafiya</v>
      </c>
      <c r="J540" s="188" t="s">
        <v>4292</v>
      </c>
      <c r="K540" s="188" t="s">
        <v>4294</v>
      </c>
      <c r="L540" s="188" t="s">
        <v>4296</v>
      </c>
    </row>
    <row r="541">
      <c r="A541" s="299" t="s">
        <v>4250</v>
      </c>
      <c r="B541" s="300" t="s">
        <v>4297</v>
      </c>
      <c r="C541" s="190" t="s">
        <v>4298</v>
      </c>
      <c r="D541" s="190" t="s">
        <v>4300</v>
      </c>
      <c r="E541" s="190" t="s">
        <v>4302</v>
      </c>
      <c r="F541" s="195">
        <v>266.0</v>
      </c>
      <c r="G541" s="188" t="str">
        <f>IFERROR(__xludf.DUMMYFUNCTION("TRIM(REGEXREPLACE(C541, ""[0-9]+[a-f]?\."", """"))"),"Whether children attend school or not")</f>
        <v>Whether children attend school or not</v>
      </c>
      <c r="H541" s="188" t="str">
        <f>IFERROR(__xludf.DUMMYFUNCTION("TRIM(REGEXREPLACE(D541, ""[0-9]+[a-f]?\."", """"))"),"Que les enfants soient scolarisés ou non")</f>
        <v>Que les enfants soient scolarisés ou non</v>
      </c>
      <c r="I541" s="188" t="str">
        <f>IFERROR(__xludf.DUMMYFUNCTION("TRIM(REGEXREPLACE(E541, ""[0-9]+[a-f]?\."", """"))"),"Ko za'a rubuta yara makaranta ko a'a")</f>
        <v>Ko za'a rubuta yara makaranta ko a'a</v>
      </c>
      <c r="J541" s="188" t="s">
        <v>4305</v>
      </c>
      <c r="K541" s="188" t="s">
        <v>4306</v>
      </c>
      <c r="L541" s="188" t="s">
        <v>4307</v>
      </c>
    </row>
    <row r="542">
      <c r="A542" s="299" t="s">
        <v>4250</v>
      </c>
      <c r="B542" s="300" t="s">
        <v>4308</v>
      </c>
      <c r="C542" s="190" t="s">
        <v>4309</v>
      </c>
      <c r="D542" s="190" t="s">
        <v>4310</v>
      </c>
      <c r="E542" s="190" t="s">
        <v>4311</v>
      </c>
      <c r="F542" s="195">
        <v>267.0</v>
      </c>
      <c r="G542" s="188" t="str">
        <f>IFERROR(__xludf.DUMMYFUNCTION("TRIM(REGEXREPLACE(C542, ""[0-9]+[a-f]?\."", """"))"),"Whether you will migrate to find work or stay at home")</f>
        <v>Whether you will migrate to find work or stay at home</v>
      </c>
      <c r="H542" s="188" t="str">
        <f>IFERROR(__xludf.DUMMYFUNCTION("TRIM(REGEXREPLACE(D542, ""[0-9]+[a-f]?\."", """"))"),"Si vous migrez pour trouver du travail ou rester à la maison")</f>
        <v>Si vous migrez pour trouver du travail ou rester à la maison</v>
      </c>
      <c r="I542" s="188" t="str">
        <f>IFERROR(__xludf.DUMMYFUNCTION("TRIM(REGEXREPLACE(E542, ""[0-9]+[a-f]?\."", """"))"),"Ko za ku yi tahiya wurin biɗa ko za ku zauna a gida")</f>
        <v>Ko za ku yi tahiya wurin biɗa ko za ku zauna a gida</v>
      </c>
      <c r="J542" s="188" t="s">
        <v>4312</v>
      </c>
      <c r="K542" s="188" t="s">
        <v>4313</v>
      </c>
      <c r="L542" s="188" t="s">
        <v>4314</v>
      </c>
    </row>
    <row r="543" hidden="1">
      <c r="A543" s="310" t="s">
        <v>331</v>
      </c>
      <c r="B543" s="315" t="s">
        <v>4246</v>
      </c>
      <c r="C543" s="190"/>
      <c r="D543" s="190"/>
      <c r="E543" s="190"/>
      <c r="F543" s="195">
        <v>353.0</v>
      </c>
      <c r="G543" s="188" t="str">
        <f>IFERROR(__xludf.DUMMYFUNCTION("TRIM(REGEXREPLACE(C543, ""[0-9]+[a-f]?\."", """"))"),"")</f>
        <v/>
      </c>
      <c r="H543" s="188" t="str">
        <f>IFERROR(__xludf.DUMMYFUNCTION("TRIM(REGEXREPLACE(D543, ""[0-9]+[a-f]?\."", """"))"),"")</f>
        <v/>
      </c>
      <c r="I543" s="188" t="str">
        <f>IFERROR(__xludf.DUMMYFUNCTION("TRIM(REGEXREPLACE(E543, ""[0-9]+[a-f]?\."", """"))"),"")</f>
        <v/>
      </c>
      <c r="J543" s="188" t="s">
        <v>4318</v>
      </c>
      <c r="K543" s="188" t="s">
        <v>4319</v>
      </c>
      <c r="L543" s="188" t="s">
        <v>4320</v>
      </c>
    </row>
    <row r="544" hidden="1">
      <c r="A544" s="325" t="s">
        <v>278</v>
      </c>
      <c r="B544" s="316" t="s">
        <v>4321</v>
      </c>
      <c r="C544" s="190"/>
      <c r="D544" s="190"/>
      <c r="E544" s="190"/>
      <c r="F544" s="195">
        <v>354.0</v>
      </c>
      <c r="G544" s="188" t="str">
        <f>IFERROR(__xludf.DUMMYFUNCTION("TRIM(REGEXREPLACE(C544, ""[0-9]+[a-f]?\."", """"))"),"")</f>
        <v/>
      </c>
      <c r="H544" s="188" t="str">
        <f>IFERROR(__xludf.DUMMYFUNCTION("TRIM(REGEXREPLACE(D544, ""[0-9]+[a-f]?\."", """"))"),"")</f>
        <v/>
      </c>
      <c r="I544" s="188" t="str">
        <f>IFERROR(__xludf.DUMMYFUNCTION("TRIM(REGEXREPLACE(E544, ""[0-9]+[a-f]?\."", """"))"),"")</f>
        <v/>
      </c>
      <c r="J544" s="188" t="s">
        <v>4324</v>
      </c>
      <c r="K544" s="188" t="s">
        <v>4326</v>
      </c>
      <c r="L544" s="188" t="s">
        <v>4327</v>
      </c>
    </row>
    <row r="545">
      <c r="A545" s="299" t="s">
        <v>2011</v>
      </c>
      <c r="B545" s="298" t="s">
        <v>4328</v>
      </c>
      <c r="C545" s="190" t="s">
        <v>4329</v>
      </c>
      <c r="D545" s="190" t="s">
        <v>4330</v>
      </c>
      <c r="E545" s="190" t="s">
        <v>4331</v>
      </c>
      <c r="F545" s="195">
        <v>268.0</v>
      </c>
      <c r="G545" s="188" t="str">
        <f>IFERROR(__xludf.DUMMYFUNCTION("TRIM(REGEXREPLACE(C545, ""[0-9]+[a-f]?\."", """"))"),"Can you make your own decisions, without the input of anyone else if you want to regarding:")</f>
        <v>Can you make your own decisions, without the input of anyone else if you want to regarding:</v>
      </c>
      <c r="H545" s="188" t="str">
        <f>IFERROR(__xludf.DUMMYFUNCTION("TRIM(REGEXREPLACE(D545, ""[0-9]+[a-f]?\."", """"))"),"Pouvez-vous prendre vos propres décisions, sans l'intervention de quelqu'un d'autre, si vous le souhaitez concernant :")</f>
        <v>Pouvez-vous prendre vos propres décisions, sans l'intervention de quelqu'un d'autre, si vous le souhaitez concernant :</v>
      </c>
      <c r="I545" s="188" t="str">
        <f>IFERROR(__xludf.DUMMYFUNCTION("TRIM(REGEXREPLACE(E545, ""[0-9]+[a-f]?\."", """"))"),"Za ku iya yanke shawara da kanku, ba tare da sa bakin wani ba idan kuna so dangance da:")</f>
        <v>Za ku iya yanke shawara da kanku, ba tare da sa bakin wani ba idan kuna so dangance da:</v>
      </c>
      <c r="J545" s="188" t="s">
        <v>4332</v>
      </c>
      <c r="K545" s="188" t="s">
        <v>4333</v>
      </c>
      <c r="L545" s="188" t="s">
        <v>4334</v>
      </c>
    </row>
    <row r="546">
      <c r="A546" s="299" t="s">
        <v>2011</v>
      </c>
      <c r="B546" s="300" t="s">
        <v>4335</v>
      </c>
      <c r="C546" s="190" t="s">
        <v>4336</v>
      </c>
      <c r="D546" s="190" t="s">
        <v>4337</v>
      </c>
      <c r="E546" s="190" t="s">
        <v>4338</v>
      </c>
      <c r="F546" s="195">
        <v>269.0</v>
      </c>
      <c r="G546" s="188" t="str">
        <f>IFERROR(__xludf.DUMMYFUNCTION("TRIM(REGEXREPLACE(C546, ""[0-9]+[a-f]?\."", """"))"),"How to use money that you earn")</f>
        <v>How to use money that you earn</v>
      </c>
      <c r="H546" s="188" t="str">
        <f>IFERROR(__xludf.DUMMYFUNCTION("TRIM(REGEXREPLACE(D546, ""[0-9]+[a-f]?\."", """"))"),"Comment utiliser l'argent que vous gagnez")</f>
        <v>Comment utiliser l'argent que vous gagnez</v>
      </c>
      <c r="I546" s="188" t="str">
        <f>IFERROR(__xludf.DUMMYFUNCTION("TRIM(REGEXREPLACE(E546, ""[0-9]+[a-f]?\."", """"))"),"Yadda ake amfani da kuɗin da kuke samu")</f>
        <v>Yadda ake amfani da kuɗin da kuke samu</v>
      </c>
      <c r="J546" s="188" t="s">
        <v>4339</v>
      </c>
      <c r="K546" s="188" t="s">
        <v>4340</v>
      </c>
      <c r="L546" s="188" t="s">
        <v>4342</v>
      </c>
    </row>
    <row r="547">
      <c r="A547" s="299" t="s">
        <v>2011</v>
      </c>
      <c r="B547" s="300" t="s">
        <v>4344</v>
      </c>
      <c r="C547" s="190" t="s">
        <v>4346</v>
      </c>
      <c r="D547" s="190" t="s">
        <v>4347</v>
      </c>
      <c r="E547" s="190" t="s">
        <v>4348</v>
      </c>
      <c r="F547" s="195">
        <v>270.0</v>
      </c>
      <c r="G547" s="188" t="str">
        <f>IFERROR(__xludf.DUMMYFUNCTION("TRIM(REGEXREPLACE(C547, ""[0-9]+[a-f]?\."", """"))"),"Daily household expenses (less than 500 CFA)")</f>
        <v>Daily household expenses (less than 500 CFA)</v>
      </c>
      <c r="H547" s="188" t="str">
        <f>IFERROR(__xludf.DUMMYFUNCTION("TRIM(REGEXREPLACE(D547, ""[0-9]+[a-f]?\."", """"))"),"Dépenses quotidiennes du ménage (moins de 500 CFA)")</f>
        <v>Dépenses quotidiennes du ménage (moins de 500 CFA)</v>
      </c>
      <c r="I547" s="188" t="str">
        <f>IFERROR(__xludf.DUMMYFUNCTION("TRIM(REGEXREPLACE(E547, ""[0-9]+[a-f]?\."", """"))"),"Kashe Kuɗin gida na yau da kullum ( Kasa da dala ɗari CFA 500)")</f>
        <v>Kashe Kuɗin gida na yau da kullum ( Kasa da dala ɗari CFA 500)</v>
      </c>
      <c r="J547" s="188" t="s">
        <v>4349</v>
      </c>
      <c r="K547" s="188" t="s">
        <v>4350</v>
      </c>
      <c r="L547" s="188" t="s">
        <v>4351</v>
      </c>
    </row>
    <row r="548">
      <c r="A548" s="299" t="s">
        <v>2011</v>
      </c>
      <c r="B548" s="300" t="s">
        <v>4352</v>
      </c>
      <c r="C548" s="190" t="s">
        <v>4353</v>
      </c>
      <c r="D548" s="190" t="s">
        <v>4354</v>
      </c>
      <c r="E548" s="190" t="s">
        <v>4355</v>
      </c>
      <c r="F548" s="195">
        <v>271.0</v>
      </c>
      <c r="G548" s="188" t="str">
        <f>IFERROR(__xludf.DUMMYFUNCTION("TRIM(REGEXREPLACE(C548, ""[0-9]+[a-f]?\."", """"))"),"Household purchases (over 500 CFA)")</f>
        <v>Household purchases (over 500 CFA)</v>
      </c>
      <c r="H548" s="188" t="str">
        <f>IFERROR(__xludf.DUMMYFUNCTION("TRIM(REGEXREPLACE(D548, ""[0-9]+[a-f]?\."", """"))"),"Achats du ménage (plus de 500 CFA)")</f>
        <v>Achats du ménage (plus de 500 CFA)</v>
      </c>
      <c r="I548" s="188" t="str">
        <f>IFERROR(__xludf.DUMMYFUNCTION("TRIM(REGEXREPLACE(E548, ""[0-9]+[a-f]?\."", """"))"),"Sayayya na gida (sama da dala ɗari CFA 500)")</f>
        <v>Sayayya na gida (sama da dala ɗari CFA 500)</v>
      </c>
      <c r="J548" s="188" t="s">
        <v>4356</v>
      </c>
      <c r="K548" s="188" t="s">
        <v>4357</v>
      </c>
      <c r="L548" s="188" t="s">
        <v>4358</v>
      </c>
    </row>
    <row r="549">
      <c r="A549" s="299" t="s">
        <v>2011</v>
      </c>
      <c r="B549" s="300" t="s">
        <v>4359</v>
      </c>
      <c r="C549" s="190" t="s">
        <v>4360</v>
      </c>
      <c r="D549" s="190" t="s">
        <v>4361</v>
      </c>
      <c r="E549" s="190" t="s">
        <v>4362</v>
      </c>
      <c r="F549" s="195">
        <v>272.0</v>
      </c>
      <c r="G549" s="188" t="str">
        <f>IFERROR(__xludf.DUMMYFUNCTION("TRIM(REGEXREPLACE(C549, ""[0-9]+[a-f]?\."", """"))"),"What job you do")</f>
        <v>What job you do</v>
      </c>
      <c r="H549" s="188" t="str">
        <f>IFERROR(__xludf.DUMMYFUNCTION("TRIM(REGEXREPLACE(D549, ""[0-9]+[a-f]?\."", """"))"),"Quel travail tu fais")</f>
        <v>Quel travail tu fais</v>
      </c>
      <c r="I549" s="188" t="str">
        <f>IFERROR(__xludf.DUMMYFUNCTION("TRIM(REGEXREPLACE(E549, ""[0-9]+[a-f]?\."", """"))"),"Wane aiki kuke yi")</f>
        <v>Wane aiki kuke yi</v>
      </c>
      <c r="J549" s="188" t="s">
        <v>4363</v>
      </c>
      <c r="K549" s="188" t="s">
        <v>4364</v>
      </c>
      <c r="L549" s="188" t="s">
        <v>4365</v>
      </c>
    </row>
    <row r="550">
      <c r="A550" s="299" t="s">
        <v>2011</v>
      </c>
      <c r="B550" s="300" t="s">
        <v>4366</v>
      </c>
      <c r="C550" s="190" t="s">
        <v>4367</v>
      </c>
      <c r="D550" s="190" t="s">
        <v>4368</v>
      </c>
      <c r="E550" s="190" t="s">
        <v>4369</v>
      </c>
      <c r="F550" s="195">
        <v>273.0</v>
      </c>
      <c r="G550" s="188" t="str">
        <f>IFERROR(__xludf.DUMMYFUNCTION("TRIM(REGEXREPLACE(C550, ""[0-9]+[a-f]?\."", """"))"),"Whether you will migrate to find work")</f>
        <v>Whether you will migrate to find work</v>
      </c>
      <c r="H550" s="188" t="str">
        <f>IFERROR(__xludf.DUMMYFUNCTION("TRIM(REGEXREPLACE(D550, ""[0-9]+[a-f]?\."", """"))"),"Si vous migrez pour trouver du travail")</f>
        <v>Si vous migrez pour trouver du travail</v>
      </c>
      <c r="I550" s="188" t="str">
        <f>IFERROR(__xludf.DUMMYFUNCTION("TRIM(REGEXREPLACE(E550, ""[0-9]+[a-f]?\."", """"))"),"Ko za ku yi tahiya don neman aiki")</f>
        <v>Ko za ku yi tahiya don neman aiki</v>
      </c>
      <c r="J550" s="188" t="s">
        <v>4372</v>
      </c>
      <c r="K550" s="188" t="s">
        <v>4373</v>
      </c>
      <c r="L550" s="188" t="s">
        <v>4375</v>
      </c>
    </row>
    <row r="551" hidden="1">
      <c r="A551" s="325" t="s">
        <v>331</v>
      </c>
      <c r="B551" s="316" t="s">
        <v>4321</v>
      </c>
      <c r="C551" s="190"/>
      <c r="D551" s="190"/>
      <c r="E551" s="190"/>
      <c r="F551" s="195">
        <v>361.0</v>
      </c>
      <c r="G551" s="188" t="str">
        <f>IFERROR(__xludf.DUMMYFUNCTION("TRIM(REGEXREPLACE(C551, ""[0-9]+[a-f]?\."", """"))"),"")</f>
        <v/>
      </c>
      <c r="H551" s="188" t="str">
        <f>IFERROR(__xludf.DUMMYFUNCTION("TRIM(REGEXREPLACE(D551, ""[0-9]+[a-f]?\."", """"))"),"")</f>
        <v/>
      </c>
      <c r="I551" s="188" t="str">
        <f>IFERROR(__xludf.DUMMYFUNCTION("TRIM(REGEXREPLACE(E551, ""[0-9]+[a-f]?\."", """"))"),"")</f>
        <v/>
      </c>
      <c r="J551" s="188" t="s">
        <v>4377</v>
      </c>
      <c r="K551" s="188" t="s">
        <v>4378</v>
      </c>
      <c r="L551" s="188" t="s">
        <v>4379</v>
      </c>
    </row>
    <row r="552">
      <c r="A552" s="299" t="s">
        <v>1060</v>
      </c>
      <c r="B552" s="300" t="s">
        <v>4380</v>
      </c>
      <c r="C552" s="190" t="s">
        <v>4381</v>
      </c>
      <c r="D552" s="190" t="s">
        <v>4383</v>
      </c>
      <c r="E552" s="190" t="s">
        <v>4385</v>
      </c>
      <c r="F552" s="195">
        <v>274.0</v>
      </c>
      <c r="G552" s="188" t="str">
        <f>IFERROR(__xludf.DUMMYFUNCTION("TRIM(REGEXREPLACE(C552, ""[0-9]+[a-f]?\."", """"))"),"The next set of questions are for married women only. Are you married?")</f>
        <v>The next set of questions are for married women only. Are you married?</v>
      </c>
      <c r="H552" s="188" t="str">
        <f>IFERROR(__xludf.DUMMYFUNCTION("TRIM(REGEXREPLACE(D552, ""[0-9]+[a-f]?\."", """"))"),"La serie des questions suivantes s'adresse uniquement aux femmes mariées. Es-tu marié?")</f>
        <v>La serie des questions suivantes s'adresse uniquement aux femmes mariées. Es-tu marié?</v>
      </c>
      <c r="I552" s="188" t="str">
        <f>IFERROR(__xludf.DUMMYFUNCTION("TRIM(REGEXREPLACE(E552, ""[0-9]+[a-f]?\."", """"))"),"Tambayoyi na gaba na matan aure ne kawai. Ko ki na da aure?")</f>
        <v>Tambayoyi na gaba na matan aure ne kawai. Ko ki na da aure?</v>
      </c>
      <c r="J552" s="188" t="s">
        <v>4387</v>
      </c>
      <c r="K552" s="188" t="s">
        <v>4388</v>
      </c>
      <c r="L552" s="188" t="s">
        <v>4389</v>
      </c>
    </row>
    <row r="553">
      <c r="A553" s="199" t="s">
        <v>1060</v>
      </c>
      <c r="B553" s="147" t="s">
        <v>4391</v>
      </c>
      <c r="C553" s="190" t="s">
        <v>4393</v>
      </c>
      <c r="D553" s="190" t="s">
        <v>4396</v>
      </c>
      <c r="E553" s="190" t="s">
        <v>4397</v>
      </c>
      <c r="F553" s="195">
        <v>275.0</v>
      </c>
      <c r="G553" s="188" t="str">
        <f>IFERROR(__xludf.DUMMYFUNCTION("TRIM(REGEXREPLACE(C553, ""[0-9]+[a-f]?\."", """"))"),"Are you married to ${pm_name}?")</f>
        <v>Are you married to ${pm_name}?</v>
      </c>
      <c r="H553" s="188" t="str">
        <f>IFERROR(__xludf.DUMMYFUNCTION("TRIM(REGEXREPLACE(D553, ""[0-9]+[a-f]?\."", """"))"),"Êtes-vous mariée à ${pm_name} ?")</f>
        <v>Êtes-vous mariée à ${pm_name} ?</v>
      </c>
      <c r="I553" s="188" t="str">
        <f>IFERROR(__xludf.DUMMYFUNCTION("TRIM(REGEXREPLACE(E553, ""[0-9]+[a-f]?\."", """"))"),"Kuna da aure ${pm_name}?")</f>
        <v>Kuna da aure ${pm_name}?</v>
      </c>
      <c r="J553" s="188" t="s">
        <v>4398</v>
      </c>
      <c r="K553" s="188" t="s">
        <v>4399</v>
      </c>
      <c r="L553" s="188" t="s">
        <v>4400</v>
      </c>
    </row>
    <row r="554">
      <c r="A554" s="258" t="s">
        <v>247</v>
      </c>
      <c r="B554" s="259" t="s">
        <v>4401</v>
      </c>
      <c r="C554" s="190" t="s">
        <v>4402</v>
      </c>
      <c r="D554" s="190" t="s">
        <v>4403</v>
      </c>
      <c r="E554" s="190" t="s">
        <v>4404</v>
      </c>
      <c r="F554" s="195">
        <v>276.0</v>
      </c>
      <c r="G554" s="188" t="str">
        <f>IFERROR(__xludf.DUMMYFUNCTION("TRIM(REGEXREPLACE(C554, ""[0-9]+[a-f]?\."", """"))"),"In the past month, how many nights have you and your spouse stayed in the same place?")</f>
        <v>In the past month, how many nights have you and your spouse stayed in the same place?</v>
      </c>
      <c r="H554" s="188" t="str">
        <f>IFERROR(__xludf.DUMMYFUNCTION("TRIM(REGEXREPLACE(D554, ""[0-9]+[a-f]?\."", """"))"),"Au cours du mois dernier, combien de nuits avez-vous passées avec votre conjoint au même endroit ?")</f>
        <v>Au cours du mois dernier, combien de nuits avez-vous passées avec votre conjoint au même endroit ?</v>
      </c>
      <c r="I554" s="188" t="str">
        <f>IFERROR(__xludf.DUMMYFUNCTION("TRIM(REGEXREPLACE(E554, ""[0-9]+[a-f]?\."", """"))"),"A cikin watan da ya gabata, dare nawa kuka zauna tare da mijinki a wuri daya?")</f>
        <v>A cikin watan da ya gabata, dare nawa kuka zauna tare da mijinki a wuri daya?</v>
      </c>
      <c r="J554" s="188" t="s">
        <v>4405</v>
      </c>
      <c r="K554" s="188" t="s">
        <v>4406</v>
      </c>
      <c r="L554" s="188" t="s">
        <v>4407</v>
      </c>
    </row>
    <row r="555">
      <c r="A555" s="297" t="s">
        <v>46</v>
      </c>
      <c r="B555" s="298" t="s">
        <v>4410</v>
      </c>
      <c r="C555" s="190" t="s">
        <v>4412</v>
      </c>
      <c r="D555" s="190" t="s">
        <v>4414</v>
      </c>
      <c r="E555" s="190" t="s">
        <v>4416</v>
      </c>
      <c r="F555" s="195">
        <v>277.0</v>
      </c>
      <c r="G555" s="188" t="str">
        <f>IFERROR(__xludf.DUMMYFUNCTION("TRIM(REGEXREPLACE(C555, ""[0-9]+[a-f]?\."", """"))"),"I am now going to mention some things that husband and wives sometimes speak about. Please tell me if you and your spouse talk about these things")</f>
        <v>I am now going to mention some things that husband and wives sometimes speak about. Please tell me if you and your spouse talk about these things</v>
      </c>
      <c r="H555" s="188" t="str">
        <f>IFERROR(__xludf.DUMMYFUNCTION("TRIM(REGEXREPLACE(D555, ""[0-9]+[a-f]?\."", """"))"),"Je vais maintenant mentionner certaines choses dont les maris et les femmes parlent parfois. Veuillez me dire si vous et votre conjoint parlez de ces choses")</f>
        <v>Je vais maintenant mentionner certaines choses dont les maris et les femmes parlent parfois. Veuillez me dire si vous et votre conjoint parlez de ces choses</v>
      </c>
      <c r="I555" s="188" t="str">
        <f>IFERROR(__xludf.DUMMYFUNCTION("TRIM(REGEXREPLACE(E555, ""[0-9]+[a-f]?\."", """"))"),"Yanzu zan ambaci wasu abubuwa da mata da miji suke magana akai. Don Allah ku gaya mini idan ku da mijinku kuna magana a kan waɗannan abubuwan")</f>
        <v>Yanzu zan ambaci wasu abubuwa da mata da miji suke magana akai. Don Allah ku gaya mini idan ku da mijinku kuna magana a kan waɗannan abubuwan</v>
      </c>
      <c r="J555" s="188" t="s">
        <v>4417</v>
      </c>
      <c r="K555" s="188" t="s">
        <v>4418</v>
      </c>
      <c r="L555" s="188" t="s">
        <v>4419</v>
      </c>
    </row>
    <row r="556">
      <c r="A556" s="299" t="s">
        <v>2011</v>
      </c>
      <c r="B556" s="300" t="s">
        <v>4421</v>
      </c>
      <c r="C556" s="190" t="s">
        <v>4423</v>
      </c>
      <c r="D556" s="190" t="s">
        <v>4425</v>
      </c>
      <c r="E556" s="190" t="s">
        <v>4426</v>
      </c>
      <c r="F556" s="195">
        <v>278.0</v>
      </c>
      <c r="G556" s="188" t="str">
        <f>IFERROR(__xludf.DUMMYFUNCTION("TRIM(REGEXREPLACE(C556, ""[0-9]+[a-f]?\."", """"))"),"Things that happen at work or in the fields?")</f>
        <v>Things that happen at work or in the fields?</v>
      </c>
      <c r="H556" s="188" t="str">
        <f>IFERROR(__xludf.DUMMYFUNCTION("TRIM(REGEXREPLACE(D556, ""[0-9]+[a-f]?\."", """"))"),"Des choses qui se passent au travail ou dans les champs ?")</f>
        <v>Des choses qui se passent au travail ou dans les champs ?</v>
      </c>
      <c r="I556" s="188" t="str">
        <f>IFERROR(__xludf.DUMMYFUNCTION("TRIM(REGEXREPLACE(E556, ""[0-9]+[a-f]?\."", """"))"),"Abubuwan da ke faruwa a wurin aiki ko a gona?")</f>
        <v>Abubuwan da ke faruwa a wurin aiki ko a gona?</v>
      </c>
      <c r="J556" s="188" t="s">
        <v>4427</v>
      </c>
      <c r="K556" s="188" t="s">
        <v>4428</v>
      </c>
      <c r="L556" s="188" t="s">
        <v>4429</v>
      </c>
    </row>
    <row r="557">
      <c r="A557" s="299" t="s">
        <v>2011</v>
      </c>
      <c r="B557" s="300" t="s">
        <v>4430</v>
      </c>
      <c r="C557" s="190" t="s">
        <v>4431</v>
      </c>
      <c r="D557" s="190" t="s">
        <v>4432</v>
      </c>
      <c r="E557" s="190" t="s">
        <v>4433</v>
      </c>
      <c r="F557" s="195">
        <v>279.0</v>
      </c>
      <c r="G557" s="188" t="str">
        <f>IFERROR(__xludf.DUMMYFUNCTION("TRIM(REGEXREPLACE(C557, ""[0-9]+[a-f]?\."", """"))"),"Things that happen in the community?")</f>
        <v>Things that happen in the community?</v>
      </c>
      <c r="H557" s="188" t="str">
        <f>IFERROR(__xludf.DUMMYFUNCTION("TRIM(REGEXREPLACE(D557, ""[0-9]+[a-f]?\."", """"))"),"Des choses qui se passent dans la communauté ?")</f>
        <v>Des choses qui se passent dans la communauté ?</v>
      </c>
      <c r="I557" s="188" t="str">
        <f>IFERROR(__xludf.DUMMYFUNCTION("TRIM(REGEXREPLACE(E557, ""[0-9]+[a-f]?\."", """"))"),"Abubuwan da ke faruwa a cikin al'umma?")</f>
        <v>Abubuwan da ke faruwa a cikin al'umma?</v>
      </c>
      <c r="J557" s="188" t="s">
        <v>4434</v>
      </c>
      <c r="K557" s="188" t="s">
        <v>4435</v>
      </c>
      <c r="L557" s="188" t="s">
        <v>4436</v>
      </c>
    </row>
    <row r="558">
      <c r="A558" s="299" t="s">
        <v>2011</v>
      </c>
      <c r="B558" s="300" t="s">
        <v>4437</v>
      </c>
      <c r="C558" s="190" t="s">
        <v>4438</v>
      </c>
      <c r="D558" s="190" t="s">
        <v>4439</v>
      </c>
      <c r="E558" s="190" t="s">
        <v>4440</v>
      </c>
      <c r="F558" s="195">
        <v>280.0</v>
      </c>
      <c r="G558" s="188" t="str">
        <f>IFERROR(__xludf.DUMMYFUNCTION("TRIM(REGEXREPLACE(C558, ""[0-9]+[a-f]?\."", """"))"),"Who to vote for in local elections?")</f>
        <v>Who to vote for in local elections?</v>
      </c>
      <c r="H558" s="188" t="str">
        <f>IFERROR(__xludf.DUMMYFUNCTION("TRIM(REGEXREPLACE(D558, ""[0-9]+[a-f]?\."", """"))"),"Pour qui voter aux élections municipales ?")</f>
        <v>Pour qui voter aux élections municipales ?</v>
      </c>
      <c r="I558" s="188" t="str">
        <f>IFERROR(__xludf.DUMMYFUNCTION("TRIM(REGEXREPLACE(E558, ""[0-9]+[a-f]?\."", """"))"),"Wanene za'a zaɓa a zaɓen ƙananan hukumomi?")</f>
        <v>Wanene za'a zaɓa a zaɓen ƙananan hukumomi?</v>
      </c>
      <c r="J558" s="188" t="s">
        <v>4444</v>
      </c>
      <c r="K558" s="188" t="s">
        <v>4446</v>
      </c>
      <c r="L558" s="188" t="s">
        <v>4448</v>
      </c>
    </row>
    <row r="559">
      <c r="A559" s="299" t="s">
        <v>2011</v>
      </c>
      <c r="B559" s="300" t="s">
        <v>4449</v>
      </c>
      <c r="C559" s="190" t="s">
        <v>4450</v>
      </c>
      <c r="D559" s="190" t="s">
        <v>4451</v>
      </c>
      <c r="E559" s="190" t="s">
        <v>4452</v>
      </c>
      <c r="F559" s="195">
        <v>281.0</v>
      </c>
      <c r="G559" s="188" t="str">
        <f>IFERROR(__xludf.DUMMYFUNCTION("TRIM(REGEXREPLACE(C559, ""[0-9]+[a-f]?\."", """"))"),"How to you invest your money such as whether to improve your house")</f>
        <v>How to you invest your money such as whether to improve your house</v>
      </c>
      <c r="H559" s="188" t="str">
        <f>IFERROR(__xludf.DUMMYFUNCTION("TRIM(REGEXREPLACE(D559, ""[0-9]+[a-f]?\."", """"))"),"Comment investir votre argent, par exemple pour améliorer votre maison")</f>
        <v>Comment investir votre argent, par exemple pour améliorer votre maison</v>
      </c>
      <c r="I559" s="188" t="str">
        <f>IFERROR(__xludf.DUMMYFUNCTION("TRIM(REGEXREPLACE(E559, ""[0-9]+[a-f]?\."", """"))"),"Yadda za ku kashe kuɗin ku, kamar gyaran gidanku")</f>
        <v>Yadda za ku kashe kuɗin ku, kamar gyaran gidanku</v>
      </c>
      <c r="J559" s="188" t="s">
        <v>4453</v>
      </c>
      <c r="K559" s="188" t="s">
        <v>4454</v>
      </c>
      <c r="L559" s="188" t="s">
        <v>4456</v>
      </c>
    </row>
    <row r="560">
      <c r="A560" s="299" t="s">
        <v>2011</v>
      </c>
      <c r="B560" s="300" t="s">
        <v>4461</v>
      </c>
      <c r="C560" s="190" t="s">
        <v>4463</v>
      </c>
      <c r="D560" s="190" t="s">
        <v>4464</v>
      </c>
      <c r="E560" s="190" t="s">
        <v>4465</v>
      </c>
      <c r="F560" s="195">
        <v>282.0</v>
      </c>
      <c r="G560" s="188" t="str">
        <f>IFERROR(__xludf.DUMMYFUNCTION("TRIM(REGEXREPLACE(C560, ""[0-9]+[a-f]?\."", """"))"),"Family planning (when to have children)")</f>
        <v>Family planning (when to have children)</v>
      </c>
      <c r="H560" s="188" t="str">
        <f>IFERROR(__xludf.DUMMYFUNCTION("TRIM(REGEXREPLACE(D560, ""[0-9]+[a-f]?\."", """"))"),"Planification familiale (quand avoir des enfants)")</f>
        <v>Planification familiale (quand avoir des enfants)</v>
      </c>
      <c r="I560" s="188" t="str">
        <f>IFERROR(__xludf.DUMMYFUNCTION("TRIM(REGEXREPLACE(E560, ""[0-9]+[a-f]?\."", """"))"),"Tsarin iyali (lokacin ɗaukan ciki)")</f>
        <v>Tsarin iyali (lokacin ɗaukan ciki)</v>
      </c>
      <c r="J560" s="188" t="s">
        <v>4467</v>
      </c>
      <c r="K560" s="188" t="s">
        <v>4468</v>
      </c>
      <c r="L560" s="188" t="s">
        <v>4469</v>
      </c>
    </row>
    <row r="561">
      <c r="A561" s="199" t="s">
        <v>2011</v>
      </c>
      <c r="B561" s="147" t="s">
        <v>4470</v>
      </c>
      <c r="C561" s="190" t="s">
        <v>4471</v>
      </c>
      <c r="D561" s="288" t="s">
        <v>4472</v>
      </c>
      <c r="E561" s="288" t="s">
        <v>4473</v>
      </c>
      <c r="F561" s="195">
        <v>283.0</v>
      </c>
      <c r="G561" s="188" t="str">
        <f>IFERROR(__xludf.DUMMYFUNCTION("TRIM(REGEXREPLACE(C561, ""[0-9]+[a-f]?\."", """"))"),"Children’s enrollment in school")</f>
        <v>Children’s enrollment in school</v>
      </c>
      <c r="H561" s="188" t="str">
        <f>IFERROR(__xludf.DUMMYFUNCTION("TRIM(REGEXREPLACE(D561, ""[0-9]+[a-f]?\."", """"))"),"Scolarisation des enfants")</f>
        <v>Scolarisation des enfants</v>
      </c>
      <c r="I561" s="188" t="str">
        <f>IFERROR(__xludf.DUMMYFUNCTION("TRIM(REGEXREPLACE(E561, ""[0-9]+[a-f]?\."", """"))"),"Shigar da yara makaranta")</f>
        <v>Shigar da yara makaranta</v>
      </c>
      <c r="J561" s="188" t="s">
        <v>4477</v>
      </c>
      <c r="K561" s="188" t="s">
        <v>4478</v>
      </c>
      <c r="L561" s="188" t="s">
        <v>4479</v>
      </c>
    </row>
    <row r="562">
      <c r="A562" s="199" t="s">
        <v>2011</v>
      </c>
      <c r="B562" s="147" t="s">
        <v>4480</v>
      </c>
      <c r="C562" s="190" t="s">
        <v>4481</v>
      </c>
      <c r="D562" s="288" t="s">
        <v>4482</v>
      </c>
      <c r="E562" s="288" t="s">
        <v>4483</v>
      </c>
      <c r="F562" s="195">
        <v>284.0</v>
      </c>
      <c r="G562" s="188" t="str">
        <f>IFERROR(__xludf.DUMMYFUNCTION("TRIM(REGEXREPLACE(C562, ""[0-9]+[a-f]?\."", """"))"),"The age at which your daughters should marry")</f>
        <v>The age at which your daughters should marry</v>
      </c>
      <c r="H562" s="188" t="str">
        <f>IFERROR(__xludf.DUMMYFUNCTION("TRIM(REGEXREPLACE(D562, ""[0-9]+[a-f]?\."", """"))"),"Âge auquel vos filles devraient se marier")</f>
        <v>Âge auquel vos filles devraient se marier</v>
      </c>
      <c r="I562" s="188" t="str">
        <f>IFERROR(__xludf.DUMMYFUNCTION("TRIM(REGEXREPLACE(E562, ""[0-9]+[a-f]?\."", """"))"),"Shekarar da ƴaƴanku mata zasu yin aure")</f>
        <v>Shekarar da ƴaƴanku mata zasu yin aure</v>
      </c>
      <c r="J562" s="188" t="s">
        <v>4484</v>
      </c>
      <c r="K562" s="188" t="s">
        <v>4485</v>
      </c>
      <c r="L562" s="188" t="s">
        <v>4486</v>
      </c>
    </row>
    <row r="563">
      <c r="A563" s="299" t="s">
        <v>2011</v>
      </c>
      <c r="B563" s="300" t="s">
        <v>4487</v>
      </c>
      <c r="C563" s="190" t="s">
        <v>4488</v>
      </c>
      <c r="D563" s="190" t="s">
        <v>4489</v>
      </c>
      <c r="E563" s="190" t="s">
        <v>4490</v>
      </c>
      <c r="F563" s="195">
        <v>285.0</v>
      </c>
      <c r="G563" s="188" t="str">
        <f>IFERROR(__xludf.DUMMYFUNCTION("TRIM(REGEXREPLACE(C563, ""[0-9]+[a-f]?\."", """"))"),"Do you and your spouse ever disagree about any of these topics?")</f>
        <v>Do you and your spouse ever disagree about any of these topics?</v>
      </c>
      <c r="H563" s="188" t="str">
        <f>IFERROR(__xludf.DUMMYFUNCTION("TRIM(REGEXREPLACE(D563, ""[0-9]+[a-f]?\."", """"))"),"Vous et votre conjoint avez-vous déjà eu un désaccord sur ces sujets ?")</f>
        <v>Vous et votre conjoint avez-vous déjà eu un désaccord sur ces sujets ?</v>
      </c>
      <c r="I563" s="188" t="str">
        <f>IFERROR(__xludf.DUMMYFUNCTION("TRIM(REGEXREPLACE(E563, ""[0-9]+[a-f]?\."", """"))"),"Ko ke da mijnki kun taɓa samun saɓani game da waɗannan batutuwa?")</f>
        <v>Ko ke da mijnki kun taɓa samun saɓani game da waɗannan batutuwa?</v>
      </c>
      <c r="J563" s="188" t="s">
        <v>4495</v>
      </c>
      <c r="K563" s="188" t="s">
        <v>4496</v>
      </c>
      <c r="L563" s="188" t="s">
        <v>4497</v>
      </c>
    </row>
    <row r="564">
      <c r="A564" s="299" t="s">
        <v>2011</v>
      </c>
      <c r="B564" s="300" t="s">
        <v>4498</v>
      </c>
      <c r="C564" s="190" t="s">
        <v>4499</v>
      </c>
      <c r="D564" s="190" t="s">
        <v>4500</v>
      </c>
      <c r="E564" s="190" t="s">
        <v>4501</v>
      </c>
      <c r="F564" s="195">
        <v>286.0</v>
      </c>
      <c r="G564" s="188" t="str">
        <f>IFERROR(__xludf.DUMMYFUNCTION("TRIM(REGEXREPLACE(C564, ""[0-9]+[a-f]?\."", """"))"),"Do these conversations ever get contentious?")</f>
        <v>Do these conversations ever get contentious?</v>
      </c>
      <c r="H564" s="188" t="str">
        <f>IFERROR(__xludf.DUMMYFUNCTION("TRIM(REGEXREPLACE(D564, ""[0-9]+[a-f]?\."", """"))"),"Ces conversations deviennent-elles parfois controversées ?")</f>
        <v>Ces conversations deviennent-elles parfois controversées ?</v>
      </c>
      <c r="I564" s="188" t="str">
        <f>IFERROR(__xludf.DUMMYFUNCTION("TRIM(REGEXREPLACE(E564, ""[0-9]+[a-f]?\."", """"))"),"Ko waɗannan hirarrakin sun taɓa zama sabani?")</f>
        <v>Ko waɗannan hirarrakin sun taɓa zama sabani?</v>
      </c>
      <c r="J564" s="188" t="s">
        <v>4503</v>
      </c>
      <c r="K564" s="188" t="s">
        <v>4505</v>
      </c>
      <c r="L564" s="188" t="s">
        <v>4507</v>
      </c>
    </row>
    <row r="565">
      <c r="A565" s="199" t="s">
        <v>1060</v>
      </c>
      <c r="B565" s="147" t="s">
        <v>4509</v>
      </c>
      <c r="C565" s="190" t="s">
        <v>4510</v>
      </c>
      <c r="D565" s="190" t="s">
        <v>4511</v>
      </c>
      <c r="E565" s="190" t="s">
        <v>4512</v>
      </c>
      <c r="F565" s="195">
        <v>287.0</v>
      </c>
      <c r="G565" s="188" t="str">
        <f>IFERROR(__xludf.DUMMYFUNCTION("TRIM(REGEXREPLACE(C565, ""[0-9]+[a-f]?\."", """"))"),"Do you avoid talking with your husband about certain topics due to fear about how your husband would respond?")</f>
        <v>Do you avoid talking with your husband about certain topics due to fear about how your husband would respond?</v>
      </c>
      <c r="H565" s="188" t="str">
        <f>IFERROR(__xludf.DUMMYFUNCTION("TRIM(REGEXREPLACE(D565, ""[0-9]+[a-f]?\."", """"))"),"Évitez-vous d'aborder certains sujets avec votre mari par crainte de sa réaction ?")</f>
        <v>Évitez-vous d'aborder certains sujets avec votre mari par crainte de sa réaction ?</v>
      </c>
      <c r="I565" s="188" t="str">
        <f>IFERROR(__xludf.DUMMYFUNCTION("TRIM(REGEXREPLACE(E565, ""[0-9]+[a-f]?\."", """"))"),"Ko kina gujewa yin magana da mijinki akan wasu batutuwa saboda tsoron yadda zai mayar miki da maganar ?")</f>
        <v>Ko kina gujewa yin magana da mijinki akan wasu batutuwa saboda tsoron yadda zai mayar miki da maganar ?</v>
      </c>
      <c r="J565" s="188" t="s">
        <v>4513</v>
      </c>
      <c r="K565" s="188" t="s">
        <v>4514</v>
      </c>
      <c r="L565" s="188" t="s">
        <v>4515</v>
      </c>
    </row>
    <row r="566">
      <c r="A566" s="149" t="s">
        <v>4516</v>
      </c>
      <c r="B566" s="147" t="s">
        <v>4518</v>
      </c>
      <c r="C566" s="190" t="s">
        <v>4519</v>
      </c>
      <c r="D566" s="190" t="s">
        <v>4521</v>
      </c>
      <c r="E566" s="190" t="s">
        <v>4523</v>
      </c>
      <c r="F566" s="195">
        <v>288.0</v>
      </c>
      <c r="G566" s="188" t="str">
        <f>IFERROR(__xludf.DUMMYFUNCTION("TRIM(REGEXREPLACE(C566, ""[0-9]+[a-f]?\."", """"))"),"What topics do you avoid?")</f>
        <v>What topics do you avoid?</v>
      </c>
      <c r="H566" s="188" t="str">
        <f>IFERROR(__xludf.DUMMYFUNCTION("TRIM(REGEXREPLACE(D566, ""[0-9]+[a-f]?\."", """"))"),"Quels sujets évitez-vous ?")</f>
        <v>Quels sujets évitez-vous ?</v>
      </c>
      <c r="I566" s="188" t="str">
        <f>IFERROR(__xludf.DUMMYFUNCTION("TRIM(REGEXREPLACE(E566, ""[0-9]+[a-f]?\."", """"))"),"Wadanne batutuwa kuke gujewa?")</f>
        <v>Wadanne batutuwa kuke gujewa?</v>
      </c>
      <c r="J566" s="188" t="s">
        <v>4526</v>
      </c>
      <c r="K566" s="188" t="s">
        <v>4527</v>
      </c>
      <c r="L566" s="188" t="s">
        <v>4528</v>
      </c>
    </row>
    <row r="567">
      <c r="A567" s="257" t="s">
        <v>220</v>
      </c>
      <c r="B567" s="240" t="s">
        <v>4529</v>
      </c>
      <c r="C567" s="190" t="s">
        <v>4530</v>
      </c>
      <c r="D567" s="190" t="s">
        <v>3346</v>
      </c>
      <c r="E567" s="190" t="s">
        <v>4531</v>
      </c>
      <c r="F567" s="195">
        <v>289.0</v>
      </c>
      <c r="G567" s="188" t="str">
        <f>IFERROR(__xludf.DUMMYFUNCTION("TRIM(REGEXREPLACE(C567, ""[0-9]+[a-f]?\."", """"))"),"Specify other")</f>
        <v>Specify other</v>
      </c>
      <c r="H567" s="188" t="str">
        <f>IFERROR(__xludf.DUMMYFUNCTION("TRIM(REGEXREPLACE(D567, ""[0-9]+[a-f]?\."", """"))"),"Autre à préciser")</f>
        <v>Autre à préciser</v>
      </c>
      <c r="I567" s="188" t="str">
        <f>IFERROR(__xludf.DUMMYFUNCTION("TRIM(REGEXREPLACE(E567, ""[0-9]+[a-f]?\."", """"))"),"Wani daban a Bayyana")</f>
        <v>Wani daban a Bayyana</v>
      </c>
      <c r="J567" s="188" t="s">
        <v>4532</v>
      </c>
      <c r="K567" s="188" t="s">
        <v>4533</v>
      </c>
      <c r="L567" s="188" t="s">
        <v>4534</v>
      </c>
    </row>
    <row r="568">
      <c r="A568" s="297" t="s">
        <v>46</v>
      </c>
      <c r="B568" s="298" t="s">
        <v>4535</v>
      </c>
      <c r="C568" s="190" t="s">
        <v>4536</v>
      </c>
      <c r="D568" s="190" t="s">
        <v>4537</v>
      </c>
      <c r="E568" s="190" t="s">
        <v>4538</v>
      </c>
      <c r="F568" s="195">
        <v>290.0</v>
      </c>
      <c r="G568" s="188" t="str">
        <f>IFERROR(__xludf.DUMMYFUNCTION("TRIM(REGEXREPLACE(C568, ""[0-9]+[a-f]?\."", """"))"),"I will read you several statements. Please tell me the extent do you agree/disagree with each:")</f>
        <v>I will read you several statements. Please tell me the extent do you agree/disagree with each:</v>
      </c>
      <c r="H568" s="188" t="str">
        <f>IFERROR(__xludf.DUMMYFUNCTION("TRIM(REGEXREPLACE(D568, ""[0-9]+[a-f]?\."", """"))"),"Je vais vous lire plusieurs déclarations. Veuillez me dire dans quelle mesure êtes-vous d'accord/pas d'accord avec chacun :")</f>
        <v>Je vais vous lire plusieurs déclarations. Veuillez me dire dans quelle mesure êtes-vous d'accord/pas d'accord avec chacun :</v>
      </c>
      <c r="I568" s="188" t="str">
        <f>IFERROR(__xludf.DUMMYFUNCTION("TRIM(REGEXREPLACE(E568, ""[0-9]+[a-f]?\."", """"))"),"Zan karanta muku maganganu da yawa. Da fatan za a gaya mini iya yarda/rishin yarda da kowanne:")</f>
        <v>Zan karanta muku maganganu da yawa. Da fatan za a gaya mini iya yarda/rishin yarda da kowanne:</v>
      </c>
      <c r="J568" s="188" t="s">
        <v>4540</v>
      </c>
      <c r="K568" s="188" t="s">
        <v>4541</v>
      </c>
      <c r="L568" s="188" t="s">
        <v>4542</v>
      </c>
    </row>
    <row r="569">
      <c r="A569" s="299" t="s">
        <v>2100</v>
      </c>
      <c r="B569" s="300" t="s">
        <v>4544</v>
      </c>
      <c r="C569" s="190" t="s">
        <v>4546</v>
      </c>
      <c r="D569" s="190" t="s">
        <v>4548</v>
      </c>
      <c r="E569" s="190" t="s">
        <v>4549</v>
      </c>
      <c r="F569" s="195">
        <v>291.0</v>
      </c>
      <c r="G569" s="188" t="str">
        <f>IFERROR(__xludf.DUMMYFUNCTION("TRIM(REGEXREPLACE(C569, ""[0-9]+[a-f]?\."", """"))"),"I must always respect decisions taken by my household even if you do not agree")</f>
        <v>I must always respect decisions taken by my household even if you do not agree</v>
      </c>
      <c r="H569" s="188" t="str">
        <f>IFERROR(__xludf.DUMMYFUNCTION("TRIM(REGEXREPLACE(D569, ""[0-9]+[a-f]?\."", """"))"),"Je dois toujours respecter les décisions prises par mon ménage même si je ne suis pas d'accord")</f>
        <v>Je dois toujours respecter les décisions prises par mon ménage même si je ne suis pas d'accord</v>
      </c>
      <c r="I569" s="188" t="str">
        <f>IFERROR(__xludf.DUMMYFUNCTION("TRIM(REGEXREPLACE(E569, ""[0-9]+[a-f]?\."", """"))"),"Dole ne in mutunta shawarar da gidanmu ya yanke ko da ba ra'ayina ba ne")</f>
        <v>Dole ne in mutunta shawarar da gidanmu ya yanke ko da ba ra'ayina ba ne</v>
      </c>
      <c r="J569" s="188" t="s">
        <v>4550</v>
      </c>
      <c r="K569" s="188" t="s">
        <v>4551</v>
      </c>
      <c r="L569" s="188" t="s">
        <v>4552</v>
      </c>
    </row>
    <row r="570">
      <c r="A570" s="299" t="s">
        <v>2100</v>
      </c>
      <c r="B570" s="300" t="s">
        <v>4553</v>
      </c>
      <c r="C570" s="190" t="s">
        <v>4554</v>
      </c>
      <c r="D570" s="190" t="s">
        <v>4555</v>
      </c>
      <c r="E570" s="190" t="s">
        <v>4556</v>
      </c>
      <c r="F570" s="195">
        <v>292.0</v>
      </c>
      <c r="G570" s="188" t="str">
        <f>IFERROR(__xludf.DUMMYFUNCTION("TRIM(REGEXREPLACE(C570, ""[0-9]+[a-f]?\."", """"))"),"I should always sacrifice my personal needs and wants to satisfy my parents.")</f>
        <v>I should always sacrifice my personal needs and wants to satisfy my parents.</v>
      </c>
      <c r="H570" s="188" t="str">
        <f>IFERROR(__xludf.DUMMYFUNCTION("TRIM(REGEXREPLACE(D570, ""[0-9]+[a-f]?\."", """"))"),"Je devrais toujours sacrifier mes besoins personnels et vouloir satisfaire mes parents.")</f>
        <v>Je devrais toujours sacrifier mes besoins personnels et vouloir satisfaire mes parents.</v>
      </c>
      <c r="I570" s="188" t="str">
        <f>IFERROR(__xludf.DUMMYFUNCTION("TRIM(REGEXREPLACE(E570, ""[0-9]+[a-f]?\."", """"))"),"Dole ne ko yaushe in sadaukar da bukatuna na kaina don in gamsar da iyayena.")</f>
        <v>Dole ne ko yaushe in sadaukar da bukatuna na kaina don in gamsar da iyayena.</v>
      </c>
      <c r="J570" s="188" t="s">
        <v>4560</v>
      </c>
      <c r="K570" s="188" t="s">
        <v>4561</v>
      </c>
      <c r="L570" s="188" t="s">
        <v>4562</v>
      </c>
    </row>
    <row r="571">
      <c r="A571" s="299" t="s">
        <v>2100</v>
      </c>
      <c r="B571" s="300" t="s">
        <v>4563</v>
      </c>
      <c r="C571" s="190" t="s">
        <v>4564</v>
      </c>
      <c r="D571" s="190" t="s">
        <v>4565</v>
      </c>
      <c r="E571" s="190" t="s">
        <v>4566</v>
      </c>
      <c r="F571" s="195">
        <v>293.0</v>
      </c>
      <c r="G571" s="188" t="str">
        <f>IFERROR(__xludf.DUMMYFUNCTION("TRIM(REGEXREPLACE(C571, ""[0-9]+[a-f]?\."", """"))"),"If I had an emergency that required 5,000 CFA urgently (within 3 days), I would be able to find the money.")</f>
        <v>If I had an emergency that required 5,000 CFA urgently (within 3 days), I would be able to find the money.</v>
      </c>
      <c r="H571" s="188" t="str">
        <f>IFERROR(__xludf.DUMMYFUNCTION("TRIM(REGEXREPLACE(D571, ""[0-9]+[a-f]?\."", """"))"),"Si j'avais une urgence qui nécessitait 5 000 CFA en urgence (dans les 3 jours), je serais capable de trouver l'argent.")</f>
        <v>Si j'avais une urgence qui nécessitait 5 000 CFA en urgence (dans les 3 jours), je serais capable de trouver l'argent.</v>
      </c>
      <c r="I571" s="188" t="str">
        <f>IFERROR(__xludf.DUMMYFUNCTION("TRIM(REGEXREPLACE(E571, ""[0-9]+[a-f]?\."", """"))"),"Idan ina da biƙatar gaggawa na 5,000 CFA (a cikin kwanaki 3), zan iya samun kuɗin.")</f>
        <v>Idan ina da biƙatar gaggawa na 5,000 CFA (a cikin kwanaki 3), zan iya samun kuɗin.</v>
      </c>
      <c r="J571" s="188" t="s">
        <v>4567</v>
      </c>
      <c r="K571" s="188" t="s">
        <v>4568</v>
      </c>
      <c r="L571" s="188" t="s">
        <v>4570</v>
      </c>
    </row>
    <row r="572">
      <c r="A572" s="299" t="s">
        <v>4572</v>
      </c>
      <c r="B572" s="300" t="s">
        <v>4574</v>
      </c>
      <c r="C572" s="190" t="s">
        <v>4575</v>
      </c>
      <c r="D572" s="190" t="s">
        <v>4576</v>
      </c>
      <c r="E572" s="190" t="s">
        <v>4577</v>
      </c>
      <c r="F572" s="195">
        <v>294.0</v>
      </c>
      <c r="G572" s="188" t="str">
        <f>IFERROR(__xludf.DUMMYFUNCTION("TRIM(REGEXREPLACE(C572, ""[0-9]+[a-f]?\."", """"))"),"What type of person would you go to first for this money?")</f>
        <v>What type of person would you go to first for this money?</v>
      </c>
      <c r="H572" s="188" t="str">
        <f>IFERROR(__xludf.DUMMYFUNCTION("TRIM(REGEXREPLACE(D572, ""[0-9]+[a-f]?\."", """"))"),"Vers quel type de personne iriez-vous en premier pour cet argent ?")</f>
        <v>Vers quel type de personne iriez-vous en premier pour cet argent ?</v>
      </c>
      <c r="I572" s="188" t="str">
        <f>IFERROR(__xludf.DUMMYFUNCTION("TRIM(REGEXREPLACE(E572, ""[0-9]+[a-f]?\."", """"))"),"Wane irin mutum ne za ku fara zuwa wurin shi don wannan kuɗin?")</f>
        <v>Wane irin mutum ne za ku fara zuwa wurin shi don wannan kuɗin?</v>
      </c>
      <c r="J572" s="188" t="s">
        <v>4578</v>
      </c>
      <c r="K572" s="188" t="s">
        <v>4579</v>
      </c>
      <c r="L572" s="188" t="s">
        <v>4580</v>
      </c>
    </row>
    <row r="573">
      <c r="A573" s="301" t="s">
        <v>220</v>
      </c>
      <c r="B573" s="302" t="s">
        <v>4581</v>
      </c>
      <c r="C573" s="190" t="s">
        <v>4582</v>
      </c>
      <c r="D573" s="190" t="s">
        <v>4583</v>
      </c>
      <c r="E573" s="190" t="s">
        <v>4584</v>
      </c>
      <c r="F573" s="195">
        <v>295.0</v>
      </c>
      <c r="G573" s="188" t="str">
        <f>IFERROR(__xludf.DUMMYFUNCTION("TRIM(REGEXREPLACE(C573, ""[0-9]+[a-f]?\."", """"))"),"Specify your relationship with this person")</f>
        <v>Specify your relationship with this person</v>
      </c>
      <c r="H573" s="188" t="str">
        <f>IFERROR(__xludf.DUMMYFUNCTION("TRIM(REGEXREPLACE(D573, ""[0-9]+[a-f]?\."", """"))"),"Précisez votre relation avec cette personne")</f>
        <v>Précisez votre relation avec cette personne</v>
      </c>
      <c r="I573" s="188" t="str">
        <f>IFERROR(__xludf.DUMMYFUNCTION("TRIM(REGEXREPLACE(E573, ""[0-9]+[a-f]?\."", """"))"),"Faɗi dangantakar ku da wannan mutumen")</f>
        <v>Faɗi dangantakar ku da wannan mutumen</v>
      </c>
      <c r="J573" s="188" t="s">
        <v>4588</v>
      </c>
      <c r="K573" s="188" t="s">
        <v>4589</v>
      </c>
      <c r="L573" s="188" t="s">
        <v>4590</v>
      </c>
    </row>
    <row r="574">
      <c r="A574" s="297" t="s">
        <v>46</v>
      </c>
      <c r="B574" s="298" t="s">
        <v>4591</v>
      </c>
      <c r="C574" s="190" t="s">
        <v>4592</v>
      </c>
      <c r="D574" s="190" t="s">
        <v>4593</v>
      </c>
      <c r="E574" s="190" t="s">
        <v>4594</v>
      </c>
      <c r="F574" s="195">
        <v>296.0</v>
      </c>
      <c r="G574" s="188" t="str">
        <f>IFERROR(__xludf.DUMMYFUNCTION("TRIM(REGEXREPLACE(C574, ""[0-9]+[a-f]?\."", """"))"),"The next set of questions are about your opinions regarding the roles that women and men play")</f>
        <v>The next set of questions are about your opinions regarding the roles that women and men play</v>
      </c>
      <c r="H574" s="188" t="str">
        <f>IFERROR(__xludf.DUMMYFUNCTION("TRIM(REGEXREPLACE(D574, ""[0-9]+[a-f]?\."", """"))"),"La prochaine série de questions porte sur vos opinions concernant les rôles que jouent les femmes et les hommes")</f>
        <v>La prochaine série de questions porte sur vos opinions concernant les rôles que jouent les femmes et les hommes</v>
      </c>
      <c r="I574" s="188" t="str">
        <f>IFERROR(__xludf.DUMMYFUNCTION("TRIM(REGEXREPLACE(E574, ""[0-9]+[a-f]?\."", """"))"),"Tambayoyi na gaba sun ta'allaƙa ne da ra'ayoyin ku game da rawar da mata da maza suke takawa.")</f>
        <v>Tambayoyi na gaba sun ta'allaƙa ne da ra'ayoyin ku game da rawar da mata da maza suke takawa.</v>
      </c>
      <c r="J574" s="188" t="s">
        <v>4598</v>
      </c>
      <c r="K574" s="188" t="s">
        <v>4599</v>
      </c>
      <c r="L574" s="188" t="s">
        <v>4600</v>
      </c>
    </row>
    <row r="575">
      <c r="A575" s="299" t="s">
        <v>2011</v>
      </c>
      <c r="B575" s="300" t="s">
        <v>4601</v>
      </c>
      <c r="C575" s="190" t="s">
        <v>4602</v>
      </c>
      <c r="D575" s="190" t="s">
        <v>4603</v>
      </c>
      <c r="E575" s="190" t="s">
        <v>4604</v>
      </c>
      <c r="F575" s="195">
        <v>297.0</v>
      </c>
      <c r="G575" s="188" t="str">
        <f>IFERROR(__xludf.DUMMYFUNCTION("TRIM(REGEXREPLACE(C575, ""[0-9]+[a-f]?\."", """"))"),"How often, if ever do you talk about the role of women in society with other people?")</f>
        <v>How often, if ever do you talk about the role of women in society with other people?</v>
      </c>
      <c r="H575" s="188" t="str">
        <f>IFERROR(__xludf.DUMMYFUNCTION("TRIM(REGEXREPLACE(D575, ""[0-9]+[a-f]?\."", """"))"),"À quelle fréquence, si jamais cela est arrivé, parlez-vous du rôle des femmes dans la société avec d'autres personnes ?")</f>
        <v>À quelle fréquence, si jamais cela est arrivé, parlez-vous du rôle des femmes dans la société avec d'autres personnes ?</v>
      </c>
      <c r="I575" s="188" t="str">
        <f>IFERROR(__xludf.DUMMYFUNCTION("TRIM(REGEXREPLACE(E575, ""[0-9]+[a-f]?\."", """"))"),"Sau nawa, idan ya na faruwa, kuke yin magana game da taka rawan mata a cikin al'umma tare da sauran mutane?")</f>
        <v>Sau nawa, idan ya na faruwa, kuke yin magana game da taka rawan mata a cikin al'umma tare da sauran mutane?</v>
      </c>
      <c r="J575" s="188" t="s">
        <v>4605</v>
      </c>
      <c r="K575" s="188" t="s">
        <v>4606</v>
      </c>
      <c r="L575" s="188" t="s">
        <v>4607</v>
      </c>
    </row>
    <row r="576">
      <c r="A576" s="297" t="s">
        <v>46</v>
      </c>
      <c r="B576" s="298" t="s">
        <v>4608</v>
      </c>
      <c r="C576" s="190" t="s">
        <v>4609</v>
      </c>
      <c r="D576" s="190" t="s">
        <v>4610</v>
      </c>
      <c r="E576" s="190" t="s">
        <v>4611</v>
      </c>
      <c r="F576" s="195">
        <v>298.0</v>
      </c>
      <c r="G576" s="188" t="str">
        <f>IFERROR(__xludf.DUMMYFUNCTION("TRIM(REGEXREPLACE(C576, ""[0-9]+[a-f]?\."", """"))"),"In your opinion, how much influence a wife should have over the following decisions within a couple?")</f>
        <v>In your opinion, how much influence a wife should have over the following decisions within a couple?</v>
      </c>
      <c r="H576" s="188" t="str">
        <f>IFERROR(__xludf.DUMMYFUNCTION("TRIM(REGEXREPLACE(D576, ""[0-9]+[a-f]?\."", """"))"),"Selon vous, quelle influence une épouse devrait-elle avoir sur les décisions suivantes au sein d'un couple ?")</f>
        <v>Selon vous, quelle influence une épouse devrait-elle avoir sur les décisions suivantes au sein d'un couple ?</v>
      </c>
      <c r="I576" s="188" t="str">
        <f>IFERROR(__xludf.DUMMYFUNCTION("TRIM(REGEXREPLACE(E576, ""[0-9]+[a-f]?\."", """"))"),"A ra'ayinka, wane tasiri mace ya kamata ta yi bisa yanke shawarwari da zan zana a tsakanin ta da mijinta?")</f>
        <v>A ra'ayinka, wane tasiri mace ya kamata ta yi bisa yanke shawarwari da zan zana a tsakanin ta da mijinta?</v>
      </c>
      <c r="J576" s="188" t="s">
        <v>4612</v>
      </c>
      <c r="K576" s="188" t="s">
        <v>4613</v>
      </c>
      <c r="L576" s="188" t="s">
        <v>4614</v>
      </c>
    </row>
    <row r="577">
      <c r="A577" s="299" t="s">
        <v>2855</v>
      </c>
      <c r="B577" s="300" t="s">
        <v>4616</v>
      </c>
      <c r="C577" s="190" t="s">
        <v>4617</v>
      </c>
      <c r="D577" s="190" t="s">
        <v>4618</v>
      </c>
      <c r="E577" s="190" t="s">
        <v>4620</v>
      </c>
      <c r="F577" s="195">
        <v>299.0</v>
      </c>
      <c r="G577" s="188" t="str">
        <f>IFERROR(__xludf.DUMMYFUNCTION("TRIM(REGEXREPLACE(C577, ""[0-9]+[a-f]?\."", """"))"),"Daily household expenses (Less than 500 CFA)")</f>
        <v>Daily household expenses (Less than 500 CFA)</v>
      </c>
      <c r="H577" s="188" t="str">
        <f>IFERROR(__xludf.DUMMYFUNCTION("TRIM(REGEXREPLACE(D577, ""[0-9]+[a-f]?\."", """"))"),"Dépenses quotidiennes du ménage (Moins de 500 CFA)")</f>
        <v>Dépenses quotidiennes du ménage (Moins de 500 CFA)</v>
      </c>
      <c r="I577" s="188" t="str">
        <f>IFERROR(__xludf.DUMMYFUNCTION("TRIM(REGEXREPLACE(E577, ""[0-9]+[a-f]?\."", """"))"),"Kashe kashen kuɗin gida na yau da kullun ( Kasa da dala ɗari CFA 500)")</f>
        <v>Kashe kashen kuɗin gida na yau da kullun ( Kasa da dala ɗari CFA 500)</v>
      </c>
      <c r="J577" s="188" t="s">
        <v>4624</v>
      </c>
      <c r="K577" s="188" t="s">
        <v>4625</v>
      </c>
      <c r="L577" s="188" t="s">
        <v>4626</v>
      </c>
    </row>
    <row r="578">
      <c r="A578" s="299" t="s">
        <v>2855</v>
      </c>
      <c r="B578" s="300" t="s">
        <v>4627</v>
      </c>
      <c r="C578" s="190" t="s">
        <v>4628</v>
      </c>
      <c r="D578" s="190" t="s">
        <v>4629</v>
      </c>
      <c r="E578" s="190" t="s">
        <v>4630</v>
      </c>
      <c r="F578" s="195">
        <v>300.0</v>
      </c>
      <c r="G578" s="188" t="str">
        <f>IFERROR(__xludf.DUMMYFUNCTION("TRIM(REGEXREPLACE(C578, ""[0-9]+[a-f]?\."", """"))"),"Household purchases worth more than 500 CFA")</f>
        <v>Household purchases worth more than 500 CFA</v>
      </c>
      <c r="H578" s="188" t="str">
        <f>IFERROR(__xludf.DUMMYFUNCTION("TRIM(REGEXREPLACE(D578, ""[0-9]+[a-f]?\."", """"))"),"Achats des ménages d'une valeur supérieure à 500 CFA")</f>
        <v>Achats des ménages d'une valeur supérieure à 500 CFA</v>
      </c>
      <c r="I578" s="188" t="str">
        <f>IFERROR(__xludf.DUMMYFUNCTION("TRIM(REGEXREPLACE(E578, ""[0-9]+[a-f]?\."", """"))"),"Siyayyar gida na sama da dala ɗari 500 CFA")</f>
        <v>Siyayyar gida na sama da dala ɗari 500 CFA</v>
      </c>
      <c r="J578" s="188" t="s">
        <v>4633</v>
      </c>
      <c r="K578" s="188" t="s">
        <v>4634</v>
      </c>
      <c r="L578" s="188" t="s">
        <v>4635</v>
      </c>
    </row>
    <row r="579">
      <c r="A579" s="299" t="s">
        <v>2855</v>
      </c>
      <c r="B579" s="300" t="s">
        <v>4637</v>
      </c>
      <c r="C579" s="190" t="s">
        <v>4638</v>
      </c>
      <c r="D579" s="190" t="s">
        <v>4639</v>
      </c>
      <c r="E579" s="190" t="s">
        <v>4640</v>
      </c>
      <c r="F579" s="195">
        <v>301.0</v>
      </c>
      <c r="G579" s="188" t="str">
        <f>IFERROR(__xludf.DUMMYFUNCTION("TRIM(REGEXREPLACE(C579, ""[0-9]+[a-f]?\."", """"))"),"Family planning (how many children to have)")</f>
        <v>Family planning (how many children to have)</v>
      </c>
      <c r="H579" s="188" t="str">
        <f>IFERROR(__xludf.DUMMYFUNCTION("TRIM(REGEXREPLACE(D579, ""[0-9]+[a-f]?\."", """"))"),"Planification familiale (combien d'enfants avoir)")</f>
        <v>Planification familiale (combien d'enfants avoir)</v>
      </c>
      <c r="I579" s="188" t="str">
        <f>IFERROR(__xludf.DUMMYFUNCTION("TRIM(REGEXREPLACE(E579, ""[0-9]+[a-f]?\."", """"))"),"Tsarin iyali (ƴaƴa nawa za a haifa)")</f>
        <v>Tsarin iyali (ƴaƴa nawa za a haifa)</v>
      </c>
      <c r="J579" s="188" t="s">
        <v>4641</v>
      </c>
      <c r="K579" s="188" t="s">
        <v>4642</v>
      </c>
      <c r="L579" s="188" t="s">
        <v>4643</v>
      </c>
    </row>
    <row r="580">
      <c r="A580" s="299" t="s">
        <v>2855</v>
      </c>
      <c r="B580" s="300" t="s">
        <v>4646</v>
      </c>
      <c r="C580" s="190" t="s">
        <v>4648</v>
      </c>
      <c r="D580" s="190" t="s">
        <v>4649</v>
      </c>
      <c r="E580" s="190" t="s">
        <v>4650</v>
      </c>
      <c r="F580" s="195">
        <v>302.0</v>
      </c>
      <c r="G580" s="188" t="str">
        <f>IFERROR(__xludf.DUMMYFUNCTION("TRIM(REGEXREPLACE(C580, ""[0-9]+[a-f]?\."", """"))"),"Whether the husband will migrate to find work")</f>
        <v>Whether the husband will migrate to find work</v>
      </c>
      <c r="H580" s="188" t="str">
        <f>IFERROR(__xludf.DUMMYFUNCTION("TRIM(REGEXREPLACE(D580, ""[0-9]+[a-f]?\."", """"))"),"Si le mari va migrer pour trouver du travail")</f>
        <v>Si le mari va migrer pour trouver du travail</v>
      </c>
      <c r="I580" s="188" t="str">
        <f>IFERROR(__xludf.DUMMYFUNCTION("TRIM(REGEXREPLACE(E580, ""[0-9]+[a-f]?\."", """"))"),"Ko miji zai yi tahiya don neman aiki")</f>
        <v>Ko miji zai yi tahiya don neman aiki</v>
      </c>
      <c r="J580" s="188" t="s">
        <v>4651</v>
      </c>
      <c r="K580" s="188" t="s">
        <v>4652</v>
      </c>
      <c r="L580" s="188" t="s">
        <v>4653</v>
      </c>
    </row>
    <row r="581">
      <c r="A581" s="299" t="s">
        <v>2855</v>
      </c>
      <c r="B581" s="300" t="s">
        <v>4654</v>
      </c>
      <c r="C581" s="190" t="s">
        <v>4656</v>
      </c>
      <c r="D581" s="190" t="s">
        <v>4658</v>
      </c>
      <c r="E581" s="190" t="s">
        <v>4660</v>
      </c>
      <c r="F581" s="195">
        <v>303.0</v>
      </c>
      <c r="G581" s="188" t="str">
        <f>IFERROR(__xludf.DUMMYFUNCTION("TRIM(REGEXREPLACE(C581, ""[0-9]+[a-f]?\."", """"))"),"Who to vote for in local elections?")</f>
        <v>Who to vote for in local elections?</v>
      </c>
      <c r="H581" s="188" t="str">
        <f>IFERROR(__xludf.DUMMYFUNCTION("TRIM(REGEXREPLACE(D581, ""[0-9]+[a-f]?\."", """"))"),"Pour qui voter aux élections municipales ?")</f>
        <v>Pour qui voter aux élections municipales ?</v>
      </c>
      <c r="I581" s="188" t="str">
        <f>IFERROR(__xludf.DUMMYFUNCTION("TRIM(REGEXREPLACE(E581, ""[0-9]+[a-f]?\."", """"))"),"Wanene za'a zaɓa a zaɓen ƙananan hukumomi?")</f>
        <v>Wanene za'a zaɓa a zaɓen ƙananan hukumomi?</v>
      </c>
      <c r="J581" s="188" t="s">
        <v>4661</v>
      </c>
      <c r="K581" s="188" t="s">
        <v>4662</v>
      </c>
      <c r="L581" s="188" t="s">
        <v>4663</v>
      </c>
    </row>
    <row r="582">
      <c r="A582" s="299" t="s">
        <v>2855</v>
      </c>
      <c r="B582" s="300" t="s">
        <v>4664</v>
      </c>
      <c r="C582" s="190" t="s">
        <v>4665</v>
      </c>
      <c r="D582" s="190" t="s">
        <v>4666</v>
      </c>
      <c r="E582" s="190" t="s">
        <v>4667</v>
      </c>
      <c r="F582" s="195">
        <v>304.0</v>
      </c>
      <c r="G582" s="188" t="str">
        <f>IFERROR(__xludf.DUMMYFUNCTION("TRIM(REGEXREPLACE(C582, ""[0-9]+[a-f]?\."", """"))"),"To whom your daughter should marry?")</f>
        <v>To whom your daughter should marry?</v>
      </c>
      <c r="H582" s="188" t="str">
        <f>IFERROR(__xludf.DUMMYFUNCTION("TRIM(REGEXREPLACE(D582, ""[0-9]+[a-f]?\."", """"))"),"Avec qui votre fille devrait-elle se marier ?")</f>
        <v>Avec qui votre fille devrait-elle se marier ?</v>
      </c>
      <c r="I582" s="188" t="str">
        <f>IFERROR(__xludf.DUMMYFUNCTION("TRIM(REGEXREPLACE(E582, ""[0-9]+[a-f]?\."", """"))"),"Wa ya kamata ƴarku ta aura?")</f>
        <v>Wa ya kamata ƴarku ta aura?</v>
      </c>
      <c r="J582" s="188" t="s">
        <v>4671</v>
      </c>
      <c r="K582" s="188" t="s">
        <v>4672</v>
      </c>
      <c r="L582" s="188" t="s">
        <v>4673</v>
      </c>
    </row>
    <row r="583">
      <c r="A583" s="299" t="s">
        <v>2855</v>
      </c>
      <c r="B583" s="300" t="s">
        <v>4674</v>
      </c>
      <c r="C583" s="190" t="s">
        <v>4675</v>
      </c>
      <c r="D583" s="190" t="s">
        <v>4676</v>
      </c>
      <c r="E583" s="190" t="s">
        <v>4677</v>
      </c>
      <c r="F583" s="195">
        <v>305.0</v>
      </c>
      <c r="G583" s="188" t="str">
        <f>IFERROR(__xludf.DUMMYFUNCTION("TRIM(REGEXREPLACE(C583, ""[0-9]+[a-f]?\."", """"))"),"Children's enrollment in school")</f>
        <v>Children's enrollment in school</v>
      </c>
      <c r="H583" s="188" t="str">
        <f>IFERROR(__xludf.DUMMYFUNCTION("TRIM(REGEXREPLACE(D583, ""[0-9]+[a-f]?\."", """"))"),"Inscription des enfants à l'école")</f>
        <v>Inscription des enfants à l'école</v>
      </c>
      <c r="I583" s="188" t="str">
        <f>IFERROR(__xludf.DUMMYFUNCTION("TRIM(REGEXREPLACE(E583, ""[0-9]+[a-f]?\."", """"))"),"Rubuta yara a makaranta")</f>
        <v>Rubuta yara a makaranta</v>
      </c>
      <c r="J583" s="188" t="s">
        <v>4678</v>
      </c>
      <c r="K583" s="188" t="s">
        <v>4680</v>
      </c>
      <c r="L583" s="188" t="s">
        <v>4681</v>
      </c>
    </row>
    <row r="584">
      <c r="A584" s="299" t="s">
        <v>1060</v>
      </c>
      <c r="B584" s="300" t="s">
        <v>4684</v>
      </c>
      <c r="C584" s="190" t="s">
        <v>4685</v>
      </c>
      <c r="D584" s="190" t="s">
        <v>4686</v>
      </c>
      <c r="E584" s="190" t="s">
        <v>4687</v>
      </c>
      <c r="F584" s="195">
        <v>306.0</v>
      </c>
      <c r="G584" s="188" t="str">
        <f>IFERROR(__xludf.DUMMYFUNCTION("TRIM(REGEXREPLACE(C584, ""[0-9]+[a-f]?\."", """"))"),"Imagine one of your daughters wanted to marry someone of a different religious faith, would you give them your permission?")</f>
        <v>Imagine one of your daughters wanted to marry someone of a different religious faith, would you give them your permission?</v>
      </c>
      <c r="H584" s="188" t="str">
        <f>IFERROR(__xludf.DUMMYFUNCTION("TRIM(REGEXREPLACE(D584, ""[0-9]+[a-f]?\."", """"))"),"Imaginez qu'une de vos filles veuille épouser quelqu'un d'une confession religieuse différente, leur donneriez-vous votre permission ?")</f>
        <v>Imaginez qu'une de vos filles veuille épouser quelqu'un d'une confession religieuse différente, leur donneriez-vous votre permission ?</v>
      </c>
      <c r="I584" s="188" t="str">
        <f>IFERROR(__xludf.DUMMYFUNCTION("TRIM(REGEXREPLACE(E584, ""[0-9]+[a-f]?\."", """"))"),"Ku ƙaddara da wata ɗiyarku ta na son ta auri wani mai bin wani addini daban, za ku bada izininku?")</f>
        <v>Ku ƙaddara da wata ɗiyarku ta na son ta auri wani mai bin wani addini daban, za ku bada izininku?</v>
      </c>
      <c r="J584" s="188" t="s">
        <v>4688</v>
      </c>
      <c r="K584" s="188" t="s">
        <v>4689</v>
      </c>
      <c r="L584" s="188" t="s">
        <v>4690</v>
      </c>
    </row>
    <row r="585">
      <c r="A585" s="299" t="s">
        <v>1060</v>
      </c>
      <c r="B585" s="300" t="s">
        <v>4691</v>
      </c>
      <c r="C585" s="190" t="s">
        <v>4692</v>
      </c>
      <c r="D585" s="190" t="s">
        <v>4693</v>
      </c>
      <c r="E585" s="190" t="s">
        <v>4694</v>
      </c>
      <c r="F585" s="195">
        <v>307.0</v>
      </c>
      <c r="G585" s="188" t="str">
        <f>IFERROR(__xludf.DUMMYFUNCTION("TRIM(REGEXREPLACE(C585, ""[0-9]+[a-f]?\."", """"))"),"Imagine one of your sons wanted to marry someone of a different religious faith, would you give them your permission?")</f>
        <v>Imagine one of your sons wanted to marry someone of a different religious faith, would you give them your permission?</v>
      </c>
      <c r="H585" s="188" t="str">
        <f>IFERROR(__xludf.DUMMYFUNCTION("TRIM(REGEXREPLACE(D585, ""[0-9]+[a-f]?\."", """"))"),"Imaginez que l'un de vos fils veuille épouser quelqu'un d'une confession religieuse différente, leur donneriez-vous votre permission ?")</f>
        <v>Imaginez que l'un de vos fils veuille épouser quelqu'un d'une confession religieuse différente, leur donneriez-vous votre permission ?</v>
      </c>
      <c r="I585" s="188" t="str">
        <f>IFERROR(__xludf.DUMMYFUNCTION("TRIM(REGEXREPLACE(E585, ""[0-9]+[a-f]?\."", """"))"),"Ku ƙaddara da wani ɗanku ya na son ya auri wata ƴa mai bin wani addini daban, za ku bada izininku?")</f>
        <v>Ku ƙaddara da wani ɗanku ya na son ya auri wata ƴa mai bin wani addini daban, za ku bada izininku?</v>
      </c>
      <c r="J585" s="188" t="s">
        <v>4695</v>
      </c>
      <c r="K585" s="188" t="s">
        <v>4696</v>
      </c>
      <c r="L585" s="188" t="s">
        <v>4697</v>
      </c>
    </row>
    <row r="586">
      <c r="A586" s="299" t="s">
        <v>1060</v>
      </c>
      <c r="B586" s="300" t="s">
        <v>4698</v>
      </c>
      <c r="C586" s="190" t="s">
        <v>4699</v>
      </c>
      <c r="D586" s="190" t="s">
        <v>4700</v>
      </c>
      <c r="E586" s="190" t="s">
        <v>4701</v>
      </c>
      <c r="F586" s="195">
        <v>308.0</v>
      </c>
      <c r="G586" s="188" t="str">
        <f>IFERROR(__xludf.DUMMYFUNCTION("TRIM(REGEXREPLACE(C586, ""[0-9]+[a-f]?\."", """"))"),"Imagine one of your daughters wanted to marry someone of a different ethnic group, would you give them your permission?")</f>
        <v>Imagine one of your daughters wanted to marry someone of a different ethnic group, would you give them your permission?</v>
      </c>
      <c r="H586" s="188" t="str">
        <f>IFERROR(__xludf.DUMMYFUNCTION("TRIM(REGEXREPLACE(D586, ""[0-9]+[a-f]?\."", """"))"),"Imaginez qu'une de vos filles veuille épouser quelqu'un d'un groupe ethnique différent, leur donneriez-vous votre permission ?")</f>
        <v>Imaginez qu'une de vos filles veuille épouser quelqu'un d'un groupe ethnique différent, leur donneriez-vous votre permission ?</v>
      </c>
      <c r="I586" s="188" t="str">
        <f>IFERROR(__xludf.DUMMYFUNCTION("TRIM(REGEXREPLACE(E586, ""[0-9]+[a-f]?\."", """"))"),"Ku ƙaddara da wata ɗiyarka tana son ta auri ɗan wata kabila daban, za ku bada izininka?")</f>
        <v>Ku ƙaddara da wata ɗiyarka tana son ta auri ɗan wata kabila daban, za ku bada izininka?</v>
      </c>
      <c r="J586" s="188" t="s">
        <v>4706</v>
      </c>
      <c r="K586" s="188" t="s">
        <v>4707</v>
      </c>
      <c r="L586" s="188" t="s">
        <v>4708</v>
      </c>
    </row>
    <row r="587">
      <c r="A587" s="299" t="s">
        <v>1060</v>
      </c>
      <c r="B587" s="300" t="s">
        <v>4709</v>
      </c>
      <c r="C587" s="190" t="s">
        <v>4710</v>
      </c>
      <c r="D587" s="190" t="s">
        <v>4711</v>
      </c>
      <c r="E587" s="190" t="s">
        <v>4712</v>
      </c>
      <c r="F587" s="195">
        <v>309.0</v>
      </c>
      <c r="G587" s="188" t="str">
        <f>IFERROR(__xludf.DUMMYFUNCTION("TRIM(REGEXREPLACE(C587, ""[0-9]+[a-f]?\."", """"))"),"Imagine one of your sons wanted to marry someone of a different ethnic group, would you give them your permission?")</f>
        <v>Imagine one of your sons wanted to marry someone of a different ethnic group, would you give them your permission?</v>
      </c>
      <c r="H587" s="188" t="str">
        <f>IFERROR(__xludf.DUMMYFUNCTION("TRIM(REGEXREPLACE(D587, ""[0-9]+[a-f]?\."", """"))"),"Imaginez que l'un de vos fils veuille épouser quelqu'un d'un groupe ethnique différent, leur donneriez-vous votre permission ?")</f>
        <v>Imaginez que l'un de vos fils veuille épouser quelqu'un d'un groupe ethnique différent, leur donneriez-vous votre permission ?</v>
      </c>
      <c r="I587" s="188" t="str">
        <f>IFERROR(__xludf.DUMMYFUNCTION("TRIM(REGEXREPLACE(E587, ""[0-9]+[a-f]?\."", """"))"),"Ku ƙaddara da wani ɗanku ya na son ya auri wani ɗan wata ƙabila daban, za ku bada izininka?")</f>
        <v>Ku ƙaddara da wani ɗanku ya na son ya auri wani ɗan wata ƙabila daban, za ku bada izininka?</v>
      </c>
      <c r="J587" s="188" t="s">
        <v>4713</v>
      </c>
      <c r="K587" s="188" t="s">
        <v>4714</v>
      </c>
      <c r="L587" s="188" t="s">
        <v>4715</v>
      </c>
    </row>
    <row r="588">
      <c r="A588" s="297" t="s">
        <v>46</v>
      </c>
      <c r="B588" s="298" t="s">
        <v>4716</v>
      </c>
      <c r="C588" s="190" t="s">
        <v>4717</v>
      </c>
      <c r="D588" s="190" t="s">
        <v>4719</v>
      </c>
      <c r="E588" s="190" t="s">
        <v>4721</v>
      </c>
      <c r="F588" s="195">
        <v>310.0</v>
      </c>
      <c r="G588" s="188" t="str">
        <f>IFERROR(__xludf.DUMMYFUNCTION("TRIM(REGEXREPLACE(C588, ""[0-9]+[a-f]?\."", """"))"),"Please tell me the degree to which you agree or disagree with the following statements.")</f>
        <v>Please tell me the degree to which you agree or disagree with the following statements.</v>
      </c>
      <c r="H588" s="188" t="str">
        <f>IFERROR(__xludf.DUMMYFUNCTION("TRIM(REGEXREPLACE(D588, ""[0-9]+[a-f]?\."", """"))"),"Veuillez me dire dans quelle mesure vous êtes d'accord ou pas d'accord avec les énoncés suivants.")</f>
        <v>Veuillez me dire dans quelle mesure vous êtes d'accord ou pas d'accord avec les énoncés suivants.</v>
      </c>
      <c r="I588" s="188" t="str">
        <f>IFERROR(__xludf.DUMMYFUNCTION("TRIM(REGEXREPLACE(E588, ""[0-9]+[a-f]?\."", """"))"),"Yanzu ina son ku gaya mini har zuwa wane matsayi kuka yarda ko baku yarda ba da waɗannan maganganun da zan zana muku.")</f>
        <v>Yanzu ina son ku gaya mini har zuwa wane matsayi kuka yarda ko baku yarda ba da waɗannan maganganun da zan zana muku.</v>
      </c>
      <c r="J588" s="188" t="s">
        <v>4723</v>
      </c>
      <c r="K588" s="188" t="s">
        <v>4724</v>
      </c>
      <c r="L588" s="188" t="s">
        <v>4725</v>
      </c>
    </row>
    <row r="589">
      <c r="A589" s="299" t="s">
        <v>2100</v>
      </c>
      <c r="B589" s="300" t="s">
        <v>4726</v>
      </c>
      <c r="C589" s="190" t="s">
        <v>4727</v>
      </c>
      <c r="D589" s="190" t="s">
        <v>4728</v>
      </c>
      <c r="E589" s="190" t="s">
        <v>4729</v>
      </c>
      <c r="F589" s="195">
        <v>311.0</v>
      </c>
      <c r="G589" s="188" t="str">
        <f>IFERROR(__xludf.DUMMYFUNCTION("TRIM(REGEXREPLACE(C589, ""[0-9]+[a-f]?\."", """"))"),"Middle school education for males is more important than middle school education for females.")</f>
        <v>Middle school education for males is more important than middle school education for females.</v>
      </c>
      <c r="H589" s="188" t="str">
        <f>IFERROR(__xludf.DUMMYFUNCTION("TRIM(REGEXREPLACE(D589, ""[0-9]+[a-f]?\."", """"))"),"L'enseignement secondaire pour les hommes est plus important que l'enseignement secondaire pour les femmes.")</f>
        <v>L'enseignement secondaire pour les hommes est plus important que l'enseignement secondaire pour les femmes.</v>
      </c>
      <c r="I589" s="188" t="str">
        <f>IFERROR(__xludf.DUMMYFUNCTION("TRIM(REGEXREPLACE(E589, ""[0-9]+[a-f]?\."", """"))"),"Ilimin koleji ga maza yana da mahimmanci fiye da ilimin koleji ga mata.")</f>
        <v>Ilimin koleji ga maza yana da mahimmanci fiye da ilimin koleji ga mata.</v>
      </c>
      <c r="J589" s="188" t="s">
        <v>4733</v>
      </c>
      <c r="K589" s="188" t="s">
        <v>4734</v>
      </c>
      <c r="L589" s="188" t="s">
        <v>4735</v>
      </c>
    </row>
    <row r="590">
      <c r="A590" s="299" t="s">
        <v>2100</v>
      </c>
      <c r="B590" s="300" t="s">
        <v>4736</v>
      </c>
      <c r="C590" s="190" t="s">
        <v>4737</v>
      </c>
      <c r="D590" s="190" t="s">
        <v>4738</v>
      </c>
      <c r="E590" s="190" t="s">
        <v>4739</v>
      </c>
      <c r="F590" s="195">
        <v>312.0</v>
      </c>
      <c r="G590" s="188" t="str">
        <f>IFERROR(__xludf.DUMMYFUNCTION("TRIM(REGEXREPLACE(C590, ""[0-9]+[a-f]?\."", """"))"),"Women and men should have equal rights to their inheritance (Women should not be denied their right)")</f>
        <v>Women and men should have equal rights to their inheritance (Women should not be denied their right)</v>
      </c>
      <c r="H590" s="188" t="str">
        <f>IFERROR(__xludf.DUMMYFUNCTION("TRIM(REGEXREPLACE(D590, ""[0-9]+[a-f]?\."", """"))"),"Les femmes et les hommes devraient avoir des droits égaux à l'héritage (les femmes ne devraient pas être privées de leur droit)")</f>
        <v>Les femmes et les hommes devraient avoir des droits égaux à l'héritage (les femmes ne devraient pas être privées de leur droit)</v>
      </c>
      <c r="I590" s="188" t="str">
        <f>IFERROR(__xludf.DUMMYFUNCTION("TRIM(REGEXREPLACE(E590, ""[0-9]+[a-f]?\."", """"))"),"Ya kamata mata da maza su samu haƙƙi daidai akan gado (Bai Kamata a hana ma mata haƙƙinsu ba)")</f>
        <v>Ya kamata mata da maza su samu haƙƙi daidai akan gado (Bai Kamata a hana ma mata haƙƙinsu ba)</v>
      </c>
      <c r="J590" s="188" t="s">
        <v>4743</v>
      </c>
      <c r="K590" s="188" t="s">
        <v>4744</v>
      </c>
      <c r="L590" s="188" t="s">
        <v>4745</v>
      </c>
    </row>
    <row r="591">
      <c r="A591" s="299" t="s">
        <v>2100</v>
      </c>
      <c r="B591" s="300" t="s">
        <v>4746</v>
      </c>
      <c r="C591" s="190" t="s">
        <v>4747</v>
      </c>
      <c r="D591" s="190" t="s">
        <v>4748</v>
      </c>
      <c r="E591" s="190" t="s">
        <v>4749</v>
      </c>
      <c r="F591" s="195">
        <v>313.0</v>
      </c>
      <c r="G591" s="188" t="str">
        <f>IFERROR(__xludf.DUMMYFUNCTION("TRIM(REGEXREPLACE(C591, ""[0-9]+[a-f]?\."", """"))"),"A woman can reject a marriage that her family chose for her without her consent")</f>
        <v>A woman can reject a marriage that her family chose for her without her consent</v>
      </c>
      <c r="H591" s="188" t="str">
        <f>IFERROR(__xludf.DUMMYFUNCTION("TRIM(REGEXREPLACE(D591, ""[0-9]+[a-f]?\."", """"))"),"Une femme peut refuser un mariage que sa famille a choisi pour elle sans son consentement")</f>
        <v>Une femme peut refuser un mariage que sa famille a choisi pour elle sans son consentement</v>
      </c>
      <c r="I591" s="188" t="str">
        <f>IFERROR(__xludf.DUMMYFUNCTION("TRIM(REGEXREPLACE(E591, ""[0-9]+[a-f]?\."", """"))"),"Mace za ta iya ƙin auren da danginta suka zaɓa mata idan bata yarda ba")</f>
        <v>Mace za ta iya ƙin auren da danginta suka zaɓa mata idan bata yarda ba</v>
      </c>
      <c r="J591" s="188" t="s">
        <v>4751</v>
      </c>
      <c r="K591" s="188" t="s">
        <v>4752</v>
      </c>
      <c r="L591" s="188" t="s">
        <v>4753</v>
      </c>
    </row>
    <row r="592">
      <c r="A592" s="299" t="s">
        <v>2100</v>
      </c>
      <c r="B592" s="300" t="s">
        <v>4754</v>
      </c>
      <c r="C592" s="190" t="s">
        <v>4755</v>
      </c>
      <c r="D592" s="190" t="s">
        <v>4756</v>
      </c>
      <c r="E592" s="190" t="s">
        <v>4757</v>
      </c>
      <c r="F592" s="195">
        <v>314.0</v>
      </c>
      <c r="G592" s="188" t="str">
        <f>IFERROR(__xludf.DUMMYFUNCTION("TRIM(REGEXREPLACE(C592, ""[0-9]+[a-f]?\."", """"))"),"Women and men should have equal rights in making the decision to divorce.")</f>
        <v>Women and men should have equal rights in making the decision to divorce.</v>
      </c>
      <c r="H592" s="188" t="str">
        <f>IFERROR(__xludf.DUMMYFUNCTION("TRIM(REGEXREPLACE(D592, ""[0-9]+[a-f]?\."", """"))"),"Les femmes et les hommes devraient avoir des droits égaux dans la décision de divorcer.")</f>
        <v>Les femmes et les hommes devraient avoir des droits égaux dans la décision de divorcer.</v>
      </c>
      <c r="I592" s="188" t="str">
        <f>IFERROR(__xludf.DUMMYFUNCTION("TRIM(REGEXREPLACE(E592, ""[0-9]+[a-f]?\."", """"))"),"Yakamata a ce mata da maza suna da haƙƙi daidai wajen yanke shawarar rabuwar aure.")</f>
        <v>Yakamata a ce mata da maza suna da haƙƙi daidai wajen yanke shawarar rabuwar aure.</v>
      </c>
      <c r="J592" s="188" t="s">
        <v>4758</v>
      </c>
      <c r="K592" s="188" t="s">
        <v>4759</v>
      </c>
      <c r="L592" s="188" t="s">
        <v>4760</v>
      </c>
    </row>
    <row r="593">
      <c r="A593" s="299" t="s">
        <v>2100</v>
      </c>
      <c r="B593" s="300" t="s">
        <v>4761</v>
      </c>
      <c r="C593" s="190" t="s">
        <v>4762</v>
      </c>
      <c r="D593" s="190" t="s">
        <v>4763</v>
      </c>
      <c r="E593" s="190" t="s">
        <v>4765</v>
      </c>
      <c r="F593" s="195">
        <v>315.0</v>
      </c>
      <c r="G593" s="188" t="str">
        <f>IFERROR(__xludf.DUMMYFUNCTION("TRIM(REGEXREPLACE(C593, ""[0-9]+[a-f]?\."", """"))"),"The law should not allow a man to marry more than one woman.")</f>
        <v>The law should not allow a man to marry more than one woman.</v>
      </c>
      <c r="H593" s="188" t="str">
        <f>IFERROR(__xludf.DUMMYFUNCTION("TRIM(REGEXREPLACE(D593, ""[0-9]+[a-f]?\."", """"))"),"La loi ne devrait pas permettre à un homme d'épouser plus d'une femme.")</f>
        <v>La loi ne devrait pas permettre à un homme d'épouser plus d'une femme.</v>
      </c>
      <c r="I593" s="188" t="str">
        <f>IFERROR(__xludf.DUMMYFUNCTION("TRIM(REGEXREPLACE(E593, ""[0-9]+[a-f]?\."", """"))"),"Yakamata doka ta hana ma namiji ya auri fiye da mace ɗaya.")</f>
        <v>Yakamata doka ta hana ma namiji ya auri fiye da mace ɗaya.</v>
      </c>
      <c r="J593" s="188" t="s">
        <v>4767</v>
      </c>
      <c r="K593" s="188" t="s">
        <v>4768</v>
      </c>
      <c r="L593" s="188" t="s">
        <v>4769</v>
      </c>
    </row>
    <row r="594" hidden="1">
      <c r="A594" s="310" t="s">
        <v>278</v>
      </c>
      <c r="B594" s="311" t="s">
        <v>4770</v>
      </c>
      <c r="C594" s="190"/>
      <c r="D594" s="190"/>
      <c r="E594" s="190"/>
      <c r="F594" s="195">
        <v>365.0</v>
      </c>
      <c r="G594" s="188" t="str">
        <f>IFERROR(__xludf.DUMMYFUNCTION("TRIM(REGEXREPLACE(C594, ""[0-9]+[a-f]?\."", """"))"),"")</f>
        <v/>
      </c>
      <c r="H594" s="188" t="str">
        <f>IFERROR(__xludf.DUMMYFUNCTION("TRIM(REGEXREPLACE(D594, ""[0-9]+[a-f]?\."", """"))"),"")</f>
        <v/>
      </c>
      <c r="I594" s="188" t="str">
        <f>IFERROR(__xludf.DUMMYFUNCTION("TRIM(REGEXREPLACE(E594, ""[0-9]+[a-f]?\."", """"))"),"")</f>
        <v/>
      </c>
      <c r="J594" s="188" t="s">
        <v>4771</v>
      </c>
      <c r="K594" s="188" t="s">
        <v>4772</v>
      </c>
      <c r="L594" s="188" t="s">
        <v>4773</v>
      </c>
    </row>
    <row r="595">
      <c r="A595" s="299" t="s">
        <v>1060</v>
      </c>
      <c r="B595" s="300" t="s">
        <v>4774</v>
      </c>
      <c r="C595" s="190" t="s">
        <v>4775</v>
      </c>
      <c r="D595" s="190" t="s">
        <v>4776</v>
      </c>
      <c r="E595" s="190" t="s">
        <v>4777</v>
      </c>
      <c r="F595" s="195">
        <v>316.0</v>
      </c>
      <c r="G595" s="188" t="str">
        <f>IFERROR(__xludf.DUMMYFUNCTION("TRIM(REGEXREPLACE(C595, ""[0-9]+[a-f]?\."", """"))"),"In your opinion, is a husband justified in hitting or beating his wife if:")</f>
        <v>In your opinion, is a husband justified in hitting or beating his wife if:</v>
      </c>
      <c r="H595" s="188" t="str">
        <f>IFERROR(__xludf.DUMMYFUNCTION("TRIM(REGEXREPLACE(D595, ""[0-9]+[a-f]?\."", """"))"),"A votre avis, est-il justifié pour un mari de frapper ou de battre sa femme si :")</f>
        <v>A votre avis, est-il justifié pour un mari de frapper ou de battre sa femme si :</v>
      </c>
      <c r="I595" s="188" t="str">
        <f>IFERROR(__xludf.DUMMYFUNCTION("TRIM(REGEXREPLACE(E595, ""[0-9]+[a-f]?\."", """"))"),"A ganinku, ko ya cancanta miji ya bugi matarshi ko ya bata kashi idan:")</f>
        <v>A ganinku, ko ya cancanta miji ya bugi matarshi ko ya bata kashi idan:</v>
      </c>
      <c r="J595" s="188" t="s">
        <v>4778</v>
      </c>
      <c r="K595" s="188" t="s">
        <v>4779</v>
      </c>
      <c r="L595" s="188" t="s">
        <v>4780</v>
      </c>
    </row>
    <row r="596">
      <c r="A596" s="299" t="s">
        <v>1060</v>
      </c>
      <c r="B596" s="300" t="s">
        <v>4781</v>
      </c>
      <c r="C596" s="190" t="s">
        <v>4782</v>
      </c>
      <c r="D596" s="190" t="s">
        <v>4783</v>
      </c>
      <c r="E596" s="190" t="s">
        <v>4784</v>
      </c>
      <c r="F596" s="195">
        <v>317.0</v>
      </c>
      <c r="G596" s="188" t="str">
        <f>IFERROR(__xludf.DUMMYFUNCTION("TRIM(REGEXREPLACE(C596, ""[0-9]+[a-f]?\."", """"))"),"She neglects the children")</f>
        <v>She neglects the children</v>
      </c>
      <c r="H596" s="188" t="str">
        <f>IFERROR(__xludf.DUMMYFUNCTION("TRIM(REGEXREPLACE(D596, ""[0-9]+[a-f]?\."", """"))"),"Elle néglige les enfants")</f>
        <v>Elle néglige les enfants</v>
      </c>
      <c r="I596" s="188" t="str">
        <f>IFERROR(__xludf.DUMMYFUNCTION("TRIM(REGEXREPLACE(E596, ""[0-9]+[a-f]?\."", """"))"),"Ta yi sakaci da yara")</f>
        <v>Ta yi sakaci da yara</v>
      </c>
      <c r="J596" s="188" t="s">
        <v>4788</v>
      </c>
      <c r="K596" s="188" t="s">
        <v>4789</v>
      </c>
      <c r="L596" s="188" t="s">
        <v>4791</v>
      </c>
    </row>
    <row r="597">
      <c r="A597" s="299" t="s">
        <v>1060</v>
      </c>
      <c r="B597" s="300" t="s">
        <v>4792</v>
      </c>
      <c r="C597" s="190" t="s">
        <v>4793</v>
      </c>
      <c r="D597" s="190" t="s">
        <v>4794</v>
      </c>
      <c r="E597" s="190" t="s">
        <v>4795</v>
      </c>
      <c r="F597" s="195">
        <v>318.0</v>
      </c>
      <c r="G597" s="188" t="str">
        <f>IFERROR(__xludf.DUMMYFUNCTION("TRIM(REGEXREPLACE(C597, ""[0-9]+[a-f]?\."", """"))"),"She argues with him")</f>
        <v>She argues with him</v>
      </c>
      <c r="H597" s="188" t="str">
        <f>IFERROR(__xludf.DUMMYFUNCTION("TRIM(REGEXREPLACE(D597, ""[0-9]+[a-f]?\."", """"))"),"Elle se dispute avec lui")</f>
        <v>Elle se dispute avec lui</v>
      </c>
      <c r="I597" s="188" t="str">
        <f>IFERROR(__xludf.DUMMYFUNCTION("TRIM(REGEXREPLACE(E597, ""[0-9]+[a-f]?\."", """"))"),"Ta yi mishi gardama")</f>
        <v>Ta yi mishi gardama</v>
      </c>
      <c r="J597" s="188" t="s">
        <v>4796</v>
      </c>
      <c r="K597" s="188" t="s">
        <v>4797</v>
      </c>
      <c r="L597" s="188" t="s">
        <v>4798</v>
      </c>
    </row>
    <row r="598">
      <c r="A598" s="299" t="s">
        <v>1060</v>
      </c>
      <c r="B598" s="300" t="s">
        <v>4799</v>
      </c>
      <c r="C598" s="190" t="s">
        <v>4800</v>
      </c>
      <c r="D598" s="190" t="s">
        <v>4802</v>
      </c>
      <c r="E598" s="190" t="s">
        <v>4803</v>
      </c>
      <c r="F598" s="195">
        <v>319.0</v>
      </c>
      <c r="G598" s="188" t="str">
        <f>IFERROR(__xludf.DUMMYFUNCTION("TRIM(REGEXREPLACE(C598, ""[0-9]+[a-f]?\."", """"))"),"She refuses to pray")</f>
        <v>She refuses to pray</v>
      </c>
      <c r="H598" s="188" t="str">
        <f>IFERROR(__xludf.DUMMYFUNCTION("TRIM(REGEXREPLACE(D598, ""[0-9]+[a-f]?\."", """"))"),"Elle refuse de prier")</f>
        <v>Elle refuse de prier</v>
      </c>
      <c r="I598" s="188" t="str">
        <f>IFERROR(__xludf.DUMMYFUNCTION("TRIM(REGEXREPLACE(E598, ""[0-9]+[a-f]?\."", """"))"),"Ta ƙi yin sallah")</f>
        <v>Ta ƙi yin sallah</v>
      </c>
      <c r="J598" s="188" t="s">
        <v>4806</v>
      </c>
      <c r="K598" s="188" t="s">
        <v>4807</v>
      </c>
      <c r="L598" s="188" t="s">
        <v>4808</v>
      </c>
    </row>
    <row r="599">
      <c r="A599" s="299" t="s">
        <v>1060</v>
      </c>
      <c r="B599" s="300" t="s">
        <v>4809</v>
      </c>
      <c r="C599" s="190" t="s">
        <v>4810</v>
      </c>
      <c r="D599" s="190" t="s">
        <v>4811</v>
      </c>
      <c r="E599" s="190" t="s">
        <v>4812</v>
      </c>
      <c r="F599" s="195">
        <v>320.0</v>
      </c>
      <c r="G599" s="188" t="str">
        <f>IFERROR(__xludf.DUMMYFUNCTION("TRIM(REGEXREPLACE(C599, ""[0-9]+[a-f]?\."", """"))"),"She burns the food")</f>
        <v>She burns the food</v>
      </c>
      <c r="H599" s="188" t="str">
        <f>IFERROR(__xludf.DUMMYFUNCTION("TRIM(REGEXREPLACE(D599, ""[0-9]+[a-f]?\."", """"))"),"Elle brûle la nourriture")</f>
        <v>Elle brûle la nourriture</v>
      </c>
      <c r="I599" s="188" t="str">
        <f>IFERROR(__xludf.DUMMYFUNCTION("TRIM(REGEXREPLACE(E599, ""[0-9]+[a-f]?\."", """"))"),"Ta ƙona abincin")</f>
        <v>Ta ƙona abincin</v>
      </c>
      <c r="J599" s="188" t="s">
        <v>4813</v>
      </c>
      <c r="K599" s="188" t="s">
        <v>4815</v>
      </c>
      <c r="L599" s="188" t="s">
        <v>4816</v>
      </c>
    </row>
    <row r="600" hidden="1">
      <c r="A600" s="310" t="s">
        <v>331</v>
      </c>
      <c r="B600" s="315" t="s">
        <v>4770</v>
      </c>
      <c r="C600" s="190"/>
      <c r="D600" s="190"/>
      <c r="E600" s="190"/>
      <c r="F600" s="195">
        <v>370.0</v>
      </c>
      <c r="G600" s="188" t="str">
        <f>IFERROR(__xludf.DUMMYFUNCTION("TRIM(REGEXREPLACE(C600, ""[0-9]+[a-f]?\."", """"))"),"")</f>
        <v/>
      </c>
      <c r="H600" s="188" t="str">
        <f>IFERROR(__xludf.DUMMYFUNCTION("TRIM(REGEXREPLACE(D600, ""[0-9]+[a-f]?\."", """"))"),"")</f>
        <v/>
      </c>
      <c r="I600" s="188" t="str">
        <f>IFERROR(__xludf.DUMMYFUNCTION("TRIM(REGEXREPLACE(E600, ""[0-9]+[a-f]?\."", """"))"),"")</f>
        <v/>
      </c>
      <c r="J600" s="188" t="s">
        <v>4819</v>
      </c>
      <c r="K600" s="188" t="s">
        <v>4820</v>
      </c>
      <c r="L600" s="188" t="s">
        <v>4822</v>
      </c>
    </row>
    <row r="601">
      <c r="A601" s="299" t="s">
        <v>4824</v>
      </c>
      <c r="B601" s="300" t="s">
        <v>4826</v>
      </c>
      <c r="C601" s="190" t="s">
        <v>4827</v>
      </c>
      <c r="D601" s="190" t="s">
        <v>4828</v>
      </c>
      <c r="E601" s="190" t="s">
        <v>4829</v>
      </c>
      <c r="F601" s="195">
        <v>321.0</v>
      </c>
      <c r="G601" s="188" t="str">
        <f>IFERROR(__xludf.DUMMYFUNCTION("TRIM(REGEXREPLACE(C601, ""[0-9]+[a-f]?\."", """"))"),"I've asked you a lot of questions about your life in the past period in order to better understand your experiences. Is there anything else that has happened recently to you that has changed your life in an important way?")</f>
        <v>I've asked you a lot of questions about your life in the past period in order to better understand your experiences. Is there anything else that has happened recently to you that has changed your life in an important way?</v>
      </c>
      <c r="H601" s="188" t="str">
        <f>IFERROR(__xludf.DUMMYFUNCTION("TRIM(REGEXREPLACE(D601, ""[0-9]+[a-f]?\."", """"))"),"Je vous ai posé beaucoup de questions sur votre vie au cours de la période écoulée afin de mieux comprendre vos expériences. Y a-t-il autre chose qui vous est arrivé récemment qui a changé votre vie de manière importante ?")</f>
        <v>Je vous ai posé beaucoup de questions sur votre vie au cours de la période écoulée afin de mieux comprendre vos expériences. Y a-t-il autre chose qui vous est arrivé récemment qui a changé votre vie de manière importante ?</v>
      </c>
      <c r="I601" s="188" t="str">
        <f>IFERROR(__xludf.DUMMYFUNCTION("TRIM(REGEXREPLACE(E601, ""[0-9]+[a-f]?\."", """"))"),"Na yi muku tambayoyi da yawa game da rayuwarku a cikin kwanakin da suka wuce don in gane yanda kuke tahiyar rayuwarku. Ko akwai wani abu da ya faru da ku cikin kwanan nan wanda ya kawo wani mahimmin canji ga rayuwarku ?")</f>
        <v>Na yi muku tambayoyi da yawa game da rayuwarku a cikin kwanakin da suka wuce don in gane yanda kuke tahiyar rayuwarku. Ko akwai wani abu da ya faru da ku cikin kwanan nan wanda ya kawo wani mahimmin canji ga rayuwarku ?</v>
      </c>
      <c r="J601" s="188" t="s">
        <v>4830</v>
      </c>
      <c r="K601" s="188" t="s">
        <v>4831</v>
      </c>
      <c r="L601" s="188" t="s">
        <v>4832</v>
      </c>
    </row>
    <row r="602">
      <c r="A602" s="301" t="s">
        <v>220</v>
      </c>
      <c r="B602" s="302" t="s">
        <v>4833</v>
      </c>
      <c r="C602" s="190" t="s">
        <v>4834</v>
      </c>
      <c r="D602" s="190" t="s">
        <v>4835</v>
      </c>
      <c r="E602" s="190" t="s">
        <v>4836</v>
      </c>
      <c r="F602" s="195">
        <v>322.0</v>
      </c>
      <c r="G602" s="188" t="str">
        <f>IFERROR(__xludf.DUMMYFUNCTION("TRIM(REGEXREPLACE(C602, ""[0-9]+[a-f]?\."", """"))"),"Enumerator: Briefly summarize the changes described by the respondent")</f>
        <v>Enumerator: Briefly summarize the changes described by the respondent</v>
      </c>
      <c r="H602" s="188" t="str">
        <f>IFERROR(__xludf.DUMMYFUNCTION("TRIM(REGEXREPLACE(D602, ""[0-9]+[a-f]?\."", """"))"),"Enquêteur : Résumez brièvement les changements décrits par le répondant")</f>
        <v>Enquêteur : Résumez brièvement les changements décrits par le répondant</v>
      </c>
      <c r="I602" s="188" t="str">
        <f>IFERROR(__xludf.DUMMYFUNCTION("TRIM(REGEXREPLACE(E602, ""[0-9]+[a-f]?\."", """"))"),"Ɗan bincike: A taƙaice rubuta canje-canjen da mai bada amsa ya gaya maka")</f>
        <v>Ɗan bincike: A taƙaice rubuta canje-canjen da mai bada amsa ya gaya maka</v>
      </c>
      <c r="J602" s="188" t="s">
        <v>4840</v>
      </c>
      <c r="K602" s="188" t="s">
        <v>4841</v>
      </c>
      <c r="L602" s="188" t="s">
        <v>4842</v>
      </c>
    </row>
    <row r="603" hidden="1">
      <c r="A603" s="310" t="s">
        <v>331</v>
      </c>
      <c r="B603" s="315" t="s">
        <v>3398</v>
      </c>
      <c r="C603" s="190"/>
      <c r="D603" s="190"/>
      <c r="E603" s="190"/>
      <c r="F603" s="195">
        <v>156.0</v>
      </c>
      <c r="G603" s="188" t="str">
        <f>IFERROR(__xludf.DUMMYFUNCTION("TRIM(REGEXREPLACE(C603, ""[0-9]+[a-f]?\."", """"))"),"")</f>
        <v/>
      </c>
      <c r="H603" s="188" t="str">
        <f>IFERROR(__xludf.DUMMYFUNCTION("TRIM(REGEXREPLACE(D603, ""[0-9]+[a-f]?\."", """"))"),"")</f>
        <v/>
      </c>
      <c r="I603" s="188" t="str">
        <f>IFERROR(__xludf.DUMMYFUNCTION("TRIM(REGEXREPLACE(E603, ""[0-9]+[a-f]?\."", """"))"),"")</f>
        <v/>
      </c>
      <c r="J603" s="188" t="str">
        <f t="shared" ref="J603:L603" si="43">$F603 &amp; ". "&amp;G603</f>
        <v>156. </v>
      </c>
      <c r="K603" s="188" t="str">
        <f t="shared" si="43"/>
        <v>156. </v>
      </c>
      <c r="L603" s="188" t="str">
        <f t="shared" si="43"/>
        <v>156. </v>
      </c>
    </row>
    <row r="604" hidden="1">
      <c r="A604" s="221" t="s">
        <v>256</v>
      </c>
      <c r="B604" s="198" t="s">
        <v>4843</v>
      </c>
      <c r="C604" s="190"/>
      <c r="D604" s="190"/>
      <c r="E604" s="190"/>
      <c r="F604" s="195">
        <v>157.0</v>
      </c>
      <c r="G604" s="188" t="str">
        <f>IFERROR(__xludf.DUMMYFUNCTION("TRIM(REGEXREPLACE(C604, ""[0-9]+[a-f]?\."", """"))"),"")</f>
        <v/>
      </c>
      <c r="H604" s="188" t="str">
        <f>IFERROR(__xludf.DUMMYFUNCTION("TRIM(REGEXREPLACE(D604, ""[0-9]+[a-f]?\."", """"))"),"")</f>
        <v/>
      </c>
      <c r="I604" s="188" t="str">
        <f>IFERROR(__xludf.DUMMYFUNCTION("TRIM(REGEXREPLACE(E604, ""[0-9]+[a-f]?\."", """"))"),"")</f>
        <v/>
      </c>
      <c r="J604" s="188" t="str">
        <f t="shared" ref="J604:L604" si="44">$F604 &amp; ". "&amp;G604</f>
        <v>157. </v>
      </c>
      <c r="K604" s="188" t="str">
        <f t="shared" si="44"/>
        <v>157. </v>
      </c>
      <c r="L604" s="188" t="str">
        <f t="shared" si="44"/>
        <v>157. </v>
      </c>
    </row>
    <row r="605" hidden="1">
      <c r="A605" s="221" t="s">
        <v>112</v>
      </c>
      <c r="B605" s="198" t="s">
        <v>4844</v>
      </c>
      <c r="C605" s="190"/>
      <c r="D605" s="190"/>
      <c r="E605" s="190"/>
      <c r="F605" s="195">
        <v>158.0</v>
      </c>
      <c r="G605" s="188" t="str">
        <f>IFERROR(__xludf.DUMMYFUNCTION("TRIM(REGEXREPLACE(C605, ""[0-9]+[a-f]?\."", """"))"),"")</f>
        <v/>
      </c>
      <c r="H605" s="188" t="str">
        <f>IFERROR(__xludf.DUMMYFUNCTION("TRIM(REGEXREPLACE(D605, ""[0-9]+[a-f]?\."", """"))"),"")</f>
        <v/>
      </c>
      <c r="I605" s="188" t="str">
        <f>IFERROR(__xludf.DUMMYFUNCTION("TRIM(REGEXREPLACE(E605, ""[0-9]+[a-f]?\."", """"))"),"")</f>
        <v/>
      </c>
      <c r="J605" s="188" t="str">
        <f t="shared" ref="J605:L605" si="45">$F605 &amp; ". "&amp;G605</f>
        <v>158. </v>
      </c>
      <c r="K605" s="188" t="str">
        <f t="shared" si="45"/>
        <v>158. </v>
      </c>
      <c r="L605" s="188" t="str">
        <f t="shared" si="45"/>
        <v>158. </v>
      </c>
    </row>
    <row r="606" hidden="1">
      <c r="A606" s="310" t="s">
        <v>278</v>
      </c>
      <c r="B606" s="311" t="s">
        <v>4849</v>
      </c>
      <c r="C606" s="190"/>
      <c r="D606" s="190"/>
      <c r="E606" s="190"/>
      <c r="F606" s="195">
        <v>376.0</v>
      </c>
      <c r="G606" s="188" t="str">
        <f>IFERROR(__xludf.DUMMYFUNCTION("TRIM(REGEXREPLACE(C606, ""[0-9]+[a-f]?\."", """"))"),"")</f>
        <v/>
      </c>
      <c r="H606" s="188" t="str">
        <f>IFERROR(__xludf.DUMMYFUNCTION("TRIM(REGEXREPLACE(D606, ""[0-9]+[a-f]?\."", """"))"),"")</f>
        <v/>
      </c>
      <c r="I606" s="188" t="str">
        <f>IFERROR(__xludf.DUMMYFUNCTION("TRIM(REGEXREPLACE(E606, ""[0-9]+[a-f]?\."", """"))"),"")</f>
        <v/>
      </c>
      <c r="J606" s="188" t="s">
        <v>4850</v>
      </c>
      <c r="K606" s="188" t="s">
        <v>4851</v>
      </c>
      <c r="L606" s="188" t="s">
        <v>4852</v>
      </c>
    </row>
    <row r="607">
      <c r="A607" s="299" t="s">
        <v>1060</v>
      </c>
      <c r="B607" s="300" t="s">
        <v>4853</v>
      </c>
      <c r="C607" s="190" t="s">
        <v>4854</v>
      </c>
      <c r="D607" s="190" t="s">
        <v>4856</v>
      </c>
      <c r="E607" s="190" t="s">
        <v>4857</v>
      </c>
      <c r="F607" s="195">
        <v>323.0</v>
      </c>
      <c r="G607" s="188" t="str">
        <f>IFERROR(__xludf.DUMMYFUNCTION("TRIM(REGEXREPLACE(C607, ""[0-9]+[a-f]?\."", """"))"),"Now I would like to ask you questions about some other important aspects of a woman's life. I know that some of these questions are very personal. Let me assure you that your answers are completely confidential and will not be told to anyone.
 In the pa"&amp;"st six months has your husband or another member of your household prevented you from")</f>
        <v>Now I would like to ask you questions about some other important aspects of a woman's life. I know that some of these questions are very personal. Let me assure you that your answers are completely confidential and will not be told to anyone.
 In the past six months has your husband or another member of your household prevented you from</v>
      </c>
      <c r="H607" s="188" t="str">
        <f>IFERROR(__xludf.DUMMYFUNCTION("TRIM(REGEXREPLACE(D607, ""[0-9]+[a-f]?\."", """"))"),"« J’aimerais maintenant vous poser des questions sur d’autres aspects importants de la vie d’une femme. Je sais que certaines de ces questions sont très personnelles. Soyez assurée que vos réponses resteront entièrement confidentielles et ne seront révélé"&amp;"es à personne. 
 Au cours des six derniers mois, votre mari ou un autre membre de votre foyer vous a-t-il empêchée de… »")</f>
        <v>« J’aimerais maintenant vous poser des questions sur d’autres aspects importants de la vie d’une femme. Je sais que certaines de ces questions sont très personnelles. Soyez assurée que vos réponses resteront entièrement confidentielles et ne seront révélées à personne. 
 Au cours des six derniers mois, votre mari ou un autre membre de votre foyer vous a-t-il empêchée de… »</v>
      </c>
      <c r="I607" s="188" t="str">
        <f>IFERROR(__xludf.DUMMYFUNCTION("TRIM(REGEXREPLACE(E607, ""[0-9]+[a-f]?\."", """"))"),"Yanzu ina son in yi muku tambayoyi game da wasu muhimman al'amura na rayuwar mace, na san cewa wasu daga cikin tambayoyin na sirri ne, Amma ina tabbatar muku cewa zamu sirrin amsoshin ku kuma ba za a gaya wa kowa ba. 
 A cikin wata shida mijinki ko wani"&amp;" dan gidanki ya hana ki")</f>
        <v>Yanzu ina son in yi muku tambayoyi game da wasu muhimman al'amura na rayuwar mace, na san cewa wasu daga cikin tambayoyin na sirri ne, Amma ina tabbatar muku cewa zamu sirrin amsoshin ku kuma ba za a gaya wa kowa ba. 
 A cikin wata shida mijinki ko wani dan gidanki ya hana ki</v>
      </c>
      <c r="J607" s="188" t="s">
        <v>4860</v>
      </c>
      <c r="K607" s="188" t="s">
        <v>4861</v>
      </c>
      <c r="L607" s="188" t="s">
        <v>4862</v>
      </c>
    </row>
    <row r="608">
      <c r="A608" s="299" t="s">
        <v>1060</v>
      </c>
      <c r="B608" s="300" t="s">
        <v>4863</v>
      </c>
      <c r="C608" s="190" t="s">
        <v>4864</v>
      </c>
      <c r="D608" s="190" t="s">
        <v>4865</v>
      </c>
      <c r="E608" s="190" t="s">
        <v>4867</v>
      </c>
      <c r="F608" s="195">
        <v>324.0</v>
      </c>
      <c r="G608" s="188" t="str">
        <f>IFERROR(__xludf.DUMMYFUNCTION("TRIM(REGEXREPLACE(C608, ""[0-9]+[a-f]?\."", """"))"),"visiting your family or friends?")</f>
        <v>visiting your family or friends?</v>
      </c>
      <c r="H608" s="188" t="str">
        <f>IFERROR(__xludf.DUMMYFUNCTION("TRIM(REGEXREPLACE(D608, ""[0-9]+[a-f]?\."", """"))"),"rendre visite à votre famille ou à vos amis ?")</f>
        <v>rendre visite à votre famille ou à vos amis ?</v>
      </c>
      <c r="I608" s="188" t="str">
        <f>IFERROR(__xludf.DUMMYFUNCTION("TRIM(REGEXREPLACE(E608, ""[0-9]+[a-f]?\."", """"))"),"ziyartar danginku ko abokananku?")</f>
        <v>ziyartar danginku ko abokananku?</v>
      </c>
      <c r="J608" s="188" t="s">
        <v>4870</v>
      </c>
      <c r="K608" s="188" t="s">
        <v>4871</v>
      </c>
      <c r="L608" s="188" t="s">
        <v>4872</v>
      </c>
    </row>
    <row r="609">
      <c r="A609" s="299" t="s">
        <v>1060</v>
      </c>
      <c r="B609" s="300" t="s">
        <v>4873</v>
      </c>
      <c r="C609" s="190" t="s">
        <v>4874</v>
      </c>
      <c r="D609" s="190" t="s">
        <v>4875</v>
      </c>
      <c r="E609" s="190" t="s">
        <v>4876</v>
      </c>
      <c r="F609" s="195">
        <v>325.0</v>
      </c>
      <c r="G609" s="188" t="str">
        <f>IFERROR(__xludf.DUMMYFUNCTION("TRIM(REGEXREPLACE(C609, ""[0-9]+[a-f]?\."", """"))"),"working outside the household?")</f>
        <v>working outside the household?</v>
      </c>
      <c r="H609" s="188" t="str">
        <f>IFERROR(__xludf.DUMMYFUNCTION("TRIM(REGEXREPLACE(D609, ""[0-9]+[a-f]?\."", """"))"),"travailler en dehors du ménage ?")</f>
        <v>travailler en dehors du ménage ?</v>
      </c>
      <c r="I609" s="188" t="str">
        <f>IFERROR(__xludf.DUMMYFUNCTION("TRIM(REGEXREPLACE(E609, ""[0-9]+[a-f]?\."", """"))"),"aiki a wajen gidanku?")</f>
        <v>aiki a wajen gidanku?</v>
      </c>
      <c r="J609" s="188" t="s">
        <v>4878</v>
      </c>
      <c r="K609" s="188" t="s">
        <v>4879</v>
      </c>
      <c r="L609" s="188" t="s">
        <v>4881</v>
      </c>
    </row>
    <row r="610" hidden="1">
      <c r="A610" s="310" t="s">
        <v>331</v>
      </c>
      <c r="B610" s="315" t="s">
        <v>4849</v>
      </c>
      <c r="C610" s="190"/>
      <c r="D610" s="190"/>
      <c r="E610" s="190"/>
      <c r="F610" s="195">
        <v>160.0</v>
      </c>
      <c r="G610" s="188" t="str">
        <f>IFERROR(__xludf.DUMMYFUNCTION("TRIM(REGEXREPLACE(C610, ""[0-9]+[a-f]?\."", """"))"),"")</f>
        <v/>
      </c>
      <c r="H610" s="188" t="str">
        <f>IFERROR(__xludf.DUMMYFUNCTION("TRIM(REGEXREPLACE(D610, ""[0-9]+[a-f]?\."", """"))"),"")</f>
        <v/>
      </c>
      <c r="I610" s="188" t="str">
        <f>IFERROR(__xludf.DUMMYFUNCTION("TRIM(REGEXREPLACE(E610, ""[0-9]+[a-f]?\."", """"))"),"")</f>
        <v/>
      </c>
      <c r="J610" s="188" t="str">
        <f t="shared" ref="J610:L610" si="46">$F610 &amp; ". "&amp;G610</f>
        <v>160. </v>
      </c>
      <c r="K610" s="188" t="str">
        <f t="shared" si="46"/>
        <v>160. </v>
      </c>
      <c r="L610" s="188" t="str">
        <f t="shared" si="46"/>
        <v>160. </v>
      </c>
    </row>
    <row r="611" hidden="1">
      <c r="A611" s="313"/>
      <c r="B611" s="314"/>
      <c r="C611" s="190"/>
      <c r="D611" s="190"/>
      <c r="E611" s="190"/>
      <c r="F611" s="195">
        <v>161.0</v>
      </c>
      <c r="G611" s="188" t="str">
        <f>IFERROR(__xludf.DUMMYFUNCTION("TRIM(REGEXREPLACE(C611, ""[0-9]+[a-f]?\."", """"))"),"")</f>
        <v/>
      </c>
      <c r="H611" s="188" t="str">
        <f>IFERROR(__xludf.DUMMYFUNCTION("TRIM(REGEXREPLACE(D611, ""[0-9]+[a-f]?\."", """"))"),"")</f>
        <v/>
      </c>
      <c r="I611" s="188" t="str">
        <f>IFERROR(__xludf.DUMMYFUNCTION("TRIM(REGEXREPLACE(E611, ""[0-9]+[a-f]?\."", """"))"),"")</f>
        <v/>
      </c>
      <c r="J611" s="188" t="str">
        <f t="shared" ref="J611:L611" si="47">$F611 &amp; ". "&amp;G611</f>
        <v>161. </v>
      </c>
      <c r="K611" s="188" t="str">
        <f t="shared" si="47"/>
        <v>161. </v>
      </c>
      <c r="L611" s="188" t="str">
        <f t="shared" si="47"/>
        <v>161. </v>
      </c>
    </row>
    <row r="612" hidden="1">
      <c r="A612" s="320"/>
      <c r="B612" s="321"/>
      <c r="C612" s="190"/>
      <c r="D612" s="190"/>
      <c r="E612" s="190"/>
      <c r="F612" s="195">
        <v>381.0</v>
      </c>
      <c r="G612" s="188" t="str">
        <f>IFERROR(__xludf.DUMMYFUNCTION("TRIM(REGEXREPLACE(C612, ""[0-9]+[a-f]?\."", """"))"),"")</f>
        <v/>
      </c>
      <c r="H612" s="188" t="str">
        <f>IFERROR(__xludf.DUMMYFUNCTION("TRIM(REGEXREPLACE(D612, ""[0-9]+[a-f]?\."", """"))"),"")</f>
        <v/>
      </c>
      <c r="I612" s="188" t="str">
        <f>IFERROR(__xludf.DUMMYFUNCTION("TRIM(REGEXREPLACE(E612, ""[0-9]+[a-f]?\."", """"))"),"")</f>
        <v/>
      </c>
      <c r="J612" s="188" t="s">
        <v>4886</v>
      </c>
      <c r="K612" s="188" t="s">
        <v>4887</v>
      </c>
      <c r="L612" s="188" t="s">
        <v>4888</v>
      </c>
    </row>
    <row r="613" hidden="1">
      <c r="A613" s="310" t="s">
        <v>278</v>
      </c>
      <c r="B613" s="311" t="s">
        <v>4889</v>
      </c>
      <c r="C613" s="190"/>
      <c r="D613" s="190"/>
      <c r="E613" s="190"/>
      <c r="F613" s="195">
        <v>382.0</v>
      </c>
      <c r="G613" s="188" t="str">
        <f>IFERROR(__xludf.DUMMYFUNCTION("TRIM(REGEXREPLACE(C613, ""[0-9]+[a-f]?\."", """"))"),"")</f>
        <v/>
      </c>
      <c r="H613" s="188" t="str">
        <f>IFERROR(__xludf.DUMMYFUNCTION("TRIM(REGEXREPLACE(D613, ""[0-9]+[a-f]?\."", """"))"),"")</f>
        <v/>
      </c>
      <c r="I613" s="188" t="str">
        <f>IFERROR(__xludf.DUMMYFUNCTION("TRIM(REGEXREPLACE(E613, ""[0-9]+[a-f]?\."", """"))"),"")</f>
        <v/>
      </c>
      <c r="J613" s="188" t="s">
        <v>4891</v>
      </c>
      <c r="K613" s="188" t="s">
        <v>4892</v>
      </c>
      <c r="L613" s="188" t="s">
        <v>4893</v>
      </c>
    </row>
    <row r="614" hidden="1">
      <c r="A614" s="310" t="s">
        <v>278</v>
      </c>
      <c r="B614" s="311" t="s">
        <v>4895</v>
      </c>
      <c r="C614" s="190"/>
      <c r="D614" s="190"/>
      <c r="E614" s="190"/>
      <c r="F614" s="195">
        <v>380.0</v>
      </c>
      <c r="G614" s="188" t="str">
        <f>IFERROR(__xludf.DUMMYFUNCTION("TRIM(REGEXREPLACE(C614, ""[0-9]+[a-f]?\."", """"))"),"")</f>
        <v/>
      </c>
      <c r="H614" s="188" t="str">
        <f>IFERROR(__xludf.DUMMYFUNCTION("TRIM(REGEXREPLACE(D614, ""[0-9]+[a-f]?\."", """"))"),"")</f>
        <v/>
      </c>
      <c r="I614" s="188" t="str">
        <f>IFERROR(__xludf.DUMMYFUNCTION("TRIM(REGEXREPLACE(E614, ""[0-9]+[a-f]?\."", """"))"),"")</f>
        <v/>
      </c>
      <c r="J614" s="188" t="s">
        <v>4899</v>
      </c>
      <c r="K614" s="188" t="s">
        <v>4900</v>
      </c>
      <c r="L614" s="188" t="s">
        <v>4901</v>
      </c>
    </row>
    <row r="615">
      <c r="A615" s="297" t="s">
        <v>46</v>
      </c>
      <c r="B615" s="298" t="s">
        <v>4902</v>
      </c>
      <c r="C615" s="190" t="s">
        <v>4903</v>
      </c>
      <c r="D615" s="190" t="s">
        <v>4904</v>
      </c>
      <c r="E615" s="190" t="s">
        <v>4905</v>
      </c>
      <c r="F615" s="195">
        <v>326.0</v>
      </c>
      <c r="G615" s="188" t="str">
        <f>IFERROR(__xludf.DUMMYFUNCTION("TRIM(REGEXREPLACE(C615, ""[0-9]+[a-f]?\."", """"))"),"The next set of questions are for married women only")</f>
        <v>The next set of questions are for married women only</v>
      </c>
      <c r="H615" s="188" t="str">
        <f>IFERROR(__xludf.DUMMYFUNCTION("TRIM(REGEXREPLACE(D615, ""[0-9]+[a-f]?\."", """"))"),"La série de questions suivante s'adresse uniquement aux femmes mariées.")</f>
        <v>La série de questions suivante s'adresse uniquement aux femmes mariées.</v>
      </c>
      <c r="I615" s="188" t="str">
        <f>IFERROR(__xludf.DUMMYFUNCTION("TRIM(REGEXREPLACE(E615, ""[0-9]+[a-f]?\."", """"))"),"Tambayoyi na gaba na matan aure ne kawai")</f>
        <v>Tambayoyi na gaba na matan aure ne kawai</v>
      </c>
      <c r="J615" s="188" t="s">
        <v>4907</v>
      </c>
      <c r="K615" s="188" t="s">
        <v>4908</v>
      </c>
      <c r="L615" s="188" t="s">
        <v>4910</v>
      </c>
    </row>
    <row r="616">
      <c r="A616" s="299" t="s">
        <v>2011</v>
      </c>
      <c r="B616" s="300" t="s">
        <v>4912</v>
      </c>
      <c r="C616" s="190" t="s">
        <v>4913</v>
      </c>
      <c r="D616" s="190" t="s">
        <v>4914</v>
      </c>
      <c r="E616" s="190" t="s">
        <v>4915</v>
      </c>
      <c r="F616" s="195">
        <v>327.0</v>
      </c>
      <c r="G616" s="188" t="str">
        <f>IFERROR(__xludf.DUMMYFUNCTION("TRIM(REGEXREPLACE(C616, ""[0-9]+[a-f]?\."", """"))"),"When two people marry or live together, they share both good and bad moments. In your relationship with your husband/partner do the following happen frequently, only sometimes, or never?")</f>
        <v>When two people marry or live together, they share both good and bad moments. In your relationship with your husband/partner do the following happen frequently, only sometimes, or never?</v>
      </c>
      <c r="H616" s="188" t="str">
        <f>IFERROR(__xludf.DUMMYFUNCTION("TRIM(REGEXREPLACE(D616, ""[0-9]+[a-f]?\."", """"))"),"Lorsque deux personnes se marient ou vivent ensemble, elles partagent de bons et de mauvais moments. Dans votre relation avec votre mari/partenaire, les situations suivantes se produisent-elles a quelle frequence?")</f>
        <v>Lorsque deux personnes se marient ou vivent ensemble, elles partagent de bons et de mauvais moments. Dans votre relation avec votre mari/partenaire, les situations suivantes se produisent-elles a quelle frequence?</v>
      </c>
      <c r="I616" s="188" t="str">
        <f>IFERROR(__xludf.DUMMYFUNCTION("TRIM(REGEXREPLACE(E616, ""[0-9]+[a-f]?\."", """"))"),"Idan mutum biyu suka yi aure ko suna zaune tare, suna raba lokutta masu daɗi da marasa daɗi. A cikin zamantakewarku da mijinki/abokin zaman, ko waɗannan abubuwan suna faruwa kai-aka?")</f>
        <v>Idan mutum biyu suka yi aure ko suna zaune tare, suna raba lokutta masu daɗi da marasa daɗi. A cikin zamantakewarku da mijinki/abokin zaman, ko waɗannan abubuwan suna faruwa kai-aka?</v>
      </c>
      <c r="J616" s="188" t="s">
        <v>4916</v>
      </c>
      <c r="K616" s="188" t="s">
        <v>4917</v>
      </c>
      <c r="L616" s="188" t="s">
        <v>4918</v>
      </c>
    </row>
    <row r="617">
      <c r="A617" s="299" t="s">
        <v>2011</v>
      </c>
      <c r="B617" s="300" t="s">
        <v>4920</v>
      </c>
      <c r="C617" s="190" t="s">
        <v>4921</v>
      </c>
      <c r="D617" s="190" t="s">
        <v>4922</v>
      </c>
      <c r="E617" s="190" t="s">
        <v>4923</v>
      </c>
      <c r="F617" s="195">
        <v>328.0</v>
      </c>
      <c r="G617" s="188" t="str">
        <f>IFERROR(__xludf.DUMMYFUNCTION("TRIM(REGEXREPLACE(C617, ""[0-9]+[a-f]?\."", """"))"),"He is affectionnate with you")</f>
        <v>He is affectionnate with you</v>
      </c>
      <c r="H617" s="188" t="str">
        <f>IFERROR(__xludf.DUMMYFUNCTION("TRIM(REGEXREPLACE(D617, ""[0-9]+[a-f]?\."", """"))"),"Il est affectueux avec vous")</f>
        <v>Il est affectueux avec vous</v>
      </c>
      <c r="I617" s="188" t="str">
        <f>IFERROR(__xludf.DUMMYFUNCTION("TRIM(REGEXREPLACE(E617, ""[0-9]+[a-f]?\."", """"))"),"Yana nuna muku soyayya")</f>
        <v>Yana nuna muku soyayya</v>
      </c>
      <c r="J617" s="188" t="s">
        <v>4925</v>
      </c>
      <c r="K617" s="188" t="s">
        <v>4926</v>
      </c>
      <c r="L617" s="188" t="s">
        <v>4928</v>
      </c>
    </row>
    <row r="618">
      <c r="A618" s="299" t="s">
        <v>2011</v>
      </c>
      <c r="B618" s="300" t="s">
        <v>4931</v>
      </c>
      <c r="C618" s="190" t="s">
        <v>4932</v>
      </c>
      <c r="D618" s="190" t="s">
        <v>4933</v>
      </c>
      <c r="E618" s="190" t="s">
        <v>4934</v>
      </c>
      <c r="F618" s="195">
        <v>329.0</v>
      </c>
      <c r="G618" s="188" t="str">
        <f>IFERROR(__xludf.DUMMYFUNCTION("TRIM(REGEXREPLACE(C618, ""[0-9]+[a-f]?\."", """"))"),"He respects you and your wishes")</f>
        <v>He respects you and your wishes</v>
      </c>
      <c r="H618" s="188" t="str">
        <f>IFERROR(__xludf.DUMMYFUNCTION("TRIM(REGEXREPLACE(D618, ""[0-9]+[a-f]?\."", """"))"),"Il vous respecte et respecte vos souhaits")</f>
        <v>Il vous respecte et respecte vos souhaits</v>
      </c>
      <c r="I618" s="188" t="str">
        <f>IFERROR(__xludf.DUMMYFUNCTION("TRIM(REGEXREPLACE(E618, ""[0-9]+[a-f]?\."", """"))"),"Yana girmama ku kuma ya na girmama buƙatuntu")</f>
        <v>Yana girmama ku kuma ya na girmama buƙatuntu</v>
      </c>
      <c r="J618" s="188" t="s">
        <v>4935</v>
      </c>
      <c r="K618" s="188" t="s">
        <v>4936</v>
      </c>
      <c r="L618" s="188" t="s">
        <v>4937</v>
      </c>
    </row>
    <row r="619" hidden="1">
      <c r="A619" s="310" t="s">
        <v>331</v>
      </c>
      <c r="B619" s="315" t="s">
        <v>4895</v>
      </c>
      <c r="C619" s="190"/>
      <c r="D619" s="190"/>
      <c r="E619" s="190"/>
      <c r="F619" s="195">
        <v>165.0</v>
      </c>
      <c r="G619" s="188" t="str">
        <f>IFERROR(__xludf.DUMMYFUNCTION("TRIM(REGEXREPLACE(C619, ""[0-9]+[a-f]?\."", """"))"),"")</f>
        <v/>
      </c>
      <c r="H619" s="188" t="str">
        <f>IFERROR(__xludf.DUMMYFUNCTION("TRIM(REGEXREPLACE(D619, ""[0-9]+[a-f]?\."", """"))"),"")</f>
        <v/>
      </c>
      <c r="I619" s="188" t="str">
        <f>IFERROR(__xludf.DUMMYFUNCTION("TRIM(REGEXREPLACE(E619, ""[0-9]+[a-f]?\."", """"))"),"")</f>
        <v/>
      </c>
      <c r="J619" s="188" t="str">
        <f t="shared" ref="J619:L619" si="48">$F619 &amp; ". "&amp;G619</f>
        <v>165. </v>
      </c>
      <c r="K619" s="188" t="str">
        <f t="shared" si="48"/>
        <v>165. </v>
      </c>
      <c r="L619" s="188" t="str">
        <f t="shared" si="48"/>
        <v>165. </v>
      </c>
    </row>
    <row r="620" hidden="1">
      <c r="A620" s="310" t="s">
        <v>278</v>
      </c>
      <c r="B620" s="311" t="s">
        <v>4941</v>
      </c>
      <c r="C620" s="190"/>
      <c r="D620" s="190"/>
      <c r="E620" s="190"/>
      <c r="F620" s="195">
        <v>166.0</v>
      </c>
      <c r="G620" s="188" t="str">
        <f>IFERROR(__xludf.DUMMYFUNCTION("TRIM(REGEXREPLACE(C620, ""[0-9]+[a-f]?\."", """"))"),"")</f>
        <v/>
      </c>
      <c r="H620" s="188" t="str">
        <f>IFERROR(__xludf.DUMMYFUNCTION("TRIM(REGEXREPLACE(D620, ""[0-9]+[a-f]?\."", """"))"),"")</f>
        <v/>
      </c>
      <c r="I620" s="188" t="str">
        <f>IFERROR(__xludf.DUMMYFUNCTION("TRIM(REGEXREPLACE(E620, ""[0-9]+[a-f]?\."", """"))"),"")</f>
        <v/>
      </c>
      <c r="J620" s="188" t="str">
        <f t="shared" ref="J620:L620" si="49">$F620 &amp; ". "&amp;G620</f>
        <v>166. </v>
      </c>
      <c r="K620" s="188" t="str">
        <f t="shared" si="49"/>
        <v>166. </v>
      </c>
      <c r="L620" s="188" t="str">
        <f t="shared" si="49"/>
        <v>166. </v>
      </c>
    </row>
    <row r="621">
      <c r="A621" s="299" t="s">
        <v>2456</v>
      </c>
      <c r="B621" s="300" t="s">
        <v>4942</v>
      </c>
      <c r="C621" s="190" t="s">
        <v>4943</v>
      </c>
      <c r="D621" s="190" t="s">
        <v>4944</v>
      </c>
      <c r="E621" s="190" t="s">
        <v>4945</v>
      </c>
      <c r="F621" s="195">
        <v>330.0</v>
      </c>
      <c r="G621" s="188" t="str">
        <f>IFERROR(__xludf.DUMMYFUNCTION("TRIM(REGEXREPLACE(C621, ""[0-9]+[a-f]?\."", """"))"),"Now I am going to ask you about some situations which happen to some women. Please tell me if these apply to your relationship with your husband?")</f>
        <v>Now I am going to ask you about some situations which happen to some women. Please tell me if these apply to your relationship with your husband?</v>
      </c>
      <c r="H621" s="188" t="str">
        <f>IFERROR(__xludf.DUMMYFUNCTION("TRIM(REGEXREPLACE(D621, ""[0-9]+[a-f]?\."", """"))"),"Maintenant, je vais vous poser des questions sur certaines situations qui arrivent à certaines femmes. Veuillez me dire si cela s'applique à votre relation avec votre mari ?")</f>
        <v>Maintenant, je vais vous poser des questions sur certaines situations qui arrivent à certaines femmes. Veuillez me dire si cela s'applique à votre relation avec votre mari ?</v>
      </c>
      <c r="I621" s="188" t="str">
        <f>IFERROR(__xludf.DUMMYFUNCTION("TRIM(REGEXREPLACE(E621, ""[0-9]+[a-f]?\."", """"))"),"To, yanzu zan tambaye ku game da wasu al’amura da suke faruwa ga wasu mata. Ko kun gaya mini idan waɗannan sun shafi zamantakewarku da mijinku?")</f>
        <v>To, yanzu zan tambaye ku game da wasu al’amura da suke faruwa ga wasu mata. Ko kun gaya mini idan waɗannan sun shafi zamantakewarku da mijinku?</v>
      </c>
      <c r="J621" s="188" t="s">
        <v>4946</v>
      </c>
      <c r="K621" s="188" t="s">
        <v>4947</v>
      </c>
      <c r="L621" s="188" t="s">
        <v>4948</v>
      </c>
    </row>
    <row r="622">
      <c r="A622" s="299" t="s">
        <v>2456</v>
      </c>
      <c r="B622" s="300" t="s">
        <v>4949</v>
      </c>
      <c r="C622" s="190" t="s">
        <v>4950</v>
      </c>
      <c r="D622" s="190" t="s">
        <v>4951</v>
      </c>
      <c r="E622" s="190" t="s">
        <v>4952</v>
      </c>
      <c r="F622" s="195">
        <v>331.0</v>
      </c>
      <c r="G622" s="188" t="str">
        <f>IFERROR(__xludf.DUMMYFUNCTION("TRIM(REGEXREPLACE(C622, ""[0-9]+[a-f]?\."", """"))"),"He does not trust your fidelty")</f>
        <v>He does not trust your fidelty</v>
      </c>
      <c r="H622" s="188" t="str">
        <f>IFERROR(__xludf.DUMMYFUNCTION("TRIM(REGEXREPLACE(D622, ""[0-9]+[a-f]?\."", """"))"),"Il est jaloux et vous montre qu'il n’a pas confiance en vous ?")</f>
        <v>Il est jaloux et vous montre qu'il n’a pas confiance en vous ?</v>
      </c>
      <c r="I622" s="188" t="str">
        <f>IFERROR(__xludf.DUMMYFUNCTION("TRIM(REGEXREPLACE(E622, ""[0-9]+[a-f]?\."", """"))"),"Yana zargin ku kullum da nuna rashin yarda?")</f>
        <v>Yana zargin ku kullum da nuna rashin yarda?</v>
      </c>
      <c r="J622" s="188" t="s">
        <v>4955</v>
      </c>
      <c r="K622" s="188" t="s">
        <v>4957</v>
      </c>
      <c r="L622" s="188" t="s">
        <v>4958</v>
      </c>
    </row>
    <row r="623">
      <c r="A623" s="299" t="s">
        <v>2456</v>
      </c>
      <c r="B623" s="300" t="s">
        <v>4960</v>
      </c>
      <c r="C623" s="190" t="s">
        <v>4961</v>
      </c>
      <c r="D623" s="190" t="s">
        <v>4962</v>
      </c>
      <c r="E623" s="190" t="s">
        <v>4963</v>
      </c>
      <c r="F623" s="195">
        <v>332.0</v>
      </c>
      <c r="G623" s="188" t="str">
        <f>IFERROR(__xludf.DUMMYFUNCTION("TRIM(REGEXREPLACE(C623, ""[0-9]+[a-f]?\."", """"))"),"He (does/did) not permit you to meet your girl friends?")</f>
        <v>He (does/did) not permit you to meet your girl friends?</v>
      </c>
      <c r="H623" s="188" t="str">
        <f>IFERROR(__xludf.DUMMYFUNCTION("TRIM(REGEXREPLACE(D623, ""[0-9]+[a-f]?\."", """"))"),"Il ne vous a pas permis de rencontrer vos copines ?")</f>
        <v>Il ne vous a pas permis de rencontrer vos copines ?</v>
      </c>
      <c r="I623" s="188" t="str">
        <f>IFERROR(__xludf.DUMMYFUNCTION("TRIM(REGEXREPLACE(E623, ""[0-9]+[a-f]?\."", """"))"),"Bai baku izinin ganin ƙawayenku ba?")</f>
        <v>Bai baku izinin ganin ƙawayenku ba?</v>
      </c>
      <c r="J623" s="188" t="s">
        <v>4964</v>
      </c>
      <c r="K623" s="188" t="s">
        <v>4965</v>
      </c>
      <c r="L623" s="188" t="s">
        <v>4966</v>
      </c>
    </row>
    <row r="624">
      <c r="A624" s="299" t="s">
        <v>2456</v>
      </c>
      <c r="B624" s="300" t="s">
        <v>4967</v>
      </c>
      <c r="C624" s="190" t="s">
        <v>4968</v>
      </c>
      <c r="D624" s="190" t="s">
        <v>4969</v>
      </c>
      <c r="E624" s="190" t="s">
        <v>4970</v>
      </c>
      <c r="F624" s="195">
        <v>333.0</v>
      </c>
      <c r="G624" s="188" t="str">
        <f>IFERROR(__xludf.DUMMYFUNCTION("TRIM(REGEXREPLACE(C624, ""[0-9]+[a-f]?\."", """"))"),"He (tries/tried) to limit your contact with your family?")</f>
        <v>He (tries/tried) to limit your contact with your family?</v>
      </c>
      <c r="H624" s="188" t="str">
        <f>IFERROR(__xludf.DUMMYFUNCTION("TRIM(REGEXREPLACE(D624, ""[0-9]+[a-f]?\."", """"))"),"Il essaie de limiter vos contacts avec votre famille ?")</f>
        <v>Il essaie de limiter vos contacts avec votre famille ?</v>
      </c>
      <c r="I624" s="188" t="str">
        <f>IFERROR(__xludf.DUMMYFUNCTION("TRIM(REGEXREPLACE(E624, ""[0-9]+[a-f]?\."", """"))"),"Ya na ƙoƙarin ya rage hulɗarku da danginku?")</f>
        <v>Ya na ƙoƙarin ya rage hulɗarku da danginku?</v>
      </c>
      <c r="J624" s="188" t="s">
        <v>4974</v>
      </c>
      <c r="K624" s="188" t="s">
        <v>4975</v>
      </c>
      <c r="L624" s="188" t="s">
        <v>4976</v>
      </c>
    </row>
    <row r="625">
      <c r="A625" s="199" t="s">
        <v>2456</v>
      </c>
      <c r="B625" s="147" t="s">
        <v>4977</v>
      </c>
      <c r="C625" s="190" t="s">
        <v>4978</v>
      </c>
      <c r="D625" s="190" t="s">
        <v>4979</v>
      </c>
      <c r="E625" s="190" t="s">
        <v>4980</v>
      </c>
      <c r="F625" s="195">
        <v>334.0</v>
      </c>
      <c r="G625" s="188" t="str">
        <f>IFERROR(__xludf.DUMMYFUNCTION("TRIM(REGEXREPLACE(C625, ""[0-9]+[a-f]?\."", """"))"),"He expects you to ask his permission before seeking health care for yourself?")</f>
        <v>He expects you to ask his permission before seeking health care for yourself?</v>
      </c>
      <c r="H625" s="188" t="str">
        <f>IFERROR(__xludf.DUMMYFUNCTION("TRIM(REGEXREPLACE(D625, ""[0-9]+[a-f]?\."", """"))"),"Il s’attend à ce que vous demandiez sa permission avant de chercher à obtenir des soins de santé pour vous-même ?")</f>
        <v>Il s’attend à ce que vous demandiez sa permission avant de chercher à obtenir des soins de santé pour vous-même ?</v>
      </c>
      <c r="I625" s="188" t="str">
        <f>IFERROR(__xludf.DUMMYFUNCTION("TRIM(REGEXREPLACE(E625, ""[0-9]+[a-f]?\."", """"))"),"Yana tsammanin ki nemi izininshi kafin ki nemi lafiyar kanka?")</f>
        <v>Yana tsammanin ki nemi izininshi kafin ki nemi lafiyar kanka?</v>
      </c>
      <c r="J625" s="188" t="s">
        <v>4982</v>
      </c>
      <c r="K625" s="188" t="s">
        <v>4983</v>
      </c>
      <c r="L625" s="188" t="s">
        <v>4985</v>
      </c>
    </row>
    <row r="626">
      <c r="A626" s="199" t="s">
        <v>2456</v>
      </c>
      <c r="B626" s="147" t="s">
        <v>4986</v>
      </c>
      <c r="C626" s="190" t="s">
        <v>4988</v>
      </c>
      <c r="D626" s="190" t="s">
        <v>4989</v>
      </c>
      <c r="E626" s="190" t="s">
        <v>4990</v>
      </c>
      <c r="F626" s="195">
        <v>335.0</v>
      </c>
      <c r="G626" s="188" t="str">
        <f>IFERROR(__xludf.DUMMYFUNCTION("TRIM(REGEXREPLACE(C626, ""[0-9]+[a-f]?\."", """"))"),"He expects you to ask his permission before seeking health care for your children?")</f>
        <v>He expects you to ask his permission before seeking health care for your children?</v>
      </c>
      <c r="H626" s="188" t="str">
        <f>IFERROR(__xludf.DUMMYFUNCTION("TRIM(REGEXREPLACE(D626, ""[0-9]+[a-f]?\."", """"))"),"S’attend-il à ce que vous demandiez sa permission avant de consulter pour vos enfants ?")</f>
        <v>S’attend-il à ce que vous demandiez sa permission avant de consulter pour vos enfants ?</v>
      </c>
      <c r="I626" s="188" t="str">
        <f>IFERROR(__xludf.DUMMYFUNCTION("TRIM(REGEXREPLACE(E626, ""[0-9]+[a-f]?\."", """"))"),"Yana tsammanin ki nemi izininshi kafin ki nemi lafiyar yaranku?")</f>
        <v>Yana tsammanin ki nemi izininshi kafin ki nemi lafiyar yaranku?</v>
      </c>
      <c r="J626" s="188" t="s">
        <v>4991</v>
      </c>
      <c r="K626" s="188" t="s">
        <v>4992</v>
      </c>
      <c r="L626" s="188" t="s">
        <v>4993</v>
      </c>
    </row>
    <row r="627">
      <c r="A627" s="199" t="s">
        <v>2456</v>
      </c>
      <c r="B627" s="147" t="s">
        <v>4995</v>
      </c>
      <c r="C627" s="190" t="s">
        <v>4996</v>
      </c>
      <c r="D627" s="190" t="s">
        <v>4998</v>
      </c>
      <c r="E627" s="190" t="s">
        <v>5000</v>
      </c>
      <c r="F627" s="195">
        <v>336.0</v>
      </c>
      <c r="G627" s="188" t="str">
        <f>IFERROR(__xludf.DUMMYFUNCTION("TRIM(REGEXREPLACE(C627, ""[0-9]+[a-f]?\."", """"))"),"He does things to scare or intimidate you (e.g. by the way he looked at you, by yelling and smashing things)?")</f>
        <v>He does things to scare or intimidate you (e.g. by the way he looked at you, by yelling and smashing things)?</v>
      </c>
      <c r="H627" s="188" t="str">
        <f>IFERROR(__xludf.DUMMYFUNCTION("TRIM(REGEXREPLACE(D627, ""[0-9]+[a-f]?\."", """"))"),"Il agit pour vous effrayer ou vous intimider (par exemple, par son regard, en criant et en cassant des objets) ?")</f>
        <v>Il agit pour vous effrayer ou vous intimider (par exemple, par son regard, en criant et en cassant des objets) ?</v>
      </c>
      <c r="I627" s="188" t="str">
        <f>IFERROR(__xludf.DUMMYFUNCTION("TRIM(REGEXREPLACE(E627, ""[0-9]+[a-f]?\."", """"))"),"Yana yin abubuwa don ya firgitar ko ya tsoratar da ku (misali ta hanyar harare, ta hanyar ihu da fasa abubuwa)?")</f>
        <v>Yana yin abubuwa don ya firgitar ko ya tsoratar da ku (misali ta hanyar harare, ta hanyar ihu da fasa abubuwa)?</v>
      </c>
      <c r="J627" s="188" t="s">
        <v>5001</v>
      </c>
      <c r="K627" s="188" t="s">
        <v>5002</v>
      </c>
      <c r="L627" s="188" t="s">
        <v>5003</v>
      </c>
    </row>
    <row r="628" hidden="1">
      <c r="A628" s="310" t="s">
        <v>331</v>
      </c>
      <c r="B628" s="315" t="s">
        <v>4941</v>
      </c>
      <c r="C628" s="190"/>
      <c r="D628" s="190"/>
      <c r="E628" s="190"/>
      <c r="F628" s="195">
        <v>398.0</v>
      </c>
      <c r="G628" s="188" t="str">
        <f>IFERROR(__xludf.DUMMYFUNCTION("TRIM(REGEXREPLACE(C628, ""[0-9]+[a-f]?\."", """"))"),"")</f>
        <v/>
      </c>
      <c r="H628" s="188" t="str">
        <f>IFERROR(__xludf.DUMMYFUNCTION("TRIM(REGEXREPLACE(D628, ""[0-9]+[a-f]?\."", """"))"),"")</f>
        <v/>
      </c>
      <c r="I628" s="188" t="str">
        <f>IFERROR(__xludf.DUMMYFUNCTION("TRIM(REGEXREPLACE(E628, ""[0-9]+[a-f]?\."", """"))"),"")</f>
        <v/>
      </c>
      <c r="J628" s="188" t="s">
        <v>5007</v>
      </c>
      <c r="K628" s="188" t="s">
        <v>5008</v>
      </c>
      <c r="L628" s="188" t="s">
        <v>5009</v>
      </c>
    </row>
    <row r="629" hidden="1">
      <c r="A629" s="310" t="s">
        <v>278</v>
      </c>
      <c r="B629" s="311" t="s">
        <v>5010</v>
      </c>
      <c r="C629" s="190"/>
      <c r="D629" s="190"/>
      <c r="E629" s="190"/>
      <c r="F629" s="195">
        <v>399.0</v>
      </c>
      <c r="G629" s="188" t="str">
        <f>IFERROR(__xludf.DUMMYFUNCTION("TRIM(REGEXREPLACE(C629, ""[0-9]+[a-f]?\."", """"))"),"")</f>
        <v/>
      </c>
      <c r="H629" s="188" t="str">
        <f>IFERROR(__xludf.DUMMYFUNCTION("TRIM(REGEXREPLACE(D629, ""[0-9]+[a-f]?\."", """"))"),"")</f>
        <v/>
      </c>
      <c r="I629" s="188" t="str">
        <f>IFERROR(__xludf.DUMMYFUNCTION("TRIM(REGEXREPLACE(E629, ""[0-9]+[a-f]?\."", """"))"),"")</f>
        <v/>
      </c>
      <c r="J629" s="188" t="s">
        <v>5011</v>
      </c>
      <c r="K629" s="188" t="s">
        <v>5012</v>
      </c>
      <c r="L629" s="188" t="s">
        <v>5013</v>
      </c>
    </row>
    <row r="630">
      <c r="A630" s="299" t="s">
        <v>1060</v>
      </c>
      <c r="B630" s="300" t="s">
        <v>5014</v>
      </c>
      <c r="C630" s="190" t="s">
        <v>5015</v>
      </c>
      <c r="D630" s="190" t="s">
        <v>5016</v>
      </c>
      <c r="E630" s="190" t="s">
        <v>5017</v>
      </c>
      <c r="F630" s="195">
        <v>337.0</v>
      </c>
      <c r="G630" s="188" t="str">
        <f>IFERROR(__xludf.DUMMYFUNCTION("TRIM(REGEXREPLACE(C630, ""[0-9]+[a-f]?\."", """"))"),"Now if you will permit me, I need to ask some more questions about your relationship with your husband. Does he ever?")</f>
        <v>Now if you will permit me, I need to ask some more questions about your relationship with your husband. Does he ever?</v>
      </c>
      <c r="H630" s="188" t="str">
        <f>IFERROR(__xludf.DUMMYFUNCTION("TRIM(REGEXREPLACE(D630, ""[0-9]+[a-f]?\."", """"))"),"Maintenant, si vous me le permettez, je dois poser quelques questions supplémentaires sur votre relation avec votre mari. Est-ce qu'il a jamais?")</f>
        <v>Maintenant, si vous me le permettez, je dois poser quelques questions supplémentaires sur votre relation avec votre mari. Est-ce qu'il a jamais?</v>
      </c>
      <c r="I630" s="188" t="str">
        <f>IFERROR(__xludf.DUMMYFUNCTION("TRIM(REGEXREPLACE(E630, ""[0-9]+[a-f]?\."", """"))"),"Yanzu idan za ki ba ni izini, Ina bukatar yin wasu tambayoyi game da dangantakarki da mijinki. Ko ya taba?")</f>
        <v>Yanzu idan za ki ba ni izini, Ina bukatar yin wasu tambayoyi game da dangantakarki da mijinki. Ko ya taba?</v>
      </c>
      <c r="J630" s="188" t="s">
        <v>5018</v>
      </c>
      <c r="K630" s="188" t="s">
        <v>5019</v>
      </c>
      <c r="L630" s="188" t="s">
        <v>5020</v>
      </c>
    </row>
    <row r="631">
      <c r="A631" s="299" t="s">
        <v>1060</v>
      </c>
      <c r="B631" s="300" t="s">
        <v>5021</v>
      </c>
      <c r="C631" s="190" t="s">
        <v>5022</v>
      </c>
      <c r="D631" s="190" t="s">
        <v>5023</v>
      </c>
      <c r="E631" s="190" t="s">
        <v>5024</v>
      </c>
      <c r="F631" s="195">
        <v>338.0</v>
      </c>
      <c r="G631" s="188" t="str">
        <f>IFERROR(__xludf.DUMMYFUNCTION("TRIM(REGEXREPLACE(C631, ""[0-9]+[a-f]?\."", """"))"),"Say or do something to humiliate you in front of others")</f>
        <v>Say or do something to humiliate you in front of others</v>
      </c>
      <c r="H631" s="188" t="str">
        <f>IFERROR(__xludf.DUMMYFUNCTION("TRIM(REGEXREPLACE(D631, ""[0-9]+[a-f]?\."", """"))"),"Dit ou fait quelque chose pour vous humilier devant les autres")</f>
        <v>Dit ou fait quelque chose pour vous humilier devant les autres</v>
      </c>
      <c r="I631" s="188" t="str">
        <f>IFERROR(__xludf.DUMMYFUNCTION("TRIM(REGEXREPLACE(E631, ""[0-9]+[a-f]?\."", """"))"),"Fadi ko yin wani abu don wulaƙanta ku a gaban wasu")</f>
        <v>Fadi ko yin wani abu don wulaƙanta ku a gaban wasu</v>
      </c>
      <c r="J631" s="188" t="s">
        <v>5029</v>
      </c>
      <c r="K631" s="188" t="s">
        <v>5030</v>
      </c>
      <c r="L631" s="188" t="s">
        <v>5031</v>
      </c>
    </row>
    <row r="632">
      <c r="A632" s="299" t="s">
        <v>1060</v>
      </c>
      <c r="B632" s="300" t="s">
        <v>5032</v>
      </c>
      <c r="C632" s="190" t="s">
        <v>5033</v>
      </c>
      <c r="D632" s="190" t="s">
        <v>5034</v>
      </c>
      <c r="E632" s="190" t="s">
        <v>5035</v>
      </c>
      <c r="F632" s="195">
        <v>339.0</v>
      </c>
      <c r="G632" s="188" t="str">
        <f>IFERROR(__xludf.DUMMYFUNCTION("TRIM(REGEXREPLACE(C632, ""[0-9]+[a-f]?\."", """"))"),"Threaten you or someone close to you with harm")</f>
        <v>Threaten you or someone close to you with harm</v>
      </c>
      <c r="H632" s="188" t="str">
        <f>IFERROR(__xludf.DUMMYFUNCTION("TRIM(REGEXREPLACE(D632, ""[0-9]+[a-f]?\."", """"))"),"Vous menacer vous-même ou quelqu'un proche de vous à vous faire du mal")</f>
        <v>Vous menacer vous-même ou quelqu'un proche de vous à vous faire du mal</v>
      </c>
      <c r="I632" s="188" t="str">
        <f>IFERROR(__xludf.DUMMYFUNCTION("TRIM(REGEXREPLACE(E632, ""[0-9]+[a-f]?\."", """"))"),"Yi muku barazana ko wani na kusa da ku da cutarwa")</f>
        <v>Yi muku barazana ko wani na kusa da ku da cutarwa</v>
      </c>
      <c r="J632" s="188" t="s">
        <v>5036</v>
      </c>
      <c r="K632" s="188" t="s">
        <v>5037</v>
      </c>
      <c r="L632" s="188" t="s">
        <v>5038</v>
      </c>
    </row>
    <row r="633">
      <c r="A633" s="299" t="s">
        <v>1060</v>
      </c>
      <c r="B633" s="300" t="s">
        <v>5039</v>
      </c>
      <c r="C633" s="190" t="s">
        <v>5040</v>
      </c>
      <c r="D633" s="190" t="s">
        <v>5041</v>
      </c>
      <c r="E633" s="190" t="s">
        <v>5043</v>
      </c>
      <c r="F633" s="195">
        <v>340.0</v>
      </c>
      <c r="G633" s="188" t="str">
        <f>IFERROR(__xludf.DUMMYFUNCTION("TRIM(REGEXREPLACE(C633, ""[0-9]+[a-f]?\."", """"))"),"Push you shake you or throw something at you")</f>
        <v>Push you shake you or throw something at you</v>
      </c>
      <c r="H633" s="188" t="str">
        <f>IFERROR(__xludf.DUMMYFUNCTION("TRIM(REGEXREPLACE(D633, ""[0-9]+[a-f]?\."", """"))"),"Vous pousser, vous secouer ou jeter quelque chose sur vous")</f>
        <v>Vous pousser, vous secouer ou jeter quelque chose sur vous</v>
      </c>
      <c r="I633" s="188" t="str">
        <f>IFERROR(__xludf.DUMMYFUNCTION("TRIM(REGEXREPLACE(E633, ""[0-9]+[a-f]?\."", """"))"),"Tura ku girgiza ku ko jefar da wani abu bisanku")</f>
        <v>Tura ku girgiza ku ko jefar da wani abu bisanku</v>
      </c>
      <c r="J633" s="188" t="s">
        <v>5045</v>
      </c>
      <c r="K633" s="188" t="s">
        <v>5046</v>
      </c>
      <c r="L633" s="188" t="s">
        <v>5047</v>
      </c>
    </row>
    <row r="634">
      <c r="A634" s="299" t="s">
        <v>1060</v>
      </c>
      <c r="B634" s="300" t="s">
        <v>5048</v>
      </c>
      <c r="C634" s="190" t="s">
        <v>5049</v>
      </c>
      <c r="D634" s="190" t="s">
        <v>5050</v>
      </c>
      <c r="E634" s="190" t="s">
        <v>5051</v>
      </c>
      <c r="F634" s="195">
        <v>341.0</v>
      </c>
      <c r="G634" s="188" t="str">
        <f>IFERROR(__xludf.DUMMYFUNCTION("TRIM(REGEXREPLACE(C634, ""[0-9]+[a-f]?\."", """"))"),"Slap you or twist your arm")</f>
        <v>Slap you or twist your arm</v>
      </c>
      <c r="H634" s="188" t="str">
        <f>IFERROR(__xludf.DUMMYFUNCTION("TRIM(REGEXREPLACE(D634, ""[0-9]+[a-f]?\."", """"))"),"Vous gifler ou vous tordre le bras")</f>
        <v>Vous gifler ou vous tordre le bras</v>
      </c>
      <c r="I634" s="188" t="str">
        <f>IFERROR(__xludf.DUMMYFUNCTION("TRIM(REGEXREPLACE(E634, ""[0-9]+[a-f]?\."", """"))"),"Mari ko murɗa hannunku")</f>
        <v>Mari ko murɗa hannunku</v>
      </c>
      <c r="J634" s="188" t="s">
        <v>5053</v>
      </c>
      <c r="K634" s="188" t="s">
        <v>5055</v>
      </c>
      <c r="L634" s="188" t="s">
        <v>5056</v>
      </c>
    </row>
    <row r="635">
      <c r="A635" s="299" t="s">
        <v>1060</v>
      </c>
      <c r="B635" s="300" t="s">
        <v>5058</v>
      </c>
      <c r="C635" s="190" t="s">
        <v>5059</v>
      </c>
      <c r="D635" s="190" t="s">
        <v>5060</v>
      </c>
      <c r="E635" s="190" t="s">
        <v>5061</v>
      </c>
      <c r="F635" s="195">
        <v>342.0</v>
      </c>
      <c r="G635" s="188" t="str">
        <f>IFERROR(__xludf.DUMMYFUNCTION("TRIM(REGEXREPLACE(C635, ""[0-9]+[a-f]?\."", """"))"),"Punch you with his fist or with something that could hurt you")</f>
        <v>Punch you with his fist or with something that could hurt you</v>
      </c>
      <c r="H635" s="188" t="str">
        <f>IFERROR(__xludf.DUMMYFUNCTION("TRIM(REGEXREPLACE(D635, ""[0-9]+[a-f]?\."", """"))"),"Vous frapper avec son poing ou avec quelque chose qui pourrait vous blesser")</f>
        <v>Vous frapper avec son poing ou avec quelque chose qui pourrait vous blesser</v>
      </c>
      <c r="I635" s="188" t="str">
        <f>IFERROR(__xludf.DUMMYFUNCTION("TRIM(REGEXREPLACE(E635, ""[0-9]+[a-f]?\."", """"))"),"Yi muku naushi da hannu ko da wani abu da zai iya cutar da ku")</f>
        <v>Yi muku naushi da hannu ko da wani abu da zai iya cutar da ku</v>
      </c>
      <c r="J635" s="188" t="s">
        <v>5062</v>
      </c>
      <c r="K635" s="188" t="s">
        <v>5063</v>
      </c>
      <c r="L635" s="188" t="s">
        <v>5064</v>
      </c>
    </row>
    <row r="636">
      <c r="A636" s="299" t="s">
        <v>1060</v>
      </c>
      <c r="B636" s="300" t="s">
        <v>5065</v>
      </c>
      <c r="C636" s="190" t="s">
        <v>5066</v>
      </c>
      <c r="D636" s="190" t="s">
        <v>5067</v>
      </c>
      <c r="E636" s="190" t="s">
        <v>5068</v>
      </c>
      <c r="F636" s="195">
        <v>343.0</v>
      </c>
      <c r="G636" s="188" t="str">
        <f>IFERROR(__xludf.DUMMYFUNCTION("TRIM(REGEXREPLACE(C636, ""[0-9]+[a-f]?\."", """"))"),"Kick you or drag you")</f>
        <v>Kick you or drag you</v>
      </c>
      <c r="H636" s="188" t="str">
        <f>IFERROR(__xludf.DUMMYFUNCTION("TRIM(REGEXREPLACE(D636, ""[0-9]+[a-f]?\."", """"))"),"Vous donner un coup de pied ou vous traîner")</f>
        <v>Vous donner un coup de pied ou vous traîner</v>
      </c>
      <c r="I636" s="188" t="str">
        <f>IFERROR(__xludf.DUMMYFUNCTION("TRIM(REGEXREPLACE(E636, ""[0-9]+[a-f]?\."", """"))"),"Habre ku ko jan ku")</f>
        <v>Habre ku ko jan ku</v>
      </c>
      <c r="J636" s="188" t="s">
        <v>5071</v>
      </c>
      <c r="K636" s="188" t="s">
        <v>5072</v>
      </c>
      <c r="L636" s="188" t="s">
        <v>5073</v>
      </c>
    </row>
    <row r="637">
      <c r="A637" s="299" t="s">
        <v>1060</v>
      </c>
      <c r="B637" s="300" t="s">
        <v>5074</v>
      </c>
      <c r="C637" s="190" t="s">
        <v>5075</v>
      </c>
      <c r="D637" s="190" t="s">
        <v>5076</v>
      </c>
      <c r="E637" s="190" t="s">
        <v>5077</v>
      </c>
      <c r="F637" s="195">
        <v>344.0</v>
      </c>
      <c r="G637" s="188" t="str">
        <f>IFERROR(__xludf.DUMMYFUNCTION("TRIM(REGEXREPLACE(C637, ""[0-9]+[a-f]?\."", """"))"),"Try to strangle you or burn you")</f>
        <v>Try to strangle you or burn you</v>
      </c>
      <c r="H637" s="188" t="str">
        <f>IFERROR(__xludf.DUMMYFUNCTION("TRIM(REGEXREPLACE(D637, ""[0-9]+[a-f]?\."", """"))"),"Essayer de vous étrangler ou de vous brûler")</f>
        <v>Essayer de vous étrangler ou de vous brûler</v>
      </c>
      <c r="I637" s="188" t="str">
        <f>IFERROR(__xludf.DUMMYFUNCTION("TRIM(REGEXREPLACE(E637, ""[0-9]+[a-f]?\."", """"))"),"Yi ƙoƙarin shake ku ko kona ku")</f>
        <v>Yi ƙoƙarin shake ku ko kona ku</v>
      </c>
      <c r="J637" s="188" t="s">
        <v>5078</v>
      </c>
      <c r="K637" s="188" t="s">
        <v>5080</v>
      </c>
      <c r="L637" s="188" t="s">
        <v>5081</v>
      </c>
    </row>
    <row r="638">
      <c r="A638" s="299" t="s">
        <v>1060</v>
      </c>
      <c r="B638" s="300" t="s">
        <v>5083</v>
      </c>
      <c r="C638" s="190" t="s">
        <v>5084</v>
      </c>
      <c r="D638" s="190" t="s">
        <v>5085</v>
      </c>
      <c r="E638" s="190" t="s">
        <v>5086</v>
      </c>
      <c r="F638" s="195">
        <v>345.0</v>
      </c>
      <c r="G638" s="188" t="str">
        <f>IFERROR(__xludf.DUMMYFUNCTION("TRIM(REGEXREPLACE(C638, ""[0-9]+[a-f]?\."", """"))"),"threaten you with a knife, gun, or other type of weapon")</f>
        <v>threaten you with a knife, gun, or other type of weapon</v>
      </c>
      <c r="H638" s="188" t="str">
        <f>IFERROR(__xludf.DUMMYFUNCTION("TRIM(REGEXREPLACE(D638, ""[0-9]+[a-f]?\."", """"))"),"Vous menacer avec un couteau, une arme à feu ou tout autre type d'arme")</f>
        <v>Vous menacer avec un couteau, une arme à feu ou tout autre type d'arme</v>
      </c>
      <c r="I638" s="188" t="str">
        <f>IFERROR(__xludf.DUMMYFUNCTION("TRIM(REGEXREPLACE(E638, ""[0-9]+[a-f]?\."", """"))"),"yi muku barazana da wuka, bindiga, ko wani makami daban")</f>
        <v>yi muku barazana da wuka, bindiga, ko wani makami daban</v>
      </c>
      <c r="J638" s="188" t="s">
        <v>5087</v>
      </c>
      <c r="K638" s="188" t="s">
        <v>5088</v>
      </c>
      <c r="L638" s="188" t="s">
        <v>5089</v>
      </c>
    </row>
    <row r="639">
      <c r="A639" s="299" t="s">
        <v>1060</v>
      </c>
      <c r="B639" s="300" t="s">
        <v>5090</v>
      </c>
      <c r="C639" s="190" t="s">
        <v>5091</v>
      </c>
      <c r="D639" s="190" t="s">
        <v>5092</v>
      </c>
      <c r="E639" s="190" t="s">
        <v>5094</v>
      </c>
      <c r="F639" s="195">
        <v>346.0</v>
      </c>
      <c r="G639" s="188" t="str">
        <f>IFERROR(__xludf.DUMMYFUNCTION("TRIM(REGEXREPLACE(C639, ""[0-9]+[a-f]?\."", """"))"),"attack you with a knife, gun, or other type of weapon")</f>
        <v>attack you with a knife, gun, or other type of weapon</v>
      </c>
      <c r="H639" s="188" t="str">
        <f>IFERROR(__xludf.DUMMYFUNCTION("TRIM(REGEXREPLACE(D639, ""[0-9]+[a-f]?\."", """"))"),"Vous attaquer avec un couteau, une arme à feu ou tout autre type d'arme")</f>
        <v>Vous attaquer avec un couteau, une arme à feu ou tout autre type d'arme</v>
      </c>
      <c r="I639" s="188" t="str">
        <f>IFERROR(__xludf.DUMMYFUNCTION("TRIM(REGEXREPLACE(E639, ""[0-9]+[a-f]?\."", """"))"),"Kawo muku hari da wuka, bindiga, ko wani makami daban")</f>
        <v>Kawo muku hari da wuka, bindiga, ko wani makami daban</v>
      </c>
      <c r="J639" s="188" t="s">
        <v>5095</v>
      </c>
      <c r="K639" s="188" t="s">
        <v>5096</v>
      </c>
      <c r="L639" s="188" t="s">
        <v>5097</v>
      </c>
    </row>
    <row r="640">
      <c r="A640" s="299" t="s">
        <v>1060</v>
      </c>
      <c r="B640" s="300" t="s">
        <v>5099</v>
      </c>
      <c r="C640" s="190" t="s">
        <v>5100</v>
      </c>
      <c r="D640" s="190" t="s">
        <v>5101</v>
      </c>
      <c r="E640" s="190" t="s">
        <v>5103</v>
      </c>
      <c r="F640" s="195">
        <v>347.0</v>
      </c>
      <c r="G640" s="188" t="str">
        <f>IFERROR(__xludf.DUMMYFUNCTION("TRIM(REGEXREPLACE(C640, ""[0-9]+[a-f]?\."", """"))"),"force you to perform sexual actswith him even when you did not want to")</f>
        <v>force you to perform sexual actswith him even when you did not want to</v>
      </c>
      <c r="H640" s="188" t="str">
        <f>IFERROR(__xludf.DUMMYFUNCTION("TRIM(REGEXREPLACE(D640, ""[0-9]+[a-f]?\."", """"))"),"vous forcer à accomplir des actes sexuels avec lui même lorsque vous ne le vouliez pas")</f>
        <v>vous forcer à accomplir des actes sexuels avec lui même lorsque vous ne le vouliez pas</v>
      </c>
      <c r="I640" s="188" t="str">
        <f>IFERROR(__xludf.DUMMYFUNCTION("TRIM(REGEXREPLACE(E640, ""[0-9]+[a-f]?\."", """"))"),"tilasta muku ka yin jima'i da shi ko da ba ki da buƙata")</f>
        <v>tilasta muku ka yin jima'i da shi ko da ba ki da buƙata</v>
      </c>
      <c r="J640" s="188" t="s">
        <v>5104</v>
      </c>
      <c r="K640" s="188" t="s">
        <v>5105</v>
      </c>
      <c r="L640" s="188" t="s">
        <v>5106</v>
      </c>
    </row>
    <row r="641">
      <c r="A641" s="199" t="s">
        <v>1060</v>
      </c>
      <c r="B641" s="147" t="s">
        <v>5107</v>
      </c>
      <c r="C641" s="333" t="s">
        <v>5108</v>
      </c>
      <c r="D641" s="288" t="s">
        <v>5109</v>
      </c>
      <c r="E641" s="288" t="s">
        <v>5110</v>
      </c>
      <c r="F641" s="195">
        <v>348.0</v>
      </c>
      <c r="G641" s="188" t="str">
        <f>IFERROR(__xludf.DUMMYFUNCTION("TRIM(REGEXREPLACE(C641, ""[0-9]+[a-f]?\."", """"))"),"Do other members of your household ever threaten you with violence or acted violently toward you?")</f>
        <v>Do other members of your household ever threaten you with violence or acted violently toward you?</v>
      </c>
      <c r="H641" s="188" t="str">
        <f>IFERROR(__xludf.DUMMYFUNCTION("TRIM(REGEXREPLACE(D641, ""[0-9]+[a-f]?\."", """"))"),"D'autres membres de votre menage vous ont-ils déjà menacée de violence ou agi de manière violente à votre égard ?")</f>
        <v>D'autres membres de votre menage vous ont-ils déjà menacée de violence ou agi de manière violente à votre égard ?</v>
      </c>
      <c r="I641" s="188" t="str">
        <f>IFERROR(__xludf.DUMMYFUNCTION("TRIM(REGEXREPLACE(E641, ""[0-9]+[a-f]?\."", """"))"),"Ko wasu ƴan gidanku sun taɓa yi muku barazana da tashin hankali ko kuma sun yi muku tashin hankali?")</f>
        <v>Ko wasu ƴan gidanku sun taɓa yi muku barazana da tashin hankali ko kuma sun yi muku tashin hankali?</v>
      </c>
      <c r="J641" s="188" t="s">
        <v>5113</v>
      </c>
      <c r="K641" s="188" t="s">
        <v>5114</v>
      </c>
      <c r="L641" s="188" t="s">
        <v>5115</v>
      </c>
    </row>
    <row r="642" hidden="1">
      <c r="A642" s="310" t="s">
        <v>331</v>
      </c>
      <c r="B642" s="315" t="s">
        <v>5010</v>
      </c>
      <c r="C642" s="190"/>
      <c r="D642" s="190"/>
      <c r="E642" s="190"/>
      <c r="F642" s="195">
        <v>170.0</v>
      </c>
      <c r="G642" s="188" t="str">
        <f>IFERROR(__xludf.DUMMYFUNCTION("TRIM(REGEXREPLACE(C642, ""[0-9]+[a-f]?\."", """"))"),"")</f>
        <v/>
      </c>
      <c r="H642" s="188" t="str">
        <f>IFERROR(__xludf.DUMMYFUNCTION("TRIM(REGEXREPLACE(D642, ""[0-9]+[a-f]?\."", """"))"),"")</f>
        <v/>
      </c>
      <c r="I642" s="188" t="str">
        <f>IFERROR(__xludf.DUMMYFUNCTION("TRIM(REGEXREPLACE(E642, ""[0-9]+[a-f]?\."", """"))"),"")</f>
        <v/>
      </c>
      <c r="J642" s="188" t="str">
        <f t="shared" ref="J642:L642" si="50">$F642 &amp; ". "&amp;G642</f>
        <v>170. </v>
      </c>
      <c r="K642" s="188" t="str">
        <f t="shared" si="50"/>
        <v>170. </v>
      </c>
      <c r="L642" s="188" t="str">
        <f t="shared" si="50"/>
        <v>170. </v>
      </c>
    </row>
    <row r="643" hidden="1">
      <c r="A643" s="143" t="s">
        <v>278</v>
      </c>
      <c r="B643" s="143" t="s">
        <v>5116</v>
      </c>
      <c r="C643" s="190"/>
      <c r="D643" s="190"/>
      <c r="E643" s="190"/>
      <c r="F643" s="195">
        <v>406.0</v>
      </c>
      <c r="G643" s="188" t="str">
        <f>IFERROR(__xludf.DUMMYFUNCTION("TRIM(REGEXREPLACE(C643, ""[0-9]+[a-f]?\."", """"))"),"")</f>
        <v/>
      </c>
      <c r="H643" s="188" t="str">
        <f>IFERROR(__xludf.DUMMYFUNCTION("TRIM(REGEXREPLACE(D643, ""[0-9]+[a-f]?\."", """"))"),"")</f>
        <v/>
      </c>
      <c r="I643" s="188" t="str">
        <f>IFERROR(__xludf.DUMMYFUNCTION("TRIM(REGEXREPLACE(E643, ""[0-9]+[a-f]?\."", """"))"),"")</f>
        <v/>
      </c>
      <c r="J643" s="188" t="s">
        <v>5118</v>
      </c>
      <c r="K643" s="188" t="s">
        <v>5119</v>
      </c>
      <c r="L643" s="188" t="s">
        <v>5119</v>
      </c>
    </row>
    <row r="644">
      <c r="A644" s="147" t="s">
        <v>1060</v>
      </c>
      <c r="B644" s="147" t="s">
        <v>5121</v>
      </c>
      <c r="C644" s="190" t="s">
        <v>5122</v>
      </c>
      <c r="D644" s="190" t="s">
        <v>5123</v>
      </c>
      <c r="E644" s="190" t="s">
        <v>5124</v>
      </c>
      <c r="F644" s="195">
        <v>349.0</v>
      </c>
      <c r="G644" s="188" t="str">
        <f>IFERROR(__xludf.DUMMYFUNCTION("TRIM(REGEXREPLACE(C644, ""[0-9]+[a-f]?\."", """"))"),"Does your husband provide you with money to buy food or other necessary items for the household?")</f>
        <v>Does your husband provide you with money to buy food or other necessary items for the household?</v>
      </c>
      <c r="H644" s="188" t="str">
        <f>IFERROR(__xludf.DUMMYFUNCTION("TRIM(REGEXREPLACE(D644, ""[0-9]+[a-f]?\."", """"))"),"Votre mari vous donne-t-il de l’argent pour acheter de la nourriture ou d’autres articles de première nécessité pour le ménage ?")</f>
        <v>Votre mari vous donne-t-il de l’argent pour acheter de la nourriture ou d’autres articles de première nécessité pour le ménage ?</v>
      </c>
      <c r="I644" s="188" t="str">
        <f>IFERROR(__xludf.DUMMYFUNCTION("TRIM(REGEXREPLACE(E644, ""[0-9]+[a-f]?\."", """"))"),"Ko mijinki yana ba ki kuɗi don sayen abinci ko wasu abubuwan da ake bukata a gidan?")</f>
        <v>Ko mijinki yana ba ki kuɗi don sayen abinci ko wasu abubuwan da ake bukata a gidan?</v>
      </c>
      <c r="J644" s="188" t="s">
        <v>5125</v>
      </c>
      <c r="K644" s="188" t="s">
        <v>5126</v>
      </c>
      <c r="L644" s="188" t="s">
        <v>5127</v>
      </c>
    </row>
    <row r="645">
      <c r="A645" s="334" t="s">
        <v>261</v>
      </c>
      <c r="B645" s="334" t="s">
        <v>5128</v>
      </c>
      <c r="C645" s="190" t="s">
        <v>5129</v>
      </c>
      <c r="D645" s="190" t="s">
        <v>5130</v>
      </c>
      <c r="E645" s="190" t="s">
        <v>5131</v>
      </c>
      <c r="F645" s="195">
        <v>350.0</v>
      </c>
      <c r="G645" s="188" t="str">
        <f>IFERROR(__xludf.DUMMYFUNCTION("TRIM(REGEXREPLACE(C645, ""[0-9]+[a-f]?\."", """"))"),"What was the amount in CFA you received the last time you were given this allowance?")</f>
        <v>What was the amount in CFA you received the last time you were given this allowance?</v>
      </c>
      <c r="H645" s="188" t="str">
        <f>IFERROR(__xludf.DUMMYFUNCTION("TRIM(REGEXREPLACE(D645, ""[0-9]+[a-f]?\."", """"))"),"Quel était le montant en francs CFA que vous avez reçu la dernière fois que vous avez reçu cette allocation ?")</f>
        <v>Quel était le montant en francs CFA que vous avez reçu la dernière fois que vous avez reçu cette allocation ?</v>
      </c>
      <c r="I645" s="188" t="str">
        <f>IFERROR(__xludf.DUMMYFUNCTION("TRIM(REGEXREPLACE(E645, ""[0-9]+[a-f]?\."", """"))"),"Nawa ne a kuɗin CFA abinda kika karɓa na ƙarshe lokacin da aka ba ki wannan alawus ɗin?")</f>
        <v>Nawa ne a kuɗin CFA abinda kika karɓa na ƙarshe lokacin da aka ba ki wannan alawus ɗin?</v>
      </c>
      <c r="J645" s="188" t="s">
        <v>5132</v>
      </c>
      <c r="K645" s="188" t="s">
        <v>5133</v>
      </c>
      <c r="L645" s="188" t="s">
        <v>5134</v>
      </c>
    </row>
    <row r="646">
      <c r="A646" s="147" t="s">
        <v>1060</v>
      </c>
      <c r="B646" s="147" t="s">
        <v>5135</v>
      </c>
      <c r="C646" s="190" t="s">
        <v>5136</v>
      </c>
      <c r="D646" s="190" t="s">
        <v>5137</v>
      </c>
      <c r="E646" s="190" t="s">
        <v>5138</v>
      </c>
      <c r="F646" s="195">
        <v>351.0</v>
      </c>
      <c r="G646" s="188" t="str">
        <f>IFERROR(__xludf.DUMMYFUNCTION("TRIM(REGEXREPLACE(C646, ""[0-9]+[a-f]?\."", """"))"),"Do you need permission from your husband or another family member to make purchases with this money?")</f>
        <v>Do you need permission from your husband or another family member to make purchases with this money?</v>
      </c>
      <c r="H646" s="188" t="str">
        <f>IFERROR(__xludf.DUMMYFUNCTION("TRIM(REGEXREPLACE(D646, ""[0-9]+[a-f]?\."", """"))"),"Avez-vous besoin de la permission de votre mari ou d’un autre membre de votre famille pour faire des achats avec cet argent ?")</f>
        <v>Avez-vous besoin de la permission de votre mari ou d’un autre membre de votre famille pour faire des achats avec cet argent ?</v>
      </c>
      <c r="I646" s="188" t="str">
        <f>IFERROR(__xludf.DUMMYFUNCTION("TRIM(REGEXREPLACE(E646, ""[0-9]+[a-f]?\."", """"))"),"Ko kina da buƙatar izinin mijinki ko wani ƴan gidanku don yin sayayya da wannan kuɗin?")</f>
        <v>Ko kina da buƙatar izinin mijinki ko wani ƴan gidanku don yin sayayya da wannan kuɗin?</v>
      </c>
      <c r="J646" s="188" t="s">
        <v>5139</v>
      </c>
      <c r="K646" s="188" t="s">
        <v>5140</v>
      </c>
      <c r="L646" s="188" t="s">
        <v>5141</v>
      </c>
    </row>
    <row r="647">
      <c r="A647" s="147" t="s">
        <v>2456</v>
      </c>
      <c r="B647" s="147" t="s">
        <v>5142</v>
      </c>
      <c r="C647" s="190" t="s">
        <v>5143</v>
      </c>
      <c r="D647" s="190" t="s">
        <v>5144</v>
      </c>
      <c r="E647" s="190" t="s">
        <v>5145</v>
      </c>
      <c r="F647" s="195">
        <v>352.0</v>
      </c>
      <c r="G647" s="188" t="str">
        <f>IFERROR(__xludf.DUMMYFUNCTION("TRIM(REGEXREPLACE(C647, ""[0-9]+[a-f]?\."", """"))"),"If a wife has earned some money, does she have the right to buy clothing for herself or her children without asking the permission of her husband?")</f>
        <v>If a wife has earned some money, does she have the right to buy clothing for herself or her children without asking the permission of her husband?</v>
      </c>
      <c r="H647" s="188" t="str">
        <f>IFERROR(__xludf.DUMMYFUNCTION("TRIM(REGEXREPLACE(D647, ""[0-9]+[a-f]?\."", """"))"),"Si une femme a gagné de l’argent, a-t-elle le droit d’acheter des vêtements pour elle-même ou ses enfants sans demander la permission de son mari ?")</f>
        <v>Si une femme a gagné de l’argent, a-t-elle le droit d’acheter des vêtements pour elle-même ou ses enfants sans demander la permission de son mari ?</v>
      </c>
      <c r="I647" s="188" t="str">
        <f>IFERROR(__xludf.DUMMYFUNCTION("TRIM(REGEXREPLACE(E647, ""[0-9]+[a-f]?\."", """"))"),"Idan mace ta sami kuɗi, shin tana da ikon sayen tufafi ga kanta ko ƴaƴanta ba tare da neman izinin mijinta ba?")</f>
        <v>Idan mace ta sami kuɗi, shin tana da ikon sayen tufafi ga kanta ko ƴaƴanta ba tare da neman izinin mijinta ba?</v>
      </c>
      <c r="J647" s="188" t="s">
        <v>5147</v>
      </c>
      <c r="K647" s="188" t="s">
        <v>5148</v>
      </c>
      <c r="L647" s="188" t="s">
        <v>5150</v>
      </c>
    </row>
    <row r="648" hidden="1">
      <c r="A648" s="255" t="s">
        <v>331</v>
      </c>
      <c r="B648" s="152" t="s">
        <v>5116</v>
      </c>
      <c r="C648" s="190"/>
      <c r="D648" s="190"/>
      <c r="E648" s="190"/>
      <c r="F648" s="195">
        <v>400.0</v>
      </c>
      <c r="G648" s="188" t="str">
        <f>IFERROR(__xludf.DUMMYFUNCTION("TRIM(REGEXREPLACE(C648, ""[0-9]+[a-f]?\."", """"))"),"")</f>
        <v/>
      </c>
      <c r="H648" s="188" t="str">
        <f>IFERROR(__xludf.DUMMYFUNCTION("TRIM(REGEXREPLACE(D648, ""[0-9]+[a-f]?\."", """"))"),"")</f>
        <v/>
      </c>
      <c r="I648" s="188" t="str">
        <f>IFERROR(__xludf.DUMMYFUNCTION("TRIM(REGEXREPLACE(E648, ""[0-9]+[a-f]?\."", """"))"),"")</f>
        <v/>
      </c>
      <c r="J648" s="188" t="s">
        <v>5151</v>
      </c>
      <c r="K648" s="188" t="s">
        <v>5152</v>
      </c>
      <c r="L648" s="188" t="s">
        <v>5153</v>
      </c>
    </row>
    <row r="649" hidden="1">
      <c r="A649" s="310" t="s">
        <v>331</v>
      </c>
      <c r="B649" s="315" t="s">
        <v>4889</v>
      </c>
      <c r="C649" s="190"/>
      <c r="D649" s="190"/>
      <c r="E649" s="190"/>
      <c r="F649" s="195">
        <v>407.0</v>
      </c>
      <c r="G649" s="188" t="str">
        <f>IFERROR(__xludf.DUMMYFUNCTION("TRIM(REGEXREPLACE(C649, ""[0-9]+[a-f]?\."", """"))"),"")</f>
        <v/>
      </c>
      <c r="H649" s="188" t="str">
        <f>IFERROR(__xludf.DUMMYFUNCTION("TRIM(REGEXREPLACE(D649, ""[0-9]+[a-f]?\."", """"))"),"")</f>
        <v/>
      </c>
      <c r="I649" s="188" t="str">
        <f>IFERROR(__xludf.DUMMYFUNCTION("TRIM(REGEXREPLACE(E649, ""[0-9]+[a-f]?\."", """"))"),"")</f>
        <v/>
      </c>
      <c r="J649" s="188" t="s">
        <v>5156</v>
      </c>
      <c r="K649" s="188" t="s">
        <v>5157</v>
      </c>
      <c r="L649" s="188" t="s">
        <v>5158</v>
      </c>
    </row>
    <row r="650">
      <c r="A650" s="336" t="s">
        <v>46</v>
      </c>
      <c r="B650" s="298" t="s">
        <v>5159</v>
      </c>
      <c r="C650" s="190" t="s">
        <v>5160</v>
      </c>
      <c r="D650" s="190" t="s">
        <v>5161</v>
      </c>
      <c r="E650" s="190" t="s">
        <v>5162</v>
      </c>
      <c r="F650" s="195">
        <v>353.0</v>
      </c>
      <c r="G650" s="188" t="str">
        <f>IFERROR(__xludf.DUMMYFUNCTION("TRIM(REGEXREPLACE(C650, ""[0-9]+[a-f]?\."", """"))"),"Enumerator: THANK THE RESPONDENT FOR HER COOPERATION AND REASSURE HER ABOUT THE CONFIDENTIALITY OF HER ANSWERS.")</f>
        <v>Enumerator: THANK THE RESPONDENT FOR HER COOPERATION AND REASSURE HER ABOUT THE CONFIDENTIALITY OF HER ANSWERS.</v>
      </c>
      <c r="H650" s="188" t="str">
        <f>IFERROR(__xludf.DUMMYFUNCTION("TRIM(REGEXREPLACE(D650, ""[0-9]+[a-f]?\."", """"))"),"Enquêteur : REMERCIER LA RÉPONDANTE POUR SA COOPÉRATION ET LA RASSURER SUR LA CONFIDENTIALITÉ DE SES RÉPONSES.")</f>
        <v>Enquêteur : REMERCIER LA RÉPONDANTE POUR SA COOPÉRATION ET LA RASSURER SUR LA CONFIDENTIALITÉ DE SES RÉPONSES.</v>
      </c>
      <c r="I650" s="188" t="str">
        <f>IFERROR(__xludf.DUMMYFUNCTION("TRIM(REGEXREPLACE(E650, ""[0-9]+[a-f]?\."", """"))"),"Ɗan bincike: Ka gode wa mai bada amsa bisa haɗin kai da kuma ka tabbatar mata game da kiyaye SIRRIN HIRAR A KA YI DA ITA.")</f>
        <v>Ɗan bincike: Ka gode wa mai bada amsa bisa haɗin kai da kuma ka tabbatar mata game da kiyaye SIRRIN HIRAR A KA YI DA ITA.</v>
      </c>
      <c r="J650" s="188" t="s">
        <v>5165</v>
      </c>
      <c r="K650" s="188" t="s">
        <v>5166</v>
      </c>
      <c r="L650" s="188" t="s">
        <v>5167</v>
      </c>
    </row>
    <row r="651" hidden="1">
      <c r="A651" s="310" t="s">
        <v>331</v>
      </c>
      <c r="B651" s="315" t="s">
        <v>3131</v>
      </c>
      <c r="C651" s="190" t="s">
        <v>3132</v>
      </c>
      <c r="D651" s="190"/>
      <c r="E651" s="190"/>
      <c r="F651" s="195">
        <v>408.0</v>
      </c>
      <c r="G651" s="188" t="str">
        <f>IFERROR(__xludf.DUMMYFUNCTION("TRIM(REGEXREPLACE(C651, ""[0-9]+[a-f]?\."", """"))"),"Woman Questionnaire")</f>
        <v>Woman Questionnaire</v>
      </c>
      <c r="H651" s="188" t="str">
        <f>IFERROR(__xludf.DUMMYFUNCTION("TRIM(REGEXREPLACE(D651, ""[0-9]+[a-f]?\."", """"))"),"")</f>
        <v/>
      </c>
      <c r="I651" s="188" t="str">
        <f>IFERROR(__xludf.DUMMYFUNCTION("TRIM(REGEXREPLACE(E651, ""[0-9]+[a-f]?\."", """"))"),"")</f>
        <v/>
      </c>
      <c r="J651" s="188" t="s">
        <v>5168</v>
      </c>
      <c r="K651" s="188" t="s">
        <v>5169</v>
      </c>
      <c r="L651" s="188" t="s">
        <v>5170</v>
      </c>
    </row>
    <row r="652" hidden="1">
      <c r="A652" s="197" t="s">
        <v>256</v>
      </c>
      <c r="B652" s="198" t="s">
        <v>5172</v>
      </c>
      <c r="C652" s="190"/>
      <c r="D652" s="190"/>
      <c r="E652" s="190"/>
      <c r="F652" s="195">
        <v>393.0</v>
      </c>
      <c r="G652" s="188" t="str">
        <f>IFERROR(__xludf.DUMMYFUNCTION("TRIM(REGEXREPLACE(C652, ""[0-9]+[a-f]?\."", """"))"),"")</f>
        <v/>
      </c>
      <c r="H652" s="188" t="str">
        <f>IFERROR(__xludf.DUMMYFUNCTION("TRIM(REGEXREPLACE(D652, ""[0-9]+[a-f]?\."", """"))"),"")</f>
        <v/>
      </c>
      <c r="I652" s="188" t="str">
        <f>IFERROR(__xludf.DUMMYFUNCTION("TRIM(REGEXREPLACE(E652, ""[0-9]+[a-f]?\."", """"))"),"")</f>
        <v/>
      </c>
      <c r="J652" s="188" t="s">
        <v>5175</v>
      </c>
      <c r="K652" s="188" t="s">
        <v>5176</v>
      </c>
      <c r="L652" s="188" t="s">
        <v>5177</v>
      </c>
    </row>
    <row r="653" hidden="1">
      <c r="A653" s="221" t="s">
        <v>112</v>
      </c>
      <c r="B653" s="198" t="s">
        <v>5178</v>
      </c>
      <c r="C653" s="190"/>
      <c r="D653" s="190"/>
      <c r="E653" s="190"/>
      <c r="F653" s="195">
        <v>394.0</v>
      </c>
      <c r="G653" s="188" t="str">
        <f>IFERROR(__xludf.DUMMYFUNCTION("TRIM(REGEXREPLACE(C653, ""[0-9]+[a-f]?\."", """"))"),"")</f>
        <v/>
      </c>
      <c r="H653" s="188" t="str">
        <f>IFERROR(__xludf.DUMMYFUNCTION("TRIM(REGEXREPLACE(D653, ""[0-9]+[a-f]?\."", """"))"),"")</f>
        <v/>
      </c>
      <c r="I653" s="188" t="str">
        <f>IFERROR(__xludf.DUMMYFUNCTION("TRIM(REGEXREPLACE(E653, ""[0-9]+[a-f]?\."", """"))"),"")</f>
        <v/>
      </c>
      <c r="J653" s="188" t="s">
        <v>5181</v>
      </c>
      <c r="K653" s="188" t="s">
        <v>5182</v>
      </c>
      <c r="L653" s="188" t="s">
        <v>5183</v>
      </c>
    </row>
    <row r="654" hidden="1">
      <c r="A654" s="194"/>
      <c r="B654" s="194"/>
      <c r="C654" s="190"/>
      <c r="D654" s="190"/>
      <c r="E654" s="190"/>
      <c r="F654" s="195">
        <v>173.0</v>
      </c>
      <c r="G654" s="188" t="str">
        <f>IFERROR(__xludf.DUMMYFUNCTION("TRIM(REGEXREPLACE(C654, ""[0-9]+[a-f]?\."", """"))"),"")</f>
        <v/>
      </c>
      <c r="H654" s="188" t="str">
        <f>IFERROR(__xludf.DUMMYFUNCTION("TRIM(REGEXREPLACE(D654, ""[0-9]+[a-f]?\."", """"))"),"")</f>
        <v/>
      </c>
      <c r="I654" s="188" t="str">
        <f>IFERROR(__xludf.DUMMYFUNCTION("TRIM(REGEXREPLACE(E654, ""[0-9]+[a-f]?\."", """"))"),"")</f>
        <v/>
      </c>
      <c r="J654" s="188" t="str">
        <f t="shared" ref="J654:L654" si="51">$F654 &amp; ". "&amp;G654</f>
        <v>173. </v>
      </c>
      <c r="K654" s="188" t="str">
        <f t="shared" si="51"/>
        <v>173. </v>
      </c>
      <c r="L654" s="188" t="str">
        <f t="shared" si="51"/>
        <v>173. </v>
      </c>
    </row>
    <row r="655" hidden="1">
      <c r="A655" s="221" t="s">
        <v>256</v>
      </c>
      <c r="B655" s="198" t="s">
        <v>5186</v>
      </c>
      <c r="C655" s="190"/>
      <c r="D655" s="190"/>
      <c r="E655" s="190"/>
      <c r="F655" s="195">
        <v>174.0</v>
      </c>
      <c r="G655" s="188" t="str">
        <f>IFERROR(__xludf.DUMMYFUNCTION("TRIM(REGEXREPLACE(C655, ""[0-9]+[a-f]?\."", """"))"),"")</f>
        <v/>
      </c>
      <c r="H655" s="188" t="str">
        <f>IFERROR(__xludf.DUMMYFUNCTION("TRIM(REGEXREPLACE(D655, ""[0-9]+[a-f]?\."", """"))"),"")</f>
        <v/>
      </c>
      <c r="I655" s="188" t="str">
        <f>IFERROR(__xludf.DUMMYFUNCTION("TRIM(REGEXREPLACE(E655, ""[0-9]+[a-f]?\."", """"))"),"")</f>
        <v/>
      </c>
      <c r="J655" s="188" t="str">
        <f t="shared" ref="J655:L655" si="52">$F655 &amp; ". "&amp;G655</f>
        <v>174. </v>
      </c>
      <c r="K655" s="188" t="str">
        <f t="shared" si="52"/>
        <v>174. </v>
      </c>
      <c r="L655" s="188" t="str">
        <f t="shared" si="52"/>
        <v>174. </v>
      </c>
    </row>
    <row r="656" hidden="1">
      <c r="A656" s="194" t="s">
        <v>278</v>
      </c>
      <c r="B656" s="194" t="s">
        <v>5187</v>
      </c>
      <c r="C656" s="190" t="s">
        <v>5188</v>
      </c>
      <c r="D656" s="190"/>
      <c r="E656" s="190"/>
      <c r="F656" s="195">
        <v>397.0</v>
      </c>
      <c r="G656" s="188" t="str">
        <f>IFERROR(__xludf.DUMMYFUNCTION("TRIM(REGEXREPLACE(C656, ""[0-9]+[a-f]?\."", """"))"),"HoH Questionnaire")</f>
        <v>HoH Questionnaire</v>
      </c>
      <c r="H656" s="188" t="str">
        <f>IFERROR(__xludf.DUMMYFUNCTION("TRIM(REGEXREPLACE(D656, ""[0-9]+[a-f]?\."", """"))"),"")</f>
        <v/>
      </c>
      <c r="I656" s="188" t="str">
        <f>IFERROR(__xludf.DUMMYFUNCTION("TRIM(REGEXREPLACE(E656, ""[0-9]+[a-f]?\."", """"))"),"")</f>
        <v/>
      </c>
      <c r="J656" s="188" t="s">
        <v>5189</v>
      </c>
      <c r="K656" s="188" t="s">
        <v>5190</v>
      </c>
      <c r="L656" s="188" t="s">
        <v>5191</v>
      </c>
    </row>
    <row r="657">
      <c r="A657" s="297" t="s">
        <v>46</v>
      </c>
      <c r="B657" s="298" t="s">
        <v>5192</v>
      </c>
      <c r="C657" s="190" t="s">
        <v>5193</v>
      </c>
      <c r="D657" s="190" t="s">
        <v>5194</v>
      </c>
      <c r="E657" s="190" t="s">
        <v>5195</v>
      </c>
      <c r="F657" s="195">
        <v>354.0</v>
      </c>
      <c r="G657" s="188" t="str">
        <f>IFERROR(__xludf.DUMMYFUNCTION("TRIM(REGEXREPLACE(C657, ""[0-9]+[a-f]?\."", """"))"),"HoH Questions")</f>
        <v>HoH Questions</v>
      </c>
      <c r="H657" s="188" t="str">
        <f>IFERROR(__xludf.DUMMYFUNCTION("TRIM(REGEXREPLACE(D657, ""[0-9]+[a-f]?\."", """"))"),"Questions Chef de menage")</f>
        <v>Questions Chef de menage</v>
      </c>
      <c r="I657" s="188" t="str">
        <f>IFERROR(__xludf.DUMMYFUNCTION("TRIM(REGEXREPLACE(E657, ""[0-9]+[a-f]?\."", """"))"),"Tambayoyin mai gida")</f>
        <v>Tambayoyin mai gida</v>
      </c>
      <c r="J657" s="188" t="s">
        <v>5196</v>
      </c>
      <c r="K657" s="188" t="s">
        <v>5197</v>
      </c>
      <c r="L657" s="188" t="s">
        <v>5199</v>
      </c>
    </row>
    <row r="658" hidden="1">
      <c r="A658" s="319"/>
      <c r="B658" s="319"/>
      <c r="C658" s="190"/>
      <c r="D658" s="190"/>
      <c r="E658" s="190"/>
      <c r="F658" s="195">
        <v>399.0</v>
      </c>
      <c r="G658" s="188" t="str">
        <f>IFERROR(__xludf.DUMMYFUNCTION("TRIM(REGEXREPLACE(C658, ""[0-9]+[a-f]?\."", """"))"),"")</f>
        <v/>
      </c>
      <c r="H658" s="188" t="str">
        <f>IFERROR(__xludf.DUMMYFUNCTION("TRIM(REGEXREPLACE(D658, ""[0-9]+[a-f]?\."", """"))"),"")</f>
        <v/>
      </c>
      <c r="I658" s="188" t="str">
        <f>IFERROR(__xludf.DUMMYFUNCTION("TRIM(REGEXREPLACE(E658, ""[0-9]+[a-f]?\."", """"))"),"")</f>
        <v/>
      </c>
      <c r="J658" s="188" t="s">
        <v>5203</v>
      </c>
      <c r="K658" s="188" t="s">
        <v>5204</v>
      </c>
      <c r="L658" s="188" t="s">
        <v>5205</v>
      </c>
    </row>
    <row r="659" hidden="1">
      <c r="A659" s="221" t="s">
        <v>256</v>
      </c>
      <c r="B659" s="198" t="s">
        <v>5206</v>
      </c>
      <c r="C659" s="190"/>
      <c r="D659" s="190"/>
      <c r="E659" s="190"/>
      <c r="F659" s="195">
        <v>414.0</v>
      </c>
      <c r="G659" s="188" t="str">
        <f>IFERROR(__xludf.DUMMYFUNCTION("TRIM(REGEXREPLACE(C659, ""[0-9]+[a-f]?\."", """"))"),"")</f>
        <v/>
      </c>
      <c r="H659" s="188" t="str">
        <f>IFERROR(__xludf.DUMMYFUNCTION("TRIM(REGEXREPLACE(D659, ""[0-9]+[a-f]?\."", """"))"),"")</f>
        <v/>
      </c>
      <c r="I659" s="188" t="str">
        <f>IFERROR(__xludf.DUMMYFUNCTION("TRIM(REGEXREPLACE(E659, ""[0-9]+[a-f]?\."", """"))"),"")</f>
        <v/>
      </c>
      <c r="J659" s="188" t="s">
        <v>5207</v>
      </c>
      <c r="K659" s="188" t="s">
        <v>5208</v>
      </c>
      <c r="L659" s="188" t="s">
        <v>5209</v>
      </c>
    </row>
    <row r="660">
      <c r="A660" s="297" t="s">
        <v>46</v>
      </c>
      <c r="B660" s="298" t="s">
        <v>5210</v>
      </c>
      <c r="C660" s="190" t="s">
        <v>5211</v>
      </c>
      <c r="D660" s="190" t="s">
        <v>5212</v>
      </c>
      <c r="E660" s="190" t="s">
        <v>5213</v>
      </c>
      <c r="F660" s="195">
        <v>355.0</v>
      </c>
      <c r="G660" s="188" t="str">
        <f>IFERROR(__xludf.DUMMYFUNCTION("TRIM(REGEXREPLACE(C660,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660" s="188" t="str">
        <f>IFERROR(__xludf.DUMMYFUNCTION("TRIM(REGEXREPLACE(D660,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660" s="188" t="str">
        <f>IFERROR(__xludf.DUMMYFUNCTION("TRIM(REGEXREPLACE(E660,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660" s="188" t="s">
        <v>5217</v>
      </c>
      <c r="K660" s="188" t="s">
        <v>5218</v>
      </c>
      <c r="L660" s="188" t="s">
        <v>5219</v>
      </c>
    </row>
    <row r="661">
      <c r="A661" s="299" t="s">
        <v>1060</v>
      </c>
      <c r="B661" s="300" t="s">
        <v>5220</v>
      </c>
      <c r="C661" s="190" t="s">
        <v>5221</v>
      </c>
      <c r="D661" s="190" t="s">
        <v>5222</v>
      </c>
      <c r="E661" s="190" t="s">
        <v>5223</v>
      </c>
      <c r="F661" s="195">
        <v>356.0</v>
      </c>
      <c r="G661" s="188" t="str">
        <f>IFERROR(__xludf.DUMMYFUNCTION("TRIM(REGEXREPLACE(C661, ""[0-9]+[a-f]?\."", """"))"),"Are there new members in the household since we last spoke to you? For reference, these are the members you mentioned:
 ${hoh_roster_list}")</f>
        <v>Are there new members in the household since we last spoke to you? For reference, these are the members you mentioned:
 ${hoh_roster_list}</v>
      </c>
      <c r="H661" s="188" t="str">
        <f>IFERROR(__xludf.DUMMYFUNCTION("TRIM(REGEXREPLACE(D661,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661" s="188" t="str">
        <f>IFERROR(__xludf.DUMMYFUNCTION("TRIM(REGEXREPLACE(E661, ""[0-9]+[a-f]?\."", """"))"),"Shin akwai sabbin membobi a gidan tun da muka yi magana da ku a ƙarshe? Don tunani, waɗannan su ne membobin da ka ambata: 
 ${hoh_roster_list}")</f>
        <v>Shin akwai sabbin membobi a gidan tun da muka yi magana da ku a ƙarshe? Don tunani, waɗannan su ne membobin da ka ambata: 
 ${hoh_roster_list}</v>
      </c>
      <c r="J661" s="188" t="s">
        <v>5226</v>
      </c>
      <c r="K661" s="188" t="s">
        <v>5227</v>
      </c>
      <c r="L661" s="188" t="s">
        <v>5228</v>
      </c>
    </row>
    <row r="662">
      <c r="A662" s="306" t="s">
        <v>247</v>
      </c>
      <c r="B662" s="307" t="s">
        <v>5229</v>
      </c>
      <c r="C662" s="190" t="s">
        <v>5230</v>
      </c>
      <c r="D662" s="190" t="s">
        <v>5232</v>
      </c>
      <c r="E662" s="190" t="s">
        <v>5234</v>
      </c>
      <c r="F662" s="195">
        <v>357.0</v>
      </c>
      <c r="G662" s="188" t="str">
        <f>IFERROR(__xludf.DUMMYFUNCTION("TRIM(REGEXREPLACE(C662, ""[0-9]+[a-f]?\."", """"))"),"How many?")</f>
        <v>How many?</v>
      </c>
      <c r="H662" s="188" t="str">
        <f>IFERROR(__xludf.DUMMYFUNCTION("TRIM(REGEXREPLACE(D662, ""[0-9]+[a-f]?\."", """"))"),"Combien?")</f>
        <v>Combien?</v>
      </c>
      <c r="I662" s="188" t="str">
        <f>IFERROR(__xludf.DUMMYFUNCTION("TRIM(REGEXREPLACE(E662, ""[0-9]+[a-f]?\."", """"))"),"Nawa?")</f>
        <v>Nawa?</v>
      </c>
      <c r="J662" s="188" t="s">
        <v>5236</v>
      </c>
      <c r="K662" s="188" t="s">
        <v>5237</v>
      </c>
      <c r="L662" s="188" t="s">
        <v>5238</v>
      </c>
    </row>
    <row r="663" hidden="1">
      <c r="A663" s="319"/>
      <c r="B663" s="319"/>
      <c r="C663" s="190"/>
      <c r="D663" s="190"/>
      <c r="E663" s="190"/>
      <c r="F663" s="195">
        <v>402.0</v>
      </c>
      <c r="G663" s="188" t="str">
        <f>IFERROR(__xludf.DUMMYFUNCTION("TRIM(REGEXREPLACE(C663, ""[0-9]+[a-f]?\."", """"))"),"")</f>
        <v/>
      </c>
      <c r="H663" s="188" t="str">
        <f>IFERROR(__xludf.DUMMYFUNCTION("TRIM(REGEXREPLACE(D663, ""[0-9]+[a-f]?\."", """"))"),"")</f>
        <v/>
      </c>
      <c r="I663" s="188" t="str">
        <f>IFERROR(__xludf.DUMMYFUNCTION("TRIM(REGEXREPLACE(E663, ""[0-9]+[a-f]?\."", """"))"),"")</f>
        <v/>
      </c>
      <c r="J663" s="188" t="s">
        <v>5241</v>
      </c>
      <c r="K663" s="188" t="s">
        <v>5242</v>
      </c>
      <c r="L663" s="188" t="s">
        <v>5243</v>
      </c>
    </row>
    <row r="664" hidden="1">
      <c r="A664" s="305" t="s">
        <v>385</v>
      </c>
      <c r="B664" s="223" t="s">
        <v>5244</v>
      </c>
      <c r="C664" s="190" t="s">
        <v>5245</v>
      </c>
      <c r="D664" s="190"/>
      <c r="E664" s="190"/>
      <c r="F664" s="195">
        <v>411.0</v>
      </c>
      <c r="G664" s="188" t="str">
        <f>IFERROR(__xludf.DUMMYFUNCTION("TRIM(REGEXREPLACE(C664, ""[0-9]+[a-f]?\."", """"))"),"Add new members to existing roster")</f>
        <v>Add new members to existing roster</v>
      </c>
      <c r="H664" s="188" t="str">
        <f>IFERROR(__xludf.DUMMYFUNCTION("TRIM(REGEXREPLACE(D664, ""[0-9]+[a-f]?\."", """"))"),"")</f>
        <v/>
      </c>
      <c r="I664" s="188" t="str">
        <f>IFERROR(__xludf.DUMMYFUNCTION("TRIM(REGEXREPLACE(E664, ""[0-9]+[a-f]?\."", """"))"),"")</f>
        <v/>
      </c>
      <c r="J664" s="188" t="s">
        <v>5248</v>
      </c>
      <c r="K664" s="188" t="s">
        <v>5249</v>
      </c>
      <c r="L664" s="188" t="s">
        <v>5250</v>
      </c>
    </row>
    <row r="665" hidden="1">
      <c r="A665" s="221" t="s">
        <v>112</v>
      </c>
      <c r="B665" s="198" t="s">
        <v>5251</v>
      </c>
      <c r="C665" s="190" t="s">
        <v>5252</v>
      </c>
      <c r="D665" s="190"/>
      <c r="E665" s="190"/>
    </row>
    <row r="666" hidden="1">
      <c r="A666" s="221" t="s">
        <v>112</v>
      </c>
      <c r="B666" s="198" t="s">
        <v>5254</v>
      </c>
      <c r="C666" s="190"/>
      <c r="D666" s="190"/>
      <c r="E666" s="190"/>
      <c r="F666" s="195">
        <v>416.0</v>
      </c>
      <c r="G666" s="188" t="str">
        <f>IFERROR(__xludf.DUMMYFUNCTION("TRIM(REGEXREPLACE(C666, ""[0-9]+[a-f]?\."", """"))"),"")</f>
        <v/>
      </c>
      <c r="H666" s="188" t="str">
        <f>IFERROR(__xludf.DUMMYFUNCTION("TRIM(REGEXREPLACE(D666, ""[0-9]+[a-f]?\."", """"))"),"")</f>
        <v/>
      </c>
      <c r="I666" s="188" t="str">
        <f>IFERROR(__xludf.DUMMYFUNCTION("TRIM(REGEXREPLACE(E666, ""[0-9]+[a-f]?\."", """"))"),"")</f>
        <v/>
      </c>
      <c r="J666" s="188" t="s">
        <v>5256</v>
      </c>
      <c r="K666" s="188" t="s">
        <v>5257</v>
      </c>
      <c r="L666" s="188" t="s">
        <v>5257</v>
      </c>
    </row>
    <row r="667" hidden="1">
      <c r="A667" s="221" t="s">
        <v>112</v>
      </c>
      <c r="B667" s="198" t="s">
        <v>5260</v>
      </c>
      <c r="C667" s="190"/>
      <c r="D667" s="190"/>
      <c r="E667" s="190"/>
      <c r="F667" s="195">
        <v>413.0</v>
      </c>
      <c r="G667" s="188" t="str">
        <f>IFERROR(__xludf.DUMMYFUNCTION("TRIM(REGEXREPLACE(C667, ""[0-9]+[a-f]?\."", """"))"),"")</f>
        <v/>
      </c>
      <c r="H667" s="188" t="str">
        <f>IFERROR(__xludf.DUMMYFUNCTION("TRIM(REGEXREPLACE(D667, ""[0-9]+[a-f]?\."", """"))"),"")</f>
        <v/>
      </c>
      <c r="I667" s="188" t="str">
        <f>IFERROR(__xludf.DUMMYFUNCTION("TRIM(REGEXREPLACE(E667, ""[0-9]+[a-f]?\."", """"))"),"")</f>
        <v/>
      </c>
      <c r="J667" s="188" t="s">
        <v>5261</v>
      </c>
      <c r="K667" s="188" t="s">
        <v>5262</v>
      </c>
      <c r="L667" s="188" t="s">
        <v>5263</v>
      </c>
    </row>
    <row r="668" hidden="1">
      <c r="A668" s="221" t="s">
        <v>112</v>
      </c>
      <c r="B668" s="198" t="s">
        <v>5264</v>
      </c>
      <c r="C668" s="190"/>
      <c r="D668" s="190"/>
      <c r="E668" s="190"/>
      <c r="F668" s="195">
        <v>175.0</v>
      </c>
      <c r="G668" s="188" t="str">
        <f>IFERROR(__xludf.DUMMYFUNCTION("TRIM(REGEXREPLACE(C668, ""[0-9]+[a-f]?\."", """"))"),"")</f>
        <v/>
      </c>
      <c r="H668" s="188" t="str">
        <f>IFERROR(__xludf.DUMMYFUNCTION("TRIM(REGEXREPLACE(D668, ""[0-9]+[a-f]?\."", """"))"),"")</f>
        <v/>
      </c>
      <c r="I668" s="188" t="str">
        <f>IFERROR(__xludf.DUMMYFUNCTION("TRIM(REGEXREPLACE(E668, ""[0-9]+[a-f]?\."", """"))"),"")</f>
        <v/>
      </c>
      <c r="J668" s="188" t="str">
        <f t="shared" ref="J668:L668" si="53">$F668 &amp; ". "&amp;G668</f>
        <v>175. </v>
      </c>
      <c r="K668" s="188" t="str">
        <f t="shared" si="53"/>
        <v>175. </v>
      </c>
      <c r="L668" s="188" t="str">
        <f t="shared" si="53"/>
        <v>175. </v>
      </c>
    </row>
    <row r="669" hidden="1">
      <c r="A669" s="310" t="s">
        <v>278</v>
      </c>
      <c r="B669" s="311" t="s">
        <v>5270</v>
      </c>
      <c r="C669" s="190" t="s">
        <v>5271</v>
      </c>
      <c r="D669" s="190"/>
      <c r="E669" s="190"/>
      <c r="F669" s="195">
        <v>176.0</v>
      </c>
      <c r="G669" s="188" t="str">
        <f>IFERROR(__xludf.DUMMYFUNCTION("TRIM(REGEXREPLACE(C669, ""[0-9]+[a-f]?\."", """"))"),"Name")</f>
        <v>Name</v>
      </c>
      <c r="H669" s="188" t="str">
        <f>IFERROR(__xludf.DUMMYFUNCTION("TRIM(REGEXREPLACE(D669, ""[0-9]+[a-f]?\."", """"))"),"")</f>
        <v/>
      </c>
      <c r="I669" s="188" t="str">
        <f>IFERROR(__xludf.DUMMYFUNCTION("TRIM(REGEXREPLACE(E669, ""[0-9]+[a-f]?\."", """"))"),"")</f>
        <v/>
      </c>
      <c r="J669" s="188" t="str">
        <f t="shared" ref="J669:L669" si="54">$F669 &amp; ". "&amp;G669</f>
        <v>176. Name</v>
      </c>
      <c r="K669" s="188" t="str">
        <f t="shared" si="54"/>
        <v>176. </v>
      </c>
      <c r="L669" s="188" t="str">
        <f t="shared" si="54"/>
        <v>176. </v>
      </c>
    </row>
    <row r="670">
      <c r="A670" s="301" t="s">
        <v>220</v>
      </c>
      <c r="B670" s="302" t="s">
        <v>5273</v>
      </c>
      <c r="C670" s="190" t="s">
        <v>5274</v>
      </c>
      <c r="D670" s="190" t="s">
        <v>5275</v>
      </c>
      <c r="E670" s="190" t="s">
        <v>5276</v>
      </c>
      <c r="F670" s="195">
        <v>358.0</v>
      </c>
      <c r="G670" s="188" t="str">
        <f>IFERROR(__xludf.DUMMYFUNCTION("TRIM(REGEXREPLACE(C670, ""[0-9]+[a-f]?\."", """"))"),"What is the last name of ${hoh_hhtext}?")</f>
        <v>What is the last name of ${hoh_hhtext}?</v>
      </c>
      <c r="H670" s="188" t="str">
        <f>IFERROR(__xludf.DUMMYFUNCTION("TRIM(REGEXREPLACE(D670, ""[0-9]+[a-f]?\."", """"))"),"Quel est le nom de ${hoh_hhtextfrench} ?")</f>
        <v>Quel est le nom de ${hoh_hhtextfrench} ?</v>
      </c>
      <c r="I670" s="188" t="str">
        <f>IFERROR(__xludf.DUMMYFUNCTION("TRIM(REGEXREPLACE(E670, ""[0-9]+[a-f]?\."", """"))"),"Menene sunan uban ${hoh_hhtexthausa}?")</f>
        <v>Menene sunan uban ${hoh_hhtexthausa}?</v>
      </c>
      <c r="J670" s="188" t="s">
        <v>5277</v>
      </c>
      <c r="K670" s="188" t="s">
        <v>5278</v>
      </c>
      <c r="L670" s="188" t="s">
        <v>5279</v>
      </c>
    </row>
    <row r="671">
      <c r="A671" s="301" t="s">
        <v>220</v>
      </c>
      <c r="B671" s="302" t="s">
        <v>5280</v>
      </c>
      <c r="C671" s="190" t="s">
        <v>5282</v>
      </c>
      <c r="D671" s="190" t="s">
        <v>5283</v>
      </c>
      <c r="E671" s="190" t="s">
        <v>5284</v>
      </c>
      <c r="F671" s="195">
        <v>359.0</v>
      </c>
      <c r="G671" s="188" t="str">
        <f>IFERROR(__xludf.DUMMYFUNCTION("TRIM(REGEXREPLACE(C671, ""[0-9]+[a-f]?\."", """"))"),"What is the first name of ${hoh_hhtext}?")</f>
        <v>What is the first name of ${hoh_hhtext}?</v>
      </c>
      <c r="H671" s="188" t="str">
        <f>IFERROR(__xludf.DUMMYFUNCTION("TRIM(REGEXREPLACE(D671, ""[0-9]+[a-f]?\."", """"))"),"Quel est le prenom de cette personne ${hoh_hhtextfrench} ?")</f>
        <v>Quel est le prenom de cette personne ${hoh_hhtextfrench} ?</v>
      </c>
      <c r="I671" s="188" t="str">
        <f>IFERROR(__xludf.DUMMYFUNCTION("TRIM(REGEXREPLACE(E671, ""[0-9]+[a-f]?\."", """"))"),"Menene sunan ${hoh_hhtexthausa}?")</f>
        <v>Menene sunan ${hoh_hhtexthausa}?</v>
      </c>
      <c r="J671" s="188" t="s">
        <v>5285</v>
      </c>
      <c r="K671" s="188" t="s">
        <v>5286</v>
      </c>
      <c r="L671" s="188" t="s">
        <v>5287</v>
      </c>
    </row>
    <row r="672" hidden="1">
      <c r="A672" s="310" t="s">
        <v>331</v>
      </c>
      <c r="B672" s="315" t="s">
        <v>5270</v>
      </c>
      <c r="C672" s="190"/>
      <c r="D672" s="190"/>
      <c r="E672" s="190"/>
      <c r="F672" s="195">
        <v>419.0</v>
      </c>
      <c r="G672" s="188" t="str">
        <f>IFERROR(__xludf.DUMMYFUNCTION("TRIM(REGEXREPLACE(C672, ""[0-9]+[a-f]?\."", """"))"),"")</f>
        <v/>
      </c>
      <c r="H672" s="188" t="str">
        <f>IFERROR(__xludf.DUMMYFUNCTION("TRIM(REGEXREPLACE(D672, ""[0-9]+[a-f]?\."", """"))"),"")</f>
        <v/>
      </c>
      <c r="I672" s="188" t="str">
        <f>IFERROR(__xludf.DUMMYFUNCTION("TRIM(REGEXREPLACE(E672, ""[0-9]+[a-f]?\."", """"))"),"")</f>
        <v/>
      </c>
      <c r="J672" s="188" t="s">
        <v>5289</v>
      </c>
      <c r="K672" s="188" t="s">
        <v>5290</v>
      </c>
      <c r="L672" s="188" t="s">
        <v>5291</v>
      </c>
    </row>
    <row r="673" hidden="1">
      <c r="A673" s="221" t="s">
        <v>112</v>
      </c>
      <c r="B673" s="198" t="s">
        <v>5294</v>
      </c>
      <c r="C673" s="190"/>
      <c r="D673" s="190"/>
      <c r="E673" s="190"/>
      <c r="F673" s="195">
        <v>178.0</v>
      </c>
      <c r="G673" s="188" t="str">
        <f>IFERROR(__xludf.DUMMYFUNCTION("TRIM(REGEXREPLACE(C673, ""[0-9]+[a-f]?\."", """"))"),"")</f>
        <v/>
      </c>
      <c r="H673" s="188" t="str">
        <f>IFERROR(__xludf.DUMMYFUNCTION("TRIM(REGEXREPLACE(D673, ""[0-9]+[a-f]?\."", """"))"),"")</f>
        <v/>
      </c>
      <c r="I673" s="188" t="str">
        <f>IFERROR(__xludf.DUMMYFUNCTION("TRIM(REGEXREPLACE(E673, ""[0-9]+[a-f]?\."", """"))"),"")</f>
        <v/>
      </c>
      <c r="J673" s="188" t="str">
        <f t="shared" ref="J673:L673" si="55">$F673 &amp; ". "&amp;G673</f>
        <v>178. </v>
      </c>
      <c r="K673" s="188" t="str">
        <f t="shared" si="55"/>
        <v>178. </v>
      </c>
      <c r="L673" s="188" t="str">
        <f t="shared" si="55"/>
        <v>178. </v>
      </c>
    </row>
    <row r="674">
      <c r="A674" s="299" t="s">
        <v>5296</v>
      </c>
      <c r="B674" s="300" t="s">
        <v>5297</v>
      </c>
      <c r="C674" s="190" t="s">
        <v>5298</v>
      </c>
      <c r="D674" s="190" t="s">
        <v>5299</v>
      </c>
      <c r="E674" s="190" t="s">
        <v>5300</v>
      </c>
      <c r="F674" s="195">
        <v>360.0</v>
      </c>
      <c r="G674" s="188" t="str">
        <f>IFERROR(__xludf.DUMMYFUNCTION("TRIM(REGEXREPLACE(C674, ""[0-9]+[a-f]?\."", """"))"),"What is ${hoh_new_mem_name}'s relationship to you, the household head?")</f>
        <v>What is ${hoh_new_mem_name}'s relationship to you, the household head?</v>
      </c>
      <c r="H674" s="188" t="str">
        <f>IFERROR(__xludf.DUMMYFUNCTION("TRIM(REGEXREPLACE(D674, ""[0-9]+[a-f]?\."", """"))"),"Quelle est la relation entre ${hoh_new_mem_name} et vous, le chef de ménage ?")</f>
        <v>Quelle est la relation entre ${hoh_new_mem_name} et vous, le chef de ménage ?</v>
      </c>
      <c r="I674" s="188" t="str">
        <f>IFERROR(__xludf.DUMMYFUNCTION("TRIM(REGEXREPLACE(E674, ""[0-9]+[a-f]?\."", """"))"),"Menene alaƙa tsakanin ${hoh_new_mem_name} da, mai gida?")</f>
        <v>Menene alaƙa tsakanin ${hoh_new_mem_name} da, mai gida?</v>
      </c>
      <c r="J674" s="188" t="s">
        <v>5301</v>
      </c>
      <c r="K674" s="188" t="s">
        <v>5302</v>
      </c>
      <c r="L674" s="188" t="s">
        <v>5303</v>
      </c>
    </row>
    <row r="675">
      <c r="A675" s="299" t="s">
        <v>5304</v>
      </c>
      <c r="B675" s="300" t="s">
        <v>5305</v>
      </c>
      <c r="C675" s="190" t="s">
        <v>5306</v>
      </c>
      <c r="D675" s="190" t="s">
        <v>5307</v>
      </c>
      <c r="E675" s="190" t="s">
        <v>5308</v>
      </c>
      <c r="F675" s="195">
        <v>361.0</v>
      </c>
      <c r="G675" s="188" t="str">
        <f>IFERROR(__xludf.DUMMYFUNCTION("TRIM(REGEXREPLACE(C675, ""[0-9]+[a-f]?\."", """"))"),"What is ${hoh_new_mem_name}'s sex?")</f>
        <v>What is ${hoh_new_mem_name}'s sex?</v>
      </c>
      <c r="H675" s="188" t="str">
        <f>IFERROR(__xludf.DUMMYFUNCTION("TRIM(REGEXREPLACE(D675, ""[0-9]+[a-f]?\."", """"))"),"Quel est le sexe de ${hoh_new_mem_name} ?")</f>
        <v>Quel est le sexe de ${hoh_new_mem_name} ?</v>
      </c>
      <c r="I675" s="188" t="str">
        <f>IFERROR(__xludf.DUMMYFUNCTION("TRIM(REGEXREPLACE(E675, ""[0-9]+[a-f]?\."", """"))"),"Menene jinsin ${hoh_new_mem_name}?")</f>
        <v>Menene jinsin ${hoh_new_mem_name}?</v>
      </c>
      <c r="J675" s="188" t="s">
        <v>5309</v>
      </c>
      <c r="K675" s="188" t="s">
        <v>5310</v>
      </c>
      <c r="L675" s="188" t="s">
        <v>5311</v>
      </c>
    </row>
    <row r="676">
      <c r="A676" s="306" t="s">
        <v>247</v>
      </c>
      <c r="B676" s="307" t="s">
        <v>5312</v>
      </c>
      <c r="C676" s="190" t="s">
        <v>5313</v>
      </c>
      <c r="D676" s="190" t="s">
        <v>5314</v>
      </c>
      <c r="E676" s="190" t="s">
        <v>5315</v>
      </c>
      <c r="F676" s="195">
        <v>362.0</v>
      </c>
      <c r="G676" s="188" t="str">
        <f>IFERROR(__xludf.DUMMYFUNCTION("TRIM(REGEXREPLACE(C676, ""[0-9]+[a-f]?\."", """"))"),"What is ${hoh_new_mem_name}'s age?")</f>
        <v>What is ${hoh_new_mem_name}'s age?</v>
      </c>
      <c r="H676" s="188" t="str">
        <f>IFERROR(__xludf.DUMMYFUNCTION("TRIM(REGEXREPLACE(D676, ""[0-9]+[a-f]?\."", """"))"),"Quel âge a ${hoh_new_mem_name} ?")</f>
        <v>Quel âge a ${hoh_new_mem_name} ?</v>
      </c>
      <c r="I676" s="188" t="str">
        <f>IFERROR(__xludf.DUMMYFUNCTION("TRIM(REGEXREPLACE(E676, ""[0-9]+[a-f]?\."", """"))"),"${hoh_new_mem_name} Shekarun shi/ta nawa?")</f>
        <v>${hoh_new_mem_name} Shekarun shi/ta nawa?</v>
      </c>
      <c r="J676" s="188" t="s">
        <v>5316</v>
      </c>
      <c r="K676" s="188" t="s">
        <v>5317</v>
      </c>
      <c r="L676" s="188" t="s">
        <v>5318</v>
      </c>
    </row>
    <row r="677" hidden="1">
      <c r="A677" s="305" t="s">
        <v>450</v>
      </c>
      <c r="B677" s="224" t="s">
        <v>5244</v>
      </c>
      <c r="C677" s="190" t="s">
        <v>5245</v>
      </c>
      <c r="D677" s="190"/>
      <c r="E677" s="190"/>
      <c r="F677" s="195">
        <v>181.0</v>
      </c>
      <c r="G677" s="188" t="str">
        <f>IFERROR(__xludf.DUMMYFUNCTION("TRIM(REGEXREPLACE(C677, ""[0-9]+[a-f]?\."", """"))"),"Add new members to existing roster")</f>
        <v>Add new members to existing roster</v>
      </c>
      <c r="H677" s="188" t="str">
        <f>IFERROR(__xludf.DUMMYFUNCTION("TRIM(REGEXREPLACE(D677, ""[0-9]+[a-f]?\."", """"))"),"")</f>
        <v/>
      </c>
      <c r="I677" s="188" t="str">
        <f>IFERROR(__xludf.DUMMYFUNCTION("TRIM(REGEXREPLACE(E677, ""[0-9]+[a-f]?\."", """"))"),"")</f>
        <v/>
      </c>
      <c r="J677" s="188" t="str">
        <f t="shared" ref="J677:L677" si="56">$F677 &amp; ". "&amp;G677</f>
        <v>181. Add new members to existing roster</v>
      </c>
      <c r="K677" s="188" t="str">
        <f t="shared" si="56"/>
        <v>181. </v>
      </c>
      <c r="L677" s="188" t="str">
        <f t="shared" si="56"/>
        <v>181. </v>
      </c>
    </row>
    <row r="678" hidden="1">
      <c r="A678" s="221" t="s">
        <v>256</v>
      </c>
      <c r="B678" s="198" t="s">
        <v>5320</v>
      </c>
      <c r="C678" s="190"/>
      <c r="D678" s="190"/>
      <c r="E678" s="190"/>
      <c r="F678" s="195">
        <v>182.0</v>
      </c>
      <c r="G678" s="188" t="str">
        <f>IFERROR(__xludf.DUMMYFUNCTION("TRIM(REGEXREPLACE(C678, ""[0-9]+[a-f]?\."", """"))"),"")</f>
        <v/>
      </c>
      <c r="H678" s="188" t="str">
        <f>IFERROR(__xludf.DUMMYFUNCTION("TRIM(REGEXREPLACE(D678, ""[0-9]+[a-f]?\."", """"))"),"")</f>
        <v/>
      </c>
      <c r="I678" s="188" t="str">
        <f>IFERROR(__xludf.DUMMYFUNCTION("TRIM(REGEXREPLACE(E678, ""[0-9]+[a-f]?\."", """"))"),"")</f>
        <v/>
      </c>
      <c r="J678" s="188" t="str">
        <f t="shared" ref="J678:L678" si="57">$F678 &amp; ". "&amp;G678</f>
        <v>182. </v>
      </c>
      <c r="K678" s="188" t="str">
        <f t="shared" si="57"/>
        <v>182. </v>
      </c>
      <c r="L678" s="188" t="str">
        <f t="shared" si="57"/>
        <v>182. </v>
      </c>
    </row>
    <row r="679" hidden="1">
      <c r="A679" s="221" t="s">
        <v>112</v>
      </c>
      <c r="B679" s="198" t="s">
        <v>5321</v>
      </c>
      <c r="C679" s="190"/>
      <c r="D679" s="190"/>
      <c r="E679" s="190"/>
      <c r="F679" s="195">
        <v>420.0</v>
      </c>
      <c r="G679" s="188" t="str">
        <f>IFERROR(__xludf.DUMMYFUNCTION("TRIM(REGEXREPLACE(C679, ""[0-9]+[a-f]?\."", """"))"),"")</f>
        <v/>
      </c>
      <c r="H679" s="188" t="str">
        <f>IFERROR(__xludf.DUMMYFUNCTION("TRIM(REGEXREPLACE(D679, ""[0-9]+[a-f]?\."", """"))"),"")</f>
        <v/>
      </c>
      <c r="I679" s="188" t="str">
        <f>IFERROR(__xludf.DUMMYFUNCTION("TRIM(REGEXREPLACE(E679, ""[0-9]+[a-f]?\."", """"))"),"")</f>
        <v/>
      </c>
      <c r="J679" s="188" t="s">
        <v>5322</v>
      </c>
      <c r="K679" s="188" t="s">
        <v>5323</v>
      </c>
      <c r="L679" s="188" t="s">
        <v>5324</v>
      </c>
    </row>
    <row r="680" hidden="1">
      <c r="A680" s="221" t="s">
        <v>112</v>
      </c>
      <c r="B680" s="198" t="s">
        <v>5325</v>
      </c>
      <c r="C680" s="190"/>
      <c r="D680" s="190"/>
      <c r="E680" s="190"/>
      <c r="F680" s="195">
        <v>421.0</v>
      </c>
      <c r="G680" s="188" t="str">
        <f>IFERROR(__xludf.DUMMYFUNCTION("TRIM(REGEXREPLACE(C680, ""[0-9]+[a-f]?\."", """"))"),"")</f>
        <v/>
      </c>
      <c r="H680" s="188" t="str">
        <f>IFERROR(__xludf.DUMMYFUNCTION("TRIM(REGEXREPLACE(D680, ""[0-9]+[a-f]?\."", """"))"),"")</f>
        <v/>
      </c>
      <c r="I680" s="188" t="str">
        <f>IFERROR(__xludf.DUMMYFUNCTION("TRIM(REGEXREPLACE(E680, ""[0-9]+[a-f]?\."", """"))"),"")</f>
        <v/>
      </c>
      <c r="J680" s="188" t="s">
        <v>5326</v>
      </c>
      <c r="K680" s="188" t="s">
        <v>5327</v>
      </c>
      <c r="L680" s="188" t="s">
        <v>5328</v>
      </c>
    </row>
    <row r="681">
      <c r="A681" s="297" t="s">
        <v>46</v>
      </c>
      <c r="B681" s="298" t="s">
        <v>5329</v>
      </c>
      <c r="C681" s="190" t="s">
        <v>5330</v>
      </c>
      <c r="D681" s="190" t="s">
        <v>5331</v>
      </c>
      <c r="E681" s="190" t="s">
        <v>5332</v>
      </c>
      <c r="F681" s="195">
        <v>363.0</v>
      </c>
      <c r="G681" s="188" t="str">
        <f>IFERROR(__xludf.DUMMYFUNCTION("TRIM(REGEXREPLACE(C681, ""[0-9]+[a-f]?\."", """"))"),"I want to ask a few questions about the members of your household who are currently residing here.")</f>
        <v>I want to ask a few questions about the members of your household who are currently residing here.</v>
      </c>
      <c r="H681" s="188" t="str">
        <f>IFERROR(__xludf.DUMMYFUNCTION("TRIM(REGEXREPLACE(D681, ""[0-9]+[a-f]?\."", """"))"),"Je veux poser quelques questions sur les membres de votre ménage qui résident actuellement ici.")</f>
        <v>Je veux poser quelques questions sur les membres de votre ménage qui résident actuellement ici.</v>
      </c>
      <c r="I681" s="188" t="str">
        <f>IFERROR(__xludf.DUMMYFUNCTION("TRIM(REGEXREPLACE(E681, ""[0-9]+[a-f]?\."", """"))"),"Ina so in muku ƴan tambayoyi bisa yan gidanku da ke zaune a gida a yanzu.")</f>
        <v>Ina so in muku ƴan tambayoyi bisa yan gidanku da ke zaune a gida a yanzu.</v>
      </c>
      <c r="J681" s="188" t="s">
        <v>5333</v>
      </c>
      <c r="K681" s="188" t="s">
        <v>5334</v>
      </c>
      <c r="L681" s="188" t="s">
        <v>5335</v>
      </c>
    </row>
    <row r="682" hidden="1">
      <c r="A682" s="319"/>
      <c r="B682" s="319"/>
      <c r="C682" s="190"/>
      <c r="D682" s="190"/>
      <c r="E682" s="190"/>
      <c r="F682" s="195">
        <v>423.0</v>
      </c>
      <c r="G682" s="188" t="str">
        <f>IFERROR(__xludf.DUMMYFUNCTION("TRIM(REGEXREPLACE(C682, ""[0-9]+[a-f]?\."", """"))"),"")</f>
        <v/>
      </c>
      <c r="H682" s="188" t="str">
        <f>IFERROR(__xludf.DUMMYFUNCTION("TRIM(REGEXREPLACE(D682, ""[0-9]+[a-f]?\."", """"))"),"")</f>
        <v/>
      </c>
      <c r="I682" s="188" t="str">
        <f>IFERROR(__xludf.DUMMYFUNCTION("TRIM(REGEXREPLACE(E682, ""[0-9]+[a-f]?\."", """"))"),"")</f>
        <v/>
      </c>
      <c r="J682" s="188" t="s">
        <v>5336</v>
      </c>
      <c r="K682" s="188" t="s">
        <v>5337</v>
      </c>
      <c r="L682" s="188" t="s">
        <v>5338</v>
      </c>
    </row>
    <row r="683" hidden="1">
      <c r="A683" s="305" t="s">
        <v>385</v>
      </c>
      <c r="B683" s="223" t="s">
        <v>5340</v>
      </c>
      <c r="C683" s="190" t="s">
        <v>5341</v>
      </c>
      <c r="D683" s="190"/>
      <c r="E683" s="190"/>
      <c r="F683" s="195">
        <v>183.0</v>
      </c>
      <c r="G683" s="188" t="str">
        <f>IFERROR(__xludf.DUMMYFUNCTION("TRIM(REGEXREPLACE(C683, ""[0-9]+[a-f]?\."", """"))"),"Roster")</f>
        <v>Roster</v>
      </c>
      <c r="H683" s="188" t="str">
        <f>IFERROR(__xludf.DUMMYFUNCTION("TRIM(REGEXREPLACE(D683, ""[0-9]+[a-f]?\."", """"))"),"")</f>
        <v/>
      </c>
      <c r="I683" s="188" t="str">
        <f>IFERROR(__xludf.DUMMYFUNCTION("TRIM(REGEXREPLACE(E683, ""[0-9]+[a-f]?\."", """"))"),"")</f>
        <v/>
      </c>
      <c r="J683" s="188" t="str">
        <f t="shared" ref="J683:L683" si="58">$F683 &amp; ". "&amp;G683</f>
        <v>183. Roster</v>
      </c>
      <c r="K683" s="188" t="str">
        <f t="shared" si="58"/>
        <v>183. </v>
      </c>
      <c r="L683" s="188" t="str">
        <f t="shared" si="58"/>
        <v>183. </v>
      </c>
    </row>
    <row r="684" hidden="1">
      <c r="A684" s="221" t="s">
        <v>256</v>
      </c>
      <c r="B684" s="198" t="s">
        <v>5342</v>
      </c>
      <c r="C684" s="190"/>
      <c r="D684" s="190"/>
      <c r="E684" s="190"/>
      <c r="F684" s="195">
        <v>184.0</v>
      </c>
      <c r="G684" s="188" t="str">
        <f>IFERROR(__xludf.DUMMYFUNCTION("TRIM(REGEXREPLACE(C684, ""[0-9]+[a-f]?\."", """"))"),"")</f>
        <v/>
      </c>
      <c r="H684" s="188" t="str">
        <f>IFERROR(__xludf.DUMMYFUNCTION("TRIM(REGEXREPLACE(D684, ""[0-9]+[a-f]?\."", """"))"),"")</f>
        <v/>
      </c>
      <c r="I684" s="188" t="str">
        <f>IFERROR(__xludf.DUMMYFUNCTION("TRIM(REGEXREPLACE(E684, ""[0-9]+[a-f]?\."", """"))"),"")</f>
        <v/>
      </c>
      <c r="J684" s="188" t="str">
        <f t="shared" ref="J684:L684" si="59">$F684 &amp; ". "&amp;G684</f>
        <v>184. </v>
      </c>
      <c r="K684" s="188" t="str">
        <f t="shared" si="59"/>
        <v>184. </v>
      </c>
      <c r="L684" s="188" t="str">
        <f t="shared" si="59"/>
        <v>184. </v>
      </c>
    </row>
    <row r="685" hidden="1">
      <c r="A685" s="221" t="s">
        <v>112</v>
      </c>
      <c r="B685" s="198" t="s">
        <v>5343</v>
      </c>
      <c r="C685" s="190"/>
      <c r="D685" s="190"/>
      <c r="E685" s="190"/>
      <c r="F685" s="195">
        <v>185.0</v>
      </c>
      <c r="G685" s="188" t="str">
        <f>IFERROR(__xludf.DUMMYFUNCTION("TRIM(REGEXREPLACE(C685, ""[0-9]+[a-f]?\."", """"))"),"")</f>
        <v/>
      </c>
      <c r="H685" s="188" t="str">
        <f>IFERROR(__xludf.DUMMYFUNCTION("TRIM(REGEXREPLACE(D685, ""[0-9]+[a-f]?\."", """"))"),"")</f>
        <v/>
      </c>
      <c r="I685" s="188" t="str">
        <f>IFERROR(__xludf.DUMMYFUNCTION("TRIM(REGEXREPLACE(E685, ""[0-9]+[a-f]?\."", """"))"),"")</f>
        <v/>
      </c>
      <c r="J685" s="188" t="str">
        <f t="shared" ref="J685:L685" si="60">$F685 &amp; ". "&amp;G685</f>
        <v>185. </v>
      </c>
      <c r="K685" s="188" t="str">
        <f t="shared" si="60"/>
        <v>185. </v>
      </c>
      <c r="L685" s="188" t="str">
        <f t="shared" si="60"/>
        <v>185. </v>
      </c>
    </row>
    <row r="686" hidden="1">
      <c r="A686" s="221" t="s">
        <v>112</v>
      </c>
      <c r="B686" s="198" t="s">
        <v>5344</v>
      </c>
      <c r="C686" s="190" t="s">
        <v>5345</v>
      </c>
      <c r="D686" s="190"/>
      <c r="E686" s="190"/>
      <c r="F686" s="195">
        <v>414.0</v>
      </c>
      <c r="G686" s="188" t="str">
        <f>IFERROR(__xludf.DUMMYFUNCTION("TRIM(REGEXREPLACE(C686, ""[0-9]+[a-f]?\."", """"))"),"Member name from case management")</f>
        <v>Member name from case management</v>
      </c>
      <c r="H686" s="188" t="str">
        <f>IFERROR(__xludf.DUMMYFUNCTION("TRIM(REGEXREPLACE(D686, ""[0-9]+[a-f]?\."", """"))"),"")</f>
        <v/>
      </c>
      <c r="I686" s="188" t="str">
        <f>IFERROR(__xludf.DUMMYFUNCTION("TRIM(REGEXREPLACE(E686, ""[0-9]+[a-f]?\."", """"))"),"")</f>
        <v/>
      </c>
      <c r="J686" s="188" t="s">
        <v>5346</v>
      </c>
      <c r="K686" s="188" t="s">
        <v>5347</v>
      </c>
      <c r="L686" s="188" t="s">
        <v>5348</v>
      </c>
    </row>
    <row r="687" hidden="1">
      <c r="A687" s="221" t="s">
        <v>112</v>
      </c>
      <c r="B687" s="198" t="s">
        <v>5349</v>
      </c>
      <c r="C687" s="190" t="s">
        <v>5350</v>
      </c>
      <c r="D687" s="190"/>
      <c r="E687" s="190"/>
      <c r="F687" s="195">
        <v>415.0</v>
      </c>
      <c r="G687" s="188" t="str">
        <f>IFERROR(__xludf.DUMMYFUNCTION("TRIM(REGEXREPLACE(C687, ""[0-9]+[a-f]?\."", """"))"),"Member age from case management")</f>
        <v>Member age from case management</v>
      </c>
      <c r="H687" s="188" t="str">
        <f>IFERROR(__xludf.DUMMYFUNCTION("TRIM(REGEXREPLACE(D687, ""[0-9]+[a-f]?\."", """"))"),"")</f>
        <v/>
      </c>
      <c r="I687" s="188" t="str">
        <f>IFERROR(__xludf.DUMMYFUNCTION("TRIM(REGEXREPLACE(E687, ""[0-9]+[a-f]?\."", """"))"),"")</f>
        <v/>
      </c>
      <c r="J687" s="188" t="s">
        <v>5351</v>
      </c>
      <c r="K687" s="188" t="s">
        <v>5352</v>
      </c>
      <c r="L687" s="188" t="s">
        <v>5353</v>
      </c>
    </row>
    <row r="688" hidden="1">
      <c r="A688" s="221" t="s">
        <v>112</v>
      </c>
      <c r="B688" s="198" t="s">
        <v>5354</v>
      </c>
      <c r="C688" s="190" t="s">
        <v>5355</v>
      </c>
      <c r="D688" s="190"/>
      <c r="E688" s="190"/>
      <c r="F688" s="195">
        <v>425.0</v>
      </c>
      <c r="G688" s="188" t="str">
        <f>IFERROR(__xludf.DUMMYFUNCTION("TRIM(REGEXREPLACE(C688, ""[0-9]+[a-f]?\."", """"))"),"Member sex from case management")</f>
        <v>Member sex from case management</v>
      </c>
      <c r="H688" s="188" t="str">
        <f>IFERROR(__xludf.DUMMYFUNCTION("TRIM(REGEXREPLACE(D688, ""[0-9]+[a-f]?\."", """"))"),"")</f>
        <v/>
      </c>
      <c r="I688" s="188" t="str">
        <f>IFERROR(__xludf.DUMMYFUNCTION("TRIM(REGEXREPLACE(E688, ""[0-9]+[a-f]?\."", """"))"),"")</f>
        <v/>
      </c>
      <c r="J688" s="188" t="s">
        <v>5356</v>
      </c>
      <c r="K688" s="188" t="s">
        <v>5357</v>
      </c>
      <c r="L688" s="188" t="s">
        <v>5358</v>
      </c>
    </row>
    <row r="689" hidden="1">
      <c r="A689" s="221" t="s">
        <v>112</v>
      </c>
      <c r="B689" s="198" t="s">
        <v>5359</v>
      </c>
      <c r="C689" s="190"/>
      <c r="D689" s="190"/>
      <c r="E689" s="190"/>
      <c r="F689" s="195">
        <v>427.0</v>
      </c>
      <c r="G689" s="188" t="str">
        <f>IFERROR(__xludf.DUMMYFUNCTION("TRIM(REGEXREPLACE(C689, ""[0-9]+[a-f]?\."", """"))"),"")</f>
        <v/>
      </c>
      <c r="H689" s="188" t="str">
        <f>IFERROR(__xludf.DUMMYFUNCTION("TRIM(REGEXREPLACE(D689, ""[0-9]+[a-f]?\."", """"))"),"")</f>
        <v/>
      </c>
      <c r="I689" s="188" t="str">
        <f>IFERROR(__xludf.DUMMYFUNCTION("TRIM(REGEXREPLACE(E689, ""[0-9]+[a-f]?\."", """"))"),"")</f>
        <v/>
      </c>
      <c r="J689" s="188" t="s">
        <v>5361</v>
      </c>
      <c r="K689" s="188" t="s">
        <v>5362</v>
      </c>
      <c r="L689" s="188" t="s">
        <v>5364</v>
      </c>
    </row>
    <row r="690" hidden="1">
      <c r="A690" s="221" t="s">
        <v>112</v>
      </c>
      <c r="B690" s="198" t="s">
        <v>5366</v>
      </c>
      <c r="C690" s="190" t="s">
        <v>5367</v>
      </c>
      <c r="D690" s="190"/>
      <c r="E690" s="190"/>
      <c r="F690" s="195">
        <v>428.0</v>
      </c>
      <c r="G690" s="188" t="str">
        <f>IFERROR(__xludf.DUMMYFUNCTION("TRIM(REGEXREPLACE(C690, ""[0-9]+[a-f]?\."", """"))"),"New member name (only populated if no more members to enumerate in the cases data)")</f>
        <v>New member name (only populated if no more members to enumerate in the cases data)</v>
      </c>
      <c r="H690" s="188" t="str">
        <f>IFERROR(__xludf.DUMMYFUNCTION("TRIM(REGEXREPLACE(D690, ""[0-9]+[a-f]?\."", """"))"),"")</f>
        <v/>
      </c>
      <c r="I690" s="188" t="str">
        <f>IFERROR(__xludf.DUMMYFUNCTION("TRIM(REGEXREPLACE(E690, ""[0-9]+[a-f]?\."", """"))"),"")</f>
        <v/>
      </c>
      <c r="J690" s="188" t="s">
        <v>5369</v>
      </c>
      <c r="K690" s="188" t="s">
        <v>5370</v>
      </c>
      <c r="L690" s="188" t="s">
        <v>5371</v>
      </c>
    </row>
    <row r="691" hidden="1">
      <c r="A691" s="221" t="s">
        <v>112</v>
      </c>
      <c r="B691" s="198" t="s">
        <v>5372</v>
      </c>
      <c r="C691" s="190" t="s">
        <v>5373</v>
      </c>
      <c r="D691" s="190"/>
      <c r="E691" s="190"/>
      <c r="F691" s="195">
        <v>429.0</v>
      </c>
      <c r="G691" s="188" t="str">
        <f>IFERROR(__xludf.DUMMYFUNCTION("TRIM(REGEXREPLACE(C691, ""[0-9]+[a-f]?\."", """"))"),"New member age")</f>
        <v>New member age</v>
      </c>
      <c r="H691" s="188" t="str">
        <f>IFERROR(__xludf.DUMMYFUNCTION("TRIM(REGEXREPLACE(D691, ""[0-9]+[a-f]?\."", """"))"),"")</f>
        <v/>
      </c>
      <c r="I691" s="188" t="str">
        <f>IFERROR(__xludf.DUMMYFUNCTION("TRIM(REGEXREPLACE(E691, ""[0-9]+[a-f]?\."", """"))"),"")</f>
        <v/>
      </c>
      <c r="J691" s="188" t="s">
        <v>5374</v>
      </c>
      <c r="K691" s="188" t="s">
        <v>5375</v>
      </c>
      <c r="L691" s="188" t="s">
        <v>5376</v>
      </c>
    </row>
    <row r="692" hidden="1">
      <c r="A692" s="221" t="s">
        <v>112</v>
      </c>
      <c r="B692" s="198" t="s">
        <v>5380</v>
      </c>
      <c r="C692" s="190" t="s">
        <v>5381</v>
      </c>
      <c r="D692" s="190"/>
      <c r="E692" s="190"/>
    </row>
    <row r="693" hidden="1">
      <c r="A693" s="221" t="s">
        <v>112</v>
      </c>
      <c r="B693" s="198" t="s">
        <v>5382</v>
      </c>
      <c r="C693" s="190"/>
      <c r="D693" s="190"/>
      <c r="E693" s="190"/>
      <c r="F693" s="195">
        <v>186.0</v>
      </c>
      <c r="G693" s="188" t="str">
        <f>IFERROR(__xludf.DUMMYFUNCTION("TRIM(REGEXREPLACE(C693, ""[0-9]+[a-f]?\."", """"))"),"")</f>
        <v/>
      </c>
      <c r="H693" s="188" t="str">
        <f>IFERROR(__xludf.DUMMYFUNCTION("TRIM(REGEXREPLACE(D693, ""[0-9]+[a-f]?\."", """"))"),"")</f>
        <v/>
      </c>
      <c r="I693" s="188" t="str">
        <f>IFERROR(__xludf.DUMMYFUNCTION("TRIM(REGEXREPLACE(E693, ""[0-9]+[a-f]?\."", """"))"),"")</f>
        <v/>
      </c>
      <c r="J693" s="188" t="str">
        <f t="shared" ref="J693:L693" si="61">$F693 &amp; ". "&amp;G693</f>
        <v>186. </v>
      </c>
      <c r="K693" s="188" t="str">
        <f t="shared" si="61"/>
        <v>186. </v>
      </c>
      <c r="L693" s="188" t="str">
        <f t="shared" si="61"/>
        <v>186. </v>
      </c>
    </row>
    <row r="694" hidden="1">
      <c r="A694" s="221" t="s">
        <v>112</v>
      </c>
      <c r="B694" s="198" t="s">
        <v>5386</v>
      </c>
      <c r="C694" s="190"/>
      <c r="D694" s="190"/>
      <c r="E694" s="190"/>
      <c r="F694" s="195">
        <v>187.0</v>
      </c>
      <c r="G694" s="188" t="str">
        <f>IFERROR(__xludf.DUMMYFUNCTION("TRIM(REGEXREPLACE(C694, ""[0-9]+[a-f]?\."", """"))"),"")</f>
        <v/>
      </c>
      <c r="H694" s="188" t="str">
        <f>IFERROR(__xludf.DUMMYFUNCTION("TRIM(REGEXREPLACE(D694, ""[0-9]+[a-f]?\."", """"))"),"")</f>
        <v/>
      </c>
      <c r="I694" s="188" t="str">
        <f>IFERROR(__xludf.DUMMYFUNCTION("TRIM(REGEXREPLACE(E694, ""[0-9]+[a-f]?\."", """"))"),"")</f>
        <v/>
      </c>
      <c r="J694" s="188" t="str">
        <f t="shared" ref="J694:L694" si="62">$F694 &amp; ". "&amp;G694</f>
        <v>187. </v>
      </c>
      <c r="K694" s="188" t="str">
        <f t="shared" si="62"/>
        <v>187. </v>
      </c>
      <c r="L694" s="188" t="str">
        <f t="shared" si="62"/>
        <v>187. </v>
      </c>
    </row>
    <row r="695" hidden="1">
      <c r="A695" s="221" t="s">
        <v>112</v>
      </c>
      <c r="B695" s="198" t="s">
        <v>5390</v>
      </c>
      <c r="C695" s="190"/>
      <c r="D695" s="190"/>
      <c r="E695" s="190"/>
      <c r="F695" s="195">
        <v>188.0</v>
      </c>
      <c r="G695" s="188" t="str">
        <f>IFERROR(__xludf.DUMMYFUNCTION("TRIM(REGEXREPLACE(C695, ""[0-9]+[a-f]?\."", """"))"),"")</f>
        <v/>
      </c>
      <c r="H695" s="188" t="str">
        <f>IFERROR(__xludf.DUMMYFUNCTION("TRIM(REGEXREPLACE(D695, ""[0-9]+[a-f]?\."", """"))"),"")</f>
        <v/>
      </c>
      <c r="I695" s="188" t="str">
        <f>IFERROR(__xludf.DUMMYFUNCTION("TRIM(REGEXREPLACE(E695, ""[0-9]+[a-f]?\."", """"))"),"")</f>
        <v/>
      </c>
      <c r="J695" s="188" t="str">
        <f t="shared" ref="J695:L695" si="63">$F695 &amp; ". "&amp;G695</f>
        <v>188. </v>
      </c>
      <c r="K695" s="188" t="str">
        <f t="shared" si="63"/>
        <v>188. </v>
      </c>
      <c r="L695" s="188" t="str">
        <f t="shared" si="63"/>
        <v>188. </v>
      </c>
    </row>
    <row r="696">
      <c r="A696" s="297" t="s">
        <v>46</v>
      </c>
      <c r="B696" s="298" t="s">
        <v>5394</v>
      </c>
      <c r="C696" s="190" t="s">
        <v>5395</v>
      </c>
      <c r="D696" s="190" t="s">
        <v>5395</v>
      </c>
      <c r="E696" s="190" t="s">
        <v>5395</v>
      </c>
      <c r="F696" s="195">
        <v>364.0</v>
      </c>
      <c r="G696" s="188" t="str">
        <f>IFERROR(__xludf.DUMMYFUNCTION("TRIM(REGEXREPLACE(C696, ""[0-9]+[a-f]?\."", """"))"),"${hoh_roster_name}
 Sex: ${hoh_roster_sex}
 Age: ${hoh_roster_age}")</f>
        <v>${hoh_roster_name}
 Sex: ${hoh_roster_sex}
 Age: ${hoh_roster_age}</v>
      </c>
      <c r="H696" s="188" t="str">
        <f>IFERROR(__xludf.DUMMYFUNCTION("TRIM(REGEXREPLACE(D696, ""[0-9]+[a-f]?\."", """"))"),"${hoh_roster_name}
 Sex: ${hoh_roster_sex}
 Age: ${hoh_roster_age}")</f>
        <v>${hoh_roster_name}
 Sex: ${hoh_roster_sex}
 Age: ${hoh_roster_age}</v>
      </c>
      <c r="I696" s="188" t="str">
        <f>IFERROR(__xludf.DUMMYFUNCTION("TRIM(REGEXREPLACE(E696, ""[0-9]+[a-f]?\."", """"))"),"${hoh_roster_name}
 Sex: ${hoh_roster_sex}
 Age: ${hoh_roster_age}")</f>
        <v>${hoh_roster_name}
 Sex: ${hoh_roster_sex}
 Age: ${hoh_roster_age}</v>
      </c>
      <c r="J696" s="188" t="s">
        <v>5399</v>
      </c>
      <c r="K696" s="188" t="s">
        <v>5399</v>
      </c>
      <c r="L696" s="188" t="s">
        <v>5399</v>
      </c>
    </row>
    <row r="697">
      <c r="A697" s="299" t="s">
        <v>2456</v>
      </c>
      <c r="B697" s="300" t="s">
        <v>5400</v>
      </c>
      <c r="C697" s="190" t="s">
        <v>5401</v>
      </c>
      <c r="D697" s="190" t="s">
        <v>5402</v>
      </c>
      <c r="E697" s="190" t="s">
        <v>5403</v>
      </c>
      <c r="F697" s="195">
        <v>365.0</v>
      </c>
      <c r="G697" s="188" t="str">
        <f>IFERROR(__xludf.DUMMYFUNCTION("TRIM(REGEXREPLACE(C697, ""[0-9]+[a-f]?\."", """"))"),"Is ${hoh_roster_name} a Nigerien national?")</f>
        <v>Is ${hoh_roster_name} a Nigerien national?</v>
      </c>
      <c r="H697" s="188" t="str">
        <f>IFERROR(__xludf.DUMMYFUNCTION("TRIM(REGEXREPLACE(D697, ""[0-9]+[a-f]?\."", """"))"),"${hoh_roster_name} est-il un citoyen(ne) du Niger ?")</f>
        <v>${hoh_roster_name} est-il un citoyen(ne) du Niger ?</v>
      </c>
      <c r="I697" s="188" t="str">
        <f>IFERROR(__xludf.DUMMYFUNCTION("TRIM(REGEXREPLACE(E697, ""[0-9]+[a-f]?\."", """"))"),"Ko ${hoh_roster_name} ɗan ƙasar Nijar ne?")</f>
        <v>Ko ${hoh_roster_name} ɗan ƙasar Nijar ne?</v>
      </c>
      <c r="J697" s="188" t="s">
        <v>5404</v>
      </c>
      <c r="K697" s="188" t="s">
        <v>5405</v>
      </c>
      <c r="L697" s="188" t="s">
        <v>5406</v>
      </c>
    </row>
    <row r="698">
      <c r="A698" s="299" t="s">
        <v>2482</v>
      </c>
      <c r="B698" s="300" t="s">
        <v>5408</v>
      </c>
      <c r="C698" s="190" t="s">
        <v>5411</v>
      </c>
      <c r="D698" s="190" t="s">
        <v>5412</v>
      </c>
      <c r="E698" s="190" t="s">
        <v>5413</v>
      </c>
      <c r="F698" s="195">
        <v>366.0</v>
      </c>
      <c r="G698" s="188" t="str">
        <f>IFERROR(__xludf.DUMMYFUNCTION("TRIM(REGEXREPLACE(C698, ""[0-9]+[a-f]?\."", """"))"),"Where are they a cititzen of?")</f>
        <v>Where are they a cititzen of?</v>
      </c>
      <c r="H698" s="188" t="str">
        <f>IFERROR(__xludf.DUMMYFUNCTION("TRIM(REGEXREPLACE(D698, ""[0-9]+[a-f]?\."", """"))"),"D'où sont-ils citoyens ?")</f>
        <v>D'où sont-ils citoyens ?</v>
      </c>
      <c r="I698" s="188" t="str">
        <f>IFERROR(__xludf.DUMMYFUNCTION("TRIM(REGEXREPLACE(E698, ""[0-9]+[a-f]?\."", """"))"),"Ƴan wace ƙasa ce?")</f>
        <v>Ƴan wace ƙasa ce?</v>
      </c>
      <c r="J698" s="188" t="s">
        <v>5414</v>
      </c>
      <c r="K698" s="188" t="s">
        <v>5415</v>
      </c>
      <c r="L698" s="188" t="s">
        <v>5416</v>
      </c>
    </row>
    <row r="699">
      <c r="A699" s="301" t="s">
        <v>220</v>
      </c>
      <c r="B699" s="302" t="s">
        <v>5417</v>
      </c>
      <c r="C699" s="190" t="s">
        <v>5418</v>
      </c>
      <c r="D699" s="190" t="s">
        <v>5419</v>
      </c>
      <c r="E699" s="190" t="s">
        <v>5420</v>
      </c>
      <c r="F699" s="195">
        <v>367.0</v>
      </c>
      <c r="G699" s="188" t="str">
        <f>IFERROR(__xludf.DUMMYFUNCTION("TRIM(REGEXREPLACE(C699, ""[0-9]+[a-f]?\."", """"))"),"Please enter the nationality of ${hoh_roster_name}")</f>
        <v>Please enter the nationality of ${hoh_roster_name}</v>
      </c>
      <c r="H699" s="188" t="str">
        <f>IFERROR(__xludf.DUMMYFUNCTION("TRIM(REGEXREPLACE(D699, ""[0-9]+[a-f]?\."", """"))"),"Veuillez saisir la nationalité de ${hoh_roster_name}")</f>
        <v>Veuillez saisir la nationalité de ${hoh_roster_name}</v>
      </c>
      <c r="I699" s="188" t="str">
        <f>IFERROR(__xludf.DUMMYFUNCTION("TRIM(REGEXREPLACE(E699, ""[0-9]+[a-f]?\."", """"))"),"Da fatan za a shigar da ƙasar ${hoh_roster_name}")</f>
        <v>Da fatan za a shigar da ƙasar ${hoh_roster_name}</v>
      </c>
      <c r="J699" s="188" t="s">
        <v>5424</v>
      </c>
      <c r="K699" s="188" t="s">
        <v>5425</v>
      </c>
      <c r="L699" s="188" t="s">
        <v>5426</v>
      </c>
    </row>
    <row r="700">
      <c r="A700" s="299" t="s">
        <v>1060</v>
      </c>
      <c r="B700" s="300" t="s">
        <v>5427</v>
      </c>
      <c r="C700" s="190" t="s">
        <v>5428</v>
      </c>
      <c r="D700" s="190" t="s">
        <v>5429</v>
      </c>
      <c r="E700" s="190" t="s">
        <v>5430</v>
      </c>
      <c r="F700" s="195">
        <v>368.0</v>
      </c>
      <c r="G700" s="188" t="str">
        <f>IFERROR(__xludf.DUMMYFUNCTION("TRIM(REGEXREPLACE(C700, ""[0-9]+[a-f]?\."", """"))"),"Is ${hoh_roster_name} still a member of this household?")</f>
        <v>Is ${hoh_roster_name} still a member of this household?</v>
      </c>
      <c r="H700" s="188" t="str">
        <f>IFERROR(__xludf.DUMMYFUNCTION("TRIM(REGEXREPLACE(D700, ""[0-9]+[a-f]?\."", """"))"),"${hoh_roster_name} est-il toujours membre de ce ménage ?")</f>
        <v>${hoh_roster_name} est-il toujours membre de ce ménage ?</v>
      </c>
      <c r="I700" s="188" t="str">
        <f>IFERROR(__xludf.DUMMYFUNCTION("TRIM(REGEXREPLACE(E700, ""[0-9]+[a-f]?\."", """"))"),"Ko suna yana cikin ƴan gidan nan?")</f>
        <v>Ko suna yana cikin ƴan gidan nan?</v>
      </c>
      <c r="J700" s="188" t="s">
        <v>5431</v>
      </c>
      <c r="K700" s="188" t="s">
        <v>5432</v>
      </c>
      <c r="L700" s="188" t="s">
        <v>5433</v>
      </c>
    </row>
    <row r="701">
      <c r="A701" s="299" t="s">
        <v>5434</v>
      </c>
      <c r="B701" s="300" t="s">
        <v>5435</v>
      </c>
      <c r="C701" s="190" t="s">
        <v>5436</v>
      </c>
      <c r="D701" s="190" t="s">
        <v>5437</v>
      </c>
      <c r="E701" s="190" t="s">
        <v>5438</v>
      </c>
      <c r="F701" s="195">
        <v>369.0</v>
      </c>
      <c r="G701" s="188" t="str">
        <f>IFERROR(__xludf.DUMMYFUNCTION("TRIM(REGEXREPLACE(C701, ""[0-9]+[a-f]?\."", """"))"),"Why are they not a member of this household?")</f>
        <v>Why are they not a member of this household?</v>
      </c>
      <c r="H701" s="188" t="str">
        <f>IFERROR(__xludf.DUMMYFUNCTION("TRIM(REGEXREPLACE(D701, ""[0-9]+[a-f]?\."", """"))"),"Pourquoi ne font-ils pas partie de ce ménage ?")</f>
        <v>Pourquoi ne font-ils pas partie de ce ménage ?</v>
      </c>
      <c r="I701" s="188" t="str">
        <f>IFERROR(__xludf.DUMMYFUNCTION("TRIM(REGEXREPLACE(E701, ""[0-9]+[a-f]?\."", """"))"),"Me ya sa ba su cikin ƴan gidan nan ?")</f>
        <v>Me ya sa ba su cikin ƴan gidan nan ?</v>
      </c>
      <c r="J701" s="188" t="s">
        <v>5439</v>
      </c>
      <c r="K701" s="188" t="s">
        <v>5440</v>
      </c>
      <c r="L701" s="188" t="s">
        <v>5441</v>
      </c>
    </row>
    <row r="702">
      <c r="A702" s="301" t="s">
        <v>220</v>
      </c>
      <c r="B702" s="302" t="s">
        <v>5442</v>
      </c>
      <c r="C702" s="190" t="s">
        <v>5443</v>
      </c>
      <c r="D702" s="190" t="s">
        <v>5444</v>
      </c>
      <c r="E702" s="190" t="s">
        <v>5445</v>
      </c>
      <c r="F702" s="195">
        <v>370.0</v>
      </c>
      <c r="G702" s="188" t="str">
        <f>IFERROR(__xludf.DUMMYFUNCTION("TRIM(REGEXREPLACE(C702, ""[0-9]+[a-f]?\."", """"))"),"Other, specify:")</f>
        <v>Other, specify:</v>
      </c>
      <c r="H702" s="188" t="str">
        <f>IFERROR(__xludf.DUMMYFUNCTION("TRIM(REGEXREPLACE(D702, ""[0-9]+[a-f]?\."", """"))"),"Autre précisez:")</f>
        <v>Autre précisez:</v>
      </c>
      <c r="I702" s="188" t="str">
        <f>IFERROR(__xludf.DUMMYFUNCTION("TRIM(REGEXREPLACE(E702, ""[0-9]+[a-f]?\."", """"))"),"Sauran, bayar da cikakkun bayanai:")</f>
        <v>Sauran, bayar da cikakkun bayanai:</v>
      </c>
      <c r="J702" s="188" t="s">
        <v>5446</v>
      </c>
      <c r="K702" s="188" t="s">
        <v>5447</v>
      </c>
      <c r="L702" s="188" t="s">
        <v>5448</v>
      </c>
    </row>
    <row r="703">
      <c r="A703" s="342" t="s">
        <v>5296</v>
      </c>
      <c r="B703" s="343" t="s">
        <v>5450</v>
      </c>
      <c r="C703" s="190" t="s">
        <v>5451</v>
      </c>
      <c r="D703" s="190" t="s">
        <v>5452</v>
      </c>
      <c r="E703" s="190" t="s">
        <v>5453</v>
      </c>
      <c r="F703" s="195">
        <v>371.0</v>
      </c>
      <c r="G703" s="188" t="str">
        <f>IFERROR(__xludf.DUMMYFUNCTION("TRIM(REGEXREPLACE(C703, ""[0-9]+[a-f]?\."", """"))"),"Please indicate the relation of this member to ${pm_name}")</f>
        <v>Please indicate the relation of this member to ${pm_name}</v>
      </c>
      <c r="H703" s="188" t="str">
        <f>IFERROR(__xludf.DUMMYFUNCTION("TRIM(REGEXREPLACE(D703, ""[0-9]+[a-f]?\."", """"))"),"Veuillez indiquer la relation de ce membre avec ${pm_name}")</f>
        <v>Veuillez indiquer la relation de ce membre avec ${pm_name}</v>
      </c>
      <c r="I703" s="188" t="str">
        <f>IFERROR(__xludf.DUMMYFUNCTION("TRIM(REGEXREPLACE(E703, ""[0-9]+[a-f]?\."", """"))"),"Da fatan za a nuna alakar wannan memba zuwa ${pm_name}")</f>
        <v>Da fatan za a nuna alakar wannan memba zuwa ${pm_name}</v>
      </c>
      <c r="J703" s="188" t="s">
        <v>5454</v>
      </c>
      <c r="K703" s="188" t="s">
        <v>5455</v>
      </c>
      <c r="L703" s="188" t="s">
        <v>5456</v>
      </c>
    </row>
    <row r="704">
      <c r="A704" s="301" t="s">
        <v>220</v>
      </c>
      <c r="B704" s="302" t="s">
        <v>5457</v>
      </c>
      <c r="C704" s="190" t="s">
        <v>5458</v>
      </c>
      <c r="D704" s="190" t="s">
        <v>5459</v>
      </c>
      <c r="E704" s="190" t="s">
        <v>5459</v>
      </c>
      <c r="F704" s="195">
        <v>372.0</v>
      </c>
      <c r="G704" s="188" t="str">
        <f>IFERROR(__xludf.DUMMYFUNCTION("TRIM(REGEXREPLACE(C704, ""[0-9]+[a-f]?\."", """"))"),"Enumerator: Record any details about the death of the family member")</f>
        <v>Enumerator: Record any details about the death of the family member</v>
      </c>
      <c r="H704" s="188" t="str">
        <f>IFERROR(__xludf.DUMMYFUNCTION("TRIM(REGEXREPLACE(D704, ""[0-9]+[a-f]?\."", """"))"),"Enqueteur: Veuillez noter toute information pertinente concernant le décès")</f>
        <v>Enqueteur: Veuillez noter toute information pertinente concernant le décès</v>
      </c>
      <c r="I704" s="188" t="str">
        <f>IFERROR(__xludf.DUMMYFUNCTION("TRIM(REGEXREPLACE(E704, ""[0-9]+[a-f]?\."", """"))"),"Enqueteur: Veuillez noter toute information pertinente concernant le décès")</f>
        <v>Enqueteur: Veuillez noter toute information pertinente concernant le décès</v>
      </c>
      <c r="J704" s="188" t="s">
        <v>5462</v>
      </c>
      <c r="K704" s="188" t="s">
        <v>5464</v>
      </c>
      <c r="L704" s="188" t="s">
        <v>5464</v>
      </c>
    </row>
    <row r="705">
      <c r="A705" s="299" t="s">
        <v>1060</v>
      </c>
      <c r="B705" s="300" t="s">
        <v>5465</v>
      </c>
      <c r="C705" s="190" t="s">
        <v>5466</v>
      </c>
      <c r="D705" s="190" t="s">
        <v>5467</v>
      </c>
      <c r="E705" s="190" t="s">
        <v>5468</v>
      </c>
      <c r="F705" s="195">
        <v>373.0</v>
      </c>
      <c r="G705" s="188" t="str">
        <f>IFERROR(__xludf.DUMMYFUNCTION("TRIM(REGEXREPLACE(C705, ""[0-9]+[a-f]?\."", """"))"),"Is ${hoh_roster_name} currently living in your household?")</f>
        <v>Is ${hoh_roster_name} currently living in your household?</v>
      </c>
      <c r="H705" s="188" t="str">
        <f>IFERROR(__xludf.DUMMYFUNCTION("TRIM(REGEXREPLACE(D705, ""[0-9]+[a-f]?\."", """"))"),"Est-ce que ${hoh_roster_name} vit actuellement dans votre ménage ?")</f>
        <v>Est-ce que ${hoh_roster_name} vit actuellement dans votre ménage ?</v>
      </c>
      <c r="I705" s="188" t="str">
        <f>IFERROR(__xludf.DUMMYFUNCTION("TRIM(REGEXREPLACE(E705, ""[0-9]+[a-f]?\."", """"))"),"Ko ${hoh_roster_name} yana zaune a gidanku a halin yanzu ?")</f>
        <v>Ko ${hoh_roster_name} yana zaune a gidanku a halin yanzu ?</v>
      </c>
      <c r="J705" s="188" t="s">
        <v>5472</v>
      </c>
      <c r="K705" s="188" t="s">
        <v>5473</v>
      </c>
      <c r="L705" s="188" t="s">
        <v>5474</v>
      </c>
    </row>
    <row r="706">
      <c r="A706" s="299" t="s">
        <v>2456</v>
      </c>
      <c r="B706" s="300" t="s">
        <v>5475</v>
      </c>
      <c r="C706" s="190" t="s">
        <v>5476</v>
      </c>
      <c r="D706" s="190" t="s">
        <v>5477</v>
      </c>
      <c r="E706" s="190" t="s">
        <v>5478</v>
      </c>
      <c r="F706" s="195">
        <v>374.0</v>
      </c>
      <c r="G706" s="188" t="str">
        <f>IFERROR(__xludf.DUMMYFUNCTION("TRIM(REGEXREPLACE(C706, ""[0-9]+[a-f]?\."", """"))"),"Is ${hoh_roster_name} currently living in Niger?")</f>
        <v>Is ${hoh_roster_name} currently living in Niger?</v>
      </c>
      <c r="H706" s="188" t="str">
        <f>IFERROR(__xludf.DUMMYFUNCTION("TRIM(REGEXREPLACE(D706, ""[0-9]+[a-f]?\."", """"))"),"Est-ce que ${hoh_roster_name} vit actuellement au Niger ?")</f>
        <v>Est-ce que ${hoh_roster_name} vit actuellement au Niger ?</v>
      </c>
      <c r="I706" s="188" t="str">
        <f>IFERROR(__xludf.DUMMYFUNCTION("TRIM(REGEXREPLACE(E706, ""[0-9]+[a-f]?\."", """"))"),"Ko ${hoh_roster_name} yana zaune a Nijar a halin yanzu?")</f>
        <v>Ko ${hoh_roster_name} yana zaune a Nijar a halin yanzu?</v>
      </c>
      <c r="J706" s="188" t="s">
        <v>5480</v>
      </c>
      <c r="K706" s="188" t="s">
        <v>5482</v>
      </c>
      <c r="L706" s="188" t="s">
        <v>5484</v>
      </c>
    </row>
    <row r="707">
      <c r="A707" s="299" t="s">
        <v>1779</v>
      </c>
      <c r="B707" s="300" t="s">
        <v>5485</v>
      </c>
      <c r="C707" s="190" t="s">
        <v>5486</v>
      </c>
      <c r="D707" s="190" t="s">
        <v>5487</v>
      </c>
      <c r="E707" s="190" t="s">
        <v>5488</v>
      </c>
      <c r="F707" s="195">
        <v>375.0</v>
      </c>
      <c r="G707" s="188" t="str">
        <f>IFERROR(__xludf.DUMMYFUNCTION("TRIM(REGEXREPLACE(C707, ""[0-9]+[a-f]?\."", """"))"),"What region is ${hoh_roster_name} currently living in?")</f>
        <v>What region is ${hoh_roster_name} currently living in?</v>
      </c>
      <c r="H707" s="188" t="str">
        <f>IFERROR(__xludf.DUMMYFUNCTION("TRIM(REGEXREPLACE(D707, ""[0-9]+[a-f]?\."", """"))"),"Dans quelle région vit actuellement ${hoh_roster_name} ?")</f>
        <v>Dans quelle région vit actuellement ${hoh_roster_name} ?</v>
      </c>
      <c r="I707" s="188" t="str">
        <f>IFERROR(__xludf.DUMMYFUNCTION("TRIM(REGEXREPLACE(E707, ""[0-9]+[a-f]?\."", """"))"),"A cikin wace jaha ce ${hoh_roster_name} yake zaune a yanzu?")</f>
        <v>A cikin wace jaha ce ${hoh_roster_name} yake zaune a yanzu?</v>
      </c>
      <c r="J707" s="188" t="s">
        <v>5489</v>
      </c>
      <c r="K707" s="188" t="s">
        <v>5491</v>
      </c>
      <c r="L707" s="188" t="s">
        <v>5493</v>
      </c>
    </row>
    <row r="708">
      <c r="A708" s="299" t="s">
        <v>1792</v>
      </c>
      <c r="B708" s="300" t="s">
        <v>5495</v>
      </c>
      <c r="C708" s="190" t="s">
        <v>5496</v>
      </c>
      <c r="D708" s="190" t="s">
        <v>5497</v>
      </c>
      <c r="E708" s="190" t="s">
        <v>5498</v>
      </c>
      <c r="F708" s="195">
        <v>376.0</v>
      </c>
      <c r="G708" s="188" t="str">
        <f>IFERROR(__xludf.DUMMYFUNCTION("TRIM(REGEXREPLACE(C708, ""[0-9]+[a-f]?\."", """"))"),"What country is ${hoh_roster_name} currently living in?")</f>
        <v>What country is ${hoh_roster_name} currently living in?</v>
      </c>
      <c r="H708" s="188" t="str">
        <f>IFERROR(__xludf.DUMMYFUNCTION("TRIM(REGEXREPLACE(D708, ""[0-9]+[a-f]?\."", """"))"),"Dans quel pays vit actuellement ${hoh_roster_name} ?")</f>
        <v>Dans quel pays vit actuellement ${hoh_roster_name} ?</v>
      </c>
      <c r="I708" s="188" t="str">
        <f>IFERROR(__xludf.DUMMYFUNCTION("TRIM(REGEXREPLACE(E708, ""[0-9]+[a-f]?\."", """"))"),"A cikin wace kasa ce ${hoh_roster_name} yake zaune a yanzu?")</f>
        <v>A cikin wace kasa ce ${hoh_roster_name} yake zaune a yanzu?</v>
      </c>
      <c r="J708" s="188" t="s">
        <v>5499</v>
      </c>
      <c r="K708" s="188" t="s">
        <v>5500</v>
      </c>
      <c r="L708" s="188" t="s">
        <v>5501</v>
      </c>
    </row>
    <row r="709">
      <c r="A709" s="301" t="s">
        <v>220</v>
      </c>
      <c r="B709" s="302" t="s">
        <v>5504</v>
      </c>
      <c r="C709" s="190" t="s">
        <v>5506</v>
      </c>
      <c r="D709" s="190" t="s">
        <v>5507</v>
      </c>
      <c r="E709" s="190" t="s">
        <v>5508</v>
      </c>
      <c r="F709" s="195">
        <v>377.0</v>
      </c>
      <c r="G709" s="188" t="str">
        <f>IFERROR(__xludf.DUMMYFUNCTION("TRIM(REGEXREPLACE(C709, ""[0-9]+[a-f]?\."", """"))"),"Specify other")</f>
        <v>Specify other</v>
      </c>
      <c r="H709" s="188" t="str">
        <f>IFERROR(__xludf.DUMMYFUNCTION("TRIM(REGEXREPLACE(D709, ""[0-9]+[a-f]?\."", """"))"),"Autre à préciser")</f>
        <v>Autre à préciser</v>
      </c>
      <c r="I709" s="188" t="str">
        <f>IFERROR(__xludf.DUMMYFUNCTION("TRIM(REGEXREPLACE(E709, ""[0-9]+[a-f]?\."", """"))"),"Wani daban a Bayyana")</f>
        <v>Wani daban a Bayyana</v>
      </c>
      <c r="J709" s="188" t="s">
        <v>5509</v>
      </c>
      <c r="K709" s="188" t="s">
        <v>5510</v>
      </c>
      <c r="L709" s="188" t="s">
        <v>5511</v>
      </c>
    </row>
    <row r="710">
      <c r="A710" s="299" t="s">
        <v>1814</v>
      </c>
      <c r="B710" s="300" t="s">
        <v>5512</v>
      </c>
      <c r="C710" s="190" t="s">
        <v>5513</v>
      </c>
      <c r="D710" s="190" t="s">
        <v>5514</v>
      </c>
      <c r="E710" s="190" t="s">
        <v>5515</v>
      </c>
      <c r="F710" s="195">
        <v>378.0</v>
      </c>
      <c r="G710" s="188" t="str">
        <f>IFERROR(__xludf.DUMMYFUNCTION("TRIM(REGEXREPLACE(C710, ""[0-9]+[a-f]?\."", """"))"),"Enumerator: Select town")</f>
        <v>Enumerator: Select town</v>
      </c>
      <c r="H710" s="188" t="str">
        <f>IFERROR(__xludf.DUMMYFUNCTION("TRIM(REGEXREPLACE(D710, ""[0-9]+[a-f]?\."", """"))"),"Enquêteur : Sélectionnez la ville")</f>
        <v>Enquêteur : Sélectionnez la ville</v>
      </c>
      <c r="I710" s="188" t="str">
        <f>IFERROR(__xludf.DUMMYFUNCTION("TRIM(REGEXREPLACE(E710, ""[0-9]+[a-f]?\."", """"))"),"Ɗan bincike: Zaɓi gari")</f>
        <v>Ɗan bincike: Zaɓi gari</v>
      </c>
      <c r="J710" s="188" t="s">
        <v>5516</v>
      </c>
      <c r="K710" s="188" t="s">
        <v>5518</v>
      </c>
      <c r="L710" s="188" t="s">
        <v>5520</v>
      </c>
    </row>
    <row r="711">
      <c r="A711" s="301" t="s">
        <v>220</v>
      </c>
      <c r="B711" s="302" t="s">
        <v>5522</v>
      </c>
      <c r="C711" s="190" t="s">
        <v>5523</v>
      </c>
      <c r="D711" s="190" t="s">
        <v>5524</v>
      </c>
      <c r="E711" s="190" t="s">
        <v>5525</v>
      </c>
      <c r="F711" s="195">
        <v>379.0</v>
      </c>
      <c r="G711" s="188" t="str">
        <f>IFERROR(__xludf.DUMMYFUNCTION("TRIM(REGEXREPLACE(C711, ""[0-9]+[a-f]?\."", """"))"),"Specify other")</f>
        <v>Specify other</v>
      </c>
      <c r="H711" s="188" t="str">
        <f>IFERROR(__xludf.DUMMYFUNCTION("TRIM(REGEXREPLACE(D711, ""[0-9]+[a-f]?\."", """"))"),"Autre à préciser")</f>
        <v>Autre à préciser</v>
      </c>
      <c r="I711" s="188" t="str">
        <f>IFERROR(__xludf.DUMMYFUNCTION("TRIM(REGEXREPLACE(E711, ""[0-9]+[a-f]?\."", """"))"),"Wani daban a Bayyana")</f>
        <v>Wani daban a Bayyana</v>
      </c>
      <c r="J711" s="188" t="s">
        <v>5526</v>
      </c>
      <c r="K711" s="188" t="s">
        <v>5527</v>
      </c>
      <c r="L711" s="188" t="s">
        <v>5528</v>
      </c>
    </row>
    <row r="712" hidden="1">
      <c r="A712" s="310" t="s">
        <v>278</v>
      </c>
      <c r="B712" s="311" t="s">
        <v>5529</v>
      </c>
      <c r="C712" s="190"/>
      <c r="D712" s="190"/>
      <c r="E712" s="190"/>
      <c r="F712" s="195">
        <v>435.0</v>
      </c>
      <c r="G712" s="188" t="str">
        <f>IFERROR(__xludf.DUMMYFUNCTION("TRIM(REGEXREPLACE(C712, ""[0-9]+[a-f]?\."", """"))"),"")</f>
        <v/>
      </c>
      <c r="H712" s="188" t="str">
        <f>IFERROR(__xludf.DUMMYFUNCTION("TRIM(REGEXREPLACE(D712, ""[0-9]+[a-f]?\."", """"))"),"")</f>
        <v/>
      </c>
      <c r="I712" s="188" t="str">
        <f>IFERROR(__xludf.DUMMYFUNCTION("TRIM(REGEXREPLACE(E712, ""[0-9]+[a-f]?\."", """"))"),"")</f>
        <v/>
      </c>
      <c r="J712" s="188" t="s">
        <v>5530</v>
      </c>
      <c r="K712" s="188" t="s">
        <v>5531</v>
      </c>
      <c r="L712" s="188" t="s">
        <v>5533</v>
      </c>
    </row>
    <row r="713">
      <c r="A713" s="299" t="s">
        <v>1060</v>
      </c>
      <c r="B713" s="300" t="s">
        <v>5534</v>
      </c>
      <c r="C713" s="190" t="s">
        <v>5535</v>
      </c>
      <c r="D713" s="190" t="s">
        <v>5536</v>
      </c>
      <c r="E713" s="190" t="s">
        <v>5537</v>
      </c>
      <c r="F713" s="195">
        <v>380.0</v>
      </c>
      <c r="G713" s="188" t="str">
        <f>IFERROR(__xludf.DUMMYFUNCTION("TRIM(REGEXREPLACE(C713, ""[0-9]+[a-f]?\."", """"))"),"Does ${hoh_roster_name} currently suffer from any illness or disability that limits their ability to travel or work?")</f>
        <v>Does ${hoh_roster_name} currently suffer from any illness or disability that limits their ability to travel or work?</v>
      </c>
      <c r="H713" s="188" t="str">
        <f>IFERROR(__xludf.DUMMYFUNCTION("TRIM(REGEXREPLACE(D713, ""[0-9]+[a-f]?\."", """"))"),"Est-ce que ${hoh_roster_name} souffre actuellement d'une maladie ou d'un handicap qui limite sa capacité à voyager ou à travailler ?")</f>
        <v>Est-ce que ${hoh_roster_name} souffre actuellement d'une maladie ou d'un handicap qui limite sa capacité à voyager ou à travailler ?</v>
      </c>
      <c r="I713" s="188" t="str">
        <f>IFERROR(__xludf.DUMMYFUNCTION("TRIM(REGEXREPLACE(E713, ""[0-9]+[a-f]?\."", """"))"),"ko a halin yanzu ${hoh_roster_name} yana da rashin lafiya ko naƙasa wanda ke iya hanashi zuwa balaguro ko yin aiki?")</f>
        <v>ko a halin yanzu ${hoh_roster_name} yana da rashin lafiya ko naƙasa wanda ke iya hanashi zuwa balaguro ko yin aiki?</v>
      </c>
      <c r="J713" s="188" t="s">
        <v>5538</v>
      </c>
      <c r="K713" s="188" t="s">
        <v>5539</v>
      </c>
      <c r="L713" s="188" t="s">
        <v>5540</v>
      </c>
    </row>
    <row r="714">
      <c r="A714" s="299" t="s">
        <v>3425</v>
      </c>
      <c r="B714" s="300" t="s">
        <v>5541</v>
      </c>
      <c r="C714" s="190" t="s">
        <v>5542</v>
      </c>
      <c r="D714" s="190" t="s">
        <v>5543</v>
      </c>
      <c r="E714" s="190" t="s">
        <v>5544</v>
      </c>
      <c r="F714" s="195">
        <v>381.0</v>
      </c>
      <c r="G714" s="188" t="str">
        <f>IFERROR(__xludf.DUMMYFUNCTION("TRIM(REGEXREPLACE(C714, ""[0-9]+[a-f]?\."", """"))"),"What illness limits ${hoh_roster_name} in this way?")</f>
        <v>What illness limits ${hoh_roster_name} in this way?</v>
      </c>
      <c r="H714" s="188" t="str">
        <f>IFERROR(__xludf.DUMMYFUNCTION("TRIM(REGEXREPLACE(D714, ""[0-9]+[a-f]?\."", """"))"),"Quelle maladie limite ${hoh_roster_name} de cette manière ?")</f>
        <v>Quelle maladie limite ${hoh_roster_name} de cette manière ?</v>
      </c>
      <c r="I714" s="188" t="str">
        <f>IFERROR(__xludf.DUMMYFUNCTION("TRIM(REGEXREPLACE(E714, ""[0-9]+[a-f]?\."", """"))"),"Wace rashin lafiya ke tsaida ${hoh_roster_name} ta haka ?")</f>
        <v>Wace rashin lafiya ke tsaida ${hoh_roster_name} ta haka ?</v>
      </c>
      <c r="J714" s="188" t="s">
        <v>5545</v>
      </c>
      <c r="K714" s="188" t="s">
        <v>5546</v>
      </c>
      <c r="L714" s="188" t="s">
        <v>5547</v>
      </c>
    </row>
    <row r="715">
      <c r="A715" s="301" t="s">
        <v>220</v>
      </c>
      <c r="B715" s="302" t="s">
        <v>5548</v>
      </c>
      <c r="C715" s="190" t="s">
        <v>5549</v>
      </c>
      <c r="D715" s="190" t="s">
        <v>5550</v>
      </c>
      <c r="E715" s="190" t="s">
        <v>5551</v>
      </c>
      <c r="F715" s="195">
        <v>382.0</v>
      </c>
      <c r="G715" s="188" t="str">
        <f>IFERROR(__xludf.DUMMYFUNCTION("TRIM(REGEXREPLACE(C715, ""[0-9]+[a-f]?\."", """"))"),"Other, specify:")</f>
        <v>Other, specify:</v>
      </c>
      <c r="H715" s="188" t="str">
        <f>IFERROR(__xludf.DUMMYFUNCTION("TRIM(REGEXREPLACE(D715, ""[0-9]+[a-f]?\."", """"))"),"Autre précisez:")</f>
        <v>Autre précisez:</v>
      </c>
      <c r="I715" s="188" t="str">
        <f>IFERROR(__xludf.DUMMYFUNCTION("TRIM(REGEXREPLACE(E715, ""[0-9]+[a-f]?\."", """"))"),"Sauran, bayar da cikakkun bayanai:")</f>
        <v>Sauran, bayar da cikakkun bayanai:</v>
      </c>
      <c r="J715" s="188" t="s">
        <v>5554</v>
      </c>
      <c r="K715" s="188" t="s">
        <v>5556</v>
      </c>
      <c r="L715" s="188" t="s">
        <v>5558</v>
      </c>
    </row>
    <row r="716">
      <c r="A716" s="299" t="s">
        <v>1060</v>
      </c>
      <c r="B716" s="300" t="s">
        <v>5559</v>
      </c>
      <c r="C716" s="190" t="s">
        <v>5560</v>
      </c>
      <c r="D716" s="190" t="s">
        <v>5561</v>
      </c>
      <c r="E716" s="190" t="s">
        <v>5562</v>
      </c>
      <c r="F716" s="195">
        <v>383.0</v>
      </c>
      <c r="G716" s="188" t="str">
        <f>IFERROR(__xludf.DUMMYFUNCTION("TRIM(REGEXREPLACE(C716, ""[0-9]+[a-f]?\."", """"))"),"Does ${hoh_roster_name} have children?")</f>
        <v>Does ${hoh_roster_name} have children?</v>
      </c>
      <c r="H716" s="188" t="str">
        <f>IFERROR(__xludf.DUMMYFUNCTION("TRIM(REGEXREPLACE(D716, ""[0-9]+[a-f]?\."", """"))"),"Est-ce que ${hoh_roster_name} a des enfants ?")</f>
        <v>Est-ce que ${hoh_roster_name} a des enfants ?</v>
      </c>
      <c r="I716" s="188" t="str">
        <f>IFERROR(__xludf.DUMMYFUNCTION("TRIM(REGEXREPLACE(E716, ""[0-9]+[a-f]?\."", """"))"),"ko ${hoh_roster_name} yana da yara?")</f>
        <v>ko ${hoh_roster_name} yana da yara?</v>
      </c>
      <c r="J716" s="188" t="s">
        <v>5563</v>
      </c>
      <c r="K716" s="188" t="s">
        <v>5564</v>
      </c>
      <c r="L716" s="188" t="s">
        <v>5565</v>
      </c>
    </row>
    <row r="717">
      <c r="A717" s="306" t="s">
        <v>247</v>
      </c>
      <c r="B717" s="307" t="s">
        <v>5566</v>
      </c>
      <c r="C717" s="190" t="s">
        <v>5567</v>
      </c>
      <c r="D717" s="190" t="s">
        <v>5568</v>
      </c>
      <c r="E717" s="190" t="s">
        <v>5569</v>
      </c>
      <c r="F717" s="195">
        <v>384.0</v>
      </c>
      <c r="G717" s="188" t="str">
        <f>IFERROR(__xludf.DUMMYFUNCTION("TRIM(REGEXREPLACE(C717, ""[0-9]+[a-f]?\."", """"))"),"How many children is ${hoh_roster_name} responsible for?")</f>
        <v>How many children is ${hoh_roster_name} responsible for?</v>
      </c>
      <c r="H717" s="188" t="str">
        <f>IFERROR(__xludf.DUMMYFUNCTION("TRIM(REGEXREPLACE(D717, ""[0-9]+[a-f]?\."", """"))"),"De combien d'enfants ${hoh_roster_name} est-il responsable ?")</f>
        <v>De combien d'enfants ${hoh_roster_name} est-il responsable ?</v>
      </c>
      <c r="I717" s="188" t="str">
        <f>IFERROR(__xludf.DUMMYFUNCTION("TRIM(REGEXREPLACE(E717, ""[0-9]+[a-f]?\."", """"))"),"Yara nawa ne ${hoh_roster_name} yake ɗauke da Nauyinsu?")</f>
        <v>Yara nawa ne ${hoh_roster_name} yake ɗauke da Nauyinsu?</v>
      </c>
      <c r="J717" s="188" t="s">
        <v>5570</v>
      </c>
      <c r="K717" s="188" t="s">
        <v>5571</v>
      </c>
      <c r="L717" s="188" t="s">
        <v>5573</v>
      </c>
    </row>
    <row r="718">
      <c r="A718" s="299" t="s">
        <v>5575</v>
      </c>
      <c r="B718" s="300" t="s">
        <v>5577</v>
      </c>
      <c r="C718" s="190" t="s">
        <v>5578</v>
      </c>
      <c r="D718" s="190" t="s">
        <v>5579</v>
      </c>
      <c r="E718" s="190" t="s">
        <v>5580</v>
      </c>
      <c r="F718" s="195">
        <v>385.0</v>
      </c>
      <c r="G718" s="188" t="str">
        <f>IFERROR(__xludf.DUMMYFUNCTION("TRIM(REGEXREPLACE(C718, ""[0-9]+[a-f]?\."", """"))"),"What is the highest level of education that ${hoh_roster_name} has completed?")</f>
        <v>What is the highest level of education that ${hoh_roster_name} has completed?</v>
      </c>
      <c r="H718" s="188" t="str">
        <f>IFERROR(__xludf.DUMMYFUNCTION("TRIM(REGEXREPLACE(D718, ""[0-9]+[a-f]?\."", """"))"),"Quel est le plus haut niveau d'études atteint par ${hoh_roster_name} ?")</f>
        <v>Quel est le plus haut niveau d'études atteint par ${hoh_roster_name} ?</v>
      </c>
      <c r="I718" s="188" t="str">
        <f>IFERROR(__xludf.DUMMYFUNCTION("TRIM(REGEXREPLACE(E718, ""[0-9]+[a-f]?\."", """"))"),"Menene mafi girman mastayin ilimi da ${hoh_roster_name} ya kai?")</f>
        <v>Menene mafi girman mastayin ilimi da ${hoh_roster_name} ya kai?</v>
      </c>
      <c r="J718" s="188" t="s">
        <v>5581</v>
      </c>
      <c r="K718" s="188" t="s">
        <v>5582</v>
      </c>
      <c r="L718" s="188" t="s">
        <v>5583</v>
      </c>
    </row>
    <row r="719">
      <c r="A719" s="299" t="s">
        <v>1060</v>
      </c>
      <c r="B719" s="300" t="s">
        <v>5584</v>
      </c>
      <c r="C719" s="190" t="s">
        <v>5585</v>
      </c>
      <c r="D719" s="190" t="s">
        <v>5586</v>
      </c>
      <c r="E719" s="190" t="s">
        <v>5587</v>
      </c>
      <c r="F719" s="195">
        <v>386.0</v>
      </c>
      <c r="G719" s="188" t="str">
        <f>IFERROR(__xludf.DUMMYFUNCTION("TRIM(REGEXREPLACE(C719, ""[0-9]+[a-f]?\."", """"))"),"Is ${hoh_roster_name} currently enrolled in school?")</f>
        <v>Is ${hoh_roster_name} currently enrolled in school?</v>
      </c>
      <c r="H719" s="188" t="str">
        <f>IFERROR(__xludf.DUMMYFUNCTION("TRIM(REGEXREPLACE(D719, ""[0-9]+[a-f]?\."", """"))"),"Est-ce que ${hoh_roster_name} est actuellement inscrit à l'école ?")</f>
        <v>Est-ce que ${hoh_roster_name} est actuellement inscrit à l'école ?</v>
      </c>
      <c r="I719" s="188" t="str">
        <f>IFERROR(__xludf.DUMMYFUNCTION("TRIM(REGEXREPLACE(E719, ""[0-9]+[a-f]?\."", """"))"),"Ko ${hoh_roster_name} yana yin lakwal a halin yanzu?")</f>
        <v>Ko ${hoh_roster_name} yana yin lakwal a halin yanzu?</v>
      </c>
      <c r="J719" s="188" t="s">
        <v>5591</v>
      </c>
      <c r="K719" s="188" t="s">
        <v>5592</v>
      </c>
      <c r="L719" s="188" t="s">
        <v>5593</v>
      </c>
    </row>
    <row r="720">
      <c r="A720" s="299" t="s">
        <v>5594</v>
      </c>
      <c r="B720" s="300" t="s">
        <v>5595</v>
      </c>
      <c r="C720" s="190" t="s">
        <v>5596</v>
      </c>
      <c r="D720" s="190" t="s">
        <v>5597</v>
      </c>
      <c r="E720" s="190" t="s">
        <v>5598</v>
      </c>
      <c r="F720" s="195">
        <v>387.0</v>
      </c>
      <c r="G720" s="188" t="str">
        <f>IFERROR(__xludf.DUMMYFUNCTION("TRIM(REGEXREPLACE(C720, ""[0-9]+[a-f]?\."", """"))"),"What kind of school is ${hoh_roster_name} enrolled in?")</f>
        <v>What kind of school is ${hoh_roster_name} enrolled in?</v>
      </c>
      <c r="H720" s="188" t="str">
        <f>IFERROR(__xludf.DUMMYFUNCTION("TRIM(REGEXREPLACE(D720, ""[0-9]+[a-f]?\."", """"))"),"Dans quel type d'école est inscrit ${hoh_roster_name} ?")</f>
        <v>Dans quel type d'école est inscrit ${hoh_roster_name} ?</v>
      </c>
      <c r="I720" s="188" t="str">
        <f>IFERROR(__xludf.DUMMYFUNCTION("TRIM(REGEXREPLACE(E720, ""[0-9]+[a-f]?\."", """"))"),"Wace irin makaranta aka rubuta ${hoh_roster_name}?")</f>
        <v>Wace irin makaranta aka rubuta ${hoh_roster_name}?</v>
      </c>
      <c r="J720" s="188" t="s">
        <v>5599</v>
      </c>
      <c r="K720" s="188" t="s">
        <v>5600</v>
      </c>
      <c r="L720" s="188" t="s">
        <v>5601</v>
      </c>
    </row>
    <row r="721">
      <c r="A721" s="306" t="s">
        <v>247</v>
      </c>
      <c r="B721" s="307" t="s">
        <v>5605</v>
      </c>
      <c r="C721" s="190" t="s">
        <v>5606</v>
      </c>
      <c r="D721" s="190" t="s">
        <v>5607</v>
      </c>
      <c r="E721" s="190" t="s">
        <v>5608</v>
      </c>
      <c r="F721" s="195">
        <v>388.0</v>
      </c>
      <c r="G721" s="188" t="str">
        <f>IFERROR(__xludf.DUMMYFUNCTION("TRIM(REGEXREPLACE(C721, ""[0-9]+[a-f]?\."", """"))"),"What is the cost of school fees for the current academic year in CFA?")</f>
        <v>What is the cost of school fees for the current academic year in CFA?</v>
      </c>
      <c r="H721" s="188" t="str">
        <f>IFERROR(__xludf.DUMMYFUNCTION("TRIM(REGEXREPLACE(D721, ""[0-9]+[a-f]?\."", """"))"),"Quel est le coût des frais de scolarité pour l'année scolaire en cours (en CFA) ?")</f>
        <v>Quel est le coût des frais de scolarité pour l'année scolaire en cours (en CFA) ?</v>
      </c>
      <c r="I721" s="188" t="str">
        <f>IFERROR(__xludf.DUMMYFUNCTION("TRIM(REGEXREPLACE(E721, ""[0-9]+[a-f]?\."", """"))"),"Nawa ne kuɗin makaranta na wannan shekarar (a sefa)?")</f>
        <v>Nawa ne kuɗin makaranta na wannan shekarar (a sefa)?</v>
      </c>
      <c r="J721" s="188" t="s">
        <v>5610</v>
      </c>
      <c r="K721" s="188" t="s">
        <v>5611</v>
      </c>
      <c r="L721" s="188" t="s">
        <v>5612</v>
      </c>
    </row>
    <row r="722">
      <c r="A722" s="306" t="s">
        <v>247</v>
      </c>
      <c r="B722" s="307" t="s">
        <v>5613</v>
      </c>
      <c r="C722" s="190" t="s">
        <v>5614</v>
      </c>
      <c r="D722" s="190" t="s">
        <v>5615</v>
      </c>
      <c r="E722" s="190" t="s">
        <v>5616</v>
      </c>
      <c r="F722" s="195">
        <v>389.0</v>
      </c>
      <c r="G722" s="188" t="str">
        <f>IFERROR(__xludf.DUMMYFUNCTION("TRIM(REGEXREPLACE(C722, ""[0-9]+[a-f]?\."", """"))"),"In the past month (four weeks) how many days has ${hoh_roster_name} missed school for health reasons?")</f>
        <v>In the past month (four weeks) how many days has ${hoh_roster_name} missed school for health reasons?</v>
      </c>
      <c r="H722" s="188" t="str">
        <f>IFERROR(__xludf.DUMMYFUNCTION("TRIM(REGEXREPLACE(D722, ""[0-9]+[a-f]?\."", """"))"),"Au cours du dernier mois (quatre semaines), combien de jours ${hoh_roster_name} a-t-il manqué l'école pour des raisons de santé ?")</f>
        <v>Au cours du dernier mois (quatre semaines), combien de jours ${hoh_roster_name} a-t-il manqué l'école pour des raisons de santé ?</v>
      </c>
      <c r="I722" s="188" t="str">
        <f>IFERROR(__xludf.DUMMYFUNCTION("TRIM(REGEXREPLACE(E722, ""[0-9]+[a-f]?\."", """"))"),"A cikin watan da ya gabata (sati hudu), kwanaki nawa ${hoh_roster_name} yayi fashin zuwa makaranta saboda wata rishin lafiya?")</f>
        <v>A cikin watan da ya gabata (sati hudu), kwanaki nawa ${hoh_roster_name} yayi fashin zuwa makaranta saboda wata rishin lafiya?</v>
      </c>
      <c r="J722" s="188" t="s">
        <v>5620</v>
      </c>
      <c r="K722" s="188" t="s">
        <v>5621</v>
      </c>
      <c r="L722" s="188" t="s">
        <v>5622</v>
      </c>
    </row>
    <row r="723">
      <c r="A723" s="306" t="s">
        <v>247</v>
      </c>
      <c r="B723" s="307" t="s">
        <v>5623</v>
      </c>
      <c r="C723" s="190" t="s">
        <v>5624</v>
      </c>
      <c r="D723" s="190" t="s">
        <v>5625</v>
      </c>
      <c r="E723" s="190" t="s">
        <v>5626</v>
      </c>
      <c r="F723" s="195">
        <v>390.0</v>
      </c>
      <c r="G723" s="188" t="str">
        <f>IFERROR(__xludf.DUMMYFUNCTION("TRIM(REGEXREPLACE(C723, ""[0-9]+[a-f]?\."", """"))"),"In the past month (four weeks) how many days has ${hoh_roster_name} missed school for work or other reasons?")</f>
        <v>In the past month (four weeks) how many days has ${hoh_roster_name} missed school for work or other reasons?</v>
      </c>
      <c r="H723" s="188" t="str">
        <f>IFERROR(__xludf.DUMMYFUNCTION("TRIM(REGEXREPLACE(D723,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723" s="188" t="str">
        <f>IFERROR(__xludf.DUMMYFUNCTION("TRIM(REGEXREPLACE(E723, ""[0-9]+[a-f]?\."", """"))"),"A cikin watan da ya gabata (makonni hudu), kwanaki nawa ${hoh_roster_name} yayi fashin makaranta saboda aiki ko wasu dalilai?")</f>
        <v>A cikin watan da ya gabata (makonni hudu), kwanaki nawa ${hoh_roster_name} yayi fashin makaranta saboda aiki ko wasu dalilai?</v>
      </c>
      <c r="J723" s="188" t="s">
        <v>5629</v>
      </c>
      <c r="K723" s="188" t="s">
        <v>5631</v>
      </c>
      <c r="L723" s="188" t="s">
        <v>5632</v>
      </c>
    </row>
    <row r="724">
      <c r="A724" s="299" t="s">
        <v>2456</v>
      </c>
      <c r="B724" s="300" t="s">
        <v>5633</v>
      </c>
      <c r="C724" s="190" t="s">
        <v>5634</v>
      </c>
      <c r="D724" s="190" t="s">
        <v>5635</v>
      </c>
      <c r="E724" s="190" t="s">
        <v>5636</v>
      </c>
      <c r="F724" s="195">
        <v>391.0</v>
      </c>
      <c r="G724" s="188" t="str">
        <f>IFERROR(__xludf.DUMMYFUNCTION("TRIM(REGEXREPLACE(C724, ""[0-9]+[a-f]?\."", """"))"),"Is ${hoh_roster_name} married?")</f>
        <v>Is ${hoh_roster_name} married?</v>
      </c>
      <c r="H724" s="188" t="str">
        <f>IFERROR(__xludf.DUMMYFUNCTION("TRIM(REGEXREPLACE(D724, ""[0-9]+[a-f]?\."", """"))"),"Est-ce que ${hoh_roster_name} est marié ?")</f>
        <v>Est-ce que ${hoh_roster_name} est marié ?</v>
      </c>
      <c r="I724" s="188" t="str">
        <f>IFERROR(__xludf.DUMMYFUNCTION("TRIM(REGEXREPLACE(E724, ""[0-9]+[a-f]?\."", """"))"),"Ko ${hoh_roster_name} yanada aure?")</f>
        <v>Ko ${hoh_roster_name} yanada aure?</v>
      </c>
      <c r="J724" s="188" t="s">
        <v>5637</v>
      </c>
      <c r="K724" s="188" t="s">
        <v>5638</v>
      </c>
      <c r="L724" s="188" t="s">
        <v>5639</v>
      </c>
    </row>
    <row r="725">
      <c r="A725" s="306" t="s">
        <v>247</v>
      </c>
      <c r="B725" s="307" t="s">
        <v>5643</v>
      </c>
      <c r="C725" s="190" t="s">
        <v>5644</v>
      </c>
      <c r="D725" s="190" t="s">
        <v>5645</v>
      </c>
      <c r="E725" s="190" t="s">
        <v>5646</v>
      </c>
      <c r="F725" s="195">
        <v>392.0</v>
      </c>
      <c r="G725" s="188" t="str">
        <f>IFERROR(__xludf.DUMMYFUNCTION("TRIM(REGEXREPLACE(C725, ""[0-9]+[a-f]?\."", """"))"),"How many wives does ${hoh_new_mem_name} have?")</f>
        <v>How many wives does ${hoh_new_mem_name} have?</v>
      </c>
      <c r="H725" s="188" t="str">
        <f>IFERROR(__xludf.DUMMYFUNCTION("TRIM(REGEXREPLACE(D725, ""[0-9]+[a-f]?\."", """"))"),"Combien de femmes a ${hoh_roster_name} ?")</f>
        <v>Combien de femmes a ${hoh_roster_name} ?</v>
      </c>
      <c r="I725" s="188" t="str">
        <f>IFERROR(__xludf.DUMMYFUNCTION("TRIM(REGEXREPLACE(E725, ""[0-9]+[a-f]?\."", """"))"),"Mata nawa ${hoh_roster_name} yake da su?")</f>
        <v>Mata nawa ${hoh_roster_name} yake da su?</v>
      </c>
      <c r="J725" s="188" t="s">
        <v>5647</v>
      </c>
      <c r="K725" s="188" t="s">
        <v>5648</v>
      </c>
      <c r="L725" s="188" t="s">
        <v>5649</v>
      </c>
    </row>
    <row r="726" hidden="1">
      <c r="A726" s="310" t="s">
        <v>331</v>
      </c>
      <c r="B726" s="315" t="s">
        <v>5651</v>
      </c>
      <c r="C726" s="190"/>
      <c r="D726" s="190"/>
      <c r="E726" s="190"/>
      <c r="F726" s="195">
        <v>448.0</v>
      </c>
      <c r="G726" s="188" t="str">
        <f>IFERROR(__xludf.DUMMYFUNCTION("TRIM(REGEXREPLACE(C726, ""[0-9]+[a-f]?\."", """"))"),"")</f>
        <v/>
      </c>
      <c r="H726" s="188" t="str">
        <f>IFERROR(__xludf.DUMMYFUNCTION("TRIM(REGEXREPLACE(D726, ""[0-9]+[a-f]?\."", """"))"),"")</f>
        <v/>
      </c>
      <c r="I726" s="188" t="str">
        <f>IFERROR(__xludf.DUMMYFUNCTION("TRIM(REGEXREPLACE(E726, ""[0-9]+[a-f]?\."", """"))"),"")</f>
        <v/>
      </c>
      <c r="J726" s="188" t="s">
        <v>5655</v>
      </c>
      <c r="K726" s="188" t="s">
        <v>5656</v>
      </c>
      <c r="L726" s="188" t="s">
        <v>5657</v>
      </c>
    </row>
    <row r="727" hidden="1">
      <c r="A727" s="320"/>
      <c r="B727" s="321"/>
      <c r="C727" s="190"/>
      <c r="D727" s="190"/>
      <c r="E727" s="190"/>
    </row>
    <row r="728" hidden="1">
      <c r="A728" s="310" t="s">
        <v>278</v>
      </c>
      <c r="B728" s="311" t="s">
        <v>5658</v>
      </c>
      <c r="C728" s="190" t="s">
        <v>5659</v>
      </c>
      <c r="D728" s="190"/>
      <c r="E728" s="190"/>
      <c r="F728" s="195">
        <v>449.0</v>
      </c>
      <c r="G728" s="188" t="str">
        <f>IFERROR(__xludf.DUMMYFUNCTION("TRIM(REGEXREPLACE(C728, ""[0-9]+[a-f]?\."", """"))"),"Past Migration")</f>
        <v>Past Migration</v>
      </c>
      <c r="H728" s="188" t="str">
        <f>IFERROR(__xludf.DUMMYFUNCTION("TRIM(REGEXREPLACE(D728, ""[0-9]+[a-f]?\."", """"))"),"")</f>
        <v/>
      </c>
      <c r="I728" s="188" t="str">
        <f>IFERROR(__xludf.DUMMYFUNCTION("TRIM(REGEXREPLACE(E728, ""[0-9]+[a-f]?\."", """"))"),"")</f>
        <v/>
      </c>
      <c r="J728" s="188" t="s">
        <v>5663</v>
      </c>
      <c r="K728" s="188" t="s">
        <v>5664</v>
      </c>
      <c r="L728" s="188" t="s">
        <v>5665</v>
      </c>
    </row>
    <row r="729">
      <c r="A729" s="297" t="s">
        <v>46</v>
      </c>
      <c r="B729" s="298" t="s">
        <v>5667</v>
      </c>
      <c r="C729" s="190" t="s">
        <v>5670</v>
      </c>
      <c r="D729" s="190" t="s">
        <v>5671</v>
      </c>
      <c r="E729" s="190" t="s">
        <v>5672</v>
      </c>
      <c r="F729" s="195">
        <v>393.0</v>
      </c>
      <c r="G729" s="188" t="str">
        <f>IFERROR(__xludf.DUMMYFUNCTION("TRIM(REGEXREPLACE(C729, ""[0-9]+[a-f]?\."", """"))"),"We would now like to ask you about the migration history of ${hoh_roster_name}.")</f>
        <v>We would now like to ask you about the migration history of ${hoh_roster_name}.</v>
      </c>
      <c r="H729" s="188" t="str">
        <f>IFERROR(__xludf.DUMMYFUNCTION("TRIM(REGEXREPLACE(D729, ""[0-9]+[a-f]?\."", """"))"),"Nous aimerions maintenant vous poser des questions sur l'historique de migration de ${hoh_roster_name}.")</f>
        <v>Nous aimerions maintenant vous poser des questions sur l'historique de migration de ${hoh_roster_name}.</v>
      </c>
      <c r="I729" s="188" t="str">
        <f>IFERROR(__xludf.DUMMYFUNCTION("TRIM(REGEXREPLACE(E729, ""[0-9]+[a-f]?\."", """"))"),"Yanzu muna so mu tambaye ka tarihin zuwa biɗa na ${hoh_roster_name}.")</f>
        <v>Yanzu muna so mu tambaye ka tarihin zuwa biɗa na ${hoh_roster_name}.</v>
      </c>
      <c r="J729" s="188" t="s">
        <v>5674</v>
      </c>
      <c r="K729" s="188" t="s">
        <v>5676</v>
      </c>
      <c r="L729" s="188" t="s">
        <v>5678</v>
      </c>
    </row>
    <row r="730">
      <c r="A730" s="299" t="s">
        <v>2456</v>
      </c>
      <c r="B730" s="300" t="s">
        <v>5679</v>
      </c>
      <c r="C730" s="190" t="s">
        <v>5680</v>
      </c>
      <c r="D730" s="190" t="s">
        <v>5681</v>
      </c>
      <c r="E730" s="190" t="s">
        <v>5682</v>
      </c>
      <c r="F730" s="195">
        <v>394.0</v>
      </c>
      <c r="G730" s="188" t="str">
        <f>IFERROR(__xludf.DUMMYFUNCTION("TRIM(REGEXREPLACE(C730, ""[0-9]+[a-f]?\."", """"))"),"Since ${period}, has ${hoh_roster_name} spent more than a week (7 days) away from home?")</f>
        <v>Since ${period}, has ${hoh_roster_name} spent more than a week (7 days) away from home?</v>
      </c>
      <c r="H730" s="188" t="str">
        <f>IFERROR(__xludf.DUMMYFUNCTION("TRIM(REGEXREPLACE(D730, ""[0-9]+[a-f]?\."", """"))"),"Depuis cette ${period_french}, ${hoh_roster_name} a-t-il passé plus d'une semaine (7 jours) loin de chez lui ?")</f>
        <v>Depuis cette ${period_french}, ${hoh_roster_name} a-t-il passé plus d'une semaine (7 jours) loin de chez lui ?</v>
      </c>
      <c r="I730" s="188" t="str">
        <f>IFERROR(__xludf.DUMMYFUNCTION("TRIM(REGEXREPLACE(E730, ""[0-9]+[a-f]?\."", """"))"),"Tun wancan ${period_hausa}, ${hoh_roster_name} ya shafe fiye da mako guda (kwana 7) baya gida?")</f>
        <v>Tun wancan ${period_hausa}, ${hoh_roster_name} ya shafe fiye da mako guda (kwana 7) baya gida?</v>
      </c>
      <c r="J730" s="188" t="s">
        <v>5683</v>
      </c>
      <c r="K730" s="188" t="s">
        <v>5684</v>
      </c>
      <c r="L730" s="188" t="s">
        <v>5685</v>
      </c>
    </row>
    <row r="731">
      <c r="A731" s="299" t="s">
        <v>5686</v>
      </c>
      <c r="B731" s="300" t="s">
        <v>5687</v>
      </c>
      <c r="C731" s="190" t="s">
        <v>5688</v>
      </c>
      <c r="D731" s="190" t="s">
        <v>5689</v>
      </c>
      <c r="E731" s="190" t="s">
        <v>5690</v>
      </c>
      <c r="F731" s="195">
        <v>395.0</v>
      </c>
      <c r="G731" s="188" t="str">
        <f>IFERROR(__xludf.DUMMYFUNCTION("TRIM(REGEXREPLACE(C731, ""[0-9]+[a-f]?\."", """"))"),"Since ${period}, in which of the following countries has ${hoh_roster_name} spent more than one week? Select all that apply")</f>
        <v>Since ${period}, in which of the following countries has ${hoh_roster_name} spent more than one week? Select all that apply</v>
      </c>
      <c r="H731" s="188" t="str">
        <f>IFERROR(__xludf.DUMMYFUNCTION("TRIM(REGEXREPLACE(D731,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731" s="188" t="str">
        <f>IFERROR(__xludf.DUMMYFUNCTION("TRIM(REGEXREPLACE(E731, ""[0-9]+[a-f]?\."", """"))"),"Tun daga wancan ${period_hausa}, a cikin waɗanne ƙasashe ne ${hoh_roster_name} ya shafe fiye da mako ɗaya? Zaɓi duk abin da ya dace")</f>
        <v>Tun daga wancan ${period_hausa}, a cikin waɗanne ƙasashe ne ${hoh_roster_name} ya shafe fiye da mako ɗaya? Zaɓi duk abin da ya dace</v>
      </c>
      <c r="J731" s="188" t="s">
        <v>5691</v>
      </c>
      <c r="K731" s="188" t="s">
        <v>5692</v>
      </c>
      <c r="L731" s="188" t="s">
        <v>5693</v>
      </c>
    </row>
    <row r="732">
      <c r="A732" s="301" t="s">
        <v>220</v>
      </c>
      <c r="B732" s="302" t="s">
        <v>5694</v>
      </c>
      <c r="C732" s="190" t="s">
        <v>5695</v>
      </c>
      <c r="D732" s="190" t="s">
        <v>5696</v>
      </c>
      <c r="E732" s="190" t="s">
        <v>5697</v>
      </c>
      <c r="F732" s="195">
        <v>396.0</v>
      </c>
      <c r="G732" s="188" t="str">
        <f>IFERROR(__xludf.DUMMYFUNCTION("TRIM(REGEXREPLACE(C732, ""[0-9]+[a-f]?\."", """"))"),"Specify other")</f>
        <v>Specify other</v>
      </c>
      <c r="H732" s="188" t="str">
        <f>IFERROR(__xludf.DUMMYFUNCTION("TRIM(REGEXREPLACE(D732, ""[0-9]+[a-f]?\."", """"))"),"Autre à préciser")</f>
        <v>Autre à préciser</v>
      </c>
      <c r="I732" s="188" t="str">
        <f>IFERROR(__xludf.DUMMYFUNCTION("TRIM(REGEXREPLACE(E732, ""[0-9]+[a-f]?\."", """"))"),"Wani daban a Bayyana")</f>
        <v>Wani daban a Bayyana</v>
      </c>
      <c r="J732" s="188" t="s">
        <v>5698</v>
      </c>
      <c r="K732" s="188" t="s">
        <v>5699</v>
      </c>
      <c r="L732" s="188" t="s">
        <v>5700</v>
      </c>
    </row>
    <row r="733" hidden="1">
      <c r="A733" s="221" t="s">
        <v>112</v>
      </c>
      <c r="B733" s="198" t="s">
        <v>5702</v>
      </c>
      <c r="C733" s="190"/>
      <c r="D733" s="190"/>
      <c r="E733" s="190"/>
      <c r="F733" s="195">
        <v>453.0</v>
      </c>
      <c r="G733" s="188" t="str">
        <f>IFERROR(__xludf.DUMMYFUNCTION("TRIM(REGEXREPLACE(C733, ""[0-9]+[a-f]?\."", """"))"),"")</f>
        <v/>
      </c>
      <c r="H733" s="188" t="str">
        <f>IFERROR(__xludf.DUMMYFUNCTION("TRIM(REGEXREPLACE(D733, ""[0-9]+[a-f]?\."", """"))"),"")</f>
        <v/>
      </c>
      <c r="I733" s="188" t="str">
        <f>IFERROR(__xludf.DUMMYFUNCTION("TRIM(REGEXREPLACE(E733, ""[0-9]+[a-f]?\."", """"))"),"")</f>
        <v/>
      </c>
      <c r="J733" s="188" t="s">
        <v>5706</v>
      </c>
      <c r="K733" s="188" t="s">
        <v>5707</v>
      </c>
      <c r="L733" s="188" t="s">
        <v>5708</v>
      </c>
    </row>
    <row r="734" hidden="1">
      <c r="A734" s="221" t="s">
        <v>112</v>
      </c>
      <c r="B734" s="198" t="s">
        <v>5709</v>
      </c>
      <c r="C734" s="190"/>
      <c r="D734" s="190"/>
      <c r="E734" s="190"/>
      <c r="F734" s="195">
        <v>454.0</v>
      </c>
      <c r="G734" s="188" t="str">
        <f>IFERROR(__xludf.DUMMYFUNCTION("TRIM(REGEXREPLACE(C734, ""[0-9]+[a-f]?\."", """"))"),"")</f>
        <v/>
      </c>
      <c r="H734" s="188" t="str">
        <f>IFERROR(__xludf.DUMMYFUNCTION("TRIM(REGEXREPLACE(D734, ""[0-9]+[a-f]?\."", """"))"),"")</f>
        <v/>
      </c>
      <c r="I734" s="188" t="str">
        <f>IFERROR(__xludf.DUMMYFUNCTION("TRIM(REGEXREPLACE(E734, ""[0-9]+[a-f]?\."", """"))"),"")</f>
        <v/>
      </c>
      <c r="J734" s="188" t="s">
        <v>5710</v>
      </c>
      <c r="K734" s="188" t="s">
        <v>5711</v>
      </c>
      <c r="L734" s="188" t="s">
        <v>5712</v>
      </c>
    </row>
    <row r="735" hidden="1">
      <c r="A735" s="221" t="s">
        <v>112</v>
      </c>
      <c r="B735" s="198" t="s">
        <v>5714</v>
      </c>
      <c r="C735" s="190" t="s">
        <v>5716</v>
      </c>
      <c r="D735" s="190"/>
      <c r="E735" s="190"/>
      <c r="F735" s="195">
        <v>198.0</v>
      </c>
      <c r="G735" s="188" t="str">
        <f>IFERROR(__xludf.DUMMYFUNCTION("TRIM(REGEXREPLACE(C735, ""[0-9]+[a-f]?\."", """"))"),"Excludes Burkina Faso and Mali")</f>
        <v>Excludes Burkina Faso and Mali</v>
      </c>
      <c r="H735" s="188" t="str">
        <f>IFERROR(__xludf.DUMMYFUNCTION("TRIM(REGEXREPLACE(D735, ""[0-9]+[a-f]?\."", """"))"),"")</f>
        <v/>
      </c>
      <c r="I735" s="188" t="str">
        <f>IFERROR(__xludf.DUMMYFUNCTION("TRIM(REGEXREPLACE(E735, ""[0-9]+[a-f]?\."", """"))"),"")</f>
        <v/>
      </c>
      <c r="J735" s="188" t="str">
        <f t="shared" ref="J735:L735" si="64">$F735 &amp; ". "&amp;G735</f>
        <v>198. Excludes Burkina Faso and Mali</v>
      </c>
      <c r="K735" s="188" t="str">
        <f t="shared" si="64"/>
        <v>198. </v>
      </c>
      <c r="L735" s="188" t="str">
        <f t="shared" si="64"/>
        <v>198. </v>
      </c>
    </row>
    <row r="736" hidden="1">
      <c r="A736" s="221" t="s">
        <v>112</v>
      </c>
      <c r="B736" s="198" t="s">
        <v>5721</v>
      </c>
      <c r="C736" s="190"/>
      <c r="D736" s="190"/>
      <c r="E736" s="190"/>
      <c r="F736" s="195">
        <v>199.0</v>
      </c>
      <c r="G736" s="188" t="str">
        <f>IFERROR(__xludf.DUMMYFUNCTION("TRIM(REGEXREPLACE(C736, ""[0-9]+[a-f]?\."", """"))"),"")</f>
        <v/>
      </c>
      <c r="H736" s="188" t="str">
        <f>IFERROR(__xludf.DUMMYFUNCTION("TRIM(REGEXREPLACE(D736, ""[0-9]+[a-f]?\."", """"))"),"")</f>
        <v/>
      </c>
      <c r="I736" s="188" t="str">
        <f>IFERROR(__xludf.DUMMYFUNCTION("TRIM(REGEXREPLACE(E736, ""[0-9]+[a-f]?\."", """"))"),"")</f>
        <v/>
      </c>
      <c r="J736" s="188" t="str">
        <f t="shared" ref="J736:L736" si="65">$F736 &amp; ". "&amp;G736</f>
        <v>199. </v>
      </c>
      <c r="K736" s="188" t="str">
        <f t="shared" si="65"/>
        <v>199. </v>
      </c>
      <c r="L736" s="188" t="str">
        <f t="shared" si="65"/>
        <v>199. </v>
      </c>
    </row>
    <row r="737" hidden="1">
      <c r="A737" s="221" t="s">
        <v>256</v>
      </c>
      <c r="B737" s="198" t="s">
        <v>5725</v>
      </c>
      <c r="C737" s="190"/>
      <c r="D737" s="190"/>
      <c r="E737" s="190"/>
    </row>
    <row r="738" hidden="1">
      <c r="A738" s="305" t="s">
        <v>385</v>
      </c>
      <c r="B738" s="223" t="s">
        <v>5726</v>
      </c>
      <c r="C738" s="190" t="s">
        <v>5727</v>
      </c>
      <c r="D738" s="190"/>
      <c r="E738" s="190"/>
    </row>
    <row r="739" hidden="1">
      <c r="A739" s="221" t="s">
        <v>112</v>
      </c>
      <c r="B739" s="198" t="s">
        <v>5729</v>
      </c>
      <c r="C739" s="190" t="s">
        <v>5731</v>
      </c>
      <c r="D739" s="190"/>
      <c r="E739" s="190"/>
    </row>
    <row r="740" hidden="1">
      <c r="A740" s="221" t="s">
        <v>112</v>
      </c>
      <c r="B740" s="198" t="s">
        <v>5733</v>
      </c>
      <c r="C740" s="190" t="s">
        <v>5734</v>
      </c>
      <c r="D740" s="190"/>
      <c r="E740" s="190"/>
      <c r="F740" s="195">
        <v>200.0</v>
      </c>
      <c r="G740" s="188" t="str">
        <f>IFERROR(__xludf.DUMMYFUNCTION("TRIM(REGEXREPLACE(C740, ""[0-9]+[a-f]?\."", """"))"),"Country Index")</f>
        <v>Country Index</v>
      </c>
      <c r="H740" s="188" t="str">
        <f>IFERROR(__xludf.DUMMYFUNCTION("TRIM(REGEXREPLACE(D740, ""[0-9]+[a-f]?\."", """"))"),"")</f>
        <v/>
      </c>
      <c r="I740" s="188" t="str">
        <f>IFERROR(__xludf.DUMMYFUNCTION("TRIM(REGEXREPLACE(E740, ""[0-9]+[a-f]?\."", """"))"),"")</f>
        <v/>
      </c>
      <c r="J740" s="188" t="str">
        <f t="shared" ref="J740:L740" si="66">$F740 &amp; ". "&amp;G740</f>
        <v>200. Country Index</v>
      </c>
      <c r="K740" s="188" t="str">
        <f t="shared" si="66"/>
        <v>200. </v>
      </c>
      <c r="L740" s="188" t="str">
        <f t="shared" si="66"/>
        <v>200. </v>
      </c>
    </row>
    <row r="741" hidden="1">
      <c r="A741" s="221" t="s">
        <v>112</v>
      </c>
      <c r="B741" s="198" t="s">
        <v>5738</v>
      </c>
      <c r="C741" s="190" t="s">
        <v>5739</v>
      </c>
      <c r="D741" s="190"/>
      <c r="E741" s="190"/>
      <c r="F741" s="195">
        <v>201.0</v>
      </c>
      <c r="G741" s="188" t="str">
        <f>IFERROR(__xludf.DUMMYFUNCTION("TRIM(REGEXREPLACE(C741, ""[0-9]+[a-f]?\."", """"))"),"Country Name")</f>
        <v>Country Name</v>
      </c>
      <c r="H741" s="188" t="str">
        <f>IFERROR(__xludf.DUMMYFUNCTION("TRIM(REGEXREPLACE(D741, ""[0-9]+[a-f]?\."", """"))"),"")</f>
        <v/>
      </c>
      <c r="I741" s="188" t="str">
        <f>IFERROR(__xludf.DUMMYFUNCTION("TRIM(REGEXREPLACE(E741, ""[0-9]+[a-f]?\."", """"))"),"")</f>
        <v/>
      </c>
      <c r="J741" s="188" t="str">
        <f t="shared" ref="J741:L741" si="67">$F741 &amp; ". "&amp;G741</f>
        <v>201. Country Name</v>
      </c>
      <c r="K741" s="188" t="str">
        <f t="shared" si="67"/>
        <v>201. </v>
      </c>
      <c r="L741" s="188" t="str">
        <f t="shared" si="67"/>
        <v>201. </v>
      </c>
    </row>
    <row r="742">
      <c r="A742" s="299" t="s">
        <v>5741</v>
      </c>
      <c r="B742" s="300" t="s">
        <v>5743</v>
      </c>
      <c r="C742" s="190" t="s">
        <v>5745</v>
      </c>
      <c r="D742" s="190" t="s">
        <v>5746</v>
      </c>
      <c r="E742" s="190" t="s">
        <v>5747</v>
      </c>
      <c r="F742" s="195">
        <v>397.0</v>
      </c>
      <c r="G742" s="188" t="str">
        <f>IFERROR(__xludf.DUMMYFUNCTION("TRIM(REGEXREPLACE(C742, ""[0-9]+[a-f]?\."", """"))"),"In ${hoh_destination}, what was the name of the city or town that ${hoh_roster_name} moved to?")</f>
        <v>In ${hoh_destination}, what was the name of the city or town that ${hoh_roster_name} moved to?</v>
      </c>
      <c r="H742" s="188" t="str">
        <f>IFERROR(__xludf.DUMMYFUNCTION("TRIM(REGEXREPLACE(D742, ""[0-9]+[a-f]?\."", """"))"),"À ${hoh_destination}, quel était le nom de la ville dans laquelle ${hoh_roster_name} il a séjourné ?")</f>
        <v>À ${hoh_destination}, quel était le nom de la ville dans laquelle ${hoh_roster_name} il a séjourné ?</v>
      </c>
      <c r="I742" s="188" t="str">
        <f>IFERROR(__xludf.DUMMYFUNCTION("TRIM(REGEXREPLACE(E742, ""[0-9]+[a-f]?\."", """"))"),"A ${hoh_destination}, menene sunan birnin da ${hoh_roster_name} ya zauna?")</f>
        <v>A ${hoh_destination}, menene sunan birnin da ${hoh_roster_name} ya zauna?</v>
      </c>
      <c r="J742" s="188" t="s">
        <v>5751</v>
      </c>
      <c r="K742" s="188" t="s">
        <v>5752</v>
      </c>
      <c r="L742" s="188" t="s">
        <v>5753</v>
      </c>
    </row>
    <row r="743">
      <c r="A743" s="301" t="s">
        <v>220</v>
      </c>
      <c r="B743" s="302" t="s">
        <v>5754</v>
      </c>
      <c r="C743" s="190" t="s">
        <v>5755</v>
      </c>
      <c r="D743" s="190" t="s">
        <v>5756</v>
      </c>
      <c r="E743" s="190" t="s">
        <v>5757</v>
      </c>
      <c r="F743" s="195">
        <v>398.0</v>
      </c>
      <c r="G743" s="188" t="str">
        <f>IFERROR(__xludf.DUMMYFUNCTION("TRIM(REGEXREPLACE(C743, ""[0-9]+[a-f]?\."", """"))"),"Specify other")</f>
        <v>Specify other</v>
      </c>
      <c r="H743" s="188" t="str">
        <f>IFERROR(__xludf.DUMMYFUNCTION("TRIM(REGEXREPLACE(D743, ""[0-9]+[a-f]?\."", """"))"),"Autre à préciser")</f>
        <v>Autre à préciser</v>
      </c>
      <c r="I743" s="188" t="str">
        <f>IFERROR(__xludf.DUMMYFUNCTION("TRIM(REGEXREPLACE(E743, ""[0-9]+[a-f]?\."", """"))"),"Wani daban a Bayyana")</f>
        <v>Wani daban a Bayyana</v>
      </c>
      <c r="J743" s="188" t="s">
        <v>5758</v>
      </c>
      <c r="K743" s="188" t="s">
        <v>5759</v>
      </c>
      <c r="L743" s="188" t="s">
        <v>5760</v>
      </c>
    </row>
    <row r="744">
      <c r="A744" s="299" t="s">
        <v>5761</v>
      </c>
      <c r="B744" s="300" t="s">
        <v>5762</v>
      </c>
      <c r="C744" s="190" t="s">
        <v>5763</v>
      </c>
      <c r="D744" s="190" t="s">
        <v>5764</v>
      </c>
      <c r="E744" s="190" t="s">
        <v>5765</v>
      </c>
      <c r="F744" s="195">
        <v>399.0</v>
      </c>
      <c r="G744" s="188" t="str">
        <f>IFERROR(__xludf.DUMMYFUNCTION("TRIM(REGEXREPLACE(C744, ""[0-9]+[a-f]?\."", """"))"),"In ${hoh_destination}, what was the name of the region that ${hoh_roster_name} moved to?")</f>
        <v>In ${hoh_destination}, what was the name of the region that ${hoh_roster_name} moved to?</v>
      </c>
      <c r="H744" s="188" t="str">
        <f>IFERROR(__xludf.DUMMYFUNCTION("TRIM(REGEXREPLACE(D744, ""[0-9]+[a-f]?\."", """"))"),"Dans ${hoh_destination}, quel était le nom de la région vers laquelle ${hoh_roster_name} a été déplacé ?")</f>
        <v>Dans ${hoh_destination}, quel était le nom de la région vers laquelle ${hoh_roster_name} a été déplacé ?</v>
      </c>
      <c r="I744" s="188" t="str">
        <f>IFERROR(__xludf.DUMMYFUNCTION("TRIM(REGEXREPLACE(E744, ""[0-9]+[a-f]?\."", """"))"),"A ${hoh_destination}, menene sunan yankin da ${hoh_roster_name} ya koma?")</f>
        <v>A ${hoh_destination}, menene sunan yankin da ${hoh_roster_name} ya koma?</v>
      </c>
      <c r="J744" s="188" t="s">
        <v>5766</v>
      </c>
      <c r="K744" s="188" t="s">
        <v>5767</v>
      </c>
      <c r="L744" s="188" t="s">
        <v>5768</v>
      </c>
    </row>
    <row r="745">
      <c r="A745" s="301" t="s">
        <v>220</v>
      </c>
      <c r="B745" s="302" t="s">
        <v>5769</v>
      </c>
      <c r="C745" s="190" t="s">
        <v>5771</v>
      </c>
      <c r="D745" s="190" t="s">
        <v>5772</v>
      </c>
      <c r="E745" s="190" t="s">
        <v>5773</v>
      </c>
      <c r="F745" s="195">
        <v>400.0</v>
      </c>
      <c r="G745" s="188" t="str">
        <f>IFERROR(__xludf.DUMMYFUNCTION("TRIM(REGEXREPLACE(C745, ""[0-9]+[a-f]?\."", """"))"),"Specify other")</f>
        <v>Specify other</v>
      </c>
      <c r="H745" s="188" t="str">
        <f>IFERROR(__xludf.DUMMYFUNCTION("TRIM(REGEXREPLACE(D745, ""[0-9]+[a-f]?\."", """"))"),"Autre à préciser")</f>
        <v>Autre à préciser</v>
      </c>
      <c r="I745" s="188" t="str">
        <f>IFERROR(__xludf.DUMMYFUNCTION("TRIM(REGEXREPLACE(E745, ""[0-9]+[a-f]?\."", """"))"),"Wani daban a Bayyana")</f>
        <v>Wani daban a Bayyana</v>
      </c>
      <c r="J745" s="188" t="s">
        <v>5774</v>
      </c>
      <c r="K745" s="188" t="s">
        <v>5775</v>
      </c>
      <c r="L745" s="188" t="s">
        <v>5776</v>
      </c>
    </row>
    <row r="746">
      <c r="A746" s="306" t="s">
        <v>247</v>
      </c>
      <c r="B746" s="307" t="s">
        <v>5777</v>
      </c>
      <c r="C746" s="190" t="s">
        <v>5778</v>
      </c>
      <c r="D746" s="190" t="s">
        <v>5779</v>
      </c>
      <c r="E746" s="190" t="s">
        <v>5780</v>
      </c>
      <c r="F746" s="195">
        <v>401.0</v>
      </c>
      <c r="G746" s="188" t="str">
        <f>IFERROR(__xludf.DUMMYFUNCTION("TRIM(REGEXREPLACE(C746, ""[0-9]+[a-f]?\."", """"))"),"How many times did ${hoh_roster_name} travel to ${hoh_destination} since ${period}?")</f>
        <v>How many times did ${hoh_roster_name} travel to ${hoh_destination} since ${period}?</v>
      </c>
      <c r="H746" s="188" t="str">
        <f>IFERROR(__xludf.DUMMYFUNCTION("TRIM(REGEXREPLACE(D746, ""[0-9]+[a-f]?\."", """"))"),"Combien de fois ${hoh_roster_name} s'est-il rendu à ${hoh_destination} depuis la ${period_french}?")</f>
        <v>Combien de fois ${hoh_roster_name} s'est-il rendu à ${hoh_destination} depuis la ${period_french}?</v>
      </c>
      <c r="I746" s="188" t="str">
        <f>IFERROR(__xludf.DUMMYFUNCTION("TRIM(REGEXREPLACE(E746, ""[0-9]+[a-f]?\."", """"))"),"Sau nawa ${hoh_roster_name} yayi tafiya zuwa ${hoh_destination} tun daga wancan ${period_hausa}?")</f>
        <v>Sau nawa ${hoh_roster_name} yayi tafiya zuwa ${hoh_destination} tun daga wancan ${period_hausa}?</v>
      </c>
      <c r="J746" s="188" t="s">
        <v>5781</v>
      </c>
      <c r="K746" s="188" t="s">
        <v>5782</v>
      </c>
      <c r="L746" s="188" t="s">
        <v>5783</v>
      </c>
    </row>
    <row r="747" hidden="1">
      <c r="A747" s="305" t="s">
        <v>450</v>
      </c>
      <c r="B747" s="305" t="s">
        <v>5726</v>
      </c>
      <c r="C747" s="190" t="s">
        <v>5784</v>
      </c>
      <c r="D747" s="190"/>
      <c r="E747" s="190"/>
      <c r="F747" s="195">
        <v>204.0</v>
      </c>
      <c r="G747" s="188" t="str">
        <f>IFERROR(__xludf.DUMMYFUNCTION("TRIM(REGEXREPLACE(C747, ""[0-9]+[a-f]?\."", """"))"),"Other Countries")</f>
        <v>Other Countries</v>
      </c>
      <c r="H747" s="188" t="str">
        <f>IFERROR(__xludf.DUMMYFUNCTION("TRIM(REGEXREPLACE(D747, ""[0-9]+[a-f]?\."", """"))"),"")</f>
        <v/>
      </c>
      <c r="I747" s="188" t="str">
        <f>IFERROR(__xludf.DUMMYFUNCTION("TRIM(REGEXREPLACE(E747, ""[0-9]+[a-f]?\."", """"))"),"")</f>
        <v/>
      </c>
      <c r="J747" s="188" t="str">
        <f t="shared" ref="J747:L747" si="68">$F747 &amp; ". "&amp;G747</f>
        <v>204. Other Countries</v>
      </c>
      <c r="K747" s="188" t="str">
        <f t="shared" si="68"/>
        <v>204. </v>
      </c>
      <c r="L747" s="188" t="str">
        <f t="shared" si="68"/>
        <v>204. </v>
      </c>
    </row>
    <row r="748" hidden="1">
      <c r="A748" s="221" t="s">
        <v>256</v>
      </c>
      <c r="B748" s="198" t="s">
        <v>5789</v>
      </c>
      <c r="C748" s="190"/>
      <c r="D748" s="190"/>
      <c r="E748" s="190"/>
      <c r="F748" s="195">
        <v>205.0</v>
      </c>
      <c r="G748" s="188" t="str">
        <f>IFERROR(__xludf.DUMMYFUNCTION("TRIM(REGEXREPLACE(C748, ""[0-9]+[a-f]?\."", """"))"),"")</f>
        <v/>
      </c>
      <c r="H748" s="188" t="str">
        <f>IFERROR(__xludf.DUMMYFUNCTION("TRIM(REGEXREPLACE(D748, ""[0-9]+[a-f]?\."", """"))"),"")</f>
        <v/>
      </c>
      <c r="I748" s="188" t="str">
        <f>IFERROR(__xludf.DUMMYFUNCTION("TRIM(REGEXREPLACE(E748, ""[0-9]+[a-f]?\."", """"))"),"")</f>
        <v/>
      </c>
      <c r="J748" s="188" t="str">
        <f t="shared" ref="J748:L748" si="69">$F748 &amp; ". "&amp;G748</f>
        <v>205. </v>
      </c>
      <c r="K748" s="188" t="str">
        <f t="shared" si="69"/>
        <v>205. </v>
      </c>
      <c r="L748" s="188" t="str">
        <f t="shared" si="69"/>
        <v>205. </v>
      </c>
    </row>
    <row r="749" hidden="1">
      <c r="A749" s="221" t="s">
        <v>112</v>
      </c>
      <c r="B749" s="198" t="s">
        <v>5793</v>
      </c>
      <c r="C749" s="190"/>
      <c r="D749" s="190"/>
      <c r="E749" s="190"/>
      <c r="F749" s="195">
        <v>206.0</v>
      </c>
      <c r="G749" s="188" t="str">
        <f>IFERROR(__xludf.DUMMYFUNCTION("TRIM(REGEXREPLACE(C749, ""[0-9]+[a-f]?\."", """"))"),"")</f>
        <v/>
      </c>
      <c r="H749" s="188" t="str">
        <f>IFERROR(__xludf.DUMMYFUNCTION("TRIM(REGEXREPLACE(D749, ""[0-9]+[a-f]?\."", """"))"),"")</f>
        <v/>
      </c>
      <c r="I749" s="188" t="str">
        <f>IFERROR(__xludf.DUMMYFUNCTION("TRIM(REGEXREPLACE(E749, ""[0-9]+[a-f]?\."", """"))"),"")</f>
        <v/>
      </c>
      <c r="J749" s="188" t="str">
        <f t="shared" ref="J749:L749" si="70">$F749 &amp; ". "&amp;G749</f>
        <v>206. </v>
      </c>
      <c r="K749" s="188" t="str">
        <f t="shared" si="70"/>
        <v>206. </v>
      </c>
      <c r="L749" s="188" t="str">
        <f t="shared" si="70"/>
        <v>206. </v>
      </c>
    </row>
    <row r="750">
      <c r="A750" s="299" t="s">
        <v>2456</v>
      </c>
      <c r="B750" s="300" t="s">
        <v>5794</v>
      </c>
      <c r="C750" s="190" t="s">
        <v>5796</v>
      </c>
      <c r="D750" s="190" t="s">
        <v>5799</v>
      </c>
      <c r="E750" s="190" t="s">
        <v>5800</v>
      </c>
      <c r="F750" s="195">
        <v>402.0</v>
      </c>
      <c r="G750" s="188" t="str">
        <f>IFERROR(__xludf.DUMMYFUNCTION("TRIM(REGEXREPLACE(C750, ""[0-9]+[a-f]?\."", """"))"),"Since ${period}, was there ever a time when ${hoh_roster_name} planned to migrate but then had to cancel their plans?")</f>
        <v>Since ${period}, was there ever a time when ${hoh_roster_name} planned to migrate but then had to cancel their plans?</v>
      </c>
      <c r="H750" s="188" t="str">
        <f>IFERROR(__xludf.DUMMYFUNCTION("TRIM(REGEXREPLACE(D750,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750" s="188" t="str">
        <f>IFERROR(__xludf.DUMMYFUNCTION("TRIM(REGEXREPLACE(E750, ""[0-9]+[a-f]?\."", """"))"),"Tun daga ${period_hausa}, ko akwai lokacin da ${hoh_roster_name} ya shirya zuwa biɗa amma sai ya soke shirinshi?")</f>
        <v>Tun daga ${period_hausa}, ko akwai lokacin da ${hoh_roster_name} ya shirya zuwa biɗa amma sai ya soke shirinshi?</v>
      </c>
      <c r="J750" s="188" t="s">
        <v>5801</v>
      </c>
      <c r="K750" s="188" t="s">
        <v>5802</v>
      </c>
      <c r="L750" s="188" t="s">
        <v>5803</v>
      </c>
    </row>
    <row r="751">
      <c r="A751" s="299" t="s">
        <v>5686</v>
      </c>
      <c r="B751" s="300" t="s">
        <v>5804</v>
      </c>
      <c r="C751" s="190" t="s">
        <v>5805</v>
      </c>
      <c r="D751" s="190" t="s">
        <v>5806</v>
      </c>
      <c r="E751" s="190" t="s">
        <v>5807</v>
      </c>
      <c r="F751" s="195">
        <v>403.0</v>
      </c>
      <c r="G751" s="188" t="str">
        <f>IFERROR(__xludf.DUMMYFUNCTION("TRIM(REGEXREPLACE(C751, ""[0-9]+[a-f]?\."", """"))"),"Where did they plan to migrate?")</f>
        <v>Where did they plan to migrate?</v>
      </c>
      <c r="H751" s="188" t="str">
        <f>IFERROR(__xludf.DUMMYFUNCTION("TRIM(REGEXREPLACE(D751, ""[0-9]+[a-f]?\."", """"))"),"Où envisageait-il de migrer ?")</f>
        <v>Où envisageait-il de migrer ?</v>
      </c>
      <c r="I751" s="188" t="str">
        <f>IFERROR(__xludf.DUMMYFUNCTION("TRIM(REGEXREPLACE(E751, ""[0-9]+[a-f]?\."", """"))"),"Zuwa ina ya shirya zuwa biɗar?")</f>
        <v>Zuwa ina ya shirya zuwa biɗar?</v>
      </c>
      <c r="J751" s="188" t="s">
        <v>5810</v>
      </c>
      <c r="K751" s="188" t="s">
        <v>5811</v>
      </c>
      <c r="L751" s="188" t="s">
        <v>5812</v>
      </c>
    </row>
    <row r="752">
      <c r="A752" s="301" t="s">
        <v>220</v>
      </c>
      <c r="B752" s="302" t="s">
        <v>5813</v>
      </c>
      <c r="C752" s="190" t="s">
        <v>5815</v>
      </c>
      <c r="D752" s="190" t="s">
        <v>5816</v>
      </c>
      <c r="E752" s="190" t="s">
        <v>5817</v>
      </c>
      <c r="F752" s="195">
        <v>404.0</v>
      </c>
      <c r="G752" s="188" t="str">
        <f>IFERROR(__xludf.DUMMYFUNCTION("TRIM(REGEXREPLACE(C752, ""[0-9]+[a-f]?\."", """"))"),"Specify other")</f>
        <v>Specify other</v>
      </c>
      <c r="H752" s="188" t="str">
        <f>IFERROR(__xludf.DUMMYFUNCTION("TRIM(REGEXREPLACE(D752, ""[0-9]+[a-f]?\."", """"))"),"Autre à préciser")</f>
        <v>Autre à préciser</v>
      </c>
      <c r="I752" s="188" t="str">
        <f>IFERROR(__xludf.DUMMYFUNCTION("TRIM(REGEXREPLACE(E752, ""[0-9]+[a-f]?\."", """"))"),"Wani daban a Bayyana")</f>
        <v>Wani daban a Bayyana</v>
      </c>
      <c r="J752" s="188" t="s">
        <v>5818</v>
      </c>
      <c r="K752" s="188" t="s">
        <v>5819</v>
      </c>
      <c r="L752" s="188" t="s">
        <v>5820</v>
      </c>
    </row>
    <row r="753" hidden="1">
      <c r="A753" s="305" t="s">
        <v>385</v>
      </c>
      <c r="B753" s="223" t="s">
        <v>5821</v>
      </c>
      <c r="C753" s="190" t="s">
        <v>5822</v>
      </c>
      <c r="D753" s="190"/>
      <c r="E753" s="190"/>
      <c r="F753" s="195">
        <v>209.0</v>
      </c>
      <c r="G753" s="188" t="str">
        <f>IFERROR(__xludf.DUMMYFUNCTION("TRIM(REGEXREPLACE(C753, ""[0-9]+[a-f]?\."", """"))"),"Failed Migrations")</f>
        <v>Failed Migrations</v>
      </c>
      <c r="H753" s="188" t="str">
        <f>IFERROR(__xludf.DUMMYFUNCTION("TRIM(REGEXREPLACE(D753, ""[0-9]+[a-f]?\."", """"))"),"")</f>
        <v/>
      </c>
      <c r="I753" s="188" t="str">
        <f>IFERROR(__xludf.DUMMYFUNCTION("TRIM(REGEXREPLACE(E753, ""[0-9]+[a-f]?\."", """"))"),"")</f>
        <v/>
      </c>
      <c r="J753" s="188" t="str">
        <f t="shared" ref="J753:L753" si="71">$F753 &amp; ". "&amp;G753</f>
        <v>209. Failed Migrations</v>
      </c>
      <c r="K753" s="188" t="str">
        <f t="shared" si="71"/>
        <v>209. </v>
      </c>
      <c r="L753" s="188" t="str">
        <f t="shared" si="71"/>
        <v>209. </v>
      </c>
    </row>
    <row r="754" hidden="1">
      <c r="A754" s="221" t="s">
        <v>112</v>
      </c>
      <c r="B754" s="198" t="s">
        <v>5825</v>
      </c>
      <c r="C754" s="190"/>
      <c r="D754" s="190"/>
      <c r="E754" s="190"/>
      <c r="F754" s="195">
        <v>445.0</v>
      </c>
      <c r="G754" s="188" t="str">
        <f>IFERROR(__xludf.DUMMYFUNCTION("TRIM(REGEXREPLACE(C754, ""[0-9]+[a-f]?\."", """"))"),"")</f>
        <v/>
      </c>
      <c r="H754" s="188" t="str">
        <f>IFERROR(__xludf.DUMMYFUNCTION("TRIM(REGEXREPLACE(D754, ""[0-9]+[a-f]?\."", """"))"),"")</f>
        <v/>
      </c>
      <c r="I754" s="188" t="str">
        <f>IFERROR(__xludf.DUMMYFUNCTION("TRIM(REGEXREPLACE(E754, ""[0-9]+[a-f]?\."", """"))"),"")</f>
        <v/>
      </c>
      <c r="J754" s="188" t="s">
        <v>5826</v>
      </c>
      <c r="K754" s="188" t="s">
        <v>5828</v>
      </c>
      <c r="L754" s="188" t="s">
        <v>5829</v>
      </c>
    </row>
    <row r="755" hidden="1">
      <c r="A755" s="221" t="s">
        <v>112</v>
      </c>
      <c r="B755" s="198" t="s">
        <v>5830</v>
      </c>
      <c r="C755" s="190"/>
      <c r="D755" s="190"/>
      <c r="E755" s="190"/>
      <c r="F755" s="195">
        <v>446.0</v>
      </c>
      <c r="G755" s="188" t="str">
        <f>IFERROR(__xludf.DUMMYFUNCTION("TRIM(REGEXREPLACE(C755, ""[0-9]+[a-f]?\."", """"))"),"")</f>
        <v/>
      </c>
      <c r="H755" s="188" t="str">
        <f>IFERROR(__xludf.DUMMYFUNCTION("TRIM(REGEXREPLACE(D755, ""[0-9]+[a-f]?\."", """"))"),"")</f>
        <v/>
      </c>
      <c r="I755" s="188" t="str">
        <f>IFERROR(__xludf.DUMMYFUNCTION("TRIM(REGEXREPLACE(E755, ""[0-9]+[a-f]?\."", """"))"),"")</f>
        <v/>
      </c>
      <c r="J755" s="188" t="s">
        <v>5831</v>
      </c>
      <c r="K755" s="188" t="s">
        <v>5833</v>
      </c>
      <c r="L755" s="188" t="s">
        <v>5834</v>
      </c>
    </row>
    <row r="756" hidden="1">
      <c r="A756" s="221" t="s">
        <v>112</v>
      </c>
      <c r="B756" s="250" t="s">
        <v>5835</v>
      </c>
      <c r="C756" s="190" t="s">
        <v>5739</v>
      </c>
      <c r="D756" s="190"/>
      <c r="E756" s="190"/>
      <c r="F756" s="195">
        <v>210.0</v>
      </c>
      <c r="G756" s="188" t="str">
        <f>IFERROR(__xludf.DUMMYFUNCTION("TRIM(REGEXREPLACE(C756, ""[0-9]+[a-f]?\."", """"))"),"Country Name")</f>
        <v>Country Name</v>
      </c>
      <c r="H756" s="188" t="str">
        <f>IFERROR(__xludf.DUMMYFUNCTION("TRIM(REGEXREPLACE(D756, ""[0-9]+[a-f]?\."", """"))"),"")</f>
        <v/>
      </c>
      <c r="I756" s="188" t="str">
        <f>IFERROR(__xludf.DUMMYFUNCTION("TRIM(REGEXREPLACE(E756, ""[0-9]+[a-f]?\."", """"))"),"")</f>
        <v/>
      </c>
      <c r="J756" s="188" t="str">
        <f t="shared" ref="J756:L756" si="72">$F756 &amp; ". "&amp;G756</f>
        <v>210. Country Name</v>
      </c>
      <c r="K756" s="188" t="str">
        <f t="shared" si="72"/>
        <v>210. </v>
      </c>
      <c r="L756" s="188" t="str">
        <f t="shared" si="72"/>
        <v>210. </v>
      </c>
    </row>
    <row r="757">
      <c r="A757" s="299" t="s">
        <v>5741</v>
      </c>
      <c r="B757" s="347" t="s">
        <v>5838</v>
      </c>
      <c r="C757" s="190" t="s">
        <v>5839</v>
      </c>
      <c r="D757" s="190" t="s">
        <v>5840</v>
      </c>
      <c r="E757" s="190" t="s">
        <v>5842</v>
      </c>
      <c r="F757" s="195">
        <v>405.0</v>
      </c>
      <c r="G757" s="188" t="str">
        <f>IFERROR(__xludf.DUMMYFUNCTION("TRIM(REGEXREPLACE(C757, ""[0-9]+[a-f]?\."", """"))"),"In ${hoh_failed_country}, what was the name of the city or town that ${hoh_roster_name} planned to move to?")</f>
        <v>In ${hoh_failed_country}, what was the name of the city or town that ${hoh_roster_name} planned to move to?</v>
      </c>
      <c r="H757" s="188" t="str">
        <f>IFERROR(__xludf.DUMMYFUNCTION("TRIM(REGEXREPLACE(D757, ""[0-9]+[a-f]?\."", """"))"),"Dans ${hoh_failed_country}, quel était le nom de la ville ou du village vers lequel ${hoh_roster_name} prévoyait de voyager ?")</f>
        <v>Dans ${hoh_failed_country}, quel était le nom de la ville ou du village vers lequel ${hoh_roster_name} prévoyait de voyager ?</v>
      </c>
      <c r="I757" s="188" t="str">
        <f>IFERROR(__xludf.DUMMYFUNCTION("TRIM(REGEXREPLACE(E757, ""[0-9]+[a-f]?\."", """"))"),"A ƙasar ${hoh_failed_country}, menene sunan birni ko garin da sunan ${hoh_roster_name} yayi shirin zuwa?")</f>
        <v>A ƙasar ${hoh_failed_country}, menene sunan birni ko garin da sunan ${hoh_roster_name} yayi shirin zuwa?</v>
      </c>
      <c r="J757" s="188" t="s">
        <v>5846</v>
      </c>
      <c r="K757" s="188" t="s">
        <v>5847</v>
      </c>
      <c r="L757" s="188" t="s">
        <v>5848</v>
      </c>
    </row>
    <row r="758">
      <c r="A758" s="301" t="s">
        <v>220</v>
      </c>
      <c r="B758" s="302" t="s">
        <v>5849</v>
      </c>
      <c r="C758" s="190" t="s">
        <v>5851</v>
      </c>
      <c r="D758" s="190" t="s">
        <v>5852</v>
      </c>
      <c r="E758" s="190" t="s">
        <v>5853</v>
      </c>
      <c r="F758" s="195">
        <v>406.0</v>
      </c>
      <c r="G758" s="188" t="str">
        <f>IFERROR(__xludf.DUMMYFUNCTION("TRIM(REGEXREPLACE(C758, ""[0-9]+[a-f]?\."", """"))"),"Specify other")</f>
        <v>Specify other</v>
      </c>
      <c r="H758" s="188" t="str">
        <f>IFERROR(__xludf.DUMMYFUNCTION("TRIM(REGEXREPLACE(D758, ""[0-9]+[a-f]?\."", """"))"),"Autre à préciser")</f>
        <v>Autre à préciser</v>
      </c>
      <c r="I758" s="188" t="str">
        <f>IFERROR(__xludf.DUMMYFUNCTION("TRIM(REGEXREPLACE(E758, ""[0-9]+[a-f]?\."", """"))"),"Wani daban a Bayyana")</f>
        <v>Wani daban a Bayyana</v>
      </c>
      <c r="J758" s="188" t="s">
        <v>5854</v>
      </c>
      <c r="K758" s="188" t="s">
        <v>5855</v>
      </c>
      <c r="L758" s="188" t="s">
        <v>5856</v>
      </c>
    </row>
    <row r="759">
      <c r="A759" s="299" t="s">
        <v>5761</v>
      </c>
      <c r="B759" s="300" t="s">
        <v>5858</v>
      </c>
      <c r="C759" s="190" t="s">
        <v>5859</v>
      </c>
      <c r="D759" s="190" t="s">
        <v>5860</v>
      </c>
      <c r="E759" s="190" t="s">
        <v>5861</v>
      </c>
      <c r="F759" s="195">
        <v>407.0</v>
      </c>
      <c r="G759" s="188" t="str">
        <f>IFERROR(__xludf.DUMMYFUNCTION("TRIM(REGEXREPLACE(C759, ""[0-9]+[a-f]?\."", """"))"),"In ${hoh_failed_country}, what was the name of the region that ${hoh_roster_name} planned to move to?")</f>
        <v>In ${hoh_failed_country}, what was the name of the region that ${hoh_roster_name} planned to move to?</v>
      </c>
      <c r="H759" s="188" t="str">
        <f>IFERROR(__xludf.DUMMYFUNCTION("TRIM(REGEXREPLACE(D759, ""[0-9]+[a-f]?\."", """"))"),"Dans ${hoh_failed_country}, quel était le nom de la région dans laquelle ${hoh_roster_name} prévoyait de voyager ?")</f>
        <v>Dans ${hoh_failed_country}, quel était le nom de la région dans laquelle ${hoh_roster_name} prévoyait de voyager ?</v>
      </c>
      <c r="I759" s="188" t="str">
        <f>IFERROR(__xludf.DUMMYFUNCTION("TRIM(REGEXREPLACE(E759, ""[0-9]+[a-f]?\."", """"))"),"A kasar ${hoh_failed_country}, menene sunan yankin da sunan ${hoh_roster_name} ya shirya zuwa?")</f>
        <v>A kasar ${hoh_failed_country}, menene sunan yankin da sunan ${hoh_roster_name} ya shirya zuwa?</v>
      </c>
      <c r="J759" s="188" t="s">
        <v>5863</v>
      </c>
      <c r="K759" s="188" t="s">
        <v>5864</v>
      </c>
      <c r="L759" s="188" t="s">
        <v>5865</v>
      </c>
    </row>
    <row r="760">
      <c r="A760" s="301" t="s">
        <v>220</v>
      </c>
      <c r="B760" s="302" t="s">
        <v>5866</v>
      </c>
      <c r="C760" s="190" t="s">
        <v>5867</v>
      </c>
      <c r="D760" s="190" t="s">
        <v>5868</v>
      </c>
      <c r="E760" s="190" t="s">
        <v>5869</v>
      </c>
      <c r="F760" s="195">
        <v>408.0</v>
      </c>
      <c r="G760" s="188" t="str">
        <f>IFERROR(__xludf.DUMMYFUNCTION("TRIM(REGEXREPLACE(C760, ""[0-9]+[a-f]?\."", """"))"),"Specify other")</f>
        <v>Specify other</v>
      </c>
      <c r="H760" s="188" t="str">
        <f>IFERROR(__xludf.DUMMYFUNCTION("TRIM(REGEXREPLACE(D760, ""[0-9]+[a-f]?\."", """"))"),"Autre à préciser")</f>
        <v>Autre à préciser</v>
      </c>
      <c r="I760" s="188" t="str">
        <f>IFERROR(__xludf.DUMMYFUNCTION("TRIM(REGEXREPLACE(E760, ""[0-9]+[a-f]?\."", """"))"),"Wani daban a Bayyana")</f>
        <v>Wani daban a Bayyana</v>
      </c>
      <c r="J760" s="188" t="s">
        <v>5871</v>
      </c>
      <c r="K760" s="188" t="s">
        <v>5872</v>
      </c>
      <c r="L760" s="188" t="s">
        <v>5873</v>
      </c>
    </row>
    <row r="761">
      <c r="A761" s="306" t="s">
        <v>247</v>
      </c>
      <c r="B761" s="307" t="s">
        <v>5874</v>
      </c>
      <c r="C761" s="190" t="s">
        <v>5875</v>
      </c>
      <c r="D761" s="190" t="s">
        <v>5876</v>
      </c>
      <c r="E761" s="190" t="s">
        <v>5877</v>
      </c>
      <c r="F761" s="195">
        <v>409.0</v>
      </c>
      <c r="G761" s="188" t="str">
        <f>IFERROR(__xludf.DUMMYFUNCTION("TRIM(REGEXREPLACE(C761, ""[0-9]+[a-f]?\."", """"))"),"How many times did they plan to migrate to ${hoh_failed_country} and fail?")</f>
        <v>How many times did they plan to migrate to ${hoh_failed_country} and fail?</v>
      </c>
      <c r="H761" s="188" t="str">
        <f>IFERROR(__xludf.DUMMYFUNCTION("TRIM(REGEXREPLACE(D761, ""[0-9]+[a-f]?\."", """"))"),"Combien de fois ont-ils prévu de migrer vers ${hoh_failed_country} et ont-ils échoué ?")</f>
        <v>Combien de fois ont-ils prévu de migrer vers ${hoh_failed_country} et ont-ils échoué ?</v>
      </c>
      <c r="I761" s="188" t="str">
        <f>IFERROR(__xludf.DUMMYFUNCTION("TRIM(REGEXREPLACE(E761, ""[0-9]+[a-f]?\."", """"))"),"Sau nawa ya shirya zuwa ƙasar ${hoh_failed_country} kuma ya kasa?")</f>
        <v>Sau nawa ya shirya zuwa ƙasar ${hoh_failed_country} kuma ya kasa?</v>
      </c>
      <c r="J761" s="188" t="s">
        <v>5879</v>
      </c>
      <c r="K761" s="188" t="s">
        <v>5880</v>
      </c>
      <c r="L761" s="188" t="s">
        <v>5881</v>
      </c>
    </row>
    <row r="762">
      <c r="A762" s="299" t="s">
        <v>5882</v>
      </c>
      <c r="B762" s="300" t="s">
        <v>5883</v>
      </c>
      <c r="C762" s="190" t="s">
        <v>5884</v>
      </c>
      <c r="D762" s="190" t="s">
        <v>5885</v>
      </c>
      <c r="E762" s="190" t="s">
        <v>5886</v>
      </c>
      <c r="F762" s="195">
        <v>410.0</v>
      </c>
      <c r="G762" s="188" t="str">
        <f>IFERROR(__xludf.DUMMYFUNCTION("TRIM(REGEXREPLACE(C762, ""[0-9]+[a-f]?\."", """"))"),"Why did they change their plans?")</f>
        <v>Why did they change their plans?</v>
      </c>
      <c r="H762" s="188" t="str">
        <f>IFERROR(__xludf.DUMMYFUNCTION("TRIM(REGEXREPLACE(D762, ""[0-9]+[a-f]?\."", """"))"),"Pourquoi a-t-il changé son plan?")</f>
        <v>Pourquoi a-t-il changé son plan?</v>
      </c>
      <c r="I762" s="188" t="str">
        <f>IFERROR(__xludf.DUMMYFUNCTION("TRIM(REGEXREPLACE(E762, ""[0-9]+[a-f]?\."", """"))"),"Me yasa ya fasa tafiyar?")</f>
        <v>Me yasa ya fasa tafiyar?</v>
      </c>
      <c r="J762" s="188" t="s">
        <v>5888</v>
      </c>
      <c r="K762" s="188" t="s">
        <v>5889</v>
      </c>
      <c r="L762" s="188" t="s">
        <v>5890</v>
      </c>
    </row>
    <row r="763">
      <c r="A763" s="301" t="s">
        <v>220</v>
      </c>
      <c r="B763" s="302" t="s">
        <v>5891</v>
      </c>
      <c r="C763" s="190" t="s">
        <v>5892</v>
      </c>
      <c r="D763" s="190" t="s">
        <v>5893</v>
      </c>
      <c r="E763" s="190" t="s">
        <v>5894</v>
      </c>
      <c r="F763" s="195">
        <v>411.0</v>
      </c>
      <c r="G763" s="188" t="str">
        <f>IFERROR(__xludf.DUMMYFUNCTION("TRIM(REGEXREPLACE(C763, ""[0-9]+[a-f]?\."", """"))"),"Specify other reason")</f>
        <v>Specify other reason</v>
      </c>
      <c r="H763" s="188" t="str">
        <f>IFERROR(__xludf.DUMMYFUNCTION("TRIM(REGEXREPLACE(D763, ""[0-9]+[a-f]?\."", """"))"),"Précisez une autre raison")</f>
        <v>Précisez une autre raison</v>
      </c>
      <c r="I763" s="188" t="str">
        <f>IFERROR(__xludf.DUMMYFUNCTION("TRIM(REGEXREPLACE(E763, ""[0-9]+[a-f]?\."", """"))"),"Baiyana wani dalili daban")</f>
        <v>Baiyana wani dalili daban</v>
      </c>
      <c r="J763" s="188" t="s">
        <v>5897</v>
      </c>
      <c r="K763" s="188" t="s">
        <v>5898</v>
      </c>
      <c r="L763" s="188" t="s">
        <v>5899</v>
      </c>
    </row>
    <row r="764" hidden="1">
      <c r="A764" s="305" t="s">
        <v>450</v>
      </c>
      <c r="B764" s="224" t="s">
        <v>5821</v>
      </c>
      <c r="C764" s="190"/>
      <c r="D764" s="190"/>
      <c r="E764" s="190"/>
    </row>
    <row r="765" hidden="1">
      <c r="A765" s="310" t="s">
        <v>331</v>
      </c>
      <c r="B765" s="315" t="s">
        <v>5658</v>
      </c>
      <c r="C765" s="190" t="s">
        <v>5659</v>
      </c>
      <c r="D765" s="190"/>
      <c r="E765" s="190"/>
      <c r="F765" s="195">
        <v>213.0</v>
      </c>
      <c r="G765" s="188" t="str">
        <f>IFERROR(__xludf.DUMMYFUNCTION("TRIM(REGEXREPLACE(C765, ""[0-9]+[a-f]?\."", """"))"),"Past Migration")</f>
        <v>Past Migration</v>
      </c>
      <c r="H765" s="188" t="str">
        <f>IFERROR(__xludf.DUMMYFUNCTION("TRIM(REGEXREPLACE(D765, ""[0-9]+[a-f]?\."", """"))"),"")</f>
        <v/>
      </c>
      <c r="I765" s="188" t="str">
        <f>IFERROR(__xludf.DUMMYFUNCTION("TRIM(REGEXREPLACE(E765, ""[0-9]+[a-f]?\."", """"))"),"")</f>
        <v/>
      </c>
      <c r="J765" s="188" t="str">
        <f t="shared" ref="J765:L765" si="73">$F765 &amp; ". "&amp;G765</f>
        <v>213. Past Migration</v>
      </c>
      <c r="K765" s="188" t="str">
        <f t="shared" si="73"/>
        <v>213. </v>
      </c>
      <c r="L765" s="188" t="str">
        <f t="shared" si="73"/>
        <v>213. </v>
      </c>
    </row>
    <row r="766" hidden="1">
      <c r="A766" s="221" t="s">
        <v>256</v>
      </c>
      <c r="B766" s="198" t="s">
        <v>5902</v>
      </c>
      <c r="C766" s="190"/>
      <c r="D766" s="190"/>
      <c r="E766" s="190"/>
      <c r="F766" s="195">
        <v>214.0</v>
      </c>
      <c r="G766" s="188" t="str">
        <f>IFERROR(__xludf.DUMMYFUNCTION("TRIM(REGEXREPLACE(C766, ""[0-9]+[a-f]?\."", """"))"),"")</f>
        <v/>
      </c>
      <c r="H766" s="188" t="str">
        <f>IFERROR(__xludf.DUMMYFUNCTION("TRIM(REGEXREPLACE(D766, ""[0-9]+[a-f]?\."", """"))"),"")</f>
        <v/>
      </c>
      <c r="I766" s="188" t="str">
        <f>IFERROR(__xludf.DUMMYFUNCTION("TRIM(REGEXREPLACE(E766, ""[0-9]+[a-f]?\."", """"))"),"")</f>
        <v/>
      </c>
      <c r="J766" s="188" t="str">
        <f t="shared" ref="J766:L766" si="74">$F766 &amp; ". "&amp;G766</f>
        <v>214. </v>
      </c>
      <c r="K766" s="188" t="str">
        <f t="shared" si="74"/>
        <v>214. </v>
      </c>
      <c r="L766" s="188" t="str">
        <f t="shared" si="74"/>
        <v>214. </v>
      </c>
    </row>
    <row r="767" hidden="1">
      <c r="A767" s="221" t="s">
        <v>112</v>
      </c>
      <c r="B767" s="198" t="s">
        <v>5903</v>
      </c>
      <c r="C767" s="190"/>
      <c r="D767" s="190"/>
      <c r="E767" s="190"/>
      <c r="F767" s="195">
        <v>215.0</v>
      </c>
      <c r="G767" s="188" t="str">
        <f>IFERROR(__xludf.DUMMYFUNCTION("TRIM(REGEXREPLACE(C767, ""[0-9]+[a-f]?\."", """"))"),"")</f>
        <v/>
      </c>
      <c r="H767" s="188" t="str">
        <f>IFERROR(__xludf.DUMMYFUNCTION("TRIM(REGEXREPLACE(D767, ""[0-9]+[a-f]?\."", """"))"),"")</f>
        <v/>
      </c>
      <c r="I767" s="188" t="str">
        <f>IFERROR(__xludf.DUMMYFUNCTION("TRIM(REGEXREPLACE(E767, ""[0-9]+[a-f]?\."", """"))"),"")</f>
        <v/>
      </c>
      <c r="J767" s="188" t="str">
        <f t="shared" ref="J767:L767" si="75">$F767 &amp; ". "&amp;G767</f>
        <v>215. </v>
      </c>
      <c r="K767" s="188" t="str">
        <f t="shared" si="75"/>
        <v>215. </v>
      </c>
      <c r="L767" s="188" t="str">
        <f t="shared" si="75"/>
        <v>215. </v>
      </c>
    </row>
    <row r="768" hidden="1">
      <c r="A768" s="305" t="s">
        <v>450</v>
      </c>
      <c r="B768" s="224" t="s">
        <v>5340</v>
      </c>
      <c r="C768" s="190" t="s">
        <v>5341</v>
      </c>
      <c r="D768" s="190"/>
      <c r="E768" s="190"/>
      <c r="F768" s="195">
        <v>468.0</v>
      </c>
      <c r="G768" s="188" t="str">
        <f>IFERROR(__xludf.DUMMYFUNCTION("TRIM(REGEXREPLACE(C768, ""[0-9]+[a-f]?\."", """"))"),"Roster")</f>
        <v>Roster</v>
      </c>
      <c r="H768" s="188" t="str">
        <f>IFERROR(__xludf.DUMMYFUNCTION("TRIM(REGEXREPLACE(D768, ""[0-9]+[a-f]?\."", """"))"),"")</f>
        <v/>
      </c>
      <c r="I768" s="188" t="str">
        <f>IFERROR(__xludf.DUMMYFUNCTION("TRIM(REGEXREPLACE(E768, ""[0-9]+[a-f]?\."", """"))"),"")</f>
        <v/>
      </c>
      <c r="J768" s="188" t="s">
        <v>5906</v>
      </c>
      <c r="K768" s="188" t="s">
        <v>5907</v>
      </c>
      <c r="L768" s="188" t="s">
        <v>5908</v>
      </c>
    </row>
    <row r="769" hidden="1">
      <c r="A769" s="319"/>
      <c r="B769" s="319"/>
      <c r="C769" s="190"/>
      <c r="D769" s="190"/>
      <c r="E769" s="190"/>
      <c r="F769" s="195">
        <v>216.0</v>
      </c>
      <c r="G769" s="188" t="str">
        <f>IFERROR(__xludf.DUMMYFUNCTION("TRIM(REGEXREPLACE(C769, ""[0-9]+[a-f]?\."", """"))"),"")</f>
        <v/>
      </c>
      <c r="H769" s="188" t="str">
        <f>IFERROR(__xludf.DUMMYFUNCTION("TRIM(REGEXREPLACE(D769, ""[0-9]+[a-f]?\."", """"))"),"")</f>
        <v/>
      </c>
      <c r="I769" s="188" t="str">
        <f>IFERROR(__xludf.DUMMYFUNCTION("TRIM(REGEXREPLACE(E769, ""[0-9]+[a-f]?\."", """"))"),"")</f>
        <v/>
      </c>
      <c r="J769" s="188" t="str">
        <f t="shared" ref="J769:L769" si="76">$F769 &amp; ". "&amp;G769</f>
        <v>216. </v>
      </c>
      <c r="K769" s="188" t="str">
        <f t="shared" si="76"/>
        <v>216. </v>
      </c>
      <c r="L769" s="188" t="str">
        <f t="shared" si="76"/>
        <v>216. </v>
      </c>
    </row>
    <row r="770" hidden="1">
      <c r="A770" s="221" t="s">
        <v>112</v>
      </c>
      <c r="B770" s="198" t="s">
        <v>5910</v>
      </c>
      <c r="C770" s="190" t="s">
        <v>5911</v>
      </c>
      <c r="D770" s="190" t="s">
        <v>5912</v>
      </c>
      <c r="E770" s="190" t="s">
        <v>5913</v>
      </c>
      <c r="F770" s="195">
        <v>217.0</v>
      </c>
      <c r="G770" s="188" t="str">
        <f>IFERROR(__xludf.DUMMYFUNCTION("TRIM(REGEXREPLACE(C770, ""[0-9]+[a-f]?\."", """"))"),"Members 7+")</f>
        <v>Members 7+</v>
      </c>
      <c r="H770" s="188" t="str">
        <f>IFERROR(__xludf.DUMMYFUNCTION("TRIM(REGEXREPLACE(D770, ""[0-9]+[a-f]?\."", """"))"),"Membres 7+")</f>
        <v>Membres 7+</v>
      </c>
      <c r="I770" s="188" t="str">
        <f>IFERROR(__xludf.DUMMYFUNCTION("TRIM(REGEXREPLACE(E770, ""[0-9]+[a-f]?\."", """"))"),"Membobi 7+")</f>
        <v>Membobi 7+</v>
      </c>
      <c r="J770" s="188" t="str">
        <f t="shared" ref="J770:L770" si="77">$F770 &amp; ". "&amp;G770</f>
        <v>217. Members 7+</v>
      </c>
      <c r="K770" s="188" t="str">
        <f t="shared" si="77"/>
        <v>217. Membres 7+</v>
      </c>
      <c r="L770" s="188" t="str">
        <f t="shared" si="77"/>
        <v>217. Membobi 7+</v>
      </c>
    </row>
    <row r="771" hidden="1">
      <c r="A771" s="221" t="s">
        <v>112</v>
      </c>
      <c r="B771" s="198" t="s">
        <v>5915</v>
      </c>
      <c r="C771" s="190" t="s">
        <v>5916</v>
      </c>
      <c r="D771" s="190"/>
      <c r="E771" s="190"/>
      <c r="F771" s="195">
        <v>457.0</v>
      </c>
      <c r="G771" s="188" t="str">
        <f>IFERROR(__xludf.DUMMYFUNCTION("TRIM(REGEXREPLACE(C771, ""[0-9]+[a-f]?\."", """"))"),"Members Living in HH")</f>
        <v>Members Living in HH</v>
      </c>
      <c r="H771" s="188" t="str">
        <f>IFERROR(__xludf.DUMMYFUNCTION("TRIM(REGEXREPLACE(D771, ""[0-9]+[a-f]?\."", """"))"),"")</f>
        <v/>
      </c>
      <c r="I771" s="188" t="str">
        <f>IFERROR(__xludf.DUMMYFUNCTION("TRIM(REGEXREPLACE(E771, ""[0-9]+[a-f]?\."", """"))"),"")</f>
        <v/>
      </c>
      <c r="J771" s="188" t="s">
        <v>5918</v>
      </c>
      <c r="K771" s="188" t="s">
        <v>5919</v>
      </c>
      <c r="L771" s="188" t="s">
        <v>5920</v>
      </c>
    </row>
    <row r="772" hidden="1">
      <c r="A772" s="221" t="s">
        <v>112</v>
      </c>
      <c r="B772" s="198" t="s">
        <v>5921</v>
      </c>
      <c r="C772" s="190"/>
      <c r="D772" s="190"/>
      <c r="E772" s="190"/>
      <c r="F772" s="195">
        <v>472.0</v>
      </c>
      <c r="G772" s="188" t="str">
        <f>IFERROR(__xludf.DUMMYFUNCTION("TRIM(REGEXREPLACE(C772, ""[0-9]+[a-f]?\."", """"))"),"")</f>
        <v/>
      </c>
      <c r="H772" s="188" t="str">
        <f>IFERROR(__xludf.DUMMYFUNCTION("TRIM(REGEXREPLACE(D772, ""[0-9]+[a-f]?\."", """"))"),"")</f>
        <v/>
      </c>
      <c r="I772" s="188" t="str">
        <f>IFERROR(__xludf.DUMMYFUNCTION("TRIM(REGEXREPLACE(E772, ""[0-9]+[a-f]?\."", """"))"),"")</f>
        <v/>
      </c>
      <c r="J772" s="188" t="s">
        <v>5923</v>
      </c>
      <c r="K772" s="188" t="s">
        <v>5924</v>
      </c>
      <c r="L772" s="188" t="s">
        <v>5925</v>
      </c>
    </row>
    <row r="773" hidden="1">
      <c r="A773" s="221" t="s">
        <v>112</v>
      </c>
      <c r="B773" s="198" t="s">
        <v>5926</v>
      </c>
      <c r="C773" s="190"/>
      <c r="D773" s="190"/>
      <c r="E773" s="190"/>
      <c r="F773" s="195">
        <v>473.0</v>
      </c>
      <c r="G773" s="188" t="str">
        <f>IFERROR(__xludf.DUMMYFUNCTION("TRIM(REGEXREPLACE(C773, ""[0-9]+[a-f]?\."", """"))"),"")</f>
        <v/>
      </c>
      <c r="H773" s="188" t="str">
        <f>IFERROR(__xludf.DUMMYFUNCTION("TRIM(REGEXREPLACE(D773, ""[0-9]+[a-f]?\."", """"))"),"")</f>
        <v/>
      </c>
      <c r="I773" s="188" t="str">
        <f>IFERROR(__xludf.DUMMYFUNCTION("TRIM(REGEXREPLACE(E773, ""[0-9]+[a-f]?\."", """"))"),"")</f>
        <v/>
      </c>
      <c r="J773" s="188" t="s">
        <v>5928</v>
      </c>
      <c r="K773" s="188" t="s">
        <v>5929</v>
      </c>
      <c r="L773" s="188" t="s">
        <v>5930</v>
      </c>
    </row>
    <row r="774" hidden="1">
      <c r="A774" s="221" t="s">
        <v>112</v>
      </c>
      <c r="B774" s="198" t="s">
        <v>5932</v>
      </c>
      <c r="C774" s="190"/>
      <c r="D774" s="190"/>
      <c r="E774" s="190"/>
      <c r="F774" s="195">
        <v>474.0</v>
      </c>
      <c r="G774" s="188" t="str">
        <f>IFERROR(__xludf.DUMMYFUNCTION("TRIM(REGEXREPLACE(C774, ""[0-9]+[a-f]?\."", """"))"),"")</f>
        <v/>
      </c>
      <c r="H774" s="188" t="str">
        <f>IFERROR(__xludf.DUMMYFUNCTION("TRIM(REGEXREPLACE(D774, ""[0-9]+[a-f]?\."", """"))"),"")</f>
        <v/>
      </c>
      <c r="I774" s="188" t="str">
        <f>IFERROR(__xludf.DUMMYFUNCTION("TRIM(REGEXREPLACE(E774, ""[0-9]+[a-f]?\."", """"))"),"")</f>
        <v/>
      </c>
      <c r="J774" s="188" t="s">
        <v>5934</v>
      </c>
      <c r="K774" s="188" t="s">
        <v>5935</v>
      </c>
      <c r="L774" s="188" t="s">
        <v>5936</v>
      </c>
    </row>
    <row r="775" hidden="1">
      <c r="A775" s="221" t="s">
        <v>112</v>
      </c>
      <c r="B775" s="198" t="s">
        <v>5937</v>
      </c>
      <c r="C775" s="190"/>
      <c r="D775" s="190"/>
      <c r="E775" s="190"/>
      <c r="F775" s="195">
        <v>475.0</v>
      </c>
      <c r="G775" s="188" t="str">
        <f>IFERROR(__xludf.DUMMYFUNCTION("TRIM(REGEXREPLACE(C775, ""[0-9]+[a-f]?\."", """"))"),"")</f>
        <v/>
      </c>
      <c r="H775" s="188" t="str">
        <f>IFERROR(__xludf.DUMMYFUNCTION("TRIM(REGEXREPLACE(D775, ""[0-9]+[a-f]?\."", """"))"),"")</f>
        <v/>
      </c>
      <c r="I775" s="188" t="str">
        <f>IFERROR(__xludf.DUMMYFUNCTION("TRIM(REGEXREPLACE(E775, ""[0-9]+[a-f]?\."", """"))"),"")</f>
        <v/>
      </c>
      <c r="J775" s="188" t="s">
        <v>5939</v>
      </c>
      <c r="K775" s="188" t="s">
        <v>5940</v>
      </c>
      <c r="L775" s="188" t="s">
        <v>5941</v>
      </c>
    </row>
    <row r="776" hidden="1">
      <c r="A776" s="221" t="s">
        <v>112</v>
      </c>
      <c r="B776" s="198" t="s">
        <v>5942</v>
      </c>
      <c r="C776" s="190"/>
      <c r="D776" s="190"/>
      <c r="E776" s="190"/>
      <c r="F776" s="195">
        <v>476.0</v>
      </c>
      <c r="G776" s="188" t="str">
        <f>IFERROR(__xludf.DUMMYFUNCTION("TRIM(REGEXREPLACE(C776, ""[0-9]+[a-f]?\."", """"))"),"")</f>
        <v/>
      </c>
      <c r="H776" s="188" t="str">
        <f>IFERROR(__xludf.DUMMYFUNCTION("TRIM(REGEXREPLACE(D776, ""[0-9]+[a-f]?\."", """"))"),"")</f>
        <v/>
      </c>
      <c r="I776" s="188" t="str">
        <f>IFERROR(__xludf.DUMMYFUNCTION("TRIM(REGEXREPLACE(E776, ""[0-9]+[a-f]?\."", """"))"),"")</f>
        <v/>
      </c>
      <c r="J776" s="188" t="s">
        <v>5944</v>
      </c>
      <c r="K776" s="188" t="s">
        <v>5945</v>
      </c>
      <c r="L776" s="188" t="s">
        <v>5946</v>
      </c>
    </row>
    <row r="777" hidden="1">
      <c r="A777" s="320"/>
      <c r="B777" s="321"/>
      <c r="C777" s="190"/>
      <c r="D777" s="190"/>
      <c r="E777" s="190"/>
      <c r="F777" s="195">
        <v>458.0</v>
      </c>
      <c r="G777" s="188" t="str">
        <f>IFERROR(__xludf.DUMMYFUNCTION("TRIM(REGEXREPLACE(C777, ""[0-9]+[a-f]?\."", """"))"),"")</f>
        <v/>
      </c>
      <c r="H777" s="188" t="str">
        <f>IFERROR(__xludf.DUMMYFUNCTION("TRIM(REGEXREPLACE(D777, ""[0-9]+[a-f]?\."", """"))"),"")</f>
        <v/>
      </c>
      <c r="I777" s="188" t="str">
        <f>IFERROR(__xludf.DUMMYFUNCTION("TRIM(REGEXREPLACE(E777, ""[0-9]+[a-f]?\."", """"))"),"")</f>
        <v/>
      </c>
      <c r="J777" s="188" t="s">
        <v>5947</v>
      </c>
      <c r="K777" s="188" t="s">
        <v>5948</v>
      </c>
      <c r="L777" s="188" t="s">
        <v>5949</v>
      </c>
    </row>
    <row r="778" hidden="1">
      <c r="A778" s="310" t="s">
        <v>278</v>
      </c>
      <c r="B778" s="311" t="s">
        <v>5950</v>
      </c>
      <c r="C778" s="190" t="s">
        <v>5951</v>
      </c>
      <c r="D778" s="190"/>
      <c r="E778" s="190"/>
      <c r="F778" s="195">
        <v>478.0</v>
      </c>
      <c r="G778" s="188" t="str">
        <f>IFERROR(__xludf.DUMMYFUNCTION("TRIM(REGEXREPLACE(C778, ""[0-9]+[a-f]?\."", """"))"),"Household Resources")</f>
        <v>Household Resources</v>
      </c>
      <c r="H778" s="188" t="str">
        <f>IFERROR(__xludf.DUMMYFUNCTION("TRIM(REGEXREPLACE(D778, ""[0-9]+[a-f]?\."", """"))"),"")</f>
        <v/>
      </c>
      <c r="I778" s="188" t="str">
        <f>IFERROR(__xludf.DUMMYFUNCTION("TRIM(REGEXREPLACE(E778, ""[0-9]+[a-f]?\."", """"))"),"")</f>
        <v/>
      </c>
      <c r="J778" s="188" t="s">
        <v>5953</v>
      </c>
      <c r="K778" s="188" t="s">
        <v>5955</v>
      </c>
      <c r="L778" s="188" t="s">
        <v>5956</v>
      </c>
    </row>
    <row r="779">
      <c r="A779" s="297" t="s">
        <v>46</v>
      </c>
      <c r="B779" s="298" t="s">
        <v>5957</v>
      </c>
      <c r="C779" s="190" t="s">
        <v>5958</v>
      </c>
      <c r="D779" s="190" t="s">
        <v>5960</v>
      </c>
      <c r="E779" s="190" t="s">
        <v>5962</v>
      </c>
      <c r="F779" s="195">
        <v>412.0</v>
      </c>
      <c r="G779" s="188" t="str">
        <f>IFERROR(__xludf.DUMMYFUNCTION("TRIM(REGEXREPLACE(C779, ""[0-9]+[a-f]?\."", """"))"),"Now I will ask you about how your household manages its resources.")</f>
        <v>Now I will ask you about how your household manages its resources.</v>
      </c>
      <c r="H779" s="188" t="str">
        <f>IFERROR(__xludf.DUMMYFUNCTION("TRIM(REGEXREPLACE(D779, ""[0-9]+[a-f]?\."", """"))"),"Je vais maintenant vous demander comment votre ménage gère ses ressources.")</f>
        <v>Je vais maintenant vous demander comment votre ménage gère ses ressources.</v>
      </c>
      <c r="I779" s="188" t="str">
        <f>IFERROR(__xludf.DUMMYFUNCTION("TRIM(REGEXREPLACE(E779, ""[0-9]+[a-f]?\."", """"))"),"Yanzu zan tambaye ku yadda gidanku yake sarrafa dukiyoyinshi.")</f>
        <v>Yanzu zan tambaye ku yadda gidanku yake sarrafa dukiyoyinshi.</v>
      </c>
      <c r="J779" s="188" t="s">
        <v>5963</v>
      </c>
      <c r="K779" s="188" t="s">
        <v>5964</v>
      </c>
      <c r="L779" s="188" t="s">
        <v>5965</v>
      </c>
    </row>
    <row r="780">
      <c r="A780" s="299" t="s">
        <v>2456</v>
      </c>
      <c r="B780" s="300" t="s">
        <v>5966</v>
      </c>
      <c r="C780" s="190" t="s">
        <v>5967</v>
      </c>
      <c r="D780" s="190" t="s">
        <v>5968</v>
      </c>
      <c r="E780" s="190" t="s">
        <v>5969</v>
      </c>
      <c r="F780" s="195">
        <v>413.0</v>
      </c>
      <c r="G780" s="188" t="str">
        <f>IFERROR(__xludf.DUMMYFUNCTION("TRIM(REGEXREPLACE(C780, ""[0-9]+[a-f]?\."", """"))"),"Do you or another member of the household own this house?")</f>
        <v>Do you or another member of the household own this house?</v>
      </c>
      <c r="H780" s="188" t="str">
        <f>IFERROR(__xludf.DUMMYFUNCTION("TRIM(REGEXREPLACE(D780, ""[0-9]+[a-f]?\."", """"))"),"Est-ce que vous ou un autre membre du ménage êtes propriétaire de cette maison ?")</f>
        <v>Est-ce que vous ou un autre membre du ménage êtes propriétaire de cette maison ?</v>
      </c>
      <c r="I780" s="188" t="str">
        <f>IFERROR(__xludf.DUMMYFUNCTION("TRIM(REGEXREPLACE(E780, ""[0-9]+[a-f]?\."", """"))"),"Shin wannan gidan mallakarku ne kai ko wani dan cikin gidan ?")</f>
        <v>Shin wannan gidan mallakarku ne kai ko wani dan cikin gidan ?</v>
      </c>
      <c r="J780" s="188" t="s">
        <v>5971</v>
      </c>
      <c r="K780" s="188" t="s">
        <v>5972</v>
      </c>
      <c r="L780" s="188" t="s">
        <v>5973</v>
      </c>
    </row>
    <row r="781">
      <c r="A781" s="306" t="s">
        <v>247</v>
      </c>
      <c r="B781" s="307" t="s">
        <v>5974</v>
      </c>
      <c r="C781" s="190" t="s">
        <v>5975</v>
      </c>
      <c r="D781" s="190" t="s">
        <v>5976</v>
      </c>
      <c r="E781" s="190" t="s">
        <v>5977</v>
      </c>
      <c r="F781" s="195">
        <v>414.0</v>
      </c>
      <c r="G781" s="188" t="str">
        <f>IFERROR(__xludf.DUMMYFUNCTION("TRIM(REGEXREPLACE(C781, ""[0-9]+[a-f]?\."", """"))"),"What is your best estimate of the value of your home in CFA?")</f>
        <v>What is your best estimate of the value of your home in CFA?</v>
      </c>
      <c r="H781" s="188" t="str">
        <f>IFERROR(__xludf.DUMMYFUNCTION("TRIM(REGEXREPLACE(D781, ""[0-9]+[a-f]?\."", """"))"),"Quelle est votre meilleure estimation de la valeur de votre maison en CFA ?")</f>
        <v>Quelle est votre meilleure estimation de la valeur de votre maison en CFA ?</v>
      </c>
      <c r="I781" s="188" t="str">
        <f>IFERROR(__xludf.DUMMYFUNCTION("TRIM(REGEXREPLACE(E781, ""[0-9]+[a-f]?\."", """"))"),"A ganinka wannan gidan aƙalla ya yi nawa a kudin CFA ?")</f>
        <v>A ganinka wannan gidan aƙalla ya yi nawa a kudin CFA ?</v>
      </c>
      <c r="J781" s="188" t="s">
        <v>5978</v>
      </c>
      <c r="K781" s="188" t="s">
        <v>5979</v>
      </c>
      <c r="L781" s="188" t="s">
        <v>5981</v>
      </c>
    </row>
    <row r="782">
      <c r="A782" s="299" t="s">
        <v>5982</v>
      </c>
      <c r="B782" s="300" t="s">
        <v>5983</v>
      </c>
      <c r="C782" s="190" t="s">
        <v>5984</v>
      </c>
      <c r="D782" s="190" t="s">
        <v>5985</v>
      </c>
      <c r="E782" s="190" t="s">
        <v>5986</v>
      </c>
      <c r="F782" s="195">
        <v>415.0</v>
      </c>
      <c r="G782" s="188" t="str">
        <f>IFERROR(__xludf.DUMMYFUNCTION("TRIM(REGEXREPLACE(C782, ""[0-9]+[a-f]?\."", """"))"),"Does your household own the following goods?")</f>
        <v>Does your household own the following goods?</v>
      </c>
      <c r="H782" s="188" t="str">
        <f>IFERROR(__xludf.DUMMYFUNCTION("TRIM(REGEXREPLACE(D782, ""[0-9]+[a-f]?\."", """"))"),"Votre ménage possède-t-il les biens suivants ?")</f>
        <v>Votre ménage possède-t-il les biens suivants ?</v>
      </c>
      <c r="I782" s="188" t="str">
        <f>IFERROR(__xludf.DUMMYFUNCTION("TRIM(REGEXREPLACE(E782, ""[0-9]+[a-f]?\."", """"))"),"Ko gidanku na da kadarori masu zuwa?")</f>
        <v>Ko gidanku na da kadarori masu zuwa?</v>
      </c>
      <c r="J782" s="188" t="s">
        <v>5988</v>
      </c>
      <c r="K782" s="188" t="s">
        <v>5989</v>
      </c>
      <c r="L782" s="188" t="s">
        <v>5990</v>
      </c>
    </row>
    <row r="783">
      <c r="A783" s="299" t="s">
        <v>5993</v>
      </c>
      <c r="B783" s="300" t="s">
        <v>5995</v>
      </c>
      <c r="C783" s="190" t="s">
        <v>5996</v>
      </c>
      <c r="D783" s="190" t="s">
        <v>5997</v>
      </c>
      <c r="E783" s="190" t="s">
        <v>5998</v>
      </c>
      <c r="F783" s="195">
        <v>416.0</v>
      </c>
      <c r="G783" s="188" t="str">
        <f>IFERROR(__xludf.DUMMYFUNCTION("TRIM(REGEXREPLACE(C783, ""[0-9]+[a-f]?\."", """"))"),"Does your household own any of the following types of livestock?")</f>
        <v>Does your household own any of the following types of livestock?</v>
      </c>
      <c r="H783" s="188" t="str">
        <f>IFERROR(__xludf.DUMMYFUNCTION("TRIM(REGEXREPLACE(D783, ""[0-9]+[a-f]?\."", """"))"),"Votre ménage possède-t-il l'un des types de bétail suivants ?")</f>
        <v>Votre ménage possède-t-il l'un des types de bétail suivants ?</v>
      </c>
      <c r="I783" s="188" t="str">
        <f>IFERROR(__xludf.DUMMYFUNCTION("TRIM(REGEXREPLACE(E783, ""[0-9]+[a-f]?\."", """"))"),"ko gidanku yana da ɗaya daga cikin irin wadannan dabbobi?")</f>
        <v>ko gidanku yana da ɗaya daga cikin irin wadannan dabbobi?</v>
      </c>
      <c r="J783" s="188" t="s">
        <v>6001</v>
      </c>
      <c r="K783" s="188" t="s">
        <v>6003</v>
      </c>
      <c r="L783" s="188" t="s">
        <v>6004</v>
      </c>
    </row>
    <row r="784" hidden="1">
      <c r="A784" s="221" t="s">
        <v>256</v>
      </c>
      <c r="B784" s="198" t="s">
        <v>6005</v>
      </c>
      <c r="C784" s="190"/>
      <c r="D784" s="190"/>
      <c r="E784" s="190"/>
      <c r="F784" s="195">
        <v>220.0</v>
      </c>
      <c r="G784" s="188" t="str">
        <f>IFERROR(__xludf.DUMMYFUNCTION("TRIM(REGEXREPLACE(C784, ""[0-9]+[a-f]?\."", """"))"),"")</f>
        <v/>
      </c>
      <c r="H784" s="188" t="str">
        <f>IFERROR(__xludf.DUMMYFUNCTION("TRIM(REGEXREPLACE(D784, ""[0-9]+[a-f]?\."", """"))"),"")</f>
        <v/>
      </c>
      <c r="I784" s="188" t="str">
        <f>IFERROR(__xludf.DUMMYFUNCTION("TRIM(REGEXREPLACE(E784, ""[0-9]+[a-f]?\."", """"))"),"")</f>
        <v/>
      </c>
      <c r="J784" s="188" t="str">
        <f t="shared" ref="J784:L784" si="78">$F784 &amp; ". "&amp;G784</f>
        <v>220. </v>
      </c>
      <c r="K784" s="188" t="str">
        <f t="shared" si="78"/>
        <v>220. </v>
      </c>
      <c r="L784" s="188" t="str">
        <f t="shared" si="78"/>
        <v>220. </v>
      </c>
    </row>
    <row r="785" hidden="1">
      <c r="A785" s="305" t="s">
        <v>385</v>
      </c>
      <c r="B785" s="223" t="s">
        <v>6006</v>
      </c>
      <c r="C785" s="190" t="s">
        <v>6007</v>
      </c>
      <c r="D785" s="190" t="s">
        <v>6008</v>
      </c>
      <c r="E785" s="190" t="s">
        <v>6009</v>
      </c>
      <c r="F785" s="195">
        <v>221.0</v>
      </c>
      <c r="G785" s="188" t="str">
        <f>IFERROR(__xludf.DUMMYFUNCTION("TRIM(REGEXREPLACE(C785, ""[0-9]+[a-f]?\."", """"))"),"Assets")</f>
        <v>Assets</v>
      </c>
      <c r="H785" s="188" t="str">
        <f>IFERROR(__xludf.DUMMYFUNCTION("TRIM(REGEXREPLACE(D785, ""[0-9]+[a-f]?\."", """"))"),"Actifs")</f>
        <v>Actifs</v>
      </c>
      <c r="I785" s="188" t="str">
        <f>IFERROR(__xludf.DUMMYFUNCTION("TRIM(REGEXREPLACE(E785, ""[0-9]+[a-f]?\."", """"))"),"Kadara")</f>
        <v>Kadara</v>
      </c>
      <c r="J785" s="188" t="str">
        <f t="shared" ref="J785:L785" si="79">$F785 &amp; ". "&amp;G785</f>
        <v>221. Assets</v>
      </c>
      <c r="K785" s="188" t="str">
        <f t="shared" si="79"/>
        <v>221. Actifs</v>
      </c>
      <c r="L785" s="188" t="str">
        <f t="shared" si="79"/>
        <v>221. Kadara</v>
      </c>
    </row>
    <row r="786" hidden="1">
      <c r="A786" s="221" t="s">
        <v>112</v>
      </c>
      <c r="B786" s="198" t="s">
        <v>6014</v>
      </c>
      <c r="C786" s="190" t="s">
        <v>6015</v>
      </c>
      <c r="D786" s="190" t="s">
        <v>6016</v>
      </c>
      <c r="E786" s="190" t="s">
        <v>6017</v>
      </c>
      <c r="F786" s="195">
        <v>486.0</v>
      </c>
      <c r="G786" s="188" t="str">
        <f>IFERROR(__xludf.DUMMYFUNCTION("TRIM(REGEXREPLACE(C786, ""[0-9]+[a-f]?\."", """"))"),"Asset Name")</f>
        <v>Asset Name</v>
      </c>
      <c r="H786" s="188" t="str">
        <f>IFERROR(__xludf.DUMMYFUNCTION("TRIM(REGEXREPLACE(D786, ""[0-9]+[a-f]?\."", """"))"),"Nom de l'actif")</f>
        <v>Nom de l'actif</v>
      </c>
      <c r="I786" s="188" t="str">
        <f>IFERROR(__xludf.DUMMYFUNCTION("TRIM(REGEXREPLACE(E786, ""[0-9]+[a-f]?\."", """"))"),"Sunan kadara")</f>
        <v>Sunan kadara</v>
      </c>
      <c r="J786" s="188" t="s">
        <v>6020</v>
      </c>
      <c r="K786" s="188" t="s">
        <v>6022</v>
      </c>
      <c r="L786" s="188" t="s">
        <v>6023</v>
      </c>
    </row>
    <row r="787">
      <c r="A787" s="306" t="s">
        <v>247</v>
      </c>
      <c r="B787" s="307" t="s">
        <v>6024</v>
      </c>
      <c r="C787" s="190" t="s">
        <v>6025</v>
      </c>
      <c r="D787" s="190" t="s">
        <v>6026</v>
      </c>
      <c r="E787" s="190" t="s">
        <v>6027</v>
      </c>
      <c r="F787" s="195">
        <v>417.0</v>
      </c>
      <c r="G787" s="188" t="str">
        <f>IFERROR(__xludf.DUMMYFUNCTION("TRIM(REGEXREPLACE(C787, ""[0-9]+[a-f]?\."", """"))"),"How many ${hoh_livestock_name} does your household own?")</f>
        <v>How many ${hoh_livestock_name} does your household own?</v>
      </c>
      <c r="H787" s="188" t="str">
        <f>IFERROR(__xludf.DUMMYFUNCTION("TRIM(REGEXREPLACE(D787, ""[0-9]+[a-f]?\."", """"))"),"Combien de ${hoh_livestock_name} votre ménage possède-t-il ?")</f>
        <v>Combien de ${hoh_livestock_name} votre ménage possède-t-il ?</v>
      </c>
      <c r="I787" s="188" t="str">
        <f>IFERROR(__xludf.DUMMYFUNCTION("TRIM(REGEXREPLACE(E787, ""[0-9]+[a-f]?\."", """"))"),"${hoh_livestock_name} Nawa gidan ku ya mallaka ?")</f>
        <v>${hoh_livestock_name} Nawa gidan ku ya mallaka ?</v>
      </c>
      <c r="J787" s="188" t="s">
        <v>6031</v>
      </c>
      <c r="K787" s="188" t="s">
        <v>6032</v>
      </c>
      <c r="L787" s="188" t="s">
        <v>6033</v>
      </c>
    </row>
    <row r="788">
      <c r="A788" s="306" t="s">
        <v>247</v>
      </c>
      <c r="B788" s="307" t="s">
        <v>6034</v>
      </c>
      <c r="C788" s="190" t="s">
        <v>6035</v>
      </c>
      <c r="D788" s="190" t="s">
        <v>6036</v>
      </c>
      <c r="E788" s="190" t="s">
        <v>6037</v>
      </c>
      <c r="F788" s="195">
        <v>418.0</v>
      </c>
      <c r="G788" s="188" t="str">
        <f>IFERROR(__xludf.DUMMYFUNCTION("TRIM(REGEXREPLACE(C788, ""[0-9]+[a-f]?\."", """"))"),"How much is ${hoh_livestock_name} worth in CFA?")</f>
        <v>How much is ${hoh_livestock_name} worth in CFA?</v>
      </c>
      <c r="H788" s="188" t="str">
        <f>IFERROR(__xludf.DUMMYFUNCTION("TRIM(REGEXREPLACE(D788, ""[0-9]+[a-f]?\."", """"))"),"Combien vaut ${hoh_livestock_name} en CFA ?")</f>
        <v>Combien vaut ${hoh_livestock_name} en CFA ?</v>
      </c>
      <c r="I788" s="188" t="str">
        <f>IFERROR(__xludf.DUMMYFUNCTION("TRIM(REGEXREPLACE(E788, ""[0-9]+[a-f]?\."", """"))"),"Nawa ne kuɗin ${hoh_livestock_name} a sefa?")</f>
        <v>Nawa ne kuɗin ${hoh_livestock_name} a sefa?</v>
      </c>
      <c r="J788" s="188" t="s">
        <v>6041</v>
      </c>
      <c r="K788" s="188" t="s">
        <v>6042</v>
      </c>
      <c r="L788" s="188" t="s">
        <v>6043</v>
      </c>
    </row>
    <row r="789" hidden="1">
      <c r="A789" s="305" t="s">
        <v>450</v>
      </c>
      <c r="B789" s="224" t="s">
        <v>6006</v>
      </c>
      <c r="C789" s="190" t="s">
        <v>6007</v>
      </c>
      <c r="D789" s="190" t="s">
        <v>6008</v>
      </c>
      <c r="E789" s="190" t="s">
        <v>6009</v>
      </c>
      <c r="F789" s="195">
        <v>489.0</v>
      </c>
      <c r="G789" s="188" t="str">
        <f>IFERROR(__xludf.DUMMYFUNCTION("TRIM(REGEXREPLACE(C789, ""[0-9]+[a-f]?\."", """"))"),"Assets")</f>
        <v>Assets</v>
      </c>
      <c r="H789" s="188" t="str">
        <f>IFERROR(__xludf.DUMMYFUNCTION("TRIM(REGEXREPLACE(D789, ""[0-9]+[a-f]?\."", """"))"),"Actifs")</f>
        <v>Actifs</v>
      </c>
      <c r="I789" s="188" t="str">
        <f>IFERROR(__xludf.DUMMYFUNCTION("TRIM(REGEXREPLACE(E789, ""[0-9]+[a-f]?\."", """"))"),"Kadara")</f>
        <v>Kadara</v>
      </c>
      <c r="J789" s="188" t="s">
        <v>6047</v>
      </c>
      <c r="K789" s="188" t="s">
        <v>6048</v>
      </c>
      <c r="L789" s="188" t="s">
        <v>6049</v>
      </c>
    </row>
    <row r="790" hidden="1">
      <c r="A790" s="221" t="s">
        <v>256</v>
      </c>
      <c r="B790" s="198" t="s">
        <v>6050</v>
      </c>
      <c r="C790" s="190"/>
      <c r="D790" s="190"/>
      <c r="E790" s="190"/>
      <c r="F790" s="195">
        <v>222.0</v>
      </c>
      <c r="G790" s="188" t="str">
        <f>IFERROR(__xludf.DUMMYFUNCTION("TRIM(REGEXREPLACE(C790, ""[0-9]+[a-f]?\."", """"))"),"")</f>
        <v/>
      </c>
      <c r="H790" s="188" t="str">
        <f>IFERROR(__xludf.DUMMYFUNCTION("TRIM(REGEXREPLACE(D790, ""[0-9]+[a-f]?\."", """"))"),"")</f>
        <v/>
      </c>
      <c r="I790" s="188" t="str">
        <f>IFERROR(__xludf.DUMMYFUNCTION("TRIM(REGEXREPLACE(E790, ""[0-9]+[a-f]?\."", """"))"),"")</f>
        <v/>
      </c>
      <c r="J790" s="188" t="str">
        <f t="shared" ref="J790:L790" si="80">$F790 &amp; ". "&amp;G790</f>
        <v>222. </v>
      </c>
      <c r="K790" s="188" t="str">
        <f t="shared" si="80"/>
        <v>222. </v>
      </c>
      <c r="L790" s="188" t="str">
        <f t="shared" si="80"/>
        <v>222. </v>
      </c>
    </row>
    <row r="791" hidden="1">
      <c r="A791" s="221" t="s">
        <v>112</v>
      </c>
      <c r="B791" s="198" t="s">
        <v>6054</v>
      </c>
      <c r="C791" s="190"/>
      <c r="D791" s="190"/>
      <c r="E791" s="190"/>
      <c r="F791" s="195">
        <v>464.0</v>
      </c>
      <c r="G791" s="188" t="str">
        <f>IFERROR(__xludf.DUMMYFUNCTION("TRIM(REGEXREPLACE(C791, ""[0-9]+[a-f]?\."", """"))"),"")</f>
        <v/>
      </c>
      <c r="H791" s="188" t="str">
        <f>IFERROR(__xludf.DUMMYFUNCTION("TRIM(REGEXREPLACE(D791, ""[0-9]+[a-f]?\."", """"))"),"")</f>
        <v/>
      </c>
      <c r="I791" s="188" t="str">
        <f>IFERROR(__xludf.DUMMYFUNCTION("TRIM(REGEXREPLACE(E791, ""[0-9]+[a-f]?\."", """"))"),"")</f>
        <v/>
      </c>
      <c r="J791" s="188" t="s">
        <v>6057</v>
      </c>
      <c r="K791" s="188" t="s">
        <v>6058</v>
      </c>
      <c r="L791" s="188" t="s">
        <v>6059</v>
      </c>
    </row>
    <row r="792" hidden="1">
      <c r="A792" s="221" t="s">
        <v>256</v>
      </c>
      <c r="B792" s="198" t="s">
        <v>6060</v>
      </c>
      <c r="C792" s="190"/>
      <c r="D792" s="190"/>
      <c r="E792" s="190"/>
      <c r="F792" s="195">
        <v>465.0</v>
      </c>
      <c r="G792" s="188" t="str">
        <f>IFERROR(__xludf.DUMMYFUNCTION("TRIM(REGEXREPLACE(C792, ""[0-9]+[a-f]?\."", """"))"),"")</f>
        <v/>
      </c>
      <c r="H792" s="188" t="str">
        <f>IFERROR(__xludf.DUMMYFUNCTION("TRIM(REGEXREPLACE(D792, ""[0-9]+[a-f]?\."", """"))"),"")</f>
        <v/>
      </c>
      <c r="I792" s="188" t="str">
        <f>IFERROR(__xludf.DUMMYFUNCTION("TRIM(REGEXREPLACE(E792, ""[0-9]+[a-f]?\."", """"))"),"")</f>
        <v/>
      </c>
      <c r="J792" s="188" t="s">
        <v>6061</v>
      </c>
      <c r="K792" s="188" t="s">
        <v>6062</v>
      </c>
      <c r="L792" s="188" t="s">
        <v>6063</v>
      </c>
    </row>
    <row r="793">
      <c r="A793" s="297" t="s">
        <v>46</v>
      </c>
      <c r="B793" s="298" t="s">
        <v>6064</v>
      </c>
      <c r="C793" s="190" t="s">
        <v>6065</v>
      </c>
      <c r="D793" s="190" t="s">
        <v>6066</v>
      </c>
      <c r="E793" s="190" t="s">
        <v>6067</v>
      </c>
      <c r="F793" s="195">
        <v>419.0</v>
      </c>
      <c r="G793" s="188" t="str">
        <f>IFERROR(__xludf.DUMMYFUNCTION("TRIM(REGEXREPLACE(C793,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793" s="188" t="str">
        <f>IFERROR(__xludf.DUMMYFUNCTION("TRIM(REGEXREPLACE(D793, ""[0-9]+[a-f]?\."", """"))"),"Maintenant, nous allons parler des activités agricoles et d'élevage de votre ménage.
 Commençons par la dernière saison agricole")</f>
        <v>Maintenant, nous allons parler des activités agricoles et d'élevage de votre ménage.
 Commençons par la dernière saison agricole</v>
      </c>
      <c r="I793" s="188" t="str">
        <f>IFERROR(__xludf.DUMMYFUNCTION("TRIM(REGEXREPLACE(E793, ""[0-9]+[a-f]?\."", """"))"),"Yanzu za mu yi hira bisa aikin noma da kiwo na gidanku.")</f>
        <v>Yanzu za mu yi hira bisa aikin noma da kiwo na gidanku.</v>
      </c>
      <c r="J793" s="188" t="s">
        <v>6068</v>
      </c>
      <c r="K793" s="188" t="s">
        <v>6069</v>
      </c>
      <c r="L793" s="188" t="s">
        <v>6070</v>
      </c>
    </row>
    <row r="794">
      <c r="A794" s="357" t="s">
        <v>261</v>
      </c>
      <c r="B794" s="358" t="s">
        <v>6075</v>
      </c>
      <c r="C794" s="190" t="s">
        <v>6076</v>
      </c>
      <c r="D794" s="190" t="s">
        <v>6077</v>
      </c>
      <c r="E794" s="190" t="s">
        <v>6078</v>
      </c>
      <c r="F794" s="195">
        <v>420.0</v>
      </c>
      <c r="G794" s="188" t="str">
        <f>IFERROR(__xludf.DUMMYFUNCTION("TRIM(REGEXREPLACE(C794,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794" s="188" t="str">
        <f>IFERROR(__xludf.DUMMYFUNCTION("TRIM(REGEXREPLACE(D794,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794" s="188" t="str">
        <f>IFERROR(__xludf.DUMMYFUNCTION("TRIM(REGEXREPLACE(E794, ""[0-9]+[a-f]?\."", """"))"),"A ganinka da gonakan da kuka mallaka da na haya da na aro wanda kuka noma a bana sun kai eka nawa?")</f>
        <v>A ganinka da gonakan da kuka mallaka da na haya da na aro wanda kuka noma a bana sun kai eka nawa?</v>
      </c>
      <c r="J794" s="188" t="s">
        <v>6084</v>
      </c>
      <c r="K794" s="188" t="s">
        <v>6085</v>
      </c>
      <c r="L794" s="188" t="s">
        <v>6086</v>
      </c>
    </row>
    <row r="795">
      <c r="A795" s="357" t="s">
        <v>261</v>
      </c>
      <c r="B795" s="358" t="s">
        <v>6087</v>
      </c>
      <c r="C795" s="190" t="s">
        <v>6088</v>
      </c>
      <c r="D795" s="190" t="s">
        <v>6089</v>
      </c>
      <c r="E795" s="190" t="s">
        <v>6090</v>
      </c>
      <c r="F795" s="195">
        <v>421.0</v>
      </c>
      <c r="G795" s="188" t="str">
        <f>IFERROR(__xludf.DUMMYFUNCTION("TRIM(REGEXREPLACE(C795, ""[0-9]+[a-f]?\."", """"))"),"How much of this land (in hectares) do you or another member of your household own?")</f>
        <v>How much of this land (in hectares) do you or another member of your household own?</v>
      </c>
      <c r="H795" s="188" t="str">
        <f>IFERROR(__xludf.DUMMYFUNCTION("TRIM(REGEXREPLACE(D795, ""[0-9]+[a-f]?\."", """"))"),"Quelle superficie de cette terre (en hectares) vous ou un autre membre de votre ménage possédez?")</f>
        <v>Quelle superficie de cette terre (en hectares) vous ou un autre membre de votre ménage possédez?</v>
      </c>
      <c r="I795" s="188" t="str">
        <f>IFERROR(__xludf.DUMMYFUNCTION("TRIM(REGEXREPLACE(E795, ""[0-9]+[a-f]?\."", """"))"),"Eka nawa ne mallakinku cikin wadannan gonakin, ku ko wani ɗan gidanku?")</f>
        <v>Eka nawa ne mallakinku cikin wadannan gonakin, ku ko wani ɗan gidanku?</v>
      </c>
      <c r="J795" s="188" t="s">
        <v>6094</v>
      </c>
      <c r="K795" s="188" t="s">
        <v>6095</v>
      </c>
      <c r="L795" s="188" t="s">
        <v>6096</v>
      </c>
    </row>
    <row r="796">
      <c r="A796" s="357" t="s">
        <v>261</v>
      </c>
      <c r="B796" s="358" t="s">
        <v>6097</v>
      </c>
      <c r="C796" s="190" t="s">
        <v>6098</v>
      </c>
      <c r="D796" s="190" t="s">
        <v>6099</v>
      </c>
      <c r="E796" s="190" t="s">
        <v>6100</v>
      </c>
      <c r="F796" s="195">
        <v>422.0</v>
      </c>
      <c r="G796" s="188" t="str">
        <f>IFERROR(__xludf.DUMMYFUNCTION("TRIM(REGEXREPLACE(C796, ""[0-9]+[a-f]?\."", """"))"),"How much of this land, if any have you sold in the past year?")</f>
        <v>How much of this land, if any have you sold in the past year?</v>
      </c>
      <c r="H796" s="188" t="str">
        <f>IFERROR(__xludf.DUMMYFUNCTION("TRIM(REGEXREPLACE(D796, ""[0-9]+[a-f]?\."", """"))"),"Quelle superficie de ce terrain, si c'est déjà arrivé, avez-vous vendu au cours de l'année écoulée ?")</f>
        <v>Quelle superficie de ce terrain, si c'est déjà arrivé, avez-vous vendu au cours de l'année écoulée ?</v>
      </c>
      <c r="I796" s="188" t="str">
        <f>IFERROR(__xludf.DUMMYFUNCTION("TRIM(REGEXREPLACE(E796, ""[0-9]+[a-f]?\."", """"))"),"Eka nawa ne kuka saida, idan ya taɓa faruwa, a cikin shekarar da ta gabata?")</f>
        <v>Eka nawa ne kuka saida, idan ya taɓa faruwa, a cikin shekarar da ta gabata?</v>
      </c>
      <c r="J796" s="188" t="s">
        <v>6102</v>
      </c>
      <c r="K796" s="188" t="s">
        <v>6103</v>
      </c>
      <c r="L796" s="188" t="s">
        <v>6104</v>
      </c>
    </row>
    <row r="797">
      <c r="A797" s="357" t="s">
        <v>261</v>
      </c>
      <c r="B797" s="358" t="s">
        <v>6107</v>
      </c>
      <c r="C797" s="190" t="s">
        <v>6108</v>
      </c>
      <c r="D797" s="190" t="s">
        <v>6109</v>
      </c>
      <c r="E797" s="190" t="s">
        <v>6110</v>
      </c>
      <c r="F797" s="195">
        <v>423.0</v>
      </c>
      <c r="G797" s="188" t="str">
        <f>IFERROR(__xludf.DUMMYFUNCTION("TRIM(REGEXREPLACE(C797, ""[0-9]+[a-f]?\."", """"))"),"How much of this land, if any have you purchased in the past year?")</f>
        <v>How much of this land, if any have you purchased in the past year?</v>
      </c>
      <c r="H797" s="188" t="str">
        <f>IFERROR(__xludf.DUMMYFUNCTION("TRIM(REGEXREPLACE(D797, ""[0-9]+[a-f]?\."", """"))"),"Quelle superficie de ce terrain, si c'est déjà arrivé, avez-vous acheté au cours de la dernière année ?")</f>
        <v>Quelle superficie de ce terrain, si c'est déjà arrivé, avez-vous acheté au cours de la dernière année ?</v>
      </c>
      <c r="I797" s="188" t="str">
        <f>IFERROR(__xludf.DUMMYFUNCTION("TRIM(REGEXREPLACE(E797, ""[0-9]+[a-f]?\."", """"))"),"Eka nawa ne kuka saye, idan ya faru, a cikin shekarar da ta gabata?")</f>
        <v>Eka nawa ne kuka saye, idan ya faru, a cikin shekarar da ta gabata?</v>
      </c>
      <c r="J797" s="188" t="s">
        <v>6111</v>
      </c>
      <c r="K797" s="188" t="s">
        <v>6112</v>
      </c>
      <c r="L797" s="188" t="s">
        <v>6113</v>
      </c>
    </row>
    <row r="798">
      <c r="A798" s="357" t="s">
        <v>261</v>
      </c>
      <c r="B798" s="358" t="s">
        <v>6114</v>
      </c>
      <c r="C798" s="190" t="s">
        <v>6115</v>
      </c>
      <c r="D798" s="190" t="s">
        <v>6116</v>
      </c>
      <c r="E798" s="190" t="s">
        <v>6117</v>
      </c>
      <c r="F798" s="195">
        <v>424.0</v>
      </c>
      <c r="G798" s="188" t="str">
        <f>IFERROR(__xludf.DUMMYFUNCTION("TRIM(REGEXREPLACE(C798, ""[0-9]+[a-f]?\."", """"))"),"How much of this land (in hectares) did you rent during the last agricultural season?")</f>
        <v>How much of this land (in hectares) did you rent during the last agricultural season?</v>
      </c>
      <c r="H798" s="188" t="str">
        <f>IFERROR(__xludf.DUMMYFUNCTION("TRIM(REGEXREPLACE(D798, ""[0-9]+[a-f]?\."", """"))"),"Quelle superficie de cette terre (en hectares) avez-vous louée au cours de la dernière saison agricole ?")</f>
        <v>Quelle superficie de cette terre (en hectares) avez-vous louée au cours de la dernière saison agricole ?</v>
      </c>
      <c r="I798" s="188" t="str">
        <f>IFERROR(__xludf.DUMMYFUNCTION("TRIM(REGEXREPLACE(E798, ""[0-9]+[a-f]?\."", """"))"),"Eka nawa ne kuka yi haya a lokacin noman da ta wuce?")</f>
        <v>Eka nawa ne kuka yi haya a lokacin noman da ta wuce?</v>
      </c>
      <c r="J798" s="188" t="s">
        <v>6121</v>
      </c>
      <c r="K798" s="188" t="s">
        <v>6122</v>
      </c>
      <c r="L798" s="188" t="s">
        <v>6123</v>
      </c>
    </row>
    <row r="799">
      <c r="A799" s="306" t="s">
        <v>247</v>
      </c>
      <c r="B799" s="307" t="s">
        <v>6124</v>
      </c>
      <c r="C799" s="190" t="s">
        <v>6125</v>
      </c>
      <c r="D799" s="190" t="s">
        <v>6126</v>
      </c>
      <c r="E799" s="190" t="s">
        <v>6127</v>
      </c>
      <c r="F799" s="195">
        <v>425.0</v>
      </c>
      <c r="G799" s="188" t="str">
        <f>IFERROR(__xludf.DUMMYFUNCTION("TRIM(REGEXREPLACE(C799, ""[0-9]+[a-f]?\."", """"))"),"How much did you pay to rent this land during the last agricultural season (in CFA)?")</f>
        <v>How much did you pay to rent this land during the last agricultural season (in CFA)?</v>
      </c>
      <c r="H799" s="188" t="str">
        <f>IFERROR(__xludf.DUMMYFUNCTION("TRIM(REGEXREPLACE(D799, ""[0-9]+[a-f]?\."", """"))"),"A combien avez-vous loué ce terrain (en CFA) au cours de la dernière saison agricole ?")</f>
        <v>A combien avez-vous loué ce terrain (en CFA) au cours de la dernière saison agricole ?</v>
      </c>
      <c r="I799" s="188" t="str">
        <f>IFERROR(__xludf.DUMMYFUNCTION("TRIM(REGEXREPLACE(E799, ""[0-9]+[a-f]?\."", """"))"),"A nawa kuka yi hayar wannan gonar a lokacin noman da ta wuce (a sefa)?")</f>
        <v>A nawa kuka yi hayar wannan gonar a lokacin noman da ta wuce (a sefa)?</v>
      </c>
      <c r="J799" s="188" t="s">
        <v>6128</v>
      </c>
      <c r="K799" s="188" t="s">
        <v>6129</v>
      </c>
      <c r="L799" s="188" t="s">
        <v>6130</v>
      </c>
    </row>
    <row r="800" hidden="1">
      <c r="A800" s="221" t="s">
        <v>256</v>
      </c>
      <c r="B800" s="198" t="s">
        <v>6131</v>
      </c>
      <c r="C800" s="190"/>
      <c r="D800" s="190"/>
      <c r="E800" s="190"/>
      <c r="F800" s="195">
        <v>500.0</v>
      </c>
      <c r="G800" s="188" t="str">
        <f>IFERROR(__xludf.DUMMYFUNCTION("TRIM(REGEXREPLACE(C800, ""[0-9]+[a-f]?\."", """"))"),"")</f>
        <v/>
      </c>
      <c r="H800" s="188" t="str">
        <f>IFERROR(__xludf.DUMMYFUNCTION("TRIM(REGEXREPLACE(D800, ""[0-9]+[a-f]?\."", """"))"),"")</f>
        <v/>
      </c>
      <c r="I800" s="188" t="str">
        <f>IFERROR(__xludf.DUMMYFUNCTION("TRIM(REGEXREPLACE(E800, ""[0-9]+[a-f]?\."", """"))"),"")</f>
        <v/>
      </c>
      <c r="J800" s="188" t="s">
        <v>6135</v>
      </c>
      <c r="K800" s="188" t="s">
        <v>6137</v>
      </c>
      <c r="L800" s="188" t="s">
        <v>6138</v>
      </c>
    </row>
    <row r="801" hidden="1">
      <c r="A801" s="221" t="s">
        <v>112</v>
      </c>
      <c r="B801" s="198" t="s">
        <v>6139</v>
      </c>
      <c r="C801" s="190"/>
      <c r="D801" s="190"/>
      <c r="E801" s="190"/>
    </row>
    <row r="802">
      <c r="A802" s="297" t="s">
        <v>46</v>
      </c>
      <c r="B802" s="298" t="s">
        <v>6141</v>
      </c>
      <c r="C802" s="190" t="s">
        <v>6143</v>
      </c>
      <c r="D802" s="190" t="s">
        <v>6145</v>
      </c>
      <c r="E802" s="190" t="s">
        <v>6149</v>
      </c>
      <c r="F802" s="195">
        <v>426.0</v>
      </c>
      <c r="G802" s="188" t="str">
        <f>IFERROR(__xludf.DUMMYFUNCTION("TRIM(REGEXREPLACE(C802, ""[0-9]+[a-f]?\."", """"))"),"Now we will focus on agricultural activities during last agricultural season")</f>
        <v>Now we will focus on agricultural activities during last agricultural season</v>
      </c>
      <c r="H802" s="188" t="str">
        <f>IFERROR(__xludf.DUMMYFUNCTION("TRIM(REGEXREPLACE(D802, ""[0-9]+[a-f]?\."", """"))"),"Maintenant, nous allons nous concentrer sur les activités agricoles au cours de la dernière saison agricole")</f>
        <v>Maintenant, nous allons nous concentrer sur les activités agricoles au cours de la dernière saison agricole</v>
      </c>
      <c r="I802" s="188" t="str">
        <f>IFERROR(__xludf.DUMMYFUNCTION("TRIM(REGEXREPLACE(E802, ""[0-9]+[a-f]?\."", """"))"),"Yanzu za mu maida hankali kan ayyukan noma a lokacin damanar da ta wuce")</f>
        <v>Yanzu za mu maida hankali kan ayyukan noma a lokacin damanar da ta wuce</v>
      </c>
      <c r="J802" s="188" t="s">
        <v>6153</v>
      </c>
      <c r="K802" s="188" t="s">
        <v>6154</v>
      </c>
      <c r="L802" s="188" t="s">
        <v>6155</v>
      </c>
    </row>
    <row r="803">
      <c r="A803" s="299" t="s">
        <v>6156</v>
      </c>
      <c r="B803" s="300" t="s">
        <v>6160</v>
      </c>
      <c r="C803" s="190" t="s">
        <v>6161</v>
      </c>
      <c r="D803" s="190" t="s">
        <v>6162</v>
      </c>
      <c r="E803" s="190" t="s">
        <v>6163</v>
      </c>
      <c r="F803" s="195">
        <v>427.0</v>
      </c>
      <c r="G803" s="188" t="str">
        <f>IFERROR(__xludf.DUMMYFUNCTION("TRIM(REGEXREPLACE(C803, ""[0-9]+[a-f]?\."", """"))"),"Which of the following crops did your household grow during the last agricultural season?")</f>
        <v>Which of the following crops did your household grow during the last agricultural season?</v>
      </c>
      <c r="H803" s="188" t="str">
        <f>IFERROR(__xludf.DUMMYFUNCTION("TRIM(REGEXREPLACE(D803, ""[0-9]+[a-f]?\."", """"))"),"Laquelle des cultures suivantes votre ménage a-t-il cultivées au cours de la dernière saison agricole ?")</f>
        <v>Laquelle des cultures suivantes votre ménage a-t-il cultivées au cours de la dernière saison agricole ?</v>
      </c>
      <c r="I803" s="188" t="str">
        <f>IFERROR(__xludf.DUMMYFUNCTION("TRIM(REGEXREPLACE(E803, ""[0-9]+[a-f]?\."", """"))"),"Wanne daga cikin waɗannan amfanin gidanku ya noma a damanar da ta gabata?")</f>
        <v>Wanne daga cikin waɗannan amfanin gidanku ya noma a damanar da ta gabata?</v>
      </c>
      <c r="J803" s="188" t="s">
        <v>6165</v>
      </c>
      <c r="K803" s="188" t="s">
        <v>6166</v>
      </c>
      <c r="L803" s="188" t="s">
        <v>6167</v>
      </c>
    </row>
    <row r="804">
      <c r="A804" s="301" t="s">
        <v>220</v>
      </c>
      <c r="B804" s="302" t="s">
        <v>6168</v>
      </c>
      <c r="C804" s="190" t="s">
        <v>6169</v>
      </c>
      <c r="D804" s="190" t="s">
        <v>6170</v>
      </c>
      <c r="E804" s="190" t="s">
        <v>6171</v>
      </c>
      <c r="F804" s="195">
        <v>428.0</v>
      </c>
      <c r="G804" s="188" t="str">
        <f>IFERROR(__xludf.DUMMYFUNCTION("TRIM(REGEXREPLACE(C804, ""[0-9]+[a-f]?\."", """"))"),"Specify other:")</f>
        <v>Specify other:</v>
      </c>
      <c r="H804" s="188" t="str">
        <f>IFERROR(__xludf.DUMMYFUNCTION("TRIM(REGEXREPLACE(D804, ""[0-9]+[a-f]?\."", """"))"),"Précisez la culture")</f>
        <v>Précisez la culture</v>
      </c>
      <c r="I804" s="188" t="str">
        <f>IFERROR(__xludf.DUMMYFUNCTION("TRIM(REGEXREPLACE(E804, ""[0-9]+[a-f]?\."", """"))"),"Baiyana wani abu daban:")</f>
        <v>Baiyana wani abu daban:</v>
      </c>
      <c r="J804" s="188" t="s">
        <v>6172</v>
      </c>
      <c r="K804" s="188" t="s">
        <v>6173</v>
      </c>
      <c r="L804" s="188" t="s">
        <v>6174</v>
      </c>
    </row>
    <row r="805" hidden="1">
      <c r="A805" s="221" t="s">
        <v>256</v>
      </c>
      <c r="B805" s="198" t="s">
        <v>6175</v>
      </c>
      <c r="C805" s="190"/>
      <c r="D805" s="190"/>
      <c r="E805" s="190"/>
      <c r="F805" s="195">
        <v>228.0</v>
      </c>
      <c r="G805" s="188" t="str">
        <f>IFERROR(__xludf.DUMMYFUNCTION("TRIM(REGEXREPLACE(C805, ""[0-9]+[a-f]?\."", """"))"),"")</f>
        <v/>
      </c>
      <c r="H805" s="188" t="str">
        <f>IFERROR(__xludf.DUMMYFUNCTION("TRIM(REGEXREPLACE(D805, ""[0-9]+[a-f]?\."", """"))"),"")</f>
        <v/>
      </c>
      <c r="I805" s="188" t="str">
        <f>IFERROR(__xludf.DUMMYFUNCTION("TRIM(REGEXREPLACE(E805, ""[0-9]+[a-f]?\."", """"))"),"")</f>
        <v/>
      </c>
      <c r="J805" s="188" t="str">
        <f t="shared" ref="J805:L805" si="81">$F805 &amp; ". "&amp;G805</f>
        <v>228. </v>
      </c>
      <c r="K805" s="188" t="str">
        <f t="shared" si="81"/>
        <v>228. </v>
      </c>
      <c r="L805" s="188" t="str">
        <f t="shared" si="81"/>
        <v>228. </v>
      </c>
    </row>
    <row r="806" hidden="1">
      <c r="A806" s="305" t="s">
        <v>385</v>
      </c>
      <c r="B806" s="223" t="s">
        <v>6181</v>
      </c>
      <c r="C806" s="190" t="s">
        <v>6184</v>
      </c>
      <c r="D806" s="190" t="s">
        <v>6186</v>
      </c>
      <c r="E806" s="190" t="s">
        <v>6187</v>
      </c>
      <c r="F806" s="195">
        <v>229.0</v>
      </c>
      <c r="G806" s="188" t="str">
        <f>IFERROR(__xludf.DUMMYFUNCTION("TRIM(REGEXREPLACE(C806, ""[0-9]+[a-f]?\."", """"))"),"Crops - ${hoh_crop_name}")</f>
        <v>Crops - ${hoh_crop_name}</v>
      </c>
      <c r="H806" s="188" t="str">
        <f>IFERROR(__xludf.DUMMYFUNCTION("TRIM(REGEXREPLACE(D806, ""[0-9]+[a-f]?\."", """"))"),"Cultures - ${hoh_crop_name}")</f>
        <v>Cultures - ${hoh_crop_name}</v>
      </c>
      <c r="I806" s="188" t="str">
        <f>IFERROR(__xludf.DUMMYFUNCTION("TRIM(REGEXREPLACE(E806, ""[0-9]+[a-f]?\."", """"))"),"amfanin gona - ${hoh_crop_name}")</f>
        <v>amfanin gona - ${hoh_crop_name}</v>
      </c>
      <c r="J806" s="188" t="str">
        <f t="shared" ref="J806:L806" si="82">$F806 &amp; ". "&amp;G806</f>
        <v>229. Crops - ${hoh_crop_name}</v>
      </c>
      <c r="K806" s="188" t="str">
        <f t="shared" si="82"/>
        <v>229. Cultures - ${hoh_crop_name}</v>
      </c>
      <c r="L806" s="188" t="str">
        <f t="shared" si="82"/>
        <v>229. amfanin gona - ${hoh_crop_name}</v>
      </c>
    </row>
    <row r="807" hidden="1">
      <c r="A807" s="221" t="s">
        <v>112</v>
      </c>
      <c r="B807" s="198" t="s">
        <v>6189</v>
      </c>
      <c r="C807" s="190" t="s">
        <v>6190</v>
      </c>
      <c r="D807" s="190" t="s">
        <v>6191</v>
      </c>
      <c r="E807" s="190" t="s">
        <v>6192</v>
      </c>
      <c r="F807" s="195">
        <v>230.0</v>
      </c>
      <c r="G807" s="188" t="str">
        <f>IFERROR(__xludf.DUMMYFUNCTION("TRIM(REGEXREPLACE(C807, ""[0-9]+[a-f]?\."", """"))"),"Crop Name")</f>
        <v>Crop Name</v>
      </c>
      <c r="H807" s="188" t="str">
        <f>IFERROR(__xludf.DUMMYFUNCTION("TRIM(REGEXREPLACE(D807, ""[0-9]+[a-f]?\."", """"))"),"Nom de la culture")</f>
        <v>Nom de la culture</v>
      </c>
      <c r="I807" s="188" t="str">
        <f>IFERROR(__xludf.DUMMYFUNCTION("TRIM(REGEXREPLACE(E807, ""[0-9]+[a-f]?\."", """"))"),"Sunan amfanin gona")</f>
        <v>Sunan amfanin gona</v>
      </c>
      <c r="J807" s="188" t="str">
        <f t="shared" ref="J807:L807" si="83">$F807 &amp; ". "&amp;G807</f>
        <v>230. Crop Name</v>
      </c>
      <c r="K807" s="188" t="str">
        <f t="shared" si="83"/>
        <v>230. Nom de la culture</v>
      </c>
      <c r="L807" s="188" t="str">
        <f t="shared" si="83"/>
        <v>230. Sunan amfanin gona</v>
      </c>
    </row>
    <row r="808" hidden="1">
      <c r="A808" s="310" t="s">
        <v>278</v>
      </c>
      <c r="B808" s="311" t="s">
        <v>6193</v>
      </c>
      <c r="C808" s="190"/>
      <c r="D808" s="190"/>
      <c r="E808" s="190"/>
      <c r="F808" s="195">
        <v>231.0</v>
      </c>
      <c r="G808" s="188" t="str">
        <f>IFERROR(__xludf.DUMMYFUNCTION("TRIM(REGEXREPLACE(C808, ""[0-9]+[a-f]?\."", """"))"),"")</f>
        <v/>
      </c>
      <c r="H808" s="188" t="str">
        <f>IFERROR(__xludf.DUMMYFUNCTION("TRIM(REGEXREPLACE(D808, ""[0-9]+[a-f]?\."", """"))"),"")</f>
        <v/>
      </c>
      <c r="I808" s="188" t="str">
        <f>IFERROR(__xludf.DUMMYFUNCTION("TRIM(REGEXREPLACE(E808, ""[0-9]+[a-f]?\."", """"))"),"")</f>
        <v/>
      </c>
      <c r="J808" s="188" t="str">
        <f t="shared" ref="J808:L808" si="84">$F808 &amp; ". "&amp;G808</f>
        <v>231. </v>
      </c>
      <c r="K808" s="188" t="str">
        <f t="shared" si="84"/>
        <v>231. </v>
      </c>
      <c r="L808" s="188" t="str">
        <f t="shared" si="84"/>
        <v>231. </v>
      </c>
    </row>
    <row r="809">
      <c r="A809" s="357" t="s">
        <v>261</v>
      </c>
      <c r="B809" s="358" t="s">
        <v>6194</v>
      </c>
      <c r="C809" s="190" t="s">
        <v>6195</v>
      </c>
      <c r="D809" s="190" t="s">
        <v>6196</v>
      </c>
      <c r="E809" s="190" t="s">
        <v>6197</v>
      </c>
      <c r="F809" s="195">
        <v>429.0</v>
      </c>
      <c r="G809" s="188" t="str">
        <f>IFERROR(__xludf.DUMMYFUNCTION("TRIM(REGEXREPLACE(C809, ""[0-9]+[a-f]?\."", """"))"),"How much of ${hoh_crop_name} did your household produce?")</f>
        <v>How much of ${hoh_crop_name} did your household produce?</v>
      </c>
      <c r="H809" s="188" t="str">
        <f>IFERROR(__xludf.DUMMYFUNCTION("TRIM(REGEXREPLACE(D809, ""[0-9]+[a-f]?\."", """"))"),"Quelle quantité de ${hoh_crop_name} votre ménage a-t-il produit ?")</f>
        <v>Quelle quantité de ${hoh_crop_name} votre ménage a-t-il produit ?</v>
      </c>
      <c r="I809" s="188" t="str">
        <f>IFERROR(__xludf.DUMMYFUNCTION("TRIM(REGEXREPLACE(E809, ""[0-9]+[a-f]?\."", """"))"),"${hoh_crop_name} Nawa gidanku ya samu?")</f>
        <v>${hoh_crop_name} Nawa gidanku ya samu?</v>
      </c>
      <c r="J809" s="188" t="s">
        <v>6198</v>
      </c>
      <c r="K809" s="188" t="s">
        <v>6199</v>
      </c>
      <c r="L809" s="188" t="s">
        <v>6200</v>
      </c>
    </row>
    <row r="810">
      <c r="A810" s="299" t="s">
        <v>6201</v>
      </c>
      <c r="B810" s="300" t="s">
        <v>6202</v>
      </c>
      <c r="C810" s="190" t="s">
        <v>6203</v>
      </c>
      <c r="D810" s="190" t="s">
        <v>6204</v>
      </c>
      <c r="E810" s="190" t="s">
        <v>6205</v>
      </c>
      <c r="F810" s="195">
        <v>430.0</v>
      </c>
      <c r="G810" s="188" t="str">
        <f>IFERROR(__xludf.DUMMYFUNCTION("TRIM(REGEXREPLACE(C810, ""[0-9]+[a-f]?\."", """"))"),"Select crop unit for ${hoh_crop_name}")</f>
        <v>Select crop unit for ${hoh_crop_name}</v>
      </c>
      <c r="H810" s="188" t="str">
        <f>IFERROR(__xludf.DUMMYFUNCTION("TRIM(REGEXREPLACE(D810, ""[0-9]+[a-f]?\."", """"))"),"Sélectionnez l'unité de culture pour ${hoh_crop_name}")</f>
        <v>Sélectionnez l'unité de culture pour ${hoh_crop_name}</v>
      </c>
      <c r="I810" s="188" t="str">
        <f>IFERROR(__xludf.DUMMYFUNCTION("TRIM(REGEXREPLACE(E810, ""[0-9]+[a-f]?\."", """"))"),"Zaɓi amfanin gonar don ${hoh_crop_name}")</f>
        <v>Zaɓi amfanin gonar don ${hoh_crop_name}</v>
      </c>
      <c r="J810" s="188" t="s">
        <v>6206</v>
      </c>
      <c r="K810" s="188" t="s">
        <v>6207</v>
      </c>
      <c r="L810" s="188" t="s">
        <v>6208</v>
      </c>
    </row>
    <row r="811" hidden="1">
      <c r="A811" s="310" t="s">
        <v>331</v>
      </c>
      <c r="B811" s="315" t="s">
        <v>6193</v>
      </c>
      <c r="C811" s="190"/>
      <c r="D811" s="190"/>
      <c r="E811" s="190"/>
      <c r="F811" s="195">
        <v>477.0</v>
      </c>
      <c r="G811" s="188" t="str">
        <f>IFERROR(__xludf.DUMMYFUNCTION("TRIM(REGEXREPLACE(C811, ""[0-9]+[a-f]?\."", """"))"),"")</f>
        <v/>
      </c>
      <c r="H811" s="188" t="str">
        <f>IFERROR(__xludf.DUMMYFUNCTION("TRIM(REGEXREPLACE(D811, ""[0-9]+[a-f]?\."", """"))"),"")</f>
        <v/>
      </c>
      <c r="I811" s="188" t="str">
        <f>IFERROR(__xludf.DUMMYFUNCTION("TRIM(REGEXREPLACE(E811, ""[0-9]+[a-f]?\."", """"))"),"")</f>
        <v/>
      </c>
      <c r="J811" s="188" t="s">
        <v>6209</v>
      </c>
      <c r="K811" s="188" t="s">
        <v>6210</v>
      </c>
      <c r="L811" s="188" t="s">
        <v>6211</v>
      </c>
    </row>
    <row r="812">
      <c r="A812" s="301" t="s">
        <v>220</v>
      </c>
      <c r="B812" s="302" t="s">
        <v>6212</v>
      </c>
      <c r="C812" s="190" t="s">
        <v>6213</v>
      </c>
      <c r="D812" s="190" t="s">
        <v>6214</v>
      </c>
      <c r="E812" s="190" t="s">
        <v>6215</v>
      </c>
      <c r="F812" s="195">
        <v>431.0</v>
      </c>
      <c r="G812" s="188" t="str">
        <f>IFERROR(__xludf.DUMMYFUNCTION("TRIM(REGEXREPLACE(C812, ""[0-9]+[a-f]?\."", """"))"),"Specify other unit:")</f>
        <v>Specify other unit:</v>
      </c>
      <c r="H812" s="188" t="str">
        <f>IFERROR(__xludf.DUMMYFUNCTION("TRIM(REGEXREPLACE(D812, ""[0-9]+[a-f]?\."", """"))"),"Spécifiez une autre unité :")</f>
        <v>Spécifiez une autre unité :</v>
      </c>
      <c r="I812" s="188" t="str">
        <f>IFERROR(__xludf.DUMMYFUNCTION("TRIM(REGEXREPLACE(E812, ""[0-9]+[a-f]?\."", """"))"),"Baiyana wani amfanin gonar daban:")</f>
        <v>Baiyana wani amfanin gonar daban:</v>
      </c>
      <c r="J812" s="188" t="s">
        <v>6216</v>
      </c>
      <c r="K812" s="188" t="s">
        <v>6217</v>
      </c>
      <c r="L812" s="188" t="s">
        <v>6218</v>
      </c>
    </row>
    <row r="813" hidden="1">
      <c r="A813" s="221" t="s">
        <v>112</v>
      </c>
      <c r="B813" s="198" t="s">
        <v>6219</v>
      </c>
      <c r="C813" s="190" t="s">
        <v>6220</v>
      </c>
      <c r="D813" s="190"/>
      <c r="E813" s="190"/>
      <c r="F813" s="195">
        <v>234.0</v>
      </c>
      <c r="G813" s="188" t="str">
        <f>IFERROR(__xludf.DUMMYFUNCTION("TRIM(REGEXREPLACE(C813, ""[0-9]+[a-f]?\."", """"))"),"Unit Name")</f>
        <v>Unit Name</v>
      </c>
      <c r="H813" s="188" t="str">
        <f>IFERROR(__xludf.DUMMYFUNCTION("TRIM(REGEXREPLACE(D813, ""[0-9]+[a-f]?\."", """"))"),"")</f>
        <v/>
      </c>
      <c r="I813" s="188" t="str">
        <f>IFERROR(__xludf.DUMMYFUNCTION("TRIM(REGEXREPLACE(E813, ""[0-9]+[a-f]?\."", """"))"),"")</f>
        <v/>
      </c>
      <c r="J813" s="188" t="str">
        <f t="shared" ref="J813:L813" si="85">$F813 &amp; ". "&amp;G813</f>
        <v>234. Unit Name</v>
      </c>
      <c r="K813" s="188" t="str">
        <f t="shared" si="85"/>
        <v>234. </v>
      </c>
      <c r="L813" s="188" t="str">
        <f t="shared" si="85"/>
        <v>234. </v>
      </c>
    </row>
    <row r="814">
      <c r="A814" s="357" t="s">
        <v>261</v>
      </c>
      <c r="B814" s="358" t="s">
        <v>6222</v>
      </c>
      <c r="C814" s="190" t="s">
        <v>6223</v>
      </c>
      <c r="D814" s="190" t="s">
        <v>6224</v>
      </c>
      <c r="E814" s="190" t="s">
        <v>6225</v>
      </c>
      <c r="F814" s="195">
        <v>432.0</v>
      </c>
      <c r="G814" s="188" t="str">
        <f>IFERROR(__xludf.DUMMYFUNCTION("TRIM(REGEXREPLACE(C814, ""[0-9]+[a-f]?\."", """"))"),"What quantity (${hoh_crop_unit_name}) of ${hoh_crop_name} did your household sell since the last harvest?")</f>
        <v>What quantity (${hoh_crop_unit_name}) of ${hoh_crop_name} did your household sell since the last harvest?</v>
      </c>
      <c r="H814" s="188" t="str">
        <f>IFERROR(__xludf.DUMMYFUNCTION("TRIM(REGEXREPLACE(D814, ""[0-9]+[a-f]?\."", """"))"),"Quelle quantité (${hoh_crop_unit_name}) de ${hoh_crop_name} votre ménage a-t-il vendu depuis la dernière récolte ?")</f>
        <v>Quelle quantité (${hoh_crop_unit_name}) de ${hoh_crop_name} votre ménage a-t-il vendu depuis la dernière récolte ?</v>
      </c>
      <c r="I814" s="188" t="str">
        <f>IFERROR(__xludf.DUMMYFUNCTION("TRIM(REGEXREPLACE(E814, ""[0-9]+[a-f]?\."", """"))"),"Nawa ne yawan (${hoh_crop_unit_name}) na ${hoh_crop_name} gidanku ya saida tun daga kaka na ƙarshe?")</f>
        <v>Nawa ne yawan (${hoh_crop_unit_name}) na ${hoh_crop_name} gidanku ya saida tun daga kaka na ƙarshe?</v>
      </c>
      <c r="J814" s="188" t="s">
        <v>6227</v>
      </c>
      <c r="K814" s="188" t="s">
        <v>6228</v>
      </c>
      <c r="L814" s="188" t="s">
        <v>6229</v>
      </c>
    </row>
    <row r="815">
      <c r="A815" s="306" t="s">
        <v>247</v>
      </c>
      <c r="B815" s="307" t="s">
        <v>6230</v>
      </c>
      <c r="C815" s="190" t="s">
        <v>6231</v>
      </c>
      <c r="D815" s="190" t="s">
        <v>6232</v>
      </c>
      <c r="E815" s="190" t="s">
        <v>6233</v>
      </c>
      <c r="F815" s="195">
        <v>433.0</v>
      </c>
      <c r="G815" s="188" t="str">
        <f>IFERROR(__xludf.DUMMYFUNCTION("TRIM(REGEXREPLACE(C815, ""[0-9]+[a-f]?\."", """"))"),"What was the price per ${hoh_crop_unit_name} of ${hoh_crop_name} you sold in CFA?")</f>
        <v>What was the price per ${hoh_crop_unit_name} of ${hoh_crop_name} you sold in CFA?</v>
      </c>
      <c r="H815" s="188" t="str">
        <f>IFERROR(__xludf.DUMMYFUNCTION("TRIM(REGEXREPLACE(D815, ""[0-9]+[a-f]?\."", """"))"),"Quel était le prix unitaire (${hoh_crop_unit_name}) de ${hoh_crop_name} que vous avez vendu en CFA ?")</f>
        <v>Quel était le prix unitaire (${hoh_crop_unit_name}) de ${hoh_crop_name} que vous avez vendu en CFA ?</v>
      </c>
      <c r="I815" s="188" t="str">
        <f>IFERROR(__xludf.DUMMYFUNCTION("TRIM(REGEXREPLACE(E815, ""[0-9]+[a-f]?\."", """"))"),"Nawa farashin kowane ${hoh_crop_unit_name} na ${hoh_crop_name} da kuka saida a CFA?")</f>
        <v>Nawa farashin kowane ${hoh_crop_unit_name} na ${hoh_crop_name} da kuka saida a CFA?</v>
      </c>
      <c r="J815" s="188" t="s">
        <v>6234</v>
      </c>
      <c r="K815" s="188" t="s">
        <v>6235</v>
      </c>
      <c r="L815" s="188" t="s">
        <v>6236</v>
      </c>
    </row>
    <row r="816">
      <c r="A816" s="357" t="s">
        <v>261</v>
      </c>
      <c r="B816" s="358" t="s">
        <v>6237</v>
      </c>
      <c r="C816" s="190" t="s">
        <v>6238</v>
      </c>
      <c r="D816" s="190" t="s">
        <v>6239</v>
      </c>
      <c r="E816" s="190" t="s">
        <v>6240</v>
      </c>
      <c r="F816" s="195">
        <v>434.0</v>
      </c>
      <c r="G816" s="188" t="str">
        <f>IFERROR(__xludf.DUMMYFUNCTION("TRIM(REGEXREPLACE(C816, ""[0-9]+[a-f]?\."", """"))"),"How many ${hoh_crop_unit_name}s of ${hoh_crop_name} did your household consume?")</f>
        <v>How many ${hoh_crop_unit_name}s of ${hoh_crop_name} did your household consume?</v>
      </c>
      <c r="H816" s="188" t="str">
        <f>IFERROR(__xludf.DUMMYFUNCTION("TRIM(REGEXREPLACE(D816, ""[0-9]+[a-f]?\."", """"))"),"Quelle quantité (${hoh_crop_unit_name}) de ${hoh_crop_name} votre ménage a-t-il consommé ?")</f>
        <v>Quelle quantité (${hoh_crop_unit_name}) de ${hoh_crop_name} votre ménage a-t-il consommé ?</v>
      </c>
      <c r="I816" s="188" t="str">
        <f>IFERROR(__xludf.DUMMYFUNCTION("TRIM(REGEXREPLACE(E816, ""[0-9]+[a-f]?\."", """"))"),"Nawa yawan ${hoh_crop_unit_name} na ${hoh_crop_name} gidanku ya cinye?")</f>
        <v>Nawa yawan ${hoh_crop_unit_name} na ${hoh_crop_name} gidanku ya cinye?</v>
      </c>
      <c r="J816" s="188" t="s">
        <v>6241</v>
      </c>
      <c r="K816" s="188" t="s">
        <v>6242</v>
      </c>
      <c r="L816" s="188" t="s">
        <v>6243</v>
      </c>
    </row>
    <row r="817">
      <c r="A817" s="258" t="s">
        <v>247</v>
      </c>
      <c r="B817" s="259" t="s">
        <v>6244</v>
      </c>
      <c r="C817" s="190" t="s">
        <v>6245</v>
      </c>
      <c r="D817" s="190" t="s">
        <v>6246</v>
      </c>
      <c r="E817" s="190" t="s">
        <v>6247</v>
      </c>
      <c r="F817" s="195">
        <v>435.0</v>
      </c>
      <c r="G817" s="188" t="str">
        <f>IFERROR(__xludf.DUMMYFUNCTION("TRIM(REGEXREPLACE(C817, ""[0-9]+[a-f]?\."", """"))"),"If you were to sell the ${hoh_crop_name} that you consumed, what would be the price per ${hoh_crop_unit_name} in CFA?")</f>
        <v>If you were to sell the ${hoh_crop_name} that you consumed, what would be the price per ${hoh_crop_unit_name} in CFA?</v>
      </c>
      <c r="H817" s="188" t="str">
        <f>IFERROR(__xludf.DUMMYFUNCTION("TRIM(REGEXREPLACE(D817, ""[0-9]+[a-f]?\."", """"))"),"Si vous devriez vendre les ${hoh_crop_name} que vous avez consommés, quel serait le prix par ${hoh_crop_unit_name} en CFA ?")</f>
        <v>Si vous devriez vendre les ${hoh_crop_name} que vous avez consommés, quel serait le prix par ${hoh_crop_unit_name} en CFA ?</v>
      </c>
      <c r="I817" s="188" t="str">
        <f>IFERROR(__xludf.DUMMYFUNCTION("TRIM(REGEXREPLACE(E817, ""[0-9]+[a-f]?\."", """"))"),"Idan za ku sayar da ${hoh_crop_name} da kuka cinye, nawa zaku iya sayar da $ {hoh_crop_unit_name} a CFA?")</f>
        <v>Idan za ku sayar da ${hoh_crop_name} da kuka cinye, nawa zaku iya sayar da $ {hoh_crop_unit_name} a CFA?</v>
      </c>
      <c r="J817" s="188" t="s">
        <v>6248</v>
      </c>
      <c r="K817" s="188" t="s">
        <v>6249</v>
      </c>
      <c r="L817" s="188" t="s">
        <v>6250</v>
      </c>
    </row>
    <row r="818" hidden="1">
      <c r="A818" s="221" t="s">
        <v>112</v>
      </c>
      <c r="B818" s="198" t="s">
        <v>6251</v>
      </c>
      <c r="C818" s="190"/>
      <c r="D818" s="190"/>
      <c r="E818" s="190"/>
      <c r="F818" s="195">
        <v>236.0</v>
      </c>
      <c r="G818" s="188" t="str">
        <f>IFERROR(__xludf.DUMMYFUNCTION("TRIM(REGEXREPLACE(C818, ""[0-9]+[a-f]?\."", """"))"),"")</f>
        <v/>
      </c>
      <c r="H818" s="188" t="str">
        <f>IFERROR(__xludf.DUMMYFUNCTION("TRIM(REGEXREPLACE(D818, ""[0-9]+[a-f]?\."", """"))"),"")</f>
        <v/>
      </c>
      <c r="I818" s="188" t="str">
        <f>IFERROR(__xludf.DUMMYFUNCTION("TRIM(REGEXREPLACE(E818, ""[0-9]+[a-f]?\."", """"))"),"")</f>
        <v/>
      </c>
      <c r="J818" s="188" t="str">
        <f t="shared" ref="J818:L818" si="86">$F818 &amp; ". "&amp;G818</f>
        <v>236. </v>
      </c>
      <c r="K818" s="188" t="str">
        <f t="shared" si="86"/>
        <v>236. </v>
      </c>
      <c r="L818" s="188" t="str">
        <f t="shared" si="86"/>
        <v>236. </v>
      </c>
    </row>
    <row r="819">
      <c r="A819" s="297" t="s">
        <v>46</v>
      </c>
      <c r="B819" s="298" t="s">
        <v>6255</v>
      </c>
      <c r="C819" s="190" t="s">
        <v>6256</v>
      </c>
      <c r="D819" s="190" t="s">
        <v>6257</v>
      </c>
      <c r="E819" s="190" t="s">
        <v>6258</v>
      </c>
      <c r="F819" s="195">
        <v>436.0</v>
      </c>
      <c r="G819" s="188" t="str">
        <f>IFERROR(__xludf.DUMMYFUNCTION("TRIM(REGEXREPLACE(C819, ""[0-9]+[a-f]?\."", """"))"),"The amount you have left (${hoh_qty_left}) is negative. Please return and revise your responses.")</f>
        <v>The amount you have left (${hoh_qty_left}) is negative. Please return and revise your responses.</v>
      </c>
      <c r="H819" s="188" t="str">
        <f>IFERROR(__xludf.DUMMYFUNCTION("TRIM(REGEXREPLACE(D819, ""[0-9]+[a-f]?\."", """"))"),"Le montant qu'il vous reste (${hoh_qty_left}) est négatif. Veuillez revenir et réviser vos réponses.")</f>
        <v>Le montant qu'il vous reste (${hoh_qty_left}) est négatif. Veuillez revenir et réviser vos réponses.</v>
      </c>
      <c r="I819" s="188" t="str">
        <f>IFERROR(__xludf.DUMMYFUNCTION("TRIM(REGEXREPLACE(E819, ""[0-9]+[a-f]?\."", """"))"),"jimillar kuɗin da suka saura (${hoh_qty_left}) maras kyau ne. Da fatan za a dawo a sake duba amsoshin.")</f>
        <v>jimillar kuɗin da suka saura (${hoh_qty_left}) maras kyau ne. Da fatan za a dawo a sake duba amsoshin.</v>
      </c>
      <c r="J819" s="188" t="s">
        <v>6259</v>
      </c>
      <c r="K819" s="188" t="s">
        <v>6261</v>
      </c>
      <c r="L819" s="188" t="s">
        <v>6263</v>
      </c>
    </row>
    <row r="820">
      <c r="A820" s="299" t="s">
        <v>2456</v>
      </c>
      <c r="B820" s="300" t="s">
        <v>6264</v>
      </c>
      <c r="C820" s="190" t="s">
        <v>6265</v>
      </c>
      <c r="D820" s="190" t="s">
        <v>6266</v>
      </c>
      <c r="E820" s="190" t="s">
        <v>6267</v>
      </c>
      <c r="F820" s="195">
        <v>437.0</v>
      </c>
      <c r="G820" s="188" t="str">
        <f>IFERROR(__xludf.DUMMYFUNCTION("TRIM(REGEXREPLACE(C820, ""[0-9]+[a-f]?\."", """"))"),"Based on your responses, you had ${hoh_qty_left} ${hoh_crop_unit_name} left over. Does this sound correct?")</f>
        <v>Based on your responses, you had ${hoh_qty_left} ${hoh_crop_unit_name} left over. Does this sound correct?</v>
      </c>
      <c r="H820" s="188" t="str">
        <f>IFERROR(__xludf.DUMMYFUNCTION("TRIM(REGEXREPLACE(D820, ""[0-9]+[a-f]?\."", """"))"),"D'après vos réponses, il vous restait ${hoh_qty_left} ${hoh_crop_unit_name}. Est-ce que cela semble correct ?")</f>
        <v>D'après vos réponses, il vous restait ${hoh_qty_left} ${hoh_crop_unit_name}. Est-ce que cela semble correct ?</v>
      </c>
      <c r="I820" s="188" t="str">
        <f>IFERROR(__xludf.DUMMYFUNCTION("TRIM(REGEXREPLACE(E820, ""[0-9]+[a-f]?\."", """"))"),"Dangane da amsoshinku, kuna da sauran ${hoh_qty_left} ${hoh_crop_unit_name}. Ko wannan yayi daidai?")</f>
        <v>Dangane da amsoshinku, kuna da sauran ${hoh_qty_left} ${hoh_crop_unit_name}. Ko wannan yayi daidai?</v>
      </c>
      <c r="J820" s="188" t="s">
        <v>6268</v>
      </c>
      <c r="K820" s="188" t="s">
        <v>6269</v>
      </c>
      <c r="L820" s="188" t="s">
        <v>6271</v>
      </c>
    </row>
    <row r="821">
      <c r="A821" s="299" t="s">
        <v>247</v>
      </c>
      <c r="B821" s="300" t="s">
        <v>6273</v>
      </c>
      <c r="C821" s="190" t="s">
        <v>6274</v>
      </c>
      <c r="D821" s="190" t="s">
        <v>6275</v>
      </c>
      <c r="E821" s="190" t="s">
        <v>6276</v>
      </c>
      <c r="F821" s="195">
        <v>438.0</v>
      </c>
      <c r="G821" s="188" t="str">
        <f>IFERROR(__xludf.DUMMYFUNCTION("TRIM(REGEXREPLACE(C821, ""[0-9]+[a-f]?\."", """"))"),"If you were to sell the ${hoh_crop_name} that you had left over, what would be the price per ${hoh_crop_unit_name} in CFA?")</f>
        <v>If you were to sell the ${hoh_crop_name} that you had left over, what would be the price per ${hoh_crop_unit_name} in CFA?</v>
      </c>
      <c r="H821" s="188" t="str">
        <f>IFERROR(__xludf.DUMMYFUNCTION("TRIM(REGEXREPLACE(D821, ""[0-9]+[a-f]?\."", """"))"),"Si vous deviez vendre les ${hoh_crop_name} qui vous reste, quel serait le prix par ${hoh_crop_unit_name} en CFA ?")</f>
        <v>Si vous deviez vendre les ${hoh_crop_name} qui vous reste, quel serait le prix par ${hoh_crop_unit_name} en CFA ?</v>
      </c>
      <c r="I821" s="188" t="str">
        <f>IFERROR(__xludf.DUMMYFUNCTION("TRIM(REGEXREPLACE(E821, ""[0-9]+[a-f]?\."", """"))"),"Idan za ku sayar da ${hoh_crop_name} da ya muku saura, zaku iya sayar da $ {hoh_crop_unit_name} a CFA?")</f>
        <v>Idan za ku sayar da ${hoh_crop_name} da ya muku saura, zaku iya sayar da $ {hoh_crop_unit_name} a CFA?</v>
      </c>
      <c r="J821" s="188" t="s">
        <v>6278</v>
      </c>
      <c r="K821" s="188" t="s">
        <v>6280</v>
      </c>
      <c r="L821" s="188" t="s">
        <v>6281</v>
      </c>
    </row>
    <row r="822" hidden="1">
      <c r="A822" s="221" t="s">
        <v>112</v>
      </c>
      <c r="B822" s="198" t="s">
        <v>6282</v>
      </c>
      <c r="C822" s="190"/>
      <c r="D822" s="190"/>
      <c r="E822" s="190"/>
      <c r="F822" s="195">
        <v>488.0</v>
      </c>
      <c r="G822" s="188" t="str">
        <f>IFERROR(__xludf.DUMMYFUNCTION("TRIM(REGEXREPLACE(C822, ""[0-9]+[a-f]?\."", """"))"),"")</f>
        <v/>
      </c>
      <c r="H822" s="188" t="str">
        <f>IFERROR(__xludf.DUMMYFUNCTION("TRIM(REGEXREPLACE(D822, ""[0-9]+[a-f]?\."", """"))"),"")</f>
        <v/>
      </c>
      <c r="I822" s="188" t="str">
        <f>IFERROR(__xludf.DUMMYFUNCTION("TRIM(REGEXREPLACE(E822, ""[0-9]+[a-f]?\."", """"))"),"")</f>
        <v/>
      </c>
      <c r="J822" s="188" t="s">
        <v>6283</v>
      </c>
      <c r="K822" s="188" t="s">
        <v>6284</v>
      </c>
      <c r="L822" s="188" t="s">
        <v>6285</v>
      </c>
    </row>
    <row r="823" hidden="1">
      <c r="A823" s="373" t="s">
        <v>450</v>
      </c>
      <c r="B823" s="224" t="s">
        <v>6181</v>
      </c>
      <c r="C823" s="190" t="s">
        <v>6288</v>
      </c>
      <c r="D823" s="190" t="s">
        <v>6289</v>
      </c>
      <c r="E823" s="190" t="s">
        <v>6290</v>
      </c>
      <c r="F823" s="195">
        <v>489.0</v>
      </c>
      <c r="G823" s="188" t="str">
        <f>IFERROR(__xludf.DUMMYFUNCTION("TRIM(REGEXREPLACE(C823, ""[0-9]+[a-f]?\."", """"))"),"Crops")</f>
        <v>Crops</v>
      </c>
      <c r="H823" s="188" t="str">
        <f>IFERROR(__xludf.DUMMYFUNCTION("TRIM(REGEXREPLACE(D823, ""[0-9]+[a-f]?\."", """"))"),"Cultures")</f>
        <v>Cultures</v>
      </c>
      <c r="I823" s="188" t="str">
        <f>IFERROR(__xludf.DUMMYFUNCTION("TRIM(REGEXREPLACE(E823, ""[0-9]+[a-f]?\."", """"))"),"amfanin gona")</f>
        <v>amfanin gona</v>
      </c>
      <c r="J823" s="188" t="s">
        <v>6291</v>
      </c>
      <c r="K823" s="188" t="s">
        <v>6292</v>
      </c>
      <c r="L823" s="188" t="s">
        <v>6293</v>
      </c>
    </row>
    <row r="824" hidden="1">
      <c r="A824" s="320"/>
      <c r="B824" s="321"/>
      <c r="C824" s="190"/>
      <c r="D824" s="190"/>
      <c r="E824" s="190"/>
      <c r="F824" s="195">
        <v>238.0</v>
      </c>
      <c r="G824" s="188" t="str">
        <f>IFERROR(__xludf.DUMMYFUNCTION("TRIM(REGEXREPLACE(C824, ""[0-9]+[a-f]?\."", """"))"),"")</f>
        <v/>
      </c>
      <c r="H824" s="188" t="str">
        <f>IFERROR(__xludf.DUMMYFUNCTION("TRIM(REGEXREPLACE(D824, ""[0-9]+[a-f]?\."", """"))"),"")</f>
        <v/>
      </c>
      <c r="I824" s="188" t="str">
        <f>IFERROR(__xludf.DUMMYFUNCTION("TRIM(REGEXREPLACE(E824, ""[0-9]+[a-f]?\."", """"))"),"")</f>
        <v/>
      </c>
      <c r="J824" s="188" t="str">
        <f t="shared" ref="J824:L824" si="87">$F824 &amp; ". "&amp;G824</f>
        <v>238. </v>
      </c>
      <c r="K824" s="188" t="str">
        <f t="shared" si="87"/>
        <v>238. </v>
      </c>
      <c r="L824" s="188" t="str">
        <f t="shared" si="87"/>
        <v>238. </v>
      </c>
    </row>
    <row r="825" hidden="1">
      <c r="A825" s="310" t="s">
        <v>278</v>
      </c>
      <c r="B825" s="311" t="s">
        <v>6298</v>
      </c>
      <c r="C825" s="190" t="s">
        <v>6299</v>
      </c>
      <c r="D825" s="190" t="s">
        <v>6300</v>
      </c>
      <c r="E825" s="190" t="s">
        <v>6301</v>
      </c>
      <c r="F825" s="195">
        <v>239.0</v>
      </c>
      <c r="G825" s="188" t="str">
        <f>IFERROR(__xludf.DUMMYFUNCTION("TRIM(REGEXREPLACE(C825, ""[0-9]+[a-f]?\."", """"))"),"Household Agriculture Expenses")</f>
        <v>Household Agriculture Expenses</v>
      </c>
      <c r="H825" s="188" t="str">
        <f>IFERROR(__xludf.DUMMYFUNCTION("TRIM(REGEXREPLACE(D825, ""[0-9]+[a-f]?\."", """"))"),"Dépenses agricoles du ménage")</f>
        <v>Dépenses agricoles du ménage</v>
      </c>
      <c r="I825" s="188" t="str">
        <f>IFERROR(__xludf.DUMMYFUNCTION("TRIM(REGEXREPLACE(E825, ""[0-9]+[a-f]?\."", """"))"),"Kashe kashen kuɗin aikin gona na gida")</f>
        <v>Kashe kashen kuɗin aikin gona na gida</v>
      </c>
      <c r="J825" s="188" t="str">
        <f t="shared" ref="J825:L825" si="88">$F825 &amp; ". "&amp;G825</f>
        <v>239. Household Agriculture Expenses</v>
      </c>
      <c r="K825" s="188" t="str">
        <f t="shared" si="88"/>
        <v>239. Dépenses agricoles du ménage</v>
      </c>
      <c r="L825" s="188" t="str">
        <f t="shared" si="88"/>
        <v>239. Kashe kashen kuɗin aikin gona na gida</v>
      </c>
    </row>
    <row r="826">
      <c r="A826" s="297" t="s">
        <v>46</v>
      </c>
      <c r="B826" s="298" t="s">
        <v>6302</v>
      </c>
      <c r="C826" s="190" t="s">
        <v>6303</v>
      </c>
      <c r="D826" s="190" t="s">
        <v>6304</v>
      </c>
      <c r="E826" s="190" t="s">
        <v>6305</v>
      </c>
      <c r="F826" s="195">
        <v>439.0</v>
      </c>
      <c r="G826" s="188" t="str">
        <f>IFERROR(__xludf.DUMMYFUNCTION("TRIM(REGEXREPLACE(C826, ""[0-9]+[a-f]?\."", """"))"),"How much did your household spend on the following types of expenses during the last agricultural season in CFA?")</f>
        <v>How much did your household spend on the following types of expenses during the last agricultural season in CFA?</v>
      </c>
      <c r="H826" s="188" t="str">
        <f>IFERROR(__xludf.DUMMYFUNCTION("TRIM(REGEXREPLACE(D826, ""[0-9]+[a-f]?\."", """"))"),"Combien votre ménage a-t-il dépensé pour les types de dépenses suivantes au cours de la dernière saison agricole (en CFA) ?")</f>
        <v>Combien votre ménage a-t-il dépensé pour les types de dépenses suivantes au cours de la dernière saison agricole (en CFA) ?</v>
      </c>
      <c r="I826" s="188" t="str">
        <f>IFERROR(__xludf.DUMMYFUNCTION("TRIM(REGEXREPLACE(E826, ""[0-9]+[a-f]?\."", """"))"),"Nawa ne gidanku ya kashe akan waɗannan abubuwan a lokacin noman da ya wuce (a sefa)?")</f>
        <v>Nawa ne gidanku ya kashe akan waɗannan abubuwan a lokacin noman da ya wuce (a sefa)?</v>
      </c>
      <c r="J826" s="188" t="s">
        <v>6307</v>
      </c>
      <c r="K826" s="188" t="s">
        <v>6308</v>
      </c>
      <c r="L826" s="188" t="s">
        <v>6309</v>
      </c>
    </row>
    <row r="827">
      <c r="A827" s="306" t="s">
        <v>247</v>
      </c>
      <c r="B827" s="307" t="s">
        <v>6310</v>
      </c>
      <c r="C827" s="190" t="s">
        <v>6311</v>
      </c>
      <c r="D827" s="190" t="s">
        <v>6312</v>
      </c>
      <c r="E827" s="190" t="s">
        <v>6313</v>
      </c>
      <c r="F827" s="195">
        <v>440.0</v>
      </c>
      <c r="G827" s="188" t="str">
        <f>IFERROR(__xludf.DUMMYFUNCTION("TRIM(REGEXREPLACE(C827, ""[0-9]+[a-f]?\."", """"))"),"Seeds")</f>
        <v>Seeds</v>
      </c>
      <c r="H827" s="188" t="str">
        <f>IFERROR(__xludf.DUMMYFUNCTION("TRIM(REGEXREPLACE(D827, ""[0-9]+[a-f]?\."", """"))"),"Semences")</f>
        <v>Semences</v>
      </c>
      <c r="I827" s="188" t="str">
        <f>IFERROR(__xludf.DUMMYFUNCTION("TRIM(REGEXREPLACE(E827, ""[0-9]+[a-f]?\."", """"))"),"Iri")</f>
        <v>Iri</v>
      </c>
      <c r="J827" s="188" t="s">
        <v>6314</v>
      </c>
      <c r="K827" s="188" t="s">
        <v>6315</v>
      </c>
      <c r="L827" s="188" t="s">
        <v>6316</v>
      </c>
    </row>
    <row r="828">
      <c r="A828" s="306" t="s">
        <v>247</v>
      </c>
      <c r="B828" s="307" t="s">
        <v>6317</v>
      </c>
      <c r="C828" s="190" t="s">
        <v>6318</v>
      </c>
      <c r="D828" s="190" t="s">
        <v>6319</v>
      </c>
      <c r="E828" s="190" t="s">
        <v>6320</v>
      </c>
      <c r="F828" s="195">
        <v>441.0</v>
      </c>
      <c r="G828" s="188" t="str">
        <f>IFERROR(__xludf.DUMMYFUNCTION("TRIM(REGEXREPLACE(C828, ""[0-9]+[a-f]?\."", """"))"),"Fertilizer")</f>
        <v>Fertilizer</v>
      </c>
      <c r="H828" s="188" t="str">
        <f>IFERROR(__xludf.DUMMYFUNCTION("TRIM(REGEXREPLACE(D828, ""[0-9]+[a-f]?\."", """"))"),"Engrais")</f>
        <v>Engrais</v>
      </c>
      <c r="I828" s="188" t="str">
        <f>IFERROR(__xludf.DUMMYFUNCTION("TRIM(REGEXREPLACE(E828, ""[0-9]+[a-f]?\."", """"))"),"Takin zamani")</f>
        <v>Takin zamani</v>
      </c>
      <c r="J828" s="188" t="s">
        <v>6321</v>
      </c>
      <c r="K828" s="188" t="s">
        <v>6322</v>
      </c>
      <c r="L828" s="188" t="s">
        <v>6323</v>
      </c>
    </row>
    <row r="829">
      <c r="A829" s="306" t="s">
        <v>247</v>
      </c>
      <c r="B829" s="307" t="s">
        <v>6324</v>
      </c>
      <c r="C829" s="190" t="s">
        <v>6325</v>
      </c>
      <c r="D829" s="190" t="s">
        <v>6326</v>
      </c>
      <c r="E829" s="190" t="s">
        <v>6327</v>
      </c>
      <c r="F829" s="195">
        <v>442.0</v>
      </c>
      <c r="G829" s="188" t="str">
        <f>IFERROR(__xludf.DUMMYFUNCTION("TRIM(REGEXREPLACE(C829, ""[0-9]+[a-f]?\."", """"))"),"Renting machines and tools (i.e. for plowing or spraying)")</f>
        <v>Renting machines and tools (i.e. for plowing or spraying)</v>
      </c>
      <c r="H829" s="188" t="str">
        <f>IFERROR(__xludf.DUMMYFUNCTION("TRIM(REGEXREPLACE(D829, ""[0-9]+[a-f]?\."", """"))"),"Location de machines et d'outils (c'est-à-dire pour labourer ou pulvériser)")</f>
        <v>Location de machines et d'outils (c'est-à-dire pour labourer ou pulvériser)</v>
      </c>
      <c r="I829" s="188" t="str">
        <f>IFERROR(__xludf.DUMMYFUNCTION("TRIM(REGEXREPLACE(E829, ""[0-9]+[a-f]?\."", """"))"),"Hayar injina da kayan aiki ( don noma ko feshi)")</f>
        <v>Hayar injina da kayan aiki ( don noma ko feshi)</v>
      </c>
      <c r="J829" s="188" t="s">
        <v>6328</v>
      </c>
      <c r="K829" s="188" t="s">
        <v>6329</v>
      </c>
      <c r="L829" s="188" t="s">
        <v>6330</v>
      </c>
    </row>
    <row r="830">
      <c r="A830" s="306" t="s">
        <v>247</v>
      </c>
      <c r="B830" s="307" t="s">
        <v>6331</v>
      </c>
      <c r="C830" s="190" t="s">
        <v>6332</v>
      </c>
      <c r="D830" s="190" t="s">
        <v>6333</v>
      </c>
      <c r="E830" s="190" t="s">
        <v>6334</v>
      </c>
      <c r="F830" s="195">
        <v>443.0</v>
      </c>
      <c r="G830" s="188" t="str">
        <f>IFERROR(__xludf.DUMMYFUNCTION("TRIM(REGEXREPLACE(C830, ""[0-9]+[a-f]?\."", """"))"),"Water")</f>
        <v>Water</v>
      </c>
      <c r="H830" s="188" t="str">
        <f>IFERROR(__xludf.DUMMYFUNCTION("TRIM(REGEXREPLACE(D830, ""[0-9]+[a-f]?\."", """"))"),"Eau")</f>
        <v>Eau</v>
      </c>
      <c r="I830" s="188" t="str">
        <f>IFERROR(__xludf.DUMMYFUNCTION("TRIM(REGEXREPLACE(E830, ""[0-9]+[a-f]?\."", """"))"),"Ruwa")</f>
        <v>Ruwa</v>
      </c>
      <c r="J830" s="188" t="s">
        <v>6335</v>
      </c>
      <c r="K830" s="188" t="s">
        <v>6336</v>
      </c>
      <c r="L830" s="188" t="s">
        <v>6337</v>
      </c>
    </row>
    <row r="831" hidden="1">
      <c r="A831" s="310" t="s">
        <v>331</v>
      </c>
      <c r="B831" s="315" t="s">
        <v>6298</v>
      </c>
      <c r="C831" s="190" t="s">
        <v>6299</v>
      </c>
      <c r="D831" s="190" t="s">
        <v>6338</v>
      </c>
      <c r="E831" s="190" t="s">
        <v>6339</v>
      </c>
      <c r="F831" s="195">
        <v>497.0</v>
      </c>
      <c r="G831" s="188" t="str">
        <f>IFERROR(__xludf.DUMMYFUNCTION("TRIM(REGEXREPLACE(C831, ""[0-9]+[a-f]?\."", """"))"),"Household Agriculture Expenses")</f>
        <v>Household Agriculture Expenses</v>
      </c>
      <c r="H831" s="188" t="str">
        <f>IFERROR(__xludf.DUMMYFUNCTION("TRIM(REGEXREPLACE(D831, ""[0-9]+[a-f]?\."", """"))"),"Dépenses agricoles des ménages")</f>
        <v>Dépenses agricoles des ménages</v>
      </c>
      <c r="I831" s="188" t="str">
        <f>IFERROR(__xludf.DUMMYFUNCTION("TRIM(REGEXREPLACE(E831, ""[0-9]+[a-f]?\."", """"))"),"Kashe-kashen kuɗin aikin gona na gida")</f>
        <v>Kashe-kashen kuɗin aikin gona na gida</v>
      </c>
      <c r="J831" s="188" t="s">
        <v>6341</v>
      </c>
      <c r="K831" s="188" t="s">
        <v>6343</v>
      </c>
      <c r="L831" s="188" t="s">
        <v>6344</v>
      </c>
    </row>
    <row r="832" hidden="1">
      <c r="A832" s="221" t="s">
        <v>256</v>
      </c>
      <c r="B832" s="198" t="s">
        <v>6346</v>
      </c>
      <c r="C832" s="190"/>
      <c r="D832" s="190"/>
      <c r="E832" s="190"/>
      <c r="F832" s="195">
        <v>243.0</v>
      </c>
      <c r="G832" s="188" t="str">
        <f>IFERROR(__xludf.DUMMYFUNCTION("TRIM(REGEXREPLACE(C832, ""[0-9]+[a-f]?\."", """"))"),"")</f>
        <v/>
      </c>
      <c r="H832" s="188" t="str">
        <f>IFERROR(__xludf.DUMMYFUNCTION("TRIM(REGEXREPLACE(D832, ""[0-9]+[a-f]?\."", """"))"),"")</f>
        <v/>
      </c>
      <c r="I832" s="188" t="str">
        <f>IFERROR(__xludf.DUMMYFUNCTION("TRIM(REGEXREPLACE(E832, ""[0-9]+[a-f]?\."", """"))"),"")</f>
        <v/>
      </c>
      <c r="J832" s="188" t="str">
        <f t="shared" ref="J832:L832" si="89">$F832 &amp; ". "&amp;G832</f>
        <v>243. </v>
      </c>
      <c r="K832" s="188" t="str">
        <f t="shared" si="89"/>
        <v>243. </v>
      </c>
      <c r="L832" s="188" t="str">
        <f t="shared" si="89"/>
        <v>243. </v>
      </c>
    </row>
    <row r="833" hidden="1">
      <c r="A833" s="221" t="s">
        <v>112</v>
      </c>
      <c r="B833" s="198" t="s">
        <v>6347</v>
      </c>
      <c r="C833" s="190"/>
      <c r="D833" s="190"/>
      <c r="E833" s="190"/>
      <c r="F833" s="195">
        <v>244.0</v>
      </c>
      <c r="G833" s="188" t="str">
        <f>IFERROR(__xludf.DUMMYFUNCTION("TRIM(REGEXREPLACE(C833, ""[0-9]+[a-f]?\."", """"))"),"")</f>
        <v/>
      </c>
      <c r="H833" s="188" t="str">
        <f>IFERROR(__xludf.DUMMYFUNCTION("TRIM(REGEXREPLACE(D833, ""[0-9]+[a-f]?\."", """"))"),"")</f>
        <v/>
      </c>
      <c r="I833" s="188" t="str">
        <f>IFERROR(__xludf.DUMMYFUNCTION("TRIM(REGEXREPLACE(E833, ""[0-9]+[a-f]?\."", """"))"),"")</f>
        <v/>
      </c>
      <c r="J833" s="188" t="str">
        <f t="shared" ref="J833:L833" si="90">$F833 &amp; ". "&amp;G833</f>
        <v>244. </v>
      </c>
      <c r="K833" s="188" t="str">
        <f t="shared" si="90"/>
        <v>244. </v>
      </c>
      <c r="L833" s="188" t="str">
        <f t="shared" si="90"/>
        <v>244. </v>
      </c>
    </row>
    <row r="834" hidden="1">
      <c r="A834" s="320"/>
      <c r="B834" s="321"/>
      <c r="C834" s="190"/>
      <c r="D834" s="190"/>
      <c r="E834" s="190"/>
      <c r="F834" s="195">
        <v>500.0</v>
      </c>
      <c r="G834" s="188" t="str">
        <f>IFERROR(__xludf.DUMMYFUNCTION("TRIM(REGEXREPLACE(C834, ""[0-9]+[a-f]?\."", """"))"),"")</f>
        <v/>
      </c>
      <c r="H834" s="188" t="str">
        <f>IFERROR(__xludf.DUMMYFUNCTION("TRIM(REGEXREPLACE(D834, ""[0-9]+[a-f]?\."", """"))"),"")</f>
        <v/>
      </c>
      <c r="I834" s="188" t="str">
        <f>IFERROR(__xludf.DUMMYFUNCTION("TRIM(REGEXREPLACE(E834, ""[0-9]+[a-f]?\."", """"))"),"")</f>
        <v/>
      </c>
      <c r="J834" s="188" t="s">
        <v>6351</v>
      </c>
      <c r="K834" s="188" t="s">
        <v>6352</v>
      </c>
      <c r="L834" s="188" t="s">
        <v>6353</v>
      </c>
    </row>
    <row r="835" hidden="1">
      <c r="A835" s="221" t="s">
        <v>256</v>
      </c>
      <c r="B835" s="198" t="s">
        <v>6354</v>
      </c>
      <c r="C835" s="190"/>
      <c r="D835" s="190"/>
      <c r="E835" s="190"/>
      <c r="F835" s="195">
        <v>501.0</v>
      </c>
      <c r="G835" s="188" t="str">
        <f>IFERROR(__xludf.DUMMYFUNCTION("TRIM(REGEXREPLACE(C835, ""[0-9]+[a-f]?\."", """"))"),"")</f>
        <v/>
      </c>
      <c r="H835" s="188" t="str">
        <f>IFERROR(__xludf.DUMMYFUNCTION("TRIM(REGEXREPLACE(D835, ""[0-9]+[a-f]?\."", """"))"),"")</f>
        <v/>
      </c>
      <c r="I835" s="188" t="str">
        <f>IFERROR(__xludf.DUMMYFUNCTION("TRIM(REGEXREPLACE(E835, ""[0-9]+[a-f]?\."", """"))"),"")</f>
        <v/>
      </c>
      <c r="J835" s="188" t="s">
        <v>6358</v>
      </c>
      <c r="K835" s="188" t="s">
        <v>6359</v>
      </c>
      <c r="L835" s="188" t="s">
        <v>6360</v>
      </c>
    </row>
    <row r="836">
      <c r="A836" s="297" t="s">
        <v>46</v>
      </c>
      <c r="B836" s="298" t="s">
        <v>6361</v>
      </c>
      <c r="C836" s="190" t="s">
        <v>6362</v>
      </c>
      <c r="D836" s="190" t="s">
        <v>6364</v>
      </c>
      <c r="E836" s="190" t="s">
        <v>6365</v>
      </c>
      <c r="F836" s="195">
        <v>444.0</v>
      </c>
      <c r="G836" s="188" t="str">
        <f>IFERROR(__xludf.DUMMYFUNCTION("TRIM(REGEXREPLACE(C836, ""[0-9]+[a-f]?\."", """"))"),"We want to understand how many days people worked in your fields and who did this work.")</f>
        <v>We want to understand how many days people worked in your fields and who did this work.</v>
      </c>
      <c r="H836" s="188" t="str">
        <f>IFERROR(__xludf.DUMMYFUNCTION("TRIM(REGEXREPLACE(D836, ""[0-9]+[a-f]?\."", """"))"),"Nous voulons comprendre combien de jours des gens ont travaillé dans vos champs et qui a fait ce travail.")</f>
        <v>Nous voulons comprendre combien de jours des gens ont travaillé dans vos champs et qui a fait ce travail.</v>
      </c>
      <c r="I836" s="188" t="str">
        <f>IFERROR(__xludf.DUMMYFUNCTION("TRIM(REGEXREPLACE(E836, ""[0-9]+[a-f]?\."", """"))"),"Muna son mu fahimci kwanaki nawa mutane suka yi aiki a gonakinku da kuma wanda ya yi wannan aikin.")</f>
        <v>Muna son mu fahimci kwanaki nawa mutane suka yi aiki a gonakinku da kuma wanda ya yi wannan aikin.</v>
      </c>
      <c r="J836" s="188" t="s">
        <v>6366</v>
      </c>
      <c r="K836" s="188" t="s">
        <v>6367</v>
      </c>
      <c r="L836" s="188" t="s">
        <v>6368</v>
      </c>
    </row>
    <row r="837">
      <c r="A837" s="306" t="s">
        <v>247</v>
      </c>
      <c r="B837" s="307" t="s">
        <v>6370</v>
      </c>
      <c r="C837" s="190" t="s">
        <v>6372</v>
      </c>
      <c r="D837" s="190" t="s">
        <v>6374</v>
      </c>
      <c r="E837" s="190" t="s">
        <v>6375</v>
      </c>
      <c r="F837" s="195">
        <v>445.0</v>
      </c>
      <c r="G837" s="188" t="str">
        <f>IFERROR(__xludf.DUMMYFUNCTION("TRIM(REGEXREPLACE(C837,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837" s="188" t="str">
        <f>IFERROR(__xludf.DUMMYFUNCTION("TRIM(REGEXREPLACE(D837,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837" s="188" t="str">
        <f>IFERROR(__xludf.DUMMYFUNCTION("TRIM(REGEXREPLACE(E837,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837" s="188" t="s">
        <v>6376</v>
      </c>
      <c r="K837" s="188" t="s">
        <v>6377</v>
      </c>
      <c r="L837" s="188" t="s">
        <v>6378</v>
      </c>
    </row>
    <row r="838">
      <c r="A838" s="306" t="s">
        <v>247</v>
      </c>
      <c r="B838" s="307" t="s">
        <v>6379</v>
      </c>
      <c r="C838" s="190" t="s">
        <v>6380</v>
      </c>
      <c r="D838" s="190" t="s">
        <v>6381</v>
      </c>
      <c r="E838" s="190" t="s">
        <v>6382</v>
      </c>
      <c r="F838" s="195">
        <v>446.0</v>
      </c>
      <c r="G838" s="188" t="str">
        <f>IFERROR(__xludf.DUMMYFUNCTION("TRIM(REGEXREPLACE(C838,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838" s="188" t="str">
        <f>IFERROR(__xludf.DUMMYFUNCTION("TRIM(REGEXREPLACE(D838,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838" s="188" t="str">
        <f>IFERROR(__xludf.DUMMYFUNCTION("TRIM(REGEXREPLACE(E838,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838" s="188" t="s">
        <v>6383</v>
      </c>
      <c r="K838" s="188" t="s">
        <v>6384</v>
      </c>
      <c r="L838" s="188" t="s">
        <v>6385</v>
      </c>
    </row>
    <row r="839" hidden="1">
      <c r="A839" s="306" t="s">
        <v>112</v>
      </c>
      <c r="B839" s="380" t="s">
        <v>6386</v>
      </c>
      <c r="C839" s="190"/>
      <c r="D839" s="190"/>
      <c r="E839" s="190"/>
      <c r="F839" s="195">
        <v>521.0</v>
      </c>
      <c r="G839" s="188" t="str">
        <f>IFERROR(__xludf.DUMMYFUNCTION("TRIM(REGEXREPLACE(C839, ""[0-9]+[a-f]?\."", """"))"),"")</f>
        <v/>
      </c>
      <c r="H839" s="188" t="str">
        <f>IFERROR(__xludf.DUMMYFUNCTION("TRIM(REGEXREPLACE(D839, ""[0-9]+[a-f]?\."", """"))"),"")</f>
        <v/>
      </c>
      <c r="I839" s="188" t="str">
        <f>IFERROR(__xludf.DUMMYFUNCTION("TRIM(REGEXREPLACE(E839, ""[0-9]+[a-f]?\."", """"))"),"")</f>
        <v/>
      </c>
      <c r="J839" s="188" t="s">
        <v>6391</v>
      </c>
      <c r="K839" s="188" t="s">
        <v>6392</v>
      </c>
      <c r="L839" s="188" t="s">
        <v>6393</v>
      </c>
    </row>
    <row r="840" hidden="1">
      <c r="A840" s="305" t="s">
        <v>385</v>
      </c>
      <c r="B840" s="223" t="s">
        <v>6394</v>
      </c>
      <c r="C840" s="190" t="s">
        <v>6395</v>
      </c>
      <c r="D840" s="190" t="s">
        <v>6396</v>
      </c>
      <c r="E840" s="190" t="s">
        <v>6397</v>
      </c>
      <c r="F840" s="195">
        <v>522.0</v>
      </c>
      <c r="G840" s="188" t="str">
        <f>IFERROR(__xludf.DUMMYFUNCTION("TRIM(REGEXREPLACE(C840, ""[0-9]+[a-f]?\."", """"))"),"Household Members Working")</f>
        <v>Household Members Working</v>
      </c>
      <c r="H840" s="188" t="str">
        <f>IFERROR(__xludf.DUMMYFUNCTION("TRIM(REGEXREPLACE(D840, ""[0-9]+[a-f]?\."", """"))"),"Membres actifs du ménage")</f>
        <v>Membres actifs du ménage</v>
      </c>
      <c r="I840" s="188" t="str">
        <f>IFERROR(__xludf.DUMMYFUNCTION("TRIM(REGEXREPLACE(E840, ""[0-9]+[a-f]?\."", """"))"),"Ƴan gida masu Ƙarhin aiki")</f>
        <v>Ƴan gida masu Ƙarhin aiki</v>
      </c>
      <c r="J840" s="188" t="s">
        <v>6398</v>
      </c>
      <c r="K840" s="188" t="s">
        <v>6399</v>
      </c>
      <c r="L840" s="188" t="s">
        <v>6400</v>
      </c>
    </row>
    <row r="841" hidden="1">
      <c r="A841" s="221" t="s">
        <v>112</v>
      </c>
      <c r="B841" s="198" t="s">
        <v>6401</v>
      </c>
      <c r="C841" s="190"/>
      <c r="D841" s="190"/>
      <c r="E841" s="190"/>
      <c r="F841" s="195">
        <v>523.0</v>
      </c>
      <c r="G841" s="188" t="str">
        <f>IFERROR(__xludf.DUMMYFUNCTION("TRIM(REGEXREPLACE(C841, ""[0-9]+[a-f]?\."", """"))"),"")</f>
        <v/>
      </c>
      <c r="H841" s="188" t="str">
        <f>IFERROR(__xludf.DUMMYFUNCTION("TRIM(REGEXREPLACE(D841, ""[0-9]+[a-f]?\."", """"))"),"")</f>
        <v/>
      </c>
      <c r="I841" s="188" t="str">
        <f>IFERROR(__xludf.DUMMYFUNCTION("TRIM(REGEXREPLACE(E841, ""[0-9]+[a-f]?\."", """"))"),"")</f>
        <v/>
      </c>
      <c r="J841" s="188" t="s">
        <v>6403</v>
      </c>
      <c r="K841" s="188" t="s">
        <v>6405</v>
      </c>
      <c r="L841" s="188" t="s">
        <v>6407</v>
      </c>
    </row>
    <row r="842" hidden="1">
      <c r="A842" s="221" t="s">
        <v>112</v>
      </c>
      <c r="B842" s="198" t="s">
        <v>6408</v>
      </c>
      <c r="C842" s="190" t="s">
        <v>6409</v>
      </c>
      <c r="D842" s="190" t="s">
        <v>6410</v>
      </c>
      <c r="E842" s="190" t="s">
        <v>6411</v>
      </c>
      <c r="F842" s="195">
        <v>524.0</v>
      </c>
      <c r="G842" s="188" t="str">
        <f>IFERROR(__xludf.DUMMYFUNCTION("TRIM(REGEXREPLACE(C842, ""[0-9]+[a-f]?\."", """"))"),"Household Name")</f>
        <v>Household Name</v>
      </c>
      <c r="H842" s="188" t="str">
        <f>IFERROR(__xludf.DUMMYFUNCTION("TRIM(REGEXREPLACE(D842, ""[0-9]+[a-f]?\."", """"))"),"Nom du ménage")</f>
        <v>Nom du ménage</v>
      </c>
      <c r="I842" s="188" t="str">
        <f>IFERROR(__xludf.DUMMYFUNCTION("TRIM(REGEXREPLACE(E842, ""[0-9]+[a-f]?\."", """"))"),"Sunan gida")</f>
        <v>Sunan gida</v>
      </c>
      <c r="J842" s="188" t="s">
        <v>6413</v>
      </c>
      <c r="K842" s="188" t="s">
        <v>6414</v>
      </c>
      <c r="L842" s="188" t="s">
        <v>6415</v>
      </c>
    </row>
    <row r="843">
      <c r="A843" s="306" t="s">
        <v>247</v>
      </c>
      <c r="B843" s="307" t="s">
        <v>6416</v>
      </c>
      <c r="C843" s="190" t="s">
        <v>6417</v>
      </c>
      <c r="D843" s="190" t="s">
        <v>6418</v>
      </c>
      <c r="E843" s="190" t="s">
        <v>6419</v>
      </c>
      <c r="F843" s="195">
        <v>447.0</v>
      </c>
      <c r="G843" s="188" t="str">
        <f>IFERROR(__xludf.DUMMYFUNCTION("TRIM(REGEXREPLACE(C843, ""[0-9]+[a-f]?\."", """"))"),"Can you estimate how many days during the last agricultural season did ${hoh_labor_name} work in field?")</f>
        <v>Can you estimate how many days during the last agricultural season did ${hoh_labor_name} work in field?</v>
      </c>
      <c r="H843" s="188" t="str">
        <f>IFERROR(__xludf.DUMMYFUNCTION("TRIM(REGEXREPLACE(D843, ""[0-9]+[a-f]?\."", """"))"),"Pouvez-vous estimer combien de jours au cours de la dernière saison agricole ${hoh_labor_name} a-t-il travaillé dans les champs ?")</f>
        <v>Pouvez-vous estimer combien de jours au cours de la dernière saison agricole ${hoh_labor_name} a-t-il travaillé dans les champs ?</v>
      </c>
      <c r="I843" s="188" t="str">
        <f>IFERROR(__xludf.DUMMYFUNCTION("TRIM(REGEXREPLACE(E843, ""[0-9]+[a-f]?\."", """"))"),"Za ku iya ƙiyasin kwanaki nawa a lokacin noman da ya gabata ${hoh_labor_name} ya yi aikin a noma?")</f>
        <v>Za ku iya ƙiyasin kwanaki nawa a lokacin noman da ya gabata ${hoh_labor_name} ya yi aikin a noma?</v>
      </c>
      <c r="J843" s="188" t="s">
        <v>6422</v>
      </c>
      <c r="K843" s="188" t="s">
        <v>6423</v>
      </c>
      <c r="L843" s="188" t="s">
        <v>6424</v>
      </c>
    </row>
    <row r="844" hidden="1">
      <c r="A844" s="305" t="s">
        <v>450</v>
      </c>
      <c r="B844" s="224" t="s">
        <v>6394</v>
      </c>
      <c r="C844" s="190" t="s">
        <v>6395</v>
      </c>
      <c r="D844" s="190" t="s">
        <v>6396</v>
      </c>
      <c r="E844" s="190" t="s">
        <v>6397</v>
      </c>
      <c r="F844" s="195">
        <v>247.0</v>
      </c>
      <c r="G844" s="188" t="str">
        <f>IFERROR(__xludf.DUMMYFUNCTION("TRIM(REGEXREPLACE(C844, ""[0-9]+[a-f]?\."", """"))"),"Household Members Working")</f>
        <v>Household Members Working</v>
      </c>
      <c r="H844" s="188" t="str">
        <f>IFERROR(__xludf.DUMMYFUNCTION("TRIM(REGEXREPLACE(D844, ""[0-9]+[a-f]?\."", """"))"),"Membres actifs du ménage")</f>
        <v>Membres actifs du ménage</v>
      </c>
      <c r="I844" s="188" t="str">
        <f>IFERROR(__xludf.DUMMYFUNCTION("TRIM(REGEXREPLACE(E844, ""[0-9]+[a-f]?\."", """"))"),"Ƴan gida masu Ƙarhin aiki")</f>
        <v>Ƴan gida masu Ƙarhin aiki</v>
      </c>
      <c r="J844" s="188" t="str">
        <f t="shared" ref="J844:L844" si="91">$F844 &amp; ". "&amp;G844</f>
        <v>247. Household Members Working</v>
      </c>
      <c r="K844" s="188" t="str">
        <f t="shared" si="91"/>
        <v>247. Membres actifs du ménage</v>
      </c>
      <c r="L844" s="188" t="str">
        <f t="shared" si="91"/>
        <v>247. Ƴan gida masu Ƙarhin aiki</v>
      </c>
    </row>
    <row r="845">
      <c r="A845" s="297" t="s">
        <v>46</v>
      </c>
      <c r="B845" s="298" t="s">
        <v>6426</v>
      </c>
      <c r="C845" s="190" t="s">
        <v>6427</v>
      </c>
      <c r="D845" s="190" t="s">
        <v>6428</v>
      </c>
      <c r="E845" s="190" t="s">
        <v>6429</v>
      </c>
      <c r="F845" s="195">
        <v>448.0</v>
      </c>
      <c r="G845" s="188" t="str">
        <f>IFERROR(__xludf.DUMMYFUNCTION("TRIM(REGEXREPLACE(C845, ""[0-9]+[a-f]?\."", """"))"),"The following questions about agricultural labor are for the last agricultural season (last 180 days).")</f>
        <v>The following questions about agricultural labor are for the last agricultural season (last 180 days).</v>
      </c>
      <c r="H845" s="188" t="str">
        <f>IFERROR(__xludf.DUMMYFUNCTION("TRIM(REGEXREPLACE(D845, ""[0-9]+[a-f]?\."", """"))"),"Les questions suivantes sur le travail agricole concernent la derniere saison agricole (180 derniers jours)")</f>
        <v>Les questions suivantes sur le travail agricole concernent la derniere saison agricole (180 derniers jours)</v>
      </c>
      <c r="I845" s="188" t="str">
        <f>IFERROR(__xludf.DUMMYFUNCTION("TRIM(REGEXREPLACE(E845, ""[0-9]+[a-f]?\."", """"))"),"Q.420 Tambayoyi masu zuwa game da aikin noma bara (koinakin 180 na baya)")</f>
        <v>Q.420 Tambayoyi masu zuwa game da aikin noma bara (koinakin 180 na baya)</v>
      </c>
      <c r="J845" s="188" t="s">
        <v>6430</v>
      </c>
      <c r="K845" s="188" t="s">
        <v>6431</v>
      </c>
      <c r="L845" s="188" t="s">
        <v>6432</v>
      </c>
    </row>
    <row r="846">
      <c r="A846" s="299" t="s">
        <v>1060</v>
      </c>
      <c r="B846" s="300" t="s">
        <v>6433</v>
      </c>
      <c r="C846" s="190" t="s">
        <v>6434</v>
      </c>
      <c r="D846" s="190" t="s">
        <v>6435</v>
      </c>
      <c r="E846" s="190" t="s">
        <v>6436</v>
      </c>
      <c r="F846" s="195">
        <v>449.0</v>
      </c>
      <c r="G846" s="188" t="str">
        <f>IFERROR(__xludf.DUMMYFUNCTION("TRIM(REGEXREPLACE(C846, ""[0-9]+[a-f]?\."", """"))"),"Did you hire anyone outside of your household to work in your fields?")</f>
        <v>Did you hire anyone outside of your household to work in your fields?</v>
      </c>
      <c r="H846" s="188" t="str">
        <f>IFERROR(__xludf.DUMMYFUNCTION("TRIM(REGEXREPLACE(D846, ""[0-9]+[a-f]?\."", """"))"),"Avez-vous embauché quelqu'un en dehors de votre ménage pour travailler dans vos champs ?")</f>
        <v>Avez-vous embauché quelqu'un en dehors de votre ménage pour travailler dans vos champs ?</v>
      </c>
      <c r="I846" s="188" t="str">
        <f>IFERROR(__xludf.DUMMYFUNCTION("TRIM(REGEXREPLACE(E846, ""[0-9]+[a-f]?\."", """"))"),"Ko kun ɗauki wani dan barema da ba ɗan gidanku ba don yin aiki a gonakinku?")</f>
        <v>Ko kun ɗauki wani dan barema da ba ɗan gidanku ba don yin aiki a gonakinku?</v>
      </c>
      <c r="J846" s="188" t="s">
        <v>6440</v>
      </c>
      <c r="K846" s="188" t="s">
        <v>6441</v>
      </c>
      <c r="L846" s="188" t="s">
        <v>6442</v>
      </c>
    </row>
    <row r="847">
      <c r="A847" s="306" t="s">
        <v>247</v>
      </c>
      <c r="B847" s="307" t="s">
        <v>6443</v>
      </c>
      <c r="C847" s="190" t="s">
        <v>6444</v>
      </c>
      <c r="D847" s="190" t="s">
        <v>6445</v>
      </c>
      <c r="E847" s="190" t="s">
        <v>6447</v>
      </c>
      <c r="F847" s="195">
        <v>450.0</v>
      </c>
      <c r="G847" s="188" t="str">
        <f>IFERROR(__xludf.DUMMYFUNCTION("TRIM(REGEXREPLACE(C847, ""[0-9]+[a-f]?\."", """"))"),"How many different people did you hire people to work in your fields?")</f>
        <v>How many different people did you hire people to work in your fields?</v>
      </c>
      <c r="H847" s="188" t="str">
        <f>IFERROR(__xludf.DUMMYFUNCTION("TRIM(REGEXREPLACE(D847, ""[0-9]+[a-f]?\."", """"))"),"Combien de personnes avez-vous embauchées pour travailler dans vos champs ?")</f>
        <v>Combien de personnes avez-vous embauchées pour travailler dans vos champs ?</v>
      </c>
      <c r="I847" s="188" t="str">
        <f>IFERROR(__xludf.DUMMYFUNCTION("TRIM(REGEXREPLACE(E847, ""[0-9]+[a-f]?\."", """"))"),"Mutane nawa kuka ɗauka don yin aiki a gonakinku?")</f>
        <v>Mutane nawa kuka ɗauka don yin aiki a gonakinku?</v>
      </c>
      <c r="J847" s="188" t="s">
        <v>6448</v>
      </c>
      <c r="K847" s="188" t="s">
        <v>6449</v>
      </c>
      <c r="L847" s="188" t="s">
        <v>6450</v>
      </c>
    </row>
    <row r="848">
      <c r="A848" s="306" t="s">
        <v>247</v>
      </c>
      <c r="B848" s="307" t="s">
        <v>6451</v>
      </c>
      <c r="C848" s="190" t="s">
        <v>6452</v>
      </c>
      <c r="D848" s="190" t="s">
        <v>6453</v>
      </c>
      <c r="E848" s="190" t="s">
        <v>6454</v>
      </c>
      <c r="F848" s="195">
        <v>451.0</v>
      </c>
      <c r="G848" s="188" t="str">
        <f>IFERROR(__xludf.DUMMYFUNCTION("TRIM(REGEXREPLACE(C848, ""[0-9]+[a-f]?\."", """"))"),"How many days did each laborer work in your fields?")</f>
        <v>How many days did each laborer work in your fields?</v>
      </c>
      <c r="H848" s="188" t="str">
        <f>IFERROR(__xludf.DUMMYFUNCTION("TRIM(REGEXREPLACE(D848, ""[0-9]+[a-f]?\."", """"))"),"Combien de jours chaque ouvrier a-t-il travaillé dans vos champs ?")</f>
        <v>Combien de jours chaque ouvrier a-t-il travaillé dans vos champs ?</v>
      </c>
      <c r="I848" s="188" t="str">
        <f>IFERROR(__xludf.DUMMYFUNCTION("TRIM(REGEXREPLACE(E848, ""[0-9]+[a-f]?\."", """"))"),"Kwanaki nawa kowane ma'aikaci yayi aiki a gonakinku?")</f>
        <v>Kwanaki nawa kowane ma'aikaci yayi aiki a gonakinku?</v>
      </c>
      <c r="J848" s="188" t="s">
        <v>6455</v>
      </c>
      <c r="K848" s="188" t="s">
        <v>6456</v>
      </c>
      <c r="L848" s="188" t="s">
        <v>6457</v>
      </c>
    </row>
    <row r="849">
      <c r="A849" s="306" t="s">
        <v>247</v>
      </c>
      <c r="B849" s="307" t="s">
        <v>6458</v>
      </c>
      <c r="C849" s="190" t="s">
        <v>6459</v>
      </c>
      <c r="D849" s="190" t="s">
        <v>6460</v>
      </c>
      <c r="E849" s="190" t="s">
        <v>6461</v>
      </c>
      <c r="F849" s="195">
        <v>452.0</v>
      </c>
      <c r="G849" s="188" t="str">
        <f>IFERROR(__xludf.DUMMYFUNCTION("TRIM(REGEXREPLACE(C849, ""[0-9]+[a-f]?\."", """"))"),"What was the daily wage you paid for people to work in your fields, or how much would you pay in CFA?")</f>
        <v>What was the daily wage you paid for people to work in your fields, or how much would you pay in CFA?</v>
      </c>
      <c r="H849" s="188" t="str">
        <f>IFERROR(__xludf.DUMMYFUNCTION("TRIM(REGEXREPLACE(D849, ""[0-9]+[a-f]?\."", """"))"),"Quel était le salaire journalier que vous payiez pour que les gens travaillent dans vos champs, ou combien paieriez-vous en CFA ?")</f>
        <v>Quel était le salaire journalier que vous payiez pour que les gens travaillent dans vos champs, ou combien paieriez-vous en CFA ?</v>
      </c>
      <c r="I849" s="188" t="str">
        <f>IFERROR(__xludf.DUMMYFUNCTION("TRIM(REGEXREPLACE(E849, ""[0-9]+[a-f]?\."", """"))"),"Nawa ne kuke biyan waɗanda suka yi aiki a gonakinku a dukkan wuni a sefa ?")</f>
        <v>Nawa ne kuke biyan waɗanda suka yi aiki a gonakinku a dukkan wuni a sefa ?</v>
      </c>
      <c r="J849" s="188" t="s">
        <v>6463</v>
      </c>
      <c r="K849" s="188" t="s">
        <v>6464</v>
      </c>
      <c r="L849" s="188" t="s">
        <v>6465</v>
      </c>
    </row>
    <row r="850" hidden="1">
      <c r="A850" s="221" t="s">
        <v>112</v>
      </c>
      <c r="B850" s="198" t="s">
        <v>6467</v>
      </c>
      <c r="C850" s="190" t="s">
        <v>6468</v>
      </c>
      <c r="D850" s="190" t="s">
        <v>6469</v>
      </c>
      <c r="E850" s="190" t="s">
        <v>6470</v>
      </c>
      <c r="F850" s="195">
        <v>250.0</v>
      </c>
      <c r="G850" s="188" t="str">
        <f>IFERROR(__xludf.DUMMYFUNCTION("TRIM(REGEXREPLACE(C850, ""[0-9]+[a-f]?\."", """"))"),"Calculate total, you paid X amount, is this correct? 
Sold - investments - paid for day labor")</f>
        <v>Calculate total, you paid X amount, is this correct? 
Sold - investments - paid for day labor</v>
      </c>
      <c r="H850" s="188" t="str">
        <f>IFERROR(__xludf.DUMMYFUNCTION("TRIM(REGEXREPLACE(D850, ""[0-9]+[a-f]?\."", """"))"),"Calculez le total, vous avez payé X montant, est-ce correct ?
 Vendu - investissements - payé pour le travail journalier")</f>
        <v>Calculez le total, vous avez payé X montant, est-ce correct ?
 Vendu - investissements - payé pour le travail journalier</v>
      </c>
      <c r="I850" s="188" t="str">
        <f>IFERROR(__xludf.DUMMYFUNCTION("TRIM(REGEXREPLACE(E850, ""[0-9]+[a-f]?\."", """"))"),"Kayi lissafin jimillar, kun biya kuɗin X, ko daidai ne?
 An saida - zuba jari - biya ga aikin wuni")</f>
        <v>Kayi lissafin jimillar, kun biya kuɗin X, ko daidai ne?
 An saida - zuba jari - biya ga aikin wuni</v>
      </c>
      <c r="J850" s="188" t="str">
        <f t="shared" ref="J850:L850" si="92">$F850 &amp; ". "&amp;G850</f>
        <v>250. Calculate total, you paid X amount, is this correct? 
Sold - investments - paid for day labor</v>
      </c>
      <c r="K850" s="188" t="str">
        <f t="shared" si="92"/>
        <v>250. Calculez le total, vous avez payé X montant, est-ce correct ?
 Vendu - investissements - payé pour le travail journalier</v>
      </c>
      <c r="L850" s="188" t="str">
        <f t="shared" si="92"/>
        <v>250. Kayi lissafin jimillar, kun biya kuɗin X, ko daidai ne?
 An saida - zuba jari - biya ga aikin wuni</v>
      </c>
    </row>
    <row r="851">
      <c r="A851" s="299" t="s">
        <v>1060</v>
      </c>
      <c r="B851" s="300" t="s">
        <v>6471</v>
      </c>
      <c r="C851" s="190" t="s">
        <v>6472</v>
      </c>
      <c r="D851" s="190" t="s">
        <v>6473</v>
      </c>
      <c r="E851" s="190" t="s">
        <v>6474</v>
      </c>
      <c r="F851" s="195">
        <v>453.0</v>
      </c>
      <c r="G851" s="188" t="str">
        <f>IFERROR(__xludf.DUMMYFUNCTION("TRIM(REGEXREPLACE(C851,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851" s="188" t="str">
        <f>IFERROR(__xludf.DUMMYFUNCTION("TRIM(REGEXREPLACE(D851, ""[0-9]+[a-f]?\."", """"))"),"Pour toutes les dépenses pour vos champs dont nous avons parlé, vous avez payé ${hoh_total_paid} en CFA, est-ce correct ?")</f>
        <v>Pour toutes les dépenses pour vos champs dont nous avons parlé, vous avez payé ${hoh_total_paid} en CFA, est-ce correct ?</v>
      </c>
      <c r="I851" s="188" t="str">
        <f>IFERROR(__xludf.DUMMYFUNCTION("TRIM(REGEXREPLACE(E851,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851" s="188" t="s">
        <v>6477</v>
      </c>
      <c r="K851" s="188" t="s">
        <v>6478</v>
      </c>
      <c r="L851" s="188" t="s">
        <v>6480</v>
      </c>
    </row>
    <row r="852">
      <c r="A852" s="297" t="s">
        <v>46</v>
      </c>
      <c r="B852" s="298" t="s">
        <v>6482</v>
      </c>
      <c r="C852" s="190" t="s">
        <v>6483</v>
      </c>
      <c r="D852" s="190" t="s">
        <v>6484</v>
      </c>
      <c r="E852" s="190" t="s">
        <v>6485</v>
      </c>
      <c r="F852" s="195">
        <v>454.0</v>
      </c>
      <c r="G852" s="188" t="str">
        <f>IFERROR(__xludf.DUMMYFUNCTION("TRIM(REGEXREPLACE(C852, ""[0-9]+[a-f]?\."", """"))"),"Now we'll ask about any work by members of your household in fields owned by other people.")</f>
        <v>Now we'll ask about any work by members of your household in fields owned by other people.</v>
      </c>
      <c r="H852" s="188" t="str">
        <f>IFERROR(__xludf.DUMMYFUNCTION("TRIM(REGEXREPLACE(D852,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852" s="188" t="str">
        <f>IFERROR(__xludf.DUMMYFUNCTION("TRIM(REGEXREPLACE(E852, ""[0-9]+[a-f]?\."", """"))"),"Yanzu za mu yi tambayoyi game da duk wani aiki da ƴan gidanku suka yi a gonakin wasu mutane.")</f>
        <v>Yanzu za mu yi tambayoyi game da duk wani aiki da ƴan gidanku suka yi a gonakin wasu mutane.</v>
      </c>
      <c r="J852" s="188" t="s">
        <v>6486</v>
      </c>
      <c r="K852" s="188" t="s">
        <v>6487</v>
      </c>
      <c r="L852" s="188" t="s">
        <v>6488</v>
      </c>
    </row>
    <row r="853">
      <c r="A853" s="299" t="s">
        <v>1060</v>
      </c>
      <c r="B853" s="300" t="s">
        <v>6489</v>
      </c>
      <c r="C853" s="190" t="s">
        <v>6490</v>
      </c>
      <c r="D853" s="190" t="s">
        <v>6491</v>
      </c>
      <c r="E853" s="190" t="s">
        <v>6492</v>
      </c>
      <c r="F853" s="195">
        <v>455.0</v>
      </c>
      <c r="G853" s="188" t="str">
        <f>IFERROR(__xludf.DUMMYFUNCTION("TRIM(REGEXREPLACE(C853, ""[0-9]+[a-f]?\."", """"))"),"Have any family members worked as a day labor in fields for someone else?")</f>
        <v>Have any family members worked as a day labor in fields for someone else?</v>
      </c>
      <c r="H853" s="188" t="str">
        <f>IFERROR(__xludf.DUMMYFUNCTION("TRIM(REGEXREPLACE(D853,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853" s="188" t="str">
        <f>IFERROR(__xludf.DUMMYFUNCTION("TRIM(REGEXREPLACE(E853, ""[0-9]+[a-f]?\."", """"))"),"Ko wani ɗan gidanku ya yi aiki a matsayin ɗan barema a gonar wani?")</f>
        <v>Ko wani ɗan gidanku ya yi aiki a matsayin ɗan barema a gonar wani?</v>
      </c>
      <c r="J853" s="188" t="s">
        <v>6494</v>
      </c>
      <c r="K853" s="188" t="s">
        <v>6496</v>
      </c>
      <c r="L853" s="188" t="s">
        <v>6499</v>
      </c>
    </row>
    <row r="854" hidden="1">
      <c r="A854" s="221" t="s">
        <v>256</v>
      </c>
      <c r="B854" s="198" t="s">
        <v>6500</v>
      </c>
      <c r="C854" s="190"/>
      <c r="D854" s="190"/>
      <c r="E854" s="190"/>
      <c r="F854" s="195">
        <v>514.0</v>
      </c>
      <c r="G854" s="188" t="str">
        <f>IFERROR(__xludf.DUMMYFUNCTION("TRIM(REGEXREPLACE(C854, ""[0-9]+[a-f]?\."", """"))"),"")</f>
        <v/>
      </c>
      <c r="H854" s="188" t="str">
        <f>IFERROR(__xludf.DUMMYFUNCTION("TRIM(REGEXREPLACE(D854, ""[0-9]+[a-f]?\."", """"))"),"")</f>
        <v/>
      </c>
      <c r="I854" s="188" t="str">
        <f>IFERROR(__xludf.DUMMYFUNCTION("TRIM(REGEXREPLACE(E854, ""[0-9]+[a-f]?\."", """"))"),"")</f>
        <v/>
      </c>
      <c r="J854" s="188" t="s">
        <v>6501</v>
      </c>
      <c r="K854" s="188" t="s">
        <v>6502</v>
      </c>
      <c r="L854" s="188" t="s">
        <v>6503</v>
      </c>
    </row>
    <row r="855" hidden="1">
      <c r="A855" s="221" t="s">
        <v>112</v>
      </c>
      <c r="B855" s="198" t="s">
        <v>6504</v>
      </c>
      <c r="C855" s="190"/>
      <c r="D855" s="190"/>
      <c r="E855" s="190"/>
      <c r="F855" s="195">
        <v>515.0</v>
      </c>
      <c r="G855" s="188" t="str">
        <f>IFERROR(__xludf.DUMMYFUNCTION("TRIM(REGEXREPLACE(C855, ""[0-9]+[a-f]?\."", """"))"),"")</f>
        <v/>
      </c>
      <c r="H855" s="188" t="str">
        <f>IFERROR(__xludf.DUMMYFUNCTION("TRIM(REGEXREPLACE(D855, ""[0-9]+[a-f]?\."", """"))"),"")</f>
        <v/>
      </c>
      <c r="I855" s="188" t="str">
        <f>IFERROR(__xludf.DUMMYFUNCTION("TRIM(REGEXREPLACE(E855, ""[0-9]+[a-f]?\."", """"))"),"")</f>
        <v/>
      </c>
      <c r="J855" s="188" t="s">
        <v>6506</v>
      </c>
      <c r="K855" s="188" t="s">
        <v>6507</v>
      </c>
      <c r="L855" s="188" t="s">
        <v>6508</v>
      </c>
    </row>
    <row r="856" hidden="1">
      <c r="A856" s="221" t="s">
        <v>256</v>
      </c>
      <c r="B856" s="198" t="s">
        <v>6509</v>
      </c>
      <c r="C856" s="190"/>
      <c r="D856" s="190"/>
      <c r="E856" s="190"/>
      <c r="F856" s="195">
        <v>532.0</v>
      </c>
      <c r="G856" s="188" t="str">
        <f>IFERROR(__xludf.DUMMYFUNCTION("TRIM(REGEXREPLACE(C856, ""[0-9]+[a-f]?\."", """"))"),"")</f>
        <v/>
      </c>
      <c r="H856" s="188" t="str">
        <f>IFERROR(__xludf.DUMMYFUNCTION("TRIM(REGEXREPLACE(D856, ""[0-9]+[a-f]?\."", """"))"),"")</f>
        <v/>
      </c>
      <c r="I856" s="188" t="str">
        <f>IFERROR(__xludf.DUMMYFUNCTION("TRIM(REGEXREPLACE(E856, ""[0-9]+[a-f]?\."", """"))"),"")</f>
        <v/>
      </c>
      <c r="J856" s="188" t="s">
        <v>6510</v>
      </c>
      <c r="K856" s="188" t="s">
        <v>6511</v>
      </c>
      <c r="L856" s="188" t="s">
        <v>6512</v>
      </c>
    </row>
    <row r="857" hidden="1">
      <c r="A857" s="305" t="s">
        <v>385</v>
      </c>
      <c r="B857" s="223" t="s">
        <v>6513</v>
      </c>
      <c r="C857" s="190" t="s">
        <v>6514</v>
      </c>
      <c r="D857" s="190" t="s">
        <v>6515</v>
      </c>
      <c r="E857" s="190" t="s">
        <v>6516</v>
      </c>
      <c r="F857" s="195">
        <v>533.0</v>
      </c>
      <c r="G857" s="188" t="str">
        <f>IFERROR(__xludf.DUMMYFUNCTION("TRIM(REGEXREPLACE(C857, ""[0-9]+[a-f]?\."", """"))"),"Household Day Laborers")</f>
        <v>Household Day Laborers</v>
      </c>
      <c r="H857" s="188" t="str">
        <f>IFERROR(__xludf.DUMMYFUNCTION("TRIM(REGEXREPLACE(D857, ""[0-9]+[a-f]?\."", """"))"),"Travaileurs journaliers")</f>
        <v>Travaileurs journaliers</v>
      </c>
      <c r="I857" s="188" t="str">
        <f>IFERROR(__xludf.DUMMYFUNCTION("TRIM(REGEXREPLACE(E857, ""[0-9]+[a-f]?\."", """"))"),"Masu aikin wuni")</f>
        <v>Masu aikin wuni</v>
      </c>
      <c r="J857" s="188" t="s">
        <v>6518</v>
      </c>
      <c r="K857" s="188" t="s">
        <v>6519</v>
      </c>
      <c r="L857" s="188" t="s">
        <v>6520</v>
      </c>
    </row>
    <row r="858" hidden="1">
      <c r="A858" s="221" t="s">
        <v>112</v>
      </c>
      <c r="B858" s="198" t="s">
        <v>6521</v>
      </c>
      <c r="C858" s="190"/>
      <c r="D858" s="190"/>
      <c r="E858" s="190"/>
      <c r="F858" s="195">
        <v>534.0</v>
      </c>
      <c r="G858" s="188" t="str">
        <f>IFERROR(__xludf.DUMMYFUNCTION("TRIM(REGEXREPLACE(C858, ""[0-9]+[a-f]?\."", """"))"),"")</f>
        <v/>
      </c>
      <c r="H858" s="188" t="str">
        <f>IFERROR(__xludf.DUMMYFUNCTION("TRIM(REGEXREPLACE(D858, ""[0-9]+[a-f]?\."", """"))"),"")</f>
        <v/>
      </c>
      <c r="I858" s="188" t="str">
        <f>IFERROR(__xludf.DUMMYFUNCTION("TRIM(REGEXREPLACE(E858, ""[0-9]+[a-f]?\."", """"))"),"")</f>
        <v/>
      </c>
      <c r="J858" s="188" t="s">
        <v>6522</v>
      </c>
      <c r="K858" s="188" t="s">
        <v>6524</v>
      </c>
      <c r="L858" s="188" t="s">
        <v>6524</v>
      </c>
    </row>
    <row r="859" hidden="1">
      <c r="A859" s="221" t="s">
        <v>112</v>
      </c>
      <c r="B859" s="198" t="s">
        <v>6527</v>
      </c>
      <c r="C859" s="190"/>
      <c r="D859" s="190"/>
      <c r="E859" s="190"/>
      <c r="F859" s="195">
        <v>516.0</v>
      </c>
      <c r="G859" s="188" t="str">
        <f>IFERROR(__xludf.DUMMYFUNCTION("TRIM(REGEXREPLACE(C859, ""[0-9]+[a-f]?\."", """"))"),"")</f>
        <v/>
      </c>
      <c r="H859" s="188" t="str">
        <f>IFERROR(__xludf.DUMMYFUNCTION("TRIM(REGEXREPLACE(D859, ""[0-9]+[a-f]?\."", """"))"),"")</f>
        <v/>
      </c>
      <c r="I859" s="188" t="str">
        <f>IFERROR(__xludf.DUMMYFUNCTION("TRIM(REGEXREPLACE(E859, ""[0-9]+[a-f]?\."", """"))"),"")</f>
        <v/>
      </c>
      <c r="J859" s="188" t="s">
        <v>6528</v>
      </c>
      <c r="K859" s="188" t="s">
        <v>6529</v>
      </c>
      <c r="L859" s="188" t="s">
        <v>6530</v>
      </c>
    </row>
    <row r="860">
      <c r="A860" s="306" t="s">
        <v>247</v>
      </c>
      <c r="B860" s="307" t="s">
        <v>6531</v>
      </c>
      <c r="C860" s="190" t="s">
        <v>6532</v>
      </c>
      <c r="D860" s="190" t="s">
        <v>6533</v>
      </c>
      <c r="E860" s="190" t="s">
        <v>6534</v>
      </c>
      <c r="F860" s="195">
        <v>456.0</v>
      </c>
      <c r="G860" s="188" t="str">
        <f>IFERROR(__xludf.DUMMYFUNCTION("TRIM(REGEXREPLACE(C860, ""[0-9]+[a-f]?\."", """"))"),"Can you estimate how many days ${hoh_paid_name} worked as a day laborer in the fields for someone else?")</f>
        <v>Can you estimate how many days ${hoh_paid_name} worked as a day laborer in the fields for someone else?</v>
      </c>
      <c r="H860" s="188" t="str">
        <f>IFERROR(__xludf.DUMMYFUNCTION("TRIM(REGEXREPLACE(D860, ""[0-9]+[a-f]?\."", """"))"),"Pouvez-vous estimer combien de jours ${hoh_paid_name} a travaillé comme journalier dans les champs d'autres personnes ?")</f>
        <v>Pouvez-vous estimer combien de jours ${hoh_paid_name} a travaillé comme journalier dans les champs d'autres personnes ?</v>
      </c>
      <c r="I860" s="188" t="str">
        <f>IFERROR(__xludf.DUMMYFUNCTION("TRIM(REGEXREPLACE(E860, ""[0-9]+[a-f]?\."", """"))"),"Za ku iya misalta ko wuni nawa ${hoh_paid_name} yayi aiki a matsayin ma'aikacin barema a gonar wasu mutane?")</f>
        <v>Za ku iya misalta ko wuni nawa ${hoh_paid_name} yayi aiki a matsayin ma'aikacin barema a gonar wasu mutane?</v>
      </c>
      <c r="J860" s="188" t="s">
        <v>6535</v>
      </c>
      <c r="K860" s="188" t="s">
        <v>6536</v>
      </c>
      <c r="L860" s="188" t="s">
        <v>6537</v>
      </c>
    </row>
    <row r="861">
      <c r="A861" s="306" t="s">
        <v>247</v>
      </c>
      <c r="B861" s="307" t="s">
        <v>6538</v>
      </c>
      <c r="C861" s="190" t="s">
        <v>6539</v>
      </c>
      <c r="D861" s="190" t="s">
        <v>6540</v>
      </c>
      <c r="E861" s="190" t="s">
        <v>6541</v>
      </c>
      <c r="F861" s="195">
        <v>457.0</v>
      </c>
      <c r="G861" s="188" t="str">
        <f>IFERROR(__xludf.DUMMYFUNCTION("TRIM(REGEXREPLACE(C861, ""[0-9]+[a-f]?\."", """"))"),"What was the daily wage paid to ${hoh_paid_name} working as a day laborer for someone else in CFA?")</f>
        <v>What was the daily wage paid to ${hoh_paid_name} working as a day laborer for someone else in CFA?</v>
      </c>
      <c r="H861" s="188" t="str">
        <f>IFERROR(__xludf.DUMMYFUNCTION("TRIM(REGEXREPLACE(D861, ""[0-9]+[a-f]?\."", """"))"),"Quel était le salaire journalier payé à ${hoh_paid_name} travaillant comme journalier pour quelqu'un d'autre en CFA ?")</f>
        <v>Quel était le salaire journalier payé à ${hoh_paid_name} travaillant comme journalier pour quelqu'un d'autre en CFA ?</v>
      </c>
      <c r="I861" s="188" t="str">
        <f>IFERROR(__xludf.DUMMYFUNCTION("TRIM(REGEXREPLACE(E861, ""[0-9]+[a-f]?\."", """"))"),"Nawa biyan ${hoh_paid_name} na wuni a lokacin da yake barema a gonar wani a sefa?")</f>
        <v>Nawa biyan ${hoh_paid_name} na wuni a lokacin da yake barema a gonar wani a sefa?</v>
      </c>
      <c r="J861" s="188" t="s">
        <v>6543</v>
      </c>
      <c r="K861" s="188" t="s">
        <v>6544</v>
      </c>
      <c r="L861" s="188" t="s">
        <v>6545</v>
      </c>
    </row>
    <row r="862" hidden="1">
      <c r="A862" s="221" t="s">
        <v>112</v>
      </c>
      <c r="B862" s="198" t="s">
        <v>6546</v>
      </c>
      <c r="C862" s="190" t="s">
        <v>6547</v>
      </c>
      <c r="D862" s="190" t="s">
        <v>6548</v>
      </c>
      <c r="E862" s="190" t="s">
        <v>6549</v>
      </c>
      <c r="F862" s="195">
        <v>537.0</v>
      </c>
      <c r="G862" s="188" t="str">
        <f>IFERROR(__xludf.DUMMYFUNCTION("TRIM(REGEXREPLACE(C862, ""[0-9]+[a-f]?\."", """"))"),"paid_ag * paid_ag_wage")</f>
        <v>paid_ag * paid_ag_wage</v>
      </c>
      <c r="H862" s="188" t="str">
        <f>IFERROR(__xludf.DUMMYFUNCTION("TRIM(REGEXREPLACE(D862, ""[0-9]+[a-f]?\."", """"))"),"payé_ag * payé_ag_wage")</f>
        <v>payé_ag * payé_ag_wage</v>
      </c>
      <c r="I862" s="188" t="str">
        <f>IFERROR(__xludf.DUMMYFUNCTION("TRIM(REGEXREPLACE(E862, ""[0-9]+[a-f]?\."", """"))"),"biya_ag * biya_ag_wage")</f>
        <v>biya_ag * biya_ag_wage</v>
      </c>
      <c r="J862" s="188" t="s">
        <v>6552</v>
      </c>
      <c r="K862" s="188" t="s">
        <v>6553</v>
      </c>
      <c r="L862" s="188" t="s">
        <v>6554</v>
      </c>
    </row>
    <row r="863" hidden="1">
      <c r="A863" s="305" t="s">
        <v>450</v>
      </c>
      <c r="B863" s="224" t="s">
        <v>6513</v>
      </c>
      <c r="C863" s="190"/>
      <c r="D863" s="190"/>
      <c r="E863" s="190"/>
      <c r="F863" s="195">
        <v>538.0</v>
      </c>
      <c r="G863" s="188" t="str">
        <f>IFERROR(__xludf.DUMMYFUNCTION("TRIM(REGEXREPLACE(C863, ""[0-9]+[a-f]?\."", """"))"),"")</f>
        <v/>
      </c>
      <c r="H863" s="188" t="str">
        <f>IFERROR(__xludf.DUMMYFUNCTION("TRIM(REGEXREPLACE(D863, ""[0-9]+[a-f]?\."", """"))"),"")</f>
        <v/>
      </c>
      <c r="I863" s="188" t="str">
        <f>IFERROR(__xludf.DUMMYFUNCTION("TRIM(REGEXREPLACE(E863, ""[0-9]+[a-f]?\."", """"))"),"")</f>
        <v/>
      </c>
      <c r="J863" s="188" t="s">
        <v>6555</v>
      </c>
      <c r="K863" s="188" t="s">
        <v>6556</v>
      </c>
      <c r="L863" s="188" t="s">
        <v>6557</v>
      </c>
    </row>
    <row r="864" hidden="1">
      <c r="A864" s="221" t="s">
        <v>256</v>
      </c>
      <c r="B864" s="198" t="s">
        <v>6558</v>
      </c>
      <c r="C864" s="190"/>
      <c r="D864" s="190"/>
      <c r="E864" s="190"/>
      <c r="F864" s="195">
        <v>539.0</v>
      </c>
      <c r="G864" s="188" t="str">
        <f>IFERROR(__xludf.DUMMYFUNCTION("TRIM(REGEXREPLACE(C864, ""[0-9]+[a-f]?\."", """"))"),"")</f>
        <v/>
      </c>
      <c r="H864" s="188" t="str">
        <f>IFERROR(__xludf.DUMMYFUNCTION("TRIM(REGEXREPLACE(D864, ""[0-9]+[a-f]?\."", """"))"),"")</f>
        <v/>
      </c>
      <c r="I864" s="188" t="str">
        <f>IFERROR(__xludf.DUMMYFUNCTION("TRIM(REGEXREPLACE(E864, ""[0-9]+[a-f]?\."", """"))"),"")</f>
        <v/>
      </c>
      <c r="J864" s="188" t="s">
        <v>6559</v>
      </c>
      <c r="K864" s="188" t="s">
        <v>6561</v>
      </c>
      <c r="L864" s="188" t="s">
        <v>6562</v>
      </c>
    </row>
    <row r="865" hidden="1">
      <c r="A865" s="221" t="s">
        <v>112</v>
      </c>
      <c r="B865" s="198" t="s">
        <v>6563</v>
      </c>
      <c r="C865" s="190"/>
      <c r="D865" s="190"/>
      <c r="E865" s="190"/>
      <c r="F865" s="195">
        <v>255.0</v>
      </c>
      <c r="G865" s="188" t="str">
        <f>IFERROR(__xludf.DUMMYFUNCTION("TRIM(REGEXREPLACE(C865, ""[0-9]+[a-f]?\."", """"))"),"")</f>
        <v/>
      </c>
      <c r="H865" s="188" t="str">
        <f>IFERROR(__xludf.DUMMYFUNCTION("TRIM(REGEXREPLACE(D865, ""[0-9]+[a-f]?\."", """"))"),"")</f>
        <v/>
      </c>
      <c r="I865" s="188" t="str">
        <f>IFERROR(__xludf.DUMMYFUNCTION("TRIM(REGEXREPLACE(E865, ""[0-9]+[a-f]?\."", """"))"),"")</f>
        <v/>
      </c>
      <c r="J865" s="188" t="str">
        <f t="shared" ref="J865:L865" si="93">$F865 &amp; ". "&amp;G865</f>
        <v>255. </v>
      </c>
      <c r="K865" s="188" t="str">
        <f t="shared" si="93"/>
        <v>255. </v>
      </c>
      <c r="L865" s="188" t="str">
        <f t="shared" si="93"/>
        <v>255. </v>
      </c>
    </row>
    <row r="866">
      <c r="A866" s="299" t="s">
        <v>1060</v>
      </c>
      <c r="B866" s="300" t="s">
        <v>6565</v>
      </c>
      <c r="C866" s="190" t="s">
        <v>6566</v>
      </c>
      <c r="D866" s="190" t="s">
        <v>6567</v>
      </c>
      <c r="E866" s="190" t="s">
        <v>6568</v>
      </c>
      <c r="F866" s="195">
        <v>458.0</v>
      </c>
      <c r="G866" s="188" t="str">
        <f>IFERROR(__xludf.DUMMYFUNCTION("TRIM(REGEXREPLACE(C866, ""[0-9]+[a-f]?\."", """"))"),"Thinking about the last agricultural season, did you need to pay other expenses we did not ask you about?")</f>
        <v>Thinking about the last agricultural season, did you need to pay other expenses we did not ask you about?</v>
      </c>
      <c r="H866" s="188" t="str">
        <f>IFERROR(__xludf.DUMMYFUNCTION("TRIM(REGEXREPLACE(D866, ""[0-9]+[a-f]?\."", """"))"),"En pensant à la dernière saison agricole, avez-vous dû faire d'autres dépenses dont nous n'avons pas parlé ?")</f>
        <v>En pensant à la dernière saison agricole, avez-vous dû faire d'autres dépenses dont nous n'avons pas parlé ?</v>
      </c>
      <c r="I866" s="188" t="str">
        <f>IFERROR(__xludf.DUMMYFUNCTION("TRIM(REGEXREPLACE(E866, ""[0-9]+[a-f]?\."", """"))"),"A tunaninka a lokacin noman da ya gabata, akwai wasu kashe kashen kuɗi da kuka yi wanda ba mu yi zancen su ba?")</f>
        <v>A tunaninka a lokacin noman da ya gabata, akwai wasu kashe kashen kuɗi da kuka yi wanda ba mu yi zancen su ba?</v>
      </c>
      <c r="J866" s="188" t="s">
        <v>6569</v>
      </c>
      <c r="K866" s="188" t="s">
        <v>6570</v>
      </c>
      <c r="L866" s="188" t="s">
        <v>6571</v>
      </c>
    </row>
    <row r="867">
      <c r="A867" s="301" t="s">
        <v>220</v>
      </c>
      <c r="B867" s="302" t="s">
        <v>6572</v>
      </c>
      <c r="C867" s="190" t="s">
        <v>6573</v>
      </c>
      <c r="D867" s="190" t="s">
        <v>6574</v>
      </c>
      <c r="E867" s="190" t="s">
        <v>6575</v>
      </c>
      <c r="F867" s="195">
        <v>459.0</v>
      </c>
      <c r="G867" s="188" t="str">
        <f>IFERROR(__xludf.DUMMYFUNCTION("TRIM(REGEXREPLACE(C867, ""[0-9]+[a-f]?\."", """"))"),"What was the expense?")</f>
        <v>What was the expense?</v>
      </c>
      <c r="H867" s="188" t="str">
        <f>IFERROR(__xludf.DUMMYFUNCTION("TRIM(REGEXREPLACE(D867, ""[0-9]+[a-f]?\."", """"))"),"Quelle était la dépense ?")</f>
        <v>Quelle était la dépense ?</v>
      </c>
      <c r="I867" s="188" t="str">
        <f>IFERROR(__xludf.DUMMYFUNCTION("TRIM(REGEXREPLACE(E867, ""[0-9]+[a-f]?\."", """"))"),"wane kashe kuɗi ne ?")</f>
        <v>wane kashe kuɗi ne ?</v>
      </c>
      <c r="J867" s="188" t="s">
        <v>6576</v>
      </c>
      <c r="K867" s="188" t="s">
        <v>6577</v>
      </c>
      <c r="L867" s="188" t="s">
        <v>6578</v>
      </c>
    </row>
    <row r="868">
      <c r="A868" s="306" t="s">
        <v>247</v>
      </c>
      <c r="B868" s="307" t="s">
        <v>6580</v>
      </c>
      <c r="C868" s="190" t="s">
        <v>6581</v>
      </c>
      <c r="D868" s="190" t="s">
        <v>6582</v>
      </c>
      <c r="E868" s="190" t="s">
        <v>6583</v>
      </c>
      <c r="F868" s="195">
        <v>460.0</v>
      </c>
      <c r="G868" s="188" t="str">
        <f>IFERROR(__xludf.DUMMYFUNCTION("TRIM(REGEXREPLACE(C868, ""[0-9]+[a-f]?\."", """"))"),"What was the approximate value of ${hoh_ag_exp_other_name} in CFA?")</f>
        <v>What was the approximate value of ${hoh_ag_exp_other_name} in CFA?</v>
      </c>
      <c r="H868" s="188" t="str">
        <f>IFERROR(__xludf.DUMMYFUNCTION("TRIM(REGEXREPLACE(D868, ""[0-9]+[a-f]?\."", """"))"),"Quelle était la valeur approximative de ${hoh_ag_exp_other_name} en CFA ?")</f>
        <v>Quelle était la valeur approximative de ${hoh_ag_exp_other_name} en CFA ?</v>
      </c>
      <c r="I868" s="188" t="str">
        <f>IFERROR(__xludf.DUMMYFUNCTION("TRIM(REGEXREPLACE(E868, ""[0-9]+[a-f]?\."", """"))"),"Nawa farashin ${hoh_ag_exp_other_name} a wacan lokacin a sefa?")</f>
        <v>Nawa farashin ${hoh_ag_exp_other_name} a wacan lokacin a sefa?</v>
      </c>
      <c r="J868" s="188" t="s">
        <v>6584</v>
      </c>
      <c r="K868" s="188" t="s">
        <v>6585</v>
      </c>
      <c r="L868" s="188" t="s">
        <v>6586</v>
      </c>
    </row>
    <row r="869" hidden="1">
      <c r="A869" s="221" t="s">
        <v>112</v>
      </c>
      <c r="B869" s="198" t="s">
        <v>6587</v>
      </c>
      <c r="C869" s="190" t="s">
        <v>6588</v>
      </c>
      <c r="D869" s="190"/>
      <c r="E869" s="190"/>
      <c r="F869" s="195">
        <v>544.0</v>
      </c>
      <c r="G869" s="188" t="str">
        <f>IFERROR(__xludf.DUMMYFUNCTION("TRIM(REGEXREPLACE(C869, ""[0-9]+[a-f]?\."", """"))"),"Total wages from outside ag work")</f>
        <v>Total wages from outside ag work</v>
      </c>
      <c r="H869" s="188" t="str">
        <f>IFERROR(__xludf.DUMMYFUNCTION("TRIM(REGEXREPLACE(D869, ""[0-9]+[a-f]?\."", """"))"),"")</f>
        <v/>
      </c>
      <c r="I869" s="188" t="str">
        <f>IFERROR(__xludf.DUMMYFUNCTION("TRIM(REGEXREPLACE(E869, ""[0-9]+[a-f]?\."", """"))"),"")</f>
        <v/>
      </c>
      <c r="J869" s="188" t="s">
        <v>6590</v>
      </c>
      <c r="K869" s="188" t="s">
        <v>6591</v>
      </c>
      <c r="L869" s="188" t="s">
        <v>6592</v>
      </c>
    </row>
    <row r="870" hidden="1">
      <c r="A870" s="221" t="s">
        <v>112</v>
      </c>
      <c r="B870" s="198" t="s">
        <v>6593</v>
      </c>
      <c r="C870" s="190" t="s">
        <v>6594</v>
      </c>
      <c r="D870" s="190"/>
      <c r="E870" s="190"/>
      <c r="F870" s="195">
        <v>545.0</v>
      </c>
      <c r="G870" s="188" t="str">
        <f>IFERROR(__xludf.DUMMYFUNCTION("TRIM(REGEXREPLACE(C870, ""[0-9]+[a-f]?\."", """"))"),"Total sales of own crops (not incl. own consumption)")</f>
        <v>Total sales of own crops (not incl. own consumption)</v>
      </c>
      <c r="H870" s="188" t="str">
        <f>IFERROR(__xludf.DUMMYFUNCTION("TRIM(REGEXREPLACE(D870, ""[0-9]+[a-f]?\."", """"))"),"")</f>
        <v/>
      </c>
      <c r="I870" s="188" t="str">
        <f>IFERROR(__xludf.DUMMYFUNCTION("TRIM(REGEXREPLACE(E870, ""[0-9]+[a-f]?\."", """"))"),"")</f>
        <v/>
      </c>
      <c r="J870" s="188" t="s">
        <v>6595</v>
      </c>
      <c r="K870" s="188" t="s">
        <v>6597</v>
      </c>
      <c r="L870" s="188" t="s">
        <v>6598</v>
      </c>
    </row>
    <row r="871" hidden="1">
      <c r="A871" s="221" t="s">
        <v>112</v>
      </c>
      <c r="B871" s="198" t="s">
        <v>6599</v>
      </c>
      <c r="C871" s="190" t="s">
        <v>6600</v>
      </c>
      <c r="D871" s="190"/>
      <c r="E871" s="190"/>
      <c r="F871" s="195">
        <v>257.0</v>
      </c>
      <c r="G871" s="188" t="str">
        <f>IFERROR(__xludf.DUMMYFUNCTION("TRIM(REGEXREPLACE(C871, ""[0-9]+[a-f]?\."", """"))"),"Wages paid for work on own farm")</f>
        <v>Wages paid for work on own farm</v>
      </c>
      <c r="H871" s="188" t="str">
        <f>IFERROR(__xludf.DUMMYFUNCTION("TRIM(REGEXREPLACE(D871, ""[0-9]+[a-f]?\."", """"))"),"")</f>
        <v/>
      </c>
      <c r="I871" s="188" t="str">
        <f>IFERROR(__xludf.DUMMYFUNCTION("TRIM(REGEXREPLACE(E871, ""[0-9]+[a-f]?\."", """"))"),"")</f>
        <v/>
      </c>
      <c r="J871" s="188" t="str">
        <f t="shared" ref="J871:L871" si="94">$F871 &amp; ". "&amp;G871</f>
        <v>257. Wages paid for work on own farm</v>
      </c>
      <c r="K871" s="188" t="str">
        <f t="shared" si="94"/>
        <v>257. </v>
      </c>
      <c r="L871" s="188" t="str">
        <f t="shared" si="94"/>
        <v>257. </v>
      </c>
    </row>
    <row r="872" hidden="1">
      <c r="A872" s="221" t="s">
        <v>112</v>
      </c>
      <c r="B872" s="198" t="s">
        <v>6602</v>
      </c>
      <c r="C872" s="190" t="s">
        <v>6603</v>
      </c>
      <c r="D872" s="190"/>
      <c r="E872" s="190"/>
      <c r="F872" s="195">
        <v>547.0</v>
      </c>
      <c r="G872" s="188" t="str">
        <f>IFERROR(__xludf.DUMMYFUNCTION("TRIM(REGEXREPLACE(C872, ""[0-9]+[a-f]?\."", """"))"),"Cost of seed")</f>
        <v>Cost of seed</v>
      </c>
      <c r="H872" s="188" t="str">
        <f>IFERROR(__xludf.DUMMYFUNCTION("TRIM(REGEXREPLACE(D872, ""[0-9]+[a-f]?\."", """"))"),"")</f>
        <v/>
      </c>
      <c r="I872" s="188" t="str">
        <f>IFERROR(__xludf.DUMMYFUNCTION("TRIM(REGEXREPLACE(E872, ""[0-9]+[a-f]?\."", """"))"),"")</f>
        <v/>
      </c>
      <c r="J872" s="188" t="s">
        <v>6604</v>
      </c>
      <c r="K872" s="188" t="s">
        <v>6605</v>
      </c>
      <c r="L872" s="188" t="s">
        <v>6606</v>
      </c>
    </row>
    <row r="873" hidden="1">
      <c r="A873" s="221" t="s">
        <v>112</v>
      </c>
      <c r="B873" s="198" t="s">
        <v>6608</v>
      </c>
      <c r="C873" s="190" t="s">
        <v>6609</v>
      </c>
      <c r="D873" s="190"/>
      <c r="E873" s="190"/>
      <c r="F873" s="195">
        <v>258.0</v>
      </c>
      <c r="G873" s="188" t="str">
        <f>IFERROR(__xludf.DUMMYFUNCTION("TRIM(REGEXREPLACE(C873, ""[0-9]+[a-f]?\."", """"))"),"Cost of fertilizer")</f>
        <v>Cost of fertilizer</v>
      </c>
      <c r="H873" s="188" t="str">
        <f>IFERROR(__xludf.DUMMYFUNCTION("TRIM(REGEXREPLACE(D873, ""[0-9]+[a-f]?\."", """"))"),"")</f>
        <v/>
      </c>
      <c r="I873" s="188" t="str">
        <f>IFERROR(__xludf.DUMMYFUNCTION("TRIM(REGEXREPLACE(E873, ""[0-9]+[a-f]?\."", """"))"),"")</f>
        <v/>
      </c>
      <c r="J873" s="188" t="str">
        <f t="shared" ref="J873:L873" si="95">$F873 &amp; ". "&amp;G873</f>
        <v>258. Cost of fertilizer</v>
      </c>
      <c r="K873" s="188" t="str">
        <f t="shared" si="95"/>
        <v>258. </v>
      </c>
      <c r="L873" s="188" t="str">
        <f t="shared" si="95"/>
        <v>258. </v>
      </c>
    </row>
    <row r="874" hidden="1">
      <c r="A874" s="221" t="s">
        <v>112</v>
      </c>
      <c r="B874" s="198" t="s">
        <v>6610</v>
      </c>
      <c r="C874" s="190" t="s">
        <v>6611</v>
      </c>
      <c r="D874" s="190"/>
      <c r="E874" s="190"/>
      <c r="F874" s="195">
        <v>259.0</v>
      </c>
      <c r="G874" s="188" t="str">
        <f>IFERROR(__xludf.DUMMYFUNCTION("TRIM(REGEXREPLACE(C874, ""[0-9]+[a-f]?\."", """"))"),"Cost of machinery")</f>
        <v>Cost of machinery</v>
      </c>
      <c r="H874" s="188" t="str">
        <f>IFERROR(__xludf.DUMMYFUNCTION("TRIM(REGEXREPLACE(D874, ""[0-9]+[a-f]?\."", """"))"),"")</f>
        <v/>
      </c>
      <c r="I874" s="188" t="str">
        <f>IFERROR(__xludf.DUMMYFUNCTION("TRIM(REGEXREPLACE(E874, ""[0-9]+[a-f]?\."", """"))"),"")</f>
        <v/>
      </c>
      <c r="J874" s="188" t="str">
        <f t="shared" ref="J874:L874" si="96">$F874 &amp; ". "&amp;G874</f>
        <v>259. Cost of machinery</v>
      </c>
      <c r="K874" s="188" t="str">
        <f t="shared" si="96"/>
        <v>259. </v>
      </c>
      <c r="L874" s="188" t="str">
        <f t="shared" si="96"/>
        <v>259. </v>
      </c>
    </row>
    <row r="875" hidden="1">
      <c r="A875" s="221" t="s">
        <v>112</v>
      </c>
      <c r="B875" s="198" t="s">
        <v>6613</v>
      </c>
      <c r="C875" s="190" t="s">
        <v>6614</v>
      </c>
      <c r="D875" s="190"/>
      <c r="E875" s="190"/>
      <c r="F875" s="195">
        <v>548.0</v>
      </c>
      <c r="G875" s="188" t="str">
        <f>IFERROR(__xludf.DUMMYFUNCTION("TRIM(REGEXREPLACE(C875, ""[0-9]+[a-f]?\."", """"))"),"Cost of water")</f>
        <v>Cost of water</v>
      </c>
      <c r="H875" s="188" t="str">
        <f>IFERROR(__xludf.DUMMYFUNCTION("TRIM(REGEXREPLACE(D875, ""[0-9]+[a-f]?\."", """"))"),"")</f>
        <v/>
      </c>
      <c r="I875" s="188" t="str">
        <f>IFERROR(__xludf.DUMMYFUNCTION("TRIM(REGEXREPLACE(E875, ""[0-9]+[a-f]?\."", """"))"),"")</f>
        <v/>
      </c>
      <c r="J875" s="188" t="s">
        <v>6615</v>
      </c>
      <c r="K875" s="188" t="s">
        <v>6616</v>
      </c>
      <c r="L875" s="188" t="s">
        <v>6617</v>
      </c>
    </row>
    <row r="876" hidden="1">
      <c r="A876" s="221" t="s">
        <v>112</v>
      </c>
      <c r="B876" s="198" t="s">
        <v>6618</v>
      </c>
      <c r="C876" s="190" t="s">
        <v>6619</v>
      </c>
      <c r="D876" s="190"/>
      <c r="E876" s="190"/>
    </row>
    <row r="877" hidden="1">
      <c r="A877" s="221" t="s">
        <v>112</v>
      </c>
      <c r="B877" s="198" t="s">
        <v>6621</v>
      </c>
      <c r="C877" s="190"/>
      <c r="D877" s="190"/>
      <c r="E877" s="190"/>
    </row>
    <row r="878">
      <c r="A878" s="299" t="s">
        <v>1060</v>
      </c>
      <c r="B878" s="300" t="s">
        <v>6622</v>
      </c>
      <c r="C878" s="190" t="s">
        <v>6623</v>
      </c>
      <c r="D878" s="190" t="s">
        <v>6624</v>
      </c>
      <c r="E878" s="190" t="s">
        <v>6625</v>
      </c>
      <c r="F878" s="195">
        <v>461.0</v>
      </c>
      <c r="G878" s="188" t="str">
        <f>IFERROR(__xludf.DUMMYFUNCTION("TRIM(REGEXREPLACE(C878, ""[0-9]+[a-f]?\."", """"))"),"Total income: ${hoh_total_income}
 Does this seem right?")</f>
        <v>Total income: ${hoh_total_income}
 Does this seem right?</v>
      </c>
      <c r="H878" s="188" t="str">
        <f>IFERROR(__xludf.DUMMYFUNCTION("TRIM(REGEXREPLACE(D878, ""[0-9]+[a-f]?\."", """"))"),"Revenu total : ${hoh_total_income}
 Cela vous semble-t-il juste ?")</f>
        <v>Revenu total : ${hoh_total_income}
 Cela vous semble-t-il juste ?</v>
      </c>
      <c r="I878" s="188" t="str">
        <f>IFERROR(__xludf.DUMMYFUNCTION("TRIM(REGEXREPLACE(E878, ""[0-9]+[a-f]?\."", """"))"),"Jimillar kuɗin shiga: ${hoh_total_income}
 ko kuna ganin hakan yayi daidai?")</f>
        <v>Jimillar kuɗin shiga: ${hoh_total_income}
 ko kuna ganin hakan yayi daidai?</v>
      </c>
      <c r="J878" s="188" t="s">
        <v>6629</v>
      </c>
      <c r="K878" s="188" t="s">
        <v>6630</v>
      </c>
      <c r="L878" s="188" t="s">
        <v>6631</v>
      </c>
    </row>
    <row r="879">
      <c r="A879" s="297" t="s">
        <v>46</v>
      </c>
      <c r="B879" s="298" t="s">
        <v>6632</v>
      </c>
      <c r="C879" s="190" t="s">
        <v>6633</v>
      </c>
      <c r="D879" s="190"/>
      <c r="E879" s="190"/>
      <c r="F879" s="195">
        <v>462.0</v>
      </c>
      <c r="G879" s="188" t="str">
        <f>IFERROR(__xludf.DUMMYFUNCTION("TRIM(REGEXREPLACE(C879, ""[0-9]+[a-f]?\."", """"))"),"Now we'll ask about income generating activity from animal husbandry in the past six months")</f>
        <v>Now we'll ask about income generating activity from animal husbandry in the past six months</v>
      </c>
      <c r="H879" s="188" t="str">
        <f>IFERROR(__xludf.DUMMYFUNCTION("TRIM(REGEXREPLACE(D879, ""[0-9]+[a-f]?\."", """"))"),"")</f>
        <v/>
      </c>
      <c r="I879" s="188" t="str">
        <f>IFERROR(__xludf.DUMMYFUNCTION("TRIM(REGEXREPLACE(E879, ""[0-9]+[a-f]?\."", """"))"),"")</f>
        <v/>
      </c>
      <c r="J879" s="188" t="s">
        <v>6634</v>
      </c>
      <c r="K879" s="188" t="s">
        <v>6635</v>
      </c>
      <c r="L879" s="188" t="s">
        <v>6635</v>
      </c>
    </row>
    <row r="880" hidden="1">
      <c r="A880" s="221" t="s">
        <v>256</v>
      </c>
      <c r="B880" s="198" t="s">
        <v>6636</v>
      </c>
      <c r="C880" s="190"/>
      <c r="D880" s="190"/>
      <c r="E880" s="190"/>
      <c r="F880" s="195">
        <v>261.0</v>
      </c>
      <c r="G880" s="188" t="str">
        <f>IFERROR(__xludf.DUMMYFUNCTION("TRIM(REGEXREPLACE(C880, ""[0-9]+[a-f]?\."", """"))"),"")</f>
        <v/>
      </c>
      <c r="H880" s="188" t="str">
        <f>IFERROR(__xludf.DUMMYFUNCTION("TRIM(REGEXREPLACE(D880, ""[0-9]+[a-f]?\."", """"))"),"")</f>
        <v/>
      </c>
      <c r="I880" s="188" t="str">
        <f>IFERROR(__xludf.DUMMYFUNCTION("TRIM(REGEXREPLACE(E880, ""[0-9]+[a-f]?\."", """"))"),"")</f>
        <v/>
      </c>
      <c r="J880" s="188" t="str">
        <f t="shared" ref="J880:L880" si="97">$F880 &amp; ". "&amp;G880</f>
        <v>261. </v>
      </c>
      <c r="K880" s="188" t="str">
        <f t="shared" si="97"/>
        <v>261. </v>
      </c>
      <c r="L880" s="188" t="str">
        <f t="shared" si="97"/>
        <v>261. </v>
      </c>
    </row>
    <row r="881" hidden="1">
      <c r="A881" s="271" t="s">
        <v>385</v>
      </c>
      <c r="B881" s="165" t="s">
        <v>6639</v>
      </c>
      <c r="C881" s="190" t="s">
        <v>6640</v>
      </c>
      <c r="D881" s="190" t="s">
        <v>6641</v>
      </c>
      <c r="E881" s="190" t="s">
        <v>6642</v>
      </c>
      <c r="F881" s="195">
        <v>526.0</v>
      </c>
      <c r="G881" s="188" t="str">
        <f>IFERROR(__xludf.DUMMYFUNCTION("TRIM(REGEXREPLACE(C881, ""[0-9]+[a-f]?\."", """"))"),"Livestock Activity")</f>
        <v>Livestock Activity</v>
      </c>
      <c r="H881" s="188" t="str">
        <f>IFERROR(__xludf.DUMMYFUNCTION("TRIM(REGEXREPLACE(D881, ""[0-9]+[a-f]?\."", """"))"),"Activité d'élevage")</f>
        <v>Activité d'élevage</v>
      </c>
      <c r="I881" s="188" t="str">
        <f>IFERROR(__xludf.DUMMYFUNCTION("TRIM(REGEXREPLACE(E881, ""[0-9]+[a-f]?\."", """"))"),"Ayyukan kiwo")</f>
        <v>Ayyukan kiwo</v>
      </c>
      <c r="J881" s="188" t="s">
        <v>6644</v>
      </c>
      <c r="K881" s="188" t="s">
        <v>6645</v>
      </c>
      <c r="L881" s="188" t="s">
        <v>6646</v>
      </c>
    </row>
    <row r="882" hidden="1">
      <c r="A882" s="201" t="s">
        <v>112</v>
      </c>
      <c r="B882" s="202" t="s">
        <v>6647</v>
      </c>
      <c r="C882" s="190"/>
      <c r="D882" s="190"/>
      <c r="E882" s="190"/>
      <c r="F882" s="195">
        <v>262.0</v>
      </c>
      <c r="G882" s="188" t="str">
        <f>IFERROR(__xludf.DUMMYFUNCTION("TRIM(REGEXREPLACE(C882, ""[0-9]+[a-f]?\."", """"))"),"")</f>
        <v/>
      </c>
      <c r="H882" s="188" t="str">
        <f>IFERROR(__xludf.DUMMYFUNCTION("TRIM(REGEXREPLACE(D882, ""[0-9]+[a-f]?\."", """"))"),"")</f>
        <v/>
      </c>
      <c r="I882" s="188" t="str">
        <f>IFERROR(__xludf.DUMMYFUNCTION("TRIM(REGEXREPLACE(E882, ""[0-9]+[a-f]?\."", """"))"),"")</f>
        <v/>
      </c>
      <c r="J882" s="188" t="str">
        <f t="shared" ref="J882:L882" si="98">$F882 &amp; ". "&amp;G882</f>
        <v>262. </v>
      </c>
      <c r="K882" s="188" t="str">
        <f t="shared" si="98"/>
        <v>262. </v>
      </c>
      <c r="L882" s="188" t="str">
        <f t="shared" si="98"/>
        <v>262. </v>
      </c>
    </row>
    <row r="883">
      <c r="A883" s="258" t="s">
        <v>247</v>
      </c>
      <c r="B883" s="259" t="s">
        <v>6649</v>
      </c>
      <c r="C883" s="190" t="s">
        <v>6650</v>
      </c>
      <c r="D883" s="190" t="s">
        <v>6652</v>
      </c>
      <c r="E883" s="190" t="s">
        <v>6653</v>
      </c>
      <c r="F883" s="195">
        <v>463.0</v>
      </c>
      <c r="G883" s="188" t="str">
        <f>IFERROR(__xludf.DUMMYFUNCTION("TRIM(REGEXREPLACE(C883, ""[0-9]+[a-f]?\."", """"))"),"How many ${hoh_livestock_act_name} did you buy?")</f>
        <v>How many ${hoh_livestock_act_name} did you buy?</v>
      </c>
      <c r="H883" s="188" t="str">
        <f>IFERROR(__xludf.DUMMYFUNCTION("TRIM(REGEXREPLACE(D883, ""[0-9]+[a-f]?\."", """"))"),"Au cours des trois derniers mois, combien de ${hoh_livestock_act_name} avez-vous acheté ?")</f>
        <v>Au cours des trois derniers mois, combien de ${hoh_livestock_act_name} avez-vous acheté ?</v>
      </c>
      <c r="I883" s="188" t="str">
        <f>IFERROR(__xludf.DUMMYFUNCTION("TRIM(REGEXREPLACE(E883, ""[0-9]+[a-f]?\."", """"))"),"${hoh_livestock_act_name} Nawa kuka saye?")</f>
        <v>${hoh_livestock_act_name} Nawa kuka saye?</v>
      </c>
      <c r="J883" s="188" t="s">
        <v>6654</v>
      </c>
      <c r="K883" s="188" t="s">
        <v>6655</v>
      </c>
      <c r="L883" s="188" t="s">
        <v>6656</v>
      </c>
    </row>
    <row r="884">
      <c r="A884" s="258" t="s">
        <v>247</v>
      </c>
      <c r="B884" s="259" t="s">
        <v>6657</v>
      </c>
      <c r="C884" s="190" t="s">
        <v>6658</v>
      </c>
      <c r="D884" s="190" t="s">
        <v>6659</v>
      </c>
      <c r="E884" s="190" t="s">
        <v>6660</v>
      </c>
      <c r="F884" s="195">
        <v>464.0</v>
      </c>
      <c r="G884" s="188" t="str">
        <f>IFERROR(__xludf.DUMMYFUNCTION("TRIM(REGEXREPLACE(C884, ""[0-9]+[a-f]?\."", """"))"),"How much did you buy ${hoh_livestock_act_name} for in CFA?")</f>
        <v>How much did you buy ${hoh_livestock_act_name} for in CFA?</v>
      </c>
      <c r="H884" s="188" t="str">
        <f>IFERROR(__xludf.DUMMYFUNCTION("TRIM(REGEXREPLACE(D884, ""[0-9]+[a-f]?\."", """"))"),"Pour combien avez-vous acheté ${hoh_livestock_act_name} en CFA ?")</f>
        <v>Pour combien avez-vous acheté ${hoh_livestock_act_name} en CFA ?</v>
      </c>
      <c r="I884" s="188" t="str">
        <f>IFERROR(__xludf.DUMMYFUNCTION("TRIM(REGEXREPLACE(E884, ""[0-9]+[a-f]?\."", """"))"),"A nawa kuka sayi ${hoh_livestock_act_name} a kuɗin CFA?")</f>
        <v>A nawa kuka sayi ${hoh_livestock_act_name} a kuɗin CFA?</v>
      </c>
      <c r="J884" s="188" t="s">
        <v>6662</v>
      </c>
      <c r="K884" s="188" t="s">
        <v>6663</v>
      </c>
      <c r="L884" s="188" t="s">
        <v>6664</v>
      </c>
    </row>
    <row r="885">
      <c r="A885" s="258" t="s">
        <v>247</v>
      </c>
      <c r="B885" s="259" t="s">
        <v>6665</v>
      </c>
      <c r="C885" s="190" t="s">
        <v>6666</v>
      </c>
      <c r="D885" s="190" t="s">
        <v>6667</v>
      </c>
      <c r="E885" s="190" t="s">
        <v>6668</v>
      </c>
      <c r="F885" s="195">
        <v>465.0</v>
      </c>
      <c r="G885" s="188" t="str">
        <f>IFERROR(__xludf.DUMMYFUNCTION("TRIM(REGEXREPLACE(C885, ""[0-9]+[a-f]?\."", """"))"),"How many ${hoh_livestock_act_name} did you sell?")</f>
        <v>How many ${hoh_livestock_act_name} did you sell?</v>
      </c>
      <c r="H885" s="188" t="str">
        <f>IFERROR(__xludf.DUMMYFUNCTION("TRIM(REGEXREPLACE(D885, ""[0-9]+[a-f]?\."", """"))"),"Au cours des trois derniers mois, combien de ${hoh_livestock_act_name} avez-vous vendu ?")</f>
        <v>Au cours des trois derniers mois, combien de ${hoh_livestock_act_name} avez-vous vendu ?</v>
      </c>
      <c r="I885" s="188" t="str">
        <f>IFERROR(__xludf.DUMMYFUNCTION("TRIM(REGEXREPLACE(E885, ""[0-9]+[a-f]?\."", """"))"),"${hoh_livestock_act_name} nawa kuka saida?")</f>
        <v>${hoh_livestock_act_name} nawa kuka saida?</v>
      </c>
      <c r="J885" s="188" t="s">
        <v>6670</v>
      </c>
      <c r="K885" s="188" t="s">
        <v>6671</v>
      </c>
      <c r="L885" s="188" t="s">
        <v>6672</v>
      </c>
    </row>
    <row r="886">
      <c r="A886" s="258" t="s">
        <v>247</v>
      </c>
      <c r="B886" s="259" t="s">
        <v>6673</v>
      </c>
      <c r="C886" s="190" t="s">
        <v>6674</v>
      </c>
      <c r="D886" s="190" t="s">
        <v>6675</v>
      </c>
      <c r="E886" s="190" t="s">
        <v>6676</v>
      </c>
      <c r="F886" s="195">
        <v>466.0</v>
      </c>
      <c r="G886" s="188" t="str">
        <f>IFERROR(__xludf.DUMMYFUNCTION("TRIM(REGEXREPLACE(C886, ""[0-9]+[a-f]?\."", """"))"),"How much did you sell ${hoh_livestock_act_name} for in CFA?")</f>
        <v>How much did you sell ${hoh_livestock_act_name} for in CFA?</v>
      </c>
      <c r="H886" s="188" t="str">
        <f>IFERROR(__xludf.DUMMYFUNCTION("TRIM(REGEXREPLACE(D886, ""[0-9]+[a-f]?\."", """"))"),"Pour combien avez-vous vendu ${hoh_livestock_act_name} en CFA ?")</f>
        <v>Pour combien avez-vous vendu ${hoh_livestock_act_name} en CFA ?</v>
      </c>
      <c r="I886" s="188" t="str">
        <f>IFERROR(__xludf.DUMMYFUNCTION("TRIM(REGEXREPLACE(E886, ""[0-9]+[a-f]?\."", """"))"),"Nawa kuka sayar da ${hoh_livestock_act_name} a kuɗin CFA?")</f>
        <v>Nawa kuka sayar da ${hoh_livestock_act_name} a kuɗin CFA?</v>
      </c>
      <c r="J886" s="188" t="s">
        <v>6677</v>
      </c>
      <c r="K886" s="188" t="s">
        <v>6678</v>
      </c>
      <c r="L886" s="188" t="s">
        <v>6681</v>
      </c>
    </row>
    <row r="887">
      <c r="A887" s="258" t="s">
        <v>247</v>
      </c>
      <c r="B887" s="259" t="s">
        <v>6682</v>
      </c>
      <c r="C887" s="190" t="s">
        <v>6683</v>
      </c>
      <c r="D887" s="190" t="s">
        <v>6684</v>
      </c>
      <c r="E887" s="190" t="s">
        <v>6685</v>
      </c>
      <c r="F887" s="195">
        <v>467.0</v>
      </c>
      <c r="G887" s="188" t="str">
        <f>IFERROR(__xludf.DUMMYFUNCTION("TRIM(REGEXREPLACE(C887, ""[0-9]+[a-f]?\."", """"))"),"How many ${hoh_livestock_act_name} did you consume?")</f>
        <v>How many ${hoh_livestock_act_name} did you consume?</v>
      </c>
      <c r="H887" s="188" t="str">
        <f>IFERROR(__xludf.DUMMYFUNCTION("TRIM(REGEXREPLACE(D887, ""[0-9]+[a-f]?\."", """"))"),"Au cours des trois derniers mois, combien de ${hoh_livestock_act_name} avez-vous consommé ?")</f>
        <v>Au cours des trois derniers mois, combien de ${hoh_livestock_act_name} avez-vous consommé ?</v>
      </c>
      <c r="I887" s="188" t="str">
        <f>IFERROR(__xludf.DUMMYFUNCTION("TRIM(REGEXREPLACE(E887, ""[0-9]+[a-f]?\."", """"))"),"${hoh_livestock_act_name} Nawa kuka cinye ?")</f>
        <v>${hoh_livestock_act_name} Nawa kuka cinye ?</v>
      </c>
      <c r="J887" s="188" t="s">
        <v>6686</v>
      </c>
      <c r="K887" s="188" t="s">
        <v>6687</v>
      </c>
      <c r="L887" s="188" t="s">
        <v>6688</v>
      </c>
    </row>
    <row r="888">
      <c r="A888" s="258" t="s">
        <v>247</v>
      </c>
      <c r="B888" s="259" t="s">
        <v>6689</v>
      </c>
      <c r="C888" s="190" t="s">
        <v>6690</v>
      </c>
      <c r="D888" s="190" t="s">
        <v>6691</v>
      </c>
      <c r="E888" s="190" t="s">
        <v>6692</v>
      </c>
      <c r="F888" s="195">
        <v>468.0</v>
      </c>
      <c r="G888" s="188" t="str">
        <f>IFERROR(__xludf.DUMMYFUNCTION("TRIM(REGEXREPLACE(C888, ""[0-9]+[a-f]?\."", """"))"),"If you were to sell the ${hoh_livestock_act_name} you consumed, how much would you sell them for in CFA?")</f>
        <v>If you were to sell the ${hoh_livestock_act_name} you consumed, how much would you sell them for in CFA?</v>
      </c>
      <c r="H888" s="188" t="str">
        <f>IFERROR(__xludf.DUMMYFUNCTION("TRIM(REGEXREPLACE(D888, ""[0-9]+[a-f]?\."", """"))"),"Si vous devriez vendre les ${hoh_livestock_act_name} que vous avez consommés, à combien les vendriez-vous en CFA ?")</f>
        <v>Si vous devriez vendre les ${hoh_livestock_act_name} que vous avez consommés, à combien les vendriez-vous en CFA ?</v>
      </c>
      <c r="I888" s="188" t="str">
        <f>IFERROR(__xludf.DUMMYFUNCTION("TRIM(REGEXREPLACE(E888, ""[0-9]+[a-f]?\."", """"))"),"Idan za ku sayar da ${hoh_livestock_act_name} da kuka cinye, nawa za ku sayar da su a CFA?")</f>
        <v>Idan za ku sayar da ${hoh_livestock_act_name} da kuka cinye, nawa za ku sayar da su a CFA?</v>
      </c>
      <c r="J888" s="188" t="s">
        <v>6693</v>
      </c>
      <c r="K888" s="188" t="s">
        <v>6694</v>
      </c>
      <c r="L888" s="188" t="s">
        <v>6695</v>
      </c>
    </row>
    <row r="889" hidden="1">
      <c r="A889" s="305" t="s">
        <v>450</v>
      </c>
      <c r="B889" s="224" t="s">
        <v>6639</v>
      </c>
      <c r="C889" s="190" t="s">
        <v>6640</v>
      </c>
      <c r="D889" s="190" t="s">
        <v>6641</v>
      </c>
      <c r="E889" s="190" t="s">
        <v>6642</v>
      </c>
      <c r="F889" s="195">
        <v>267.0</v>
      </c>
      <c r="G889" s="188" t="str">
        <f>IFERROR(__xludf.DUMMYFUNCTION("TRIM(REGEXREPLACE(C889, ""[0-9]+[a-f]?\."", """"))"),"Livestock Activity")</f>
        <v>Livestock Activity</v>
      </c>
      <c r="H889" s="188" t="str">
        <f>IFERROR(__xludf.DUMMYFUNCTION("TRIM(REGEXREPLACE(D889, ""[0-9]+[a-f]?\."", """"))"),"Activité d'élevage")</f>
        <v>Activité d'élevage</v>
      </c>
      <c r="I889" s="188" t="str">
        <f>IFERROR(__xludf.DUMMYFUNCTION("TRIM(REGEXREPLACE(E889, ""[0-9]+[a-f]?\."", """"))"),"Ayyukan kiwo")</f>
        <v>Ayyukan kiwo</v>
      </c>
      <c r="J889" s="188" t="str">
        <f t="shared" ref="J889:L889" si="99">$F889 &amp; ". "&amp;G889</f>
        <v>267. Livestock Activity</v>
      </c>
      <c r="K889" s="188" t="str">
        <f t="shared" si="99"/>
        <v>267. Activité d'élevage</v>
      </c>
      <c r="L889" s="188" t="str">
        <f t="shared" si="99"/>
        <v>267. Ayyukan kiwo</v>
      </c>
    </row>
    <row r="890" hidden="1">
      <c r="A890" s="320"/>
      <c r="B890" s="321"/>
      <c r="C890" s="190"/>
      <c r="D890" s="190"/>
      <c r="E890" s="190"/>
      <c r="F890" s="195">
        <v>553.0</v>
      </c>
      <c r="G890" s="188" t="str">
        <f>IFERROR(__xludf.DUMMYFUNCTION("TRIM(REGEXREPLACE(C890, ""[0-9]+[a-f]?\."", """"))"),"")</f>
        <v/>
      </c>
      <c r="H890" s="188" t="str">
        <f>IFERROR(__xludf.DUMMYFUNCTION("TRIM(REGEXREPLACE(D890, ""[0-9]+[a-f]?\."", """"))"),"")</f>
        <v/>
      </c>
      <c r="I890" s="188" t="str">
        <f>IFERROR(__xludf.DUMMYFUNCTION("TRIM(REGEXREPLACE(E890, ""[0-9]+[a-f]?\."", """"))"),"")</f>
        <v/>
      </c>
      <c r="J890" s="188" t="s">
        <v>6699</v>
      </c>
      <c r="K890" s="188" t="s">
        <v>6700</v>
      </c>
      <c r="L890" s="188" t="s">
        <v>6701</v>
      </c>
    </row>
    <row r="891" hidden="1">
      <c r="A891" s="320"/>
      <c r="B891" s="321"/>
      <c r="C891" s="190"/>
      <c r="D891" s="190"/>
      <c r="E891" s="190"/>
      <c r="F891" s="195">
        <v>554.0</v>
      </c>
      <c r="G891" s="188" t="str">
        <f>IFERROR(__xludf.DUMMYFUNCTION("TRIM(REGEXREPLACE(C891, ""[0-9]+[a-f]?\."", """"))"),"")</f>
        <v/>
      </c>
      <c r="H891" s="188" t="str">
        <f>IFERROR(__xludf.DUMMYFUNCTION("TRIM(REGEXREPLACE(D891, ""[0-9]+[a-f]?\."", """"))"),"")</f>
        <v/>
      </c>
      <c r="I891" s="188" t="str">
        <f>IFERROR(__xludf.DUMMYFUNCTION("TRIM(REGEXREPLACE(E891, ""[0-9]+[a-f]?\."", """"))"),"")</f>
        <v/>
      </c>
      <c r="J891" s="188" t="s">
        <v>6702</v>
      </c>
      <c r="K891" s="188" t="s">
        <v>6703</v>
      </c>
      <c r="L891" s="188" t="s">
        <v>6704</v>
      </c>
    </row>
    <row r="892">
      <c r="A892" s="306" t="s">
        <v>247</v>
      </c>
      <c r="B892" s="307" t="s">
        <v>6705</v>
      </c>
      <c r="C892" s="190" t="s">
        <v>6706</v>
      </c>
      <c r="D892" s="190" t="s">
        <v>6707</v>
      </c>
      <c r="E892" s="190" t="s">
        <v>6708</v>
      </c>
      <c r="F892" s="195">
        <v>469.0</v>
      </c>
      <c r="G892" s="188" t="str">
        <f>IFERROR(__xludf.DUMMYFUNCTION("TRIM(REGEXREPLACE(C892, ""[0-9]+[a-f]?\."", """"))"),"In the past six months, how much did you spend on food and health expense for all of your animals (in CFA)?")</f>
        <v>In the past six months, how much did you spend on food and health expense for all of your animals (in CFA)?</v>
      </c>
      <c r="H892" s="188" t="str">
        <f>IFERROR(__xludf.DUMMYFUNCTION("TRIM(REGEXREPLACE(D892, ""[0-9]+[a-f]?\."", """"))"),"Au cours des six derniers mois, combien avez-vous dépensé en nourriture et en soins pour tous vos animaux (en CFA) ?")</f>
        <v>Au cours des six derniers mois, combien avez-vous dépensé en nourriture et en soins pour tous vos animaux (en CFA) ?</v>
      </c>
      <c r="I892" s="188" t="str">
        <f>IFERROR(__xludf.DUMMYFUNCTION("TRIM(REGEXREPLACE(E892, ""[0-9]+[a-f]?\."", """"))"),"A cikin watanni shida da suka gabata, nawa kuka kashe akan abinci da kuɗin kiwon lafiya ga dukan dabbobinku (a cikin CFA)?")</f>
        <v>A cikin watanni shida da suka gabata, nawa kuka kashe akan abinci da kuɗin kiwon lafiya ga dukan dabbobinku (a cikin CFA)?</v>
      </c>
      <c r="J892" s="188" t="s">
        <v>6710</v>
      </c>
      <c r="K892" s="188" t="s">
        <v>6711</v>
      </c>
      <c r="L892" s="188" t="s">
        <v>6712</v>
      </c>
    </row>
    <row r="893">
      <c r="A893" s="297" t="s">
        <v>46</v>
      </c>
      <c r="B893" s="298" t="s">
        <v>6713</v>
      </c>
      <c r="C893" s="190" t="s">
        <v>6714</v>
      </c>
      <c r="D893" s="190" t="s">
        <v>6715</v>
      </c>
      <c r="E893" s="190" t="s">
        <v>6716</v>
      </c>
      <c r="F893" s="195">
        <v>470.0</v>
      </c>
      <c r="G893" s="188" t="str">
        <f>IFERROR(__xludf.DUMMYFUNCTION("TRIM(REGEXREPLACE(C893, ""[0-9]+[a-f]?\."", """"))"),"When thinking about the past six months, I would like to ask you about how many days a typical week people in your household worked. We know people may work more during some weeks rather than others, please think about what happens during most weeks.")</f>
        <v>When thinking about the past six months, I would like to ask you about how many days a typical week people in your household worked. We know people may work more during some weeks rather than others, please think about what happens during most weeks.</v>
      </c>
      <c r="H893" s="188" t="str">
        <f>IFERROR(__xludf.DUMMYFUNCTION("TRIM(REGEXREPLACE(D893, ""[0-9]+[a-f]?\."", """"))"),"En pensant aux six derniers mois, j'aimerais vous demander combien de jours par semaine les membres de votre menage ont travaillé en moyenne. Nous savons que certaines personnes travaillent plus certaines semaines que d'autres ; pensez donc à ce qui se pa"&amp;"sse la plupart du temps.")</f>
        <v>En pensant aux six derniers mois, j'aimerais vous demander combien de jours par semaine les membres de votre menage ont travaillé en moyenne. Nous savons que certaines personnes travaillent plus certaines semaines que d'autres ; pensez donc à ce qui se passe la plupart du temps.</v>
      </c>
      <c r="I893" s="188" t="str">
        <f>IFERROR(__xludf.DUMMYFUNCTION("TRIM(REGEXREPLACE(E893, ""[0-9]+[a-f]?\."", """"))"),"Yi tunani game da watanni shida da suka gabata, Ina so in tambaye ku game da kwanaki nawa a mako na yau da kullun mutane a gidanku suke aiki. Mun san cewa zasu mutane na iya yin aiki da yawa a cikin wasu makonni maimakon wasu, kenan muna fatan za ku yi tu"&amp;"nanin abin da ke faruwa a yawancin lokaci.")</f>
        <v>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v>
      </c>
      <c r="J893" s="188" t="s">
        <v>6717</v>
      </c>
      <c r="K893" s="188" t="s">
        <v>6718</v>
      </c>
      <c r="L893" s="188" t="s">
        <v>6719</v>
      </c>
    </row>
    <row r="894">
      <c r="A894" s="306" t="s">
        <v>247</v>
      </c>
      <c r="B894" s="307" t="s">
        <v>6721</v>
      </c>
      <c r="C894" s="190" t="s">
        <v>6722</v>
      </c>
      <c r="D894" s="190" t="s">
        <v>6723</v>
      </c>
      <c r="E894" s="190" t="s">
        <v>6724</v>
      </c>
      <c r="F894" s="195">
        <v>471.0</v>
      </c>
      <c r="G894" s="188" t="str">
        <f>IFERROR(__xludf.DUMMYFUNCTION("TRIM(REGEXREPLACE(C894, ""[0-9]+[a-f]?\."", """"))"),"How many days did people in your household work to care for your animals in a typical week in the past six months?")</f>
        <v>How many days did people in your household work to care for your animals in a typical week in the past six months?</v>
      </c>
      <c r="H894" s="188" t="str">
        <f>IFERROR(__xludf.DUMMYFUNCTION("TRIM(REGEXREPLACE(D894, ""[0-9]+[a-f]?\."", """"))"),"Au cours des six derniers mois, combien de jours de travail les membres de votre menage ont-ils consacrés à vos animaux par semaine ?")</f>
        <v>Au cours des six derniers mois, combien de jours de travail les membres de votre menage ont-ils consacrés à vos animaux par semaine ?</v>
      </c>
      <c r="I894" s="188" t="str">
        <f>IFERROR(__xludf.DUMMYFUNCTION("TRIM(REGEXREPLACE(E894, ""[0-9]+[a-f]?\."", """"))"),"A cikin watanni shida da suka gabata, kwana nawa mutanen gidanku suka yi aiki don kula da dabbobinku a cikin mako guda ?")</f>
        <v>A cikin watanni shida da suka gabata, kwana nawa mutanen gidanku suka yi aiki don kula da dabbobinku a cikin mako guda ?</v>
      </c>
      <c r="J894" s="188" t="s">
        <v>6726</v>
      </c>
      <c r="K894" s="188" t="s">
        <v>6727</v>
      </c>
      <c r="L894" s="188" t="s">
        <v>6728</v>
      </c>
    </row>
    <row r="895">
      <c r="A895" s="299" t="s">
        <v>1060</v>
      </c>
      <c r="B895" s="300" t="s">
        <v>6729</v>
      </c>
      <c r="C895" s="190" t="s">
        <v>6730</v>
      </c>
      <c r="D895" s="190" t="s">
        <v>6731</v>
      </c>
      <c r="E895" s="190" t="s">
        <v>6732</v>
      </c>
      <c r="F895" s="195">
        <v>472.0</v>
      </c>
      <c r="G895" s="188" t="str">
        <f>IFERROR(__xludf.DUMMYFUNCTION("TRIM(REGEXREPLACE(C895, ""[0-9]+[a-f]?\."", """"))"),"In the past six months, did you hire anyone outside your household to care for your animals?")</f>
        <v>In the past six months, did you hire anyone outside your household to care for your animals?</v>
      </c>
      <c r="H895" s="188" t="str">
        <f>IFERROR(__xludf.DUMMYFUNCTION("TRIM(REGEXREPLACE(D895, ""[0-9]+[a-f]?\."", """"))"),"Au cours des six derniers mois, avez-vous embauché une personne extérieure à votre foyer pour s'occuper de vos animaux ?")</f>
        <v>Au cours des six derniers mois, avez-vous embauché une personne extérieure à votre foyer pour s'occuper de vos animaux ?</v>
      </c>
      <c r="I895" s="188" t="str">
        <f>IFERROR(__xludf.DUMMYFUNCTION("TRIM(REGEXREPLACE(E895, ""[0-9]+[a-f]?\."", """"))"),"A cikin wata shida da suka gabata, ko kun dauki hayar wani wanda ba ɗan gidanku ba don kula da dabbobinku?")</f>
        <v>A cikin wata shida da suka gabata, ko kun dauki hayar wani wanda ba ɗan gidanku ba don kula da dabbobinku?</v>
      </c>
      <c r="J895" s="188" t="s">
        <v>6733</v>
      </c>
      <c r="K895" s="188" t="s">
        <v>6734</v>
      </c>
      <c r="L895" s="188" t="s">
        <v>6735</v>
      </c>
    </row>
    <row r="896">
      <c r="A896" s="306" t="s">
        <v>247</v>
      </c>
      <c r="B896" s="307" t="s">
        <v>6736</v>
      </c>
      <c r="C896" s="190" t="s">
        <v>6737</v>
      </c>
      <c r="D896" s="190" t="s">
        <v>6739</v>
      </c>
      <c r="E896" s="190" t="s">
        <v>6740</v>
      </c>
      <c r="F896" s="195">
        <v>473.0</v>
      </c>
      <c r="G896" s="188" t="str">
        <f>IFERROR(__xludf.DUMMYFUNCTION("TRIM(REGEXREPLACE(C896, ""[0-9]+[a-f]?\."", """"))"),"In the last six months, for how many weeks did you hire people to care for your livestock?")</f>
        <v>In the last six months, for how many weeks did you hire people to care for your livestock?</v>
      </c>
      <c r="H896" s="188" t="str">
        <f>IFERROR(__xludf.DUMMYFUNCTION("TRIM(REGEXREPLACE(D896, ""[0-9]+[a-f]?\."", """"))"),"Au cours des six derniers mois, pendant combien de semaines avez-vous embauché des personnes pour s'occuper de votre bétail ?")</f>
        <v>Au cours des six derniers mois, pendant combien de semaines avez-vous embauché des personnes pour s'occuper de votre bétail ?</v>
      </c>
      <c r="I896" s="188" t="str">
        <f>IFERROR(__xludf.DUMMYFUNCTION("TRIM(REGEXREPLACE(E896, ""[0-9]+[a-f]?\."", """"))"),"A cikin watanni shida da suka gabata, tsawon makonni nawa kuka dauki hayar mutane don kula da dabbobinku?")</f>
        <v>A cikin watanni shida da suka gabata, tsawon makonni nawa kuka dauki hayar mutane don kula da dabbobinku?</v>
      </c>
      <c r="J896" s="188" t="s">
        <v>6741</v>
      </c>
      <c r="K896" s="188" t="s">
        <v>6742</v>
      </c>
      <c r="L896" s="188" t="s">
        <v>6744</v>
      </c>
    </row>
    <row r="897">
      <c r="A897" s="306" t="s">
        <v>247</v>
      </c>
      <c r="B897" s="307" t="s">
        <v>6745</v>
      </c>
      <c r="C897" s="190" t="s">
        <v>6746</v>
      </c>
      <c r="D897" s="190" t="s">
        <v>6747</v>
      </c>
      <c r="E897" s="190" t="s">
        <v>6748</v>
      </c>
      <c r="F897" s="195">
        <v>474.0</v>
      </c>
      <c r="G897" s="188" t="str">
        <f>IFERROR(__xludf.DUMMYFUNCTION("TRIM(REGEXREPLACE(C897, ""[0-9]+[a-f]?\."", """"))"),"What was the weekly wage paid to people who care for your animals, or how much would you pay in CFA?")</f>
        <v>What was the weekly wage paid to people who care for your animals, or how much would you pay in CFA?</v>
      </c>
      <c r="H897" s="188" t="str">
        <f>IFERROR(__xludf.DUMMYFUNCTION("TRIM(REGEXREPLACE(D897, ""[0-9]+[a-f]?\."", """"))"),"Quel était les frais hebdomadaire payés aux personnes qui s'occupent de vos animaux, ou combien paieriez-vous en CFA ?")</f>
        <v>Quel était les frais hebdomadaire payés aux personnes qui s'occupent de vos animaux, ou combien paieriez-vous en CFA ?</v>
      </c>
      <c r="I897" s="188" t="str">
        <f>IFERROR(__xludf.DUMMYFUNCTION("TRIM(REGEXREPLACE(E897, ""[0-9]+[a-f]?\."", """"))"),"105 a. Nawa albashin mako-mako na wannan mutanen da ke kula da dabbobinku a CFA?")</f>
        <v>105 a. Nawa albashin mako-mako na wannan mutanen da ke kula da dabbobinku a CFA?</v>
      </c>
      <c r="J897" s="188" t="s">
        <v>6749</v>
      </c>
      <c r="K897" s="188" t="s">
        <v>6750</v>
      </c>
      <c r="L897" s="188" t="s">
        <v>6751</v>
      </c>
    </row>
    <row r="898" hidden="1">
      <c r="A898" s="221" t="s">
        <v>112</v>
      </c>
      <c r="B898" s="198" t="s">
        <v>6752</v>
      </c>
      <c r="C898" s="190"/>
      <c r="D898" s="190"/>
      <c r="E898" s="190"/>
      <c r="F898" s="195">
        <v>271.0</v>
      </c>
      <c r="G898" s="188" t="str">
        <f>IFERROR(__xludf.DUMMYFUNCTION("TRIM(REGEXREPLACE(C898, ""[0-9]+[a-f]?\."", """"))"),"")</f>
        <v/>
      </c>
      <c r="H898" s="188" t="str">
        <f>IFERROR(__xludf.DUMMYFUNCTION("TRIM(REGEXREPLACE(D898, ""[0-9]+[a-f]?\."", """"))"),"")</f>
        <v/>
      </c>
      <c r="I898" s="188" t="str">
        <f>IFERROR(__xludf.DUMMYFUNCTION("TRIM(REGEXREPLACE(E898, ""[0-9]+[a-f]?\."", """"))"),"")</f>
        <v/>
      </c>
      <c r="J898" s="188" t="str">
        <f t="shared" ref="J898:L898" si="100">$F898 &amp; ". "&amp;G898</f>
        <v>271. </v>
      </c>
      <c r="K898" s="188" t="str">
        <f t="shared" si="100"/>
        <v>271. </v>
      </c>
      <c r="L898" s="188" t="str">
        <f t="shared" si="100"/>
        <v>271. </v>
      </c>
    </row>
    <row r="899">
      <c r="A899" s="299" t="s">
        <v>1060</v>
      </c>
      <c r="B899" s="300" t="s">
        <v>6754</v>
      </c>
      <c r="C899" s="190" t="s">
        <v>6755</v>
      </c>
      <c r="D899" s="190" t="s">
        <v>6756</v>
      </c>
      <c r="E899" s="190" t="s">
        <v>6757</v>
      </c>
      <c r="F899" s="195">
        <v>475.0</v>
      </c>
      <c r="G899" s="188" t="str">
        <f>IFERROR(__xludf.DUMMYFUNCTION("TRIM(REGEXREPLACE(C899, ""[0-9]+[a-f]?\."", """"))"),"You paid ${hoh_hire_livestock_total} in CFA for people to care for your animals, is this correct?")</f>
        <v>You paid ${hoh_hire_livestock_total} in CFA for people to care for your animals, is this correct?</v>
      </c>
      <c r="H899" s="188" t="str">
        <f>IFERROR(__xludf.DUMMYFUNCTION("TRIM(REGEXREPLACE(D899, ""[0-9]+[a-f]?\."", """"))"),"Vous avez payé ${hoh_hire_livestock_total} (en CFA) aux personnes qui s'occupent de vos animaux, est-ce exact ?")</f>
        <v>Vous avez payé ${hoh_hire_livestock_total} (en CFA) aux personnes qui s'occupent de vos animaux, est-ce exact ?</v>
      </c>
      <c r="I899" s="188" t="str">
        <f>IFERROR(__xludf.DUMMYFUNCTION("TRIM(REGEXREPLACE(E899, ""[0-9]+[a-f]?\."", """"))"),"${hoh_hire_livestock_total} (a sefa) kuka biya, ko daidai ne?")</f>
        <v>${hoh_hire_livestock_total} (a sefa) kuka biya, ko daidai ne?</v>
      </c>
      <c r="J899" s="188" t="s">
        <v>6758</v>
      </c>
      <c r="K899" s="188" t="s">
        <v>6759</v>
      </c>
      <c r="L899" s="188" t="s">
        <v>6760</v>
      </c>
    </row>
    <row r="900">
      <c r="A900" s="299" t="s">
        <v>1060</v>
      </c>
      <c r="B900" s="300" t="s">
        <v>6761</v>
      </c>
      <c r="C900" s="190" t="s">
        <v>6762</v>
      </c>
      <c r="D900" s="190" t="s">
        <v>6763</v>
      </c>
      <c r="E900" s="190" t="s">
        <v>6764</v>
      </c>
      <c r="F900" s="195">
        <v>476.0</v>
      </c>
      <c r="G900" s="188" t="str">
        <f>IFERROR(__xludf.DUMMYFUNCTION("TRIM(REGEXREPLACE(C900, ""[0-9]+[a-f]?\."", """"))"),"In the past six months, did any member of your household care for livestock owned by other people?")</f>
        <v>In the past six months, did any member of your household care for livestock owned by other people?</v>
      </c>
      <c r="H900" s="188" t="str">
        <f>IFERROR(__xludf.DUMMYFUNCTION("TRIM(REGEXREPLACE(D900, ""[0-9]+[a-f]?\."", """"))"),"Au cours des six derniers mois, un membre de votre menage a-t-il pris soin du bétail appartenant à d'autres personnes ?")</f>
        <v>Au cours des six derniers mois, un membre de votre menage a-t-il pris soin du bétail appartenant à d'autres personnes ?</v>
      </c>
      <c r="I900" s="188" t="str">
        <f>IFERROR(__xludf.DUMMYFUNCTION("TRIM(REGEXREPLACE(E900, ""[0-9]+[a-f]?\."", """"))"),"A cikin wata shida da suka wuce, akwai wani daga cikin ƴan gidan ku da ya kula da dabbobin wasu mutane?")</f>
        <v>A cikin wata shida da suka wuce, akwai wani daga cikin ƴan gidan ku da ya kula da dabbobin wasu mutane?</v>
      </c>
      <c r="J900" s="188" t="s">
        <v>6767</v>
      </c>
      <c r="K900" s="188" t="s">
        <v>6768</v>
      </c>
      <c r="L900" s="188" t="s">
        <v>6769</v>
      </c>
    </row>
    <row r="901">
      <c r="A901" s="306" t="s">
        <v>247</v>
      </c>
      <c r="B901" s="307" t="s">
        <v>6770</v>
      </c>
      <c r="C901" s="190" t="s">
        <v>6771</v>
      </c>
      <c r="D901" s="190" t="s">
        <v>6772</v>
      </c>
      <c r="E901" s="190" t="s">
        <v>6773</v>
      </c>
      <c r="F901" s="195">
        <v>477.0</v>
      </c>
      <c r="G901" s="188" t="str">
        <f>IFERROR(__xludf.DUMMYFUNCTION("TRIM(REGEXREPLACE(C901, ""[0-9]+[a-f]?\."", """"))"),"In a typical week, how many days did they do this job?")</f>
        <v>In a typical week, how many days did they do this job?</v>
      </c>
      <c r="H901" s="188" t="str">
        <f>IFERROR(__xludf.DUMMYFUNCTION("TRIM(REGEXREPLACE(D901, ""[0-9]+[a-f]?\."", """"))"),"Au cours d'une semaine normale, combien de jours ont-ils fait ce travail ?")</f>
        <v>Au cours d'une semaine normale, combien de jours ont-ils fait ce travail ?</v>
      </c>
      <c r="I901" s="188" t="str">
        <f>IFERROR(__xludf.DUMMYFUNCTION("TRIM(REGEXREPLACE(E901, ""[0-9]+[a-f]?\."", """"))"),"A cikin mako, kwana nawa suka yi wannan aikin?")</f>
        <v>A cikin mako, kwana nawa suka yi wannan aikin?</v>
      </c>
      <c r="J901" s="188" t="s">
        <v>6774</v>
      </c>
      <c r="K901" s="188" t="s">
        <v>6775</v>
      </c>
      <c r="L901" s="188" t="s">
        <v>6776</v>
      </c>
    </row>
    <row r="902">
      <c r="A902" s="306" t="s">
        <v>247</v>
      </c>
      <c r="B902" s="307" t="s">
        <v>6777</v>
      </c>
      <c r="C902" s="190" t="s">
        <v>6778</v>
      </c>
      <c r="D902" s="190" t="s">
        <v>6779</v>
      </c>
      <c r="E902" s="190" t="s">
        <v>6780</v>
      </c>
      <c r="F902" s="195">
        <v>478.0</v>
      </c>
      <c r="G902" s="188" t="str">
        <f>IFERROR(__xludf.DUMMYFUNCTION("TRIM(REGEXREPLACE(C902, ""[0-9]+[a-f]?\."", """"))"),"What was the daily wage paid to household members who cared for livestock owned by other people?")</f>
        <v>What was the daily wage paid to household members who cared for livestock owned by other people?</v>
      </c>
      <c r="H902" s="188" t="str">
        <f>IFERROR(__xludf.DUMMYFUNCTION("TRIM(REGEXREPLACE(D902,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902" s="188" t="str">
        <f>IFERROR(__xludf.DUMMYFUNCTION("TRIM(REGEXREPLACE(E902, ""[0-9]+[a-f]?\."", """"))"),"Nawa ne biyan wuni na ƴan gida masu kula da dabbobin wasu mutane (a kuɗin CFA)?")</f>
        <v>Nawa ne biyan wuni na ƴan gida masu kula da dabbobin wasu mutane (a kuɗin CFA)?</v>
      </c>
      <c r="J902" s="188" t="s">
        <v>6782</v>
      </c>
      <c r="K902" s="188" t="s">
        <v>6783</v>
      </c>
      <c r="L902" s="188" t="s">
        <v>6784</v>
      </c>
    </row>
    <row r="903">
      <c r="A903" s="297" t="s">
        <v>46</v>
      </c>
      <c r="B903" s="298" t="s">
        <v>6785</v>
      </c>
      <c r="C903" s="190" t="s">
        <v>6786</v>
      </c>
      <c r="D903" s="190"/>
      <c r="E903" s="190"/>
      <c r="F903" s="195">
        <v>479.0</v>
      </c>
      <c r="G903" s="188" t="str">
        <f>IFERROR(__xludf.DUMMYFUNCTION("TRIM(REGEXREPLACE(C903, ""[0-9]+[a-f]?\."", """"))"),"Now we will ask about other forms of income people in your household may have earned in the past six months.")</f>
        <v>Now we will ask about other forms of income people in your household may have earned in the past six months.</v>
      </c>
      <c r="H903" s="188" t="str">
        <f>IFERROR(__xludf.DUMMYFUNCTION("TRIM(REGEXREPLACE(D903, ""[0-9]+[a-f]?\."", """"))"),"")</f>
        <v/>
      </c>
      <c r="I903" s="188" t="str">
        <f>IFERROR(__xludf.DUMMYFUNCTION("TRIM(REGEXREPLACE(E903, ""[0-9]+[a-f]?\."", """"))"),"")</f>
        <v/>
      </c>
      <c r="J903" s="188" t="s">
        <v>6788</v>
      </c>
      <c r="K903" s="188" t="s">
        <v>6789</v>
      </c>
      <c r="L903" s="188" t="s">
        <v>6789</v>
      </c>
    </row>
    <row r="904">
      <c r="A904" s="299" t="s">
        <v>1060</v>
      </c>
      <c r="B904" s="300" t="s">
        <v>6792</v>
      </c>
      <c r="C904" s="190" t="s">
        <v>6793</v>
      </c>
      <c r="D904" s="190" t="s">
        <v>6794</v>
      </c>
      <c r="E904" s="190" t="s">
        <v>6795</v>
      </c>
      <c r="F904" s="195">
        <v>480.0</v>
      </c>
      <c r="G904" s="188" t="str">
        <f>IFERROR(__xludf.DUMMYFUNCTION("TRIM(REGEXREPLACE(C904, ""[0-9]+[a-f]?\."", """"))"),"Do you or another member of your household own land that is currently not used for agriculture, outside of your current home?")</f>
        <v>Do you or another member of your household own land that is currently not used for agriculture, outside of your current home?</v>
      </c>
      <c r="H904" s="188" t="str">
        <f>IFERROR(__xludf.DUMMYFUNCTION("TRIM(REGEXREPLACE(D904,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904" s="188" t="str">
        <f>IFERROR(__xludf.DUMMYFUNCTION("TRIM(REGEXREPLACE(E904, ""[0-9]+[a-f]?\."", """"))"),"Shin kai ko wani na gidanku kuna da wasu hilaye wanda ba na noma ba bancin gidanku da kuke ciki a halin yanzu?")</f>
        <v>Shin kai ko wani na gidanku kuna da wasu hilaye wanda ba na noma ba bancin gidanku da kuke ciki a halin yanzu?</v>
      </c>
      <c r="J904" s="188" t="s">
        <v>6798</v>
      </c>
      <c r="K904" s="188" t="s">
        <v>6799</v>
      </c>
      <c r="L904" s="188" t="s">
        <v>6801</v>
      </c>
    </row>
    <row r="905">
      <c r="A905" s="306" t="s">
        <v>247</v>
      </c>
      <c r="B905" s="307" t="s">
        <v>6802</v>
      </c>
      <c r="C905" s="190" t="s">
        <v>6803</v>
      </c>
      <c r="D905" s="190" t="s">
        <v>6804</v>
      </c>
      <c r="E905" s="190" t="s">
        <v>6805</v>
      </c>
      <c r="F905" s="195">
        <v>481.0</v>
      </c>
      <c r="G905" s="188" t="str">
        <f>IFERROR(__xludf.DUMMYFUNCTION("TRIM(REGEXREPLACE(C905, ""[0-9]+[a-f]?\."", """"))"),"In the past six months, what is the total revenue from rent of land or other property in CFA?")</f>
        <v>In the past six months, what is the total revenue from rent of land or other property in CFA?</v>
      </c>
      <c r="H905" s="188" t="str">
        <f>IFERROR(__xludf.DUMMYFUNCTION("TRIM(REGEXREPLACE(D905, ""[0-9]+[a-f]?\."", """"))"),"Au cours des six derniers mois, quel a été le montant total des revenus locatifs de terres ou d'autres biens en CFA ?")</f>
        <v>Au cours des six derniers mois, quel a été le montant total des revenus locatifs de terres ou d'autres biens en CFA ?</v>
      </c>
      <c r="I905" s="188" t="str">
        <f>IFERROR(__xludf.DUMMYFUNCTION("TRIM(REGEXREPLACE(E905, ""[0-9]+[a-f]?\."", """"))"),"A cikin watanni shida da suka gabata, nawa ne jimillar kuɗaɗen da kuka samu daga hayar filaye ko wasu kadarori a CFA?")</f>
        <v>A cikin watanni shida da suka gabata, nawa ne jimillar kuɗaɗen da kuka samu daga hayar filaye ko wasu kadarori a CFA?</v>
      </c>
      <c r="J905" s="188" t="s">
        <v>6806</v>
      </c>
      <c r="K905" s="188" t="s">
        <v>6807</v>
      </c>
      <c r="L905" s="188" t="s">
        <v>6808</v>
      </c>
    </row>
    <row r="906">
      <c r="A906" s="306" t="s">
        <v>247</v>
      </c>
      <c r="B906" s="307" t="s">
        <v>6809</v>
      </c>
      <c r="C906" s="190" t="s">
        <v>6811</v>
      </c>
      <c r="D906" s="190" t="s">
        <v>6812</v>
      </c>
      <c r="E906" s="190" t="s">
        <v>6813</v>
      </c>
      <c r="F906" s="195">
        <v>482.0</v>
      </c>
      <c r="G906" s="188" t="str">
        <f>IFERROR(__xludf.DUMMYFUNCTION("TRIM(REGEXREPLACE(C906, ""[0-9]+[a-f]?\."", """"))"),"In the past six months, what is the total value of interest from loans you have given to others in CFA?")</f>
        <v>In the past six months, what is the total value of interest from loans you have given to others in CFA?</v>
      </c>
      <c r="H906" s="188" t="str">
        <f>IFERROR(__xludf.DUMMYFUNCTION("TRIM(REGEXREPLACE(D906, ""[0-9]+[a-f]?\."", """"))"),"Au cours des six derniers mois, quel a été le montant total des intérêts des prêts que vous avez accordés à d'autres en CFA ?")</f>
        <v>Au cours des six derniers mois, quel a été le montant total des intérêts des prêts que vous avez accordés à d'autres en CFA ?</v>
      </c>
      <c r="I906" s="188" t="str">
        <f>IFERROR(__xludf.DUMMYFUNCTION("TRIM(REGEXREPLACE(E906, ""[0-9]+[a-f]?\."", """"))"),"A cikin watanni shida da suka gabata, nawa ne jimillar ribar da kuka samu daga rancen da kuka bai wa wasu a CFA?")</f>
        <v>A cikin watanni shida da suka gabata, nawa ne jimillar ribar da kuka samu daga rancen da kuka bai wa wasu a CFA?</v>
      </c>
      <c r="J906" s="188" t="s">
        <v>6814</v>
      </c>
      <c r="K906" s="188" t="s">
        <v>6815</v>
      </c>
      <c r="L906" s="188" t="s">
        <v>6816</v>
      </c>
    </row>
    <row r="907" hidden="1">
      <c r="A907" s="221" t="s">
        <v>256</v>
      </c>
      <c r="B907" s="198" t="s">
        <v>6817</v>
      </c>
      <c r="C907" s="190"/>
      <c r="D907" s="190"/>
      <c r="E907" s="190"/>
      <c r="F907" s="195">
        <v>277.0</v>
      </c>
      <c r="G907" s="188" t="str">
        <f>IFERROR(__xludf.DUMMYFUNCTION("TRIM(REGEXREPLACE(C907, ""[0-9]+[a-f]?\."", """"))"),"")</f>
        <v/>
      </c>
      <c r="H907" s="188" t="str">
        <f>IFERROR(__xludf.DUMMYFUNCTION("TRIM(REGEXREPLACE(D907, ""[0-9]+[a-f]?\."", """"))"),"")</f>
        <v/>
      </c>
      <c r="I907" s="188" t="str">
        <f>IFERROR(__xludf.DUMMYFUNCTION("TRIM(REGEXREPLACE(E907, ""[0-9]+[a-f]?\."", """"))"),"")</f>
        <v/>
      </c>
      <c r="J907" s="188" t="str">
        <f t="shared" ref="J907:L907" si="101">$F907 &amp; ". "&amp;G907</f>
        <v>277. </v>
      </c>
      <c r="K907" s="188" t="str">
        <f t="shared" si="101"/>
        <v>277. </v>
      </c>
      <c r="L907" s="188" t="str">
        <f t="shared" si="101"/>
        <v>277. </v>
      </c>
    </row>
    <row r="908" hidden="1">
      <c r="A908" s="221" t="s">
        <v>112</v>
      </c>
      <c r="B908" s="198" t="s">
        <v>6822</v>
      </c>
      <c r="C908" s="190"/>
      <c r="D908" s="190"/>
      <c r="E908" s="190"/>
      <c r="F908" s="195">
        <v>278.0</v>
      </c>
      <c r="G908" s="188" t="str">
        <f>IFERROR(__xludf.DUMMYFUNCTION("TRIM(REGEXREPLACE(C908, ""[0-9]+[a-f]?\."", """"))"),"")</f>
        <v/>
      </c>
      <c r="H908" s="188" t="str">
        <f>IFERROR(__xludf.DUMMYFUNCTION("TRIM(REGEXREPLACE(D908, ""[0-9]+[a-f]?\."", """"))"),"")</f>
        <v/>
      </c>
      <c r="I908" s="188" t="str">
        <f>IFERROR(__xludf.DUMMYFUNCTION("TRIM(REGEXREPLACE(E908, ""[0-9]+[a-f]?\."", """"))"),"")</f>
        <v/>
      </c>
      <c r="J908" s="188" t="str">
        <f t="shared" ref="J908:L908" si="102">$F908 &amp; ". "&amp;G908</f>
        <v>278. </v>
      </c>
      <c r="K908" s="188" t="str">
        <f t="shared" si="102"/>
        <v>278. </v>
      </c>
      <c r="L908" s="188" t="str">
        <f t="shared" si="102"/>
        <v>278. </v>
      </c>
    </row>
    <row r="909" hidden="1">
      <c r="A909" s="320"/>
      <c r="B909" s="321"/>
      <c r="C909" s="190"/>
      <c r="D909" s="190"/>
      <c r="E909" s="190"/>
      <c r="F909" s="195">
        <v>279.0</v>
      </c>
      <c r="G909" s="188" t="str">
        <f>IFERROR(__xludf.DUMMYFUNCTION("TRIM(REGEXREPLACE(C909, ""[0-9]+[a-f]?\."", """"))"),"")</f>
        <v/>
      </c>
      <c r="H909" s="188" t="str">
        <f>IFERROR(__xludf.DUMMYFUNCTION("TRIM(REGEXREPLACE(D909, ""[0-9]+[a-f]?\."", """"))"),"")</f>
        <v/>
      </c>
      <c r="I909" s="188" t="str">
        <f>IFERROR(__xludf.DUMMYFUNCTION("TRIM(REGEXREPLACE(E909, ""[0-9]+[a-f]?\."", """"))"),"")</f>
        <v/>
      </c>
      <c r="J909" s="188" t="str">
        <f t="shared" ref="J909:L909" si="103">$F909 &amp; ". "&amp;G909</f>
        <v>279. </v>
      </c>
      <c r="K909" s="188" t="str">
        <f t="shared" si="103"/>
        <v>279. </v>
      </c>
      <c r="L909" s="188" t="str">
        <f t="shared" si="103"/>
        <v>279. </v>
      </c>
    </row>
    <row r="910" hidden="1">
      <c r="A910" s="221" t="s">
        <v>256</v>
      </c>
      <c r="B910" s="198" t="s">
        <v>6826</v>
      </c>
      <c r="C910" s="190"/>
      <c r="D910" s="190"/>
      <c r="E910" s="190"/>
      <c r="F910" s="195">
        <v>280.0</v>
      </c>
      <c r="G910" s="188" t="str">
        <f>IFERROR(__xludf.DUMMYFUNCTION("TRIM(REGEXREPLACE(C910, ""[0-9]+[a-f]?\."", """"))"),"")</f>
        <v/>
      </c>
      <c r="H910" s="188" t="str">
        <f>IFERROR(__xludf.DUMMYFUNCTION("TRIM(REGEXREPLACE(D910, ""[0-9]+[a-f]?\."", """"))"),"")</f>
        <v/>
      </c>
      <c r="I910" s="188" t="str">
        <f>IFERROR(__xludf.DUMMYFUNCTION("TRIM(REGEXREPLACE(E910, ""[0-9]+[a-f]?\."", """"))"),"")</f>
        <v/>
      </c>
      <c r="J910" s="188" t="str">
        <f t="shared" ref="J910:L910" si="104">$F910 &amp; ". "&amp;G910</f>
        <v>280. </v>
      </c>
      <c r="K910" s="188" t="str">
        <f t="shared" si="104"/>
        <v>280. </v>
      </c>
      <c r="L910" s="188" t="str">
        <f t="shared" si="104"/>
        <v>280. </v>
      </c>
    </row>
    <row r="911">
      <c r="A911" s="299" t="s">
        <v>1060</v>
      </c>
      <c r="B911" s="300" t="s">
        <v>6830</v>
      </c>
      <c r="C911" s="190" t="s">
        <v>6831</v>
      </c>
      <c r="D911" s="190" t="s">
        <v>6832</v>
      </c>
      <c r="E911" s="190" t="s">
        <v>6833</v>
      </c>
      <c r="F911" s="195">
        <v>483.0</v>
      </c>
      <c r="G911" s="188" t="str">
        <f>IFERROR(__xludf.DUMMYFUNCTION("TRIM(REGEXREPLACE(C911,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911" s="188" t="str">
        <f>IFERROR(__xludf.DUMMYFUNCTION("TRIM(REGEXREPLACE(D911,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911" s="188" t="str">
        <f>IFERROR(__xludf.DUMMYFUNCTION("TRIM(REGEXREPLACE(E911,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911" s="188" t="s">
        <v>6834</v>
      </c>
      <c r="K911" s="188" t="s">
        <v>6835</v>
      </c>
      <c r="L911" s="188" t="s">
        <v>6836</v>
      </c>
    </row>
    <row r="912">
      <c r="A912" s="299" t="s">
        <v>6837</v>
      </c>
      <c r="B912" s="300" t="s">
        <v>6839</v>
      </c>
      <c r="C912" s="190" t="s">
        <v>6840</v>
      </c>
      <c r="D912" s="190" t="s">
        <v>6841</v>
      </c>
      <c r="E912" s="190" t="s">
        <v>6842</v>
      </c>
      <c r="F912" s="195">
        <v>484.0</v>
      </c>
      <c r="G912" s="188" t="str">
        <f>IFERROR(__xludf.DUMMYFUNCTION("TRIM(REGEXREPLACE(C912, ""[0-9]+[a-f]?\."", """"))"),"What type of business is this?")</f>
        <v>What type of business is this?</v>
      </c>
      <c r="H912" s="188" t="str">
        <f>IFERROR(__xludf.DUMMYFUNCTION("TRIM(REGEXREPLACE(D912, ""[0-9]+[a-f]?\."", """"))"),"Quel type d'entreprise est-ce?")</f>
        <v>Quel type d'entreprise est-ce?</v>
      </c>
      <c r="I912" s="188" t="str">
        <f>IFERROR(__xludf.DUMMYFUNCTION("TRIM(REGEXREPLACE(E912, ""[0-9]+[a-f]?\."", """"))"),"Wane irin kasuwanci ne?")</f>
        <v>Wane irin kasuwanci ne?</v>
      </c>
      <c r="J912" s="188" t="s">
        <v>6843</v>
      </c>
      <c r="K912" s="188" t="s">
        <v>6844</v>
      </c>
      <c r="L912" s="188" t="s">
        <v>6845</v>
      </c>
    </row>
    <row r="913">
      <c r="A913" s="301" t="s">
        <v>220</v>
      </c>
      <c r="B913" s="302" t="s">
        <v>6846</v>
      </c>
      <c r="C913" s="190" t="s">
        <v>6847</v>
      </c>
      <c r="D913" s="190" t="s">
        <v>6848</v>
      </c>
      <c r="E913" s="190" t="s">
        <v>6849</v>
      </c>
      <c r="F913" s="195">
        <v>485.0</v>
      </c>
      <c r="G913" s="188" t="str">
        <f>IFERROR(__xludf.DUMMYFUNCTION("TRIM(REGEXREPLACE(C913, ""[0-9]+[a-f]?\."", """"))"),"Specify other")</f>
        <v>Specify other</v>
      </c>
      <c r="H913" s="188" t="str">
        <f>IFERROR(__xludf.DUMMYFUNCTION("TRIM(REGEXREPLACE(D913, ""[0-9]+[a-f]?\."", """"))"),"Autre à préciser :")</f>
        <v>Autre à préciser :</v>
      </c>
      <c r="I913" s="188" t="str">
        <f>IFERROR(__xludf.DUMMYFUNCTION("TRIM(REGEXREPLACE(E913, ""[0-9]+[a-f]?\."", """"))"),"Baiyana wani abu daban:")</f>
        <v>Baiyana wani abu daban:</v>
      </c>
      <c r="J913" s="188" t="s">
        <v>6851</v>
      </c>
      <c r="K913" s="188" t="s">
        <v>6852</v>
      </c>
      <c r="L913" s="188" t="s">
        <v>6853</v>
      </c>
    </row>
    <row r="914" hidden="1">
      <c r="A914" s="221" t="s">
        <v>112</v>
      </c>
      <c r="B914" s="198" t="s">
        <v>6854</v>
      </c>
      <c r="C914" s="190"/>
      <c r="D914" s="190"/>
      <c r="E914" s="190"/>
      <c r="F914" s="195">
        <v>284.0</v>
      </c>
      <c r="G914" s="188" t="str">
        <f>IFERROR(__xludf.DUMMYFUNCTION("TRIM(REGEXREPLACE(C914, ""[0-9]+[a-f]?\."", """"))"),"")</f>
        <v/>
      </c>
      <c r="H914" s="188" t="str">
        <f>IFERROR(__xludf.DUMMYFUNCTION("TRIM(REGEXREPLACE(D914, ""[0-9]+[a-f]?\."", """"))"),"")</f>
        <v/>
      </c>
      <c r="I914" s="188" t="str">
        <f>IFERROR(__xludf.DUMMYFUNCTION("TRIM(REGEXREPLACE(E914, ""[0-9]+[a-f]?\."", """"))"),"")</f>
        <v/>
      </c>
      <c r="J914" s="188" t="str">
        <f t="shared" ref="J914:L914" si="105">$F914 &amp; ". "&amp;G914</f>
        <v>284. </v>
      </c>
      <c r="K914" s="188" t="str">
        <f t="shared" si="105"/>
        <v>284. </v>
      </c>
      <c r="L914" s="188" t="str">
        <f t="shared" si="105"/>
        <v>284. </v>
      </c>
    </row>
    <row r="915">
      <c r="A915" s="299" t="s">
        <v>1060</v>
      </c>
      <c r="B915" s="300" t="s">
        <v>6856</v>
      </c>
      <c r="C915" s="190" t="s">
        <v>6857</v>
      </c>
      <c r="D915" s="190" t="s">
        <v>6858</v>
      </c>
      <c r="E915" s="190" t="s">
        <v>6859</v>
      </c>
      <c r="F915" s="195">
        <v>486.0</v>
      </c>
      <c r="G915" s="188" t="str">
        <f>IFERROR(__xludf.DUMMYFUNCTION("TRIM(REGEXREPLACE(C915, ""[0-9]+[a-f]?\."", """"))"),"Do you have a permanent location (i.e. building)?")</f>
        <v>Do you have a permanent location (i.e. building)?</v>
      </c>
      <c r="H915" s="188" t="str">
        <f>IFERROR(__xludf.DUMMYFUNCTION("TRIM(REGEXREPLACE(D915, ""[0-9]+[a-f]?\."", """"))"),"Avez-vous un emplacement permanent (c'est-à-dire un bâtiment) ?")</f>
        <v>Avez-vous un emplacement permanent (c'est-à-dire un bâtiment) ?</v>
      </c>
      <c r="I915" s="188" t="str">
        <f>IFERROR(__xludf.DUMMYFUNCTION("TRIM(REGEXREPLACE(E915, ""[0-9]+[a-f]?\."", """"))"),"Kuna da wurin dindindin (kamar gini)?")</f>
        <v>Kuna da wurin dindindin (kamar gini)?</v>
      </c>
      <c r="J915" s="188" t="s">
        <v>6860</v>
      </c>
      <c r="K915" s="188" t="s">
        <v>6861</v>
      </c>
      <c r="L915" s="188" t="s">
        <v>6862</v>
      </c>
    </row>
    <row r="916">
      <c r="A916" s="306" t="s">
        <v>247</v>
      </c>
      <c r="B916" s="307" t="s">
        <v>6863</v>
      </c>
      <c r="C916" s="190" t="s">
        <v>6864</v>
      </c>
      <c r="D916" s="190" t="s">
        <v>6865</v>
      </c>
      <c r="E916" s="190" t="s">
        <v>6866</v>
      </c>
      <c r="F916" s="195">
        <v>487.0</v>
      </c>
      <c r="G916" s="188" t="str">
        <f>IFERROR(__xludf.DUMMYFUNCTION("TRIM(REGEXREPLACE(C916, ""[0-9]+[a-f]?\."", """"))"),"How many people outside of your household do you employ in this business?")</f>
        <v>How many people outside of your household do you employ in this business?</v>
      </c>
      <c r="H916" s="188" t="str">
        <f>IFERROR(__xludf.DUMMYFUNCTION("TRIM(REGEXREPLACE(D916, ""[0-9]+[a-f]?\."", """"))"),"Combien de personnes en dehors de votre ménage employez-vous dans cette entreprise ?")</f>
        <v>Combien de personnes en dehors de votre ménage employez-vous dans cette entreprise ?</v>
      </c>
      <c r="I916" s="188" t="str">
        <f>IFERROR(__xludf.DUMMYFUNCTION("TRIM(REGEXREPLACE(E916, ""[0-9]+[a-f]?\."", """"))"),"Mutane nawa ne kuka dauka aiki banda ƴan gidan a wannan kasuwancin?")</f>
        <v>Mutane nawa ne kuka dauka aiki banda ƴan gidan a wannan kasuwancin?</v>
      </c>
      <c r="J916" s="188" t="s">
        <v>6868</v>
      </c>
      <c r="K916" s="188" t="s">
        <v>6869</v>
      </c>
      <c r="L916" s="188" t="s">
        <v>6870</v>
      </c>
    </row>
    <row r="917">
      <c r="A917" s="306" t="s">
        <v>247</v>
      </c>
      <c r="B917" s="307" t="s">
        <v>6871</v>
      </c>
      <c r="C917" s="190" t="s">
        <v>6872</v>
      </c>
      <c r="D917" s="190" t="s">
        <v>6873</v>
      </c>
      <c r="E917" s="190" t="s">
        <v>6874</v>
      </c>
      <c r="F917" s="195">
        <v>488.0</v>
      </c>
      <c r="G917" s="188" t="str">
        <f>IFERROR(__xludf.DUMMYFUNCTION("TRIM(REGEXREPLACE(C917, ""[0-9]+[a-f]?\."", """"))"),"How much do you pay per day for people to work in this business in CFA?")</f>
        <v>How much do you pay per day for people to work in this business in CFA?</v>
      </c>
      <c r="H917" s="188" t="str">
        <f>IFERROR(__xludf.DUMMYFUNCTION("TRIM(REGEXREPLACE(D917, ""[0-9]+[a-f]?\."", """"))"),"Combien payez-vous par jour pour que les gens travaillent dans cette entreprise (en CFA) ?")</f>
        <v>Combien payez-vous par jour pour que les gens travaillent dans cette entreprise (en CFA) ?</v>
      </c>
      <c r="I917" s="188" t="str">
        <f>IFERROR(__xludf.DUMMYFUNCTION("TRIM(REGEXREPLACE(E917, ""[0-9]+[a-f]?\."", """"))"),"Nawa kuke biyan su a wuni (a sefa) ?")</f>
        <v>Nawa kuke biyan su a wuni (a sefa) ?</v>
      </c>
      <c r="J917" s="188" t="s">
        <v>6875</v>
      </c>
      <c r="K917" s="188" t="s">
        <v>6876</v>
      </c>
      <c r="L917" s="188" t="s">
        <v>6878</v>
      </c>
    </row>
    <row r="918" hidden="1">
      <c r="A918" s="320"/>
      <c r="B918" s="321"/>
      <c r="C918" s="190"/>
      <c r="D918" s="190"/>
      <c r="E918" s="190"/>
    </row>
    <row r="919" hidden="1">
      <c r="A919" s="305" t="s">
        <v>385</v>
      </c>
      <c r="B919" s="223" t="s">
        <v>6879</v>
      </c>
      <c r="C919" s="190" t="s">
        <v>6880</v>
      </c>
      <c r="D919" s="190"/>
      <c r="E919" s="190"/>
      <c r="F919" s="195">
        <v>570.0</v>
      </c>
      <c r="G919" s="188" t="str">
        <f>IFERROR(__xludf.DUMMYFUNCTION("TRIM(REGEXREPLACE(C919, ""[0-9]+[a-f]?\."", """"))"),"Members in Business")</f>
        <v>Members in Business</v>
      </c>
      <c r="H919" s="188" t="str">
        <f>IFERROR(__xludf.DUMMYFUNCTION("TRIM(REGEXREPLACE(D919, ""[0-9]+[a-f]?\."", """"))"),"")</f>
        <v/>
      </c>
      <c r="I919" s="188" t="str">
        <f>IFERROR(__xludf.DUMMYFUNCTION("TRIM(REGEXREPLACE(E919, ""[0-9]+[a-f]?\."", """"))"),"")</f>
        <v/>
      </c>
      <c r="J919" s="188" t="s">
        <v>6881</v>
      </c>
      <c r="K919" s="188" t="s">
        <v>6882</v>
      </c>
      <c r="L919" s="188" t="s">
        <v>6884</v>
      </c>
    </row>
    <row r="920" hidden="1">
      <c r="A920" s="221" t="s">
        <v>112</v>
      </c>
      <c r="B920" s="198" t="s">
        <v>6885</v>
      </c>
      <c r="C920" s="190"/>
      <c r="D920" s="190"/>
      <c r="E920" s="190"/>
    </row>
    <row r="921" hidden="1">
      <c r="A921" s="221" t="s">
        <v>112</v>
      </c>
      <c r="B921" s="198" t="s">
        <v>6886</v>
      </c>
      <c r="C921" s="190"/>
      <c r="D921" s="190"/>
      <c r="E921" s="190"/>
      <c r="F921" s="195">
        <v>286.0</v>
      </c>
      <c r="G921" s="188" t="str">
        <f>IFERROR(__xludf.DUMMYFUNCTION("TRIM(REGEXREPLACE(C921, ""[0-9]+[a-f]?\."", """"))"),"")</f>
        <v/>
      </c>
      <c r="H921" s="188" t="str">
        <f>IFERROR(__xludf.DUMMYFUNCTION("TRIM(REGEXREPLACE(D921, ""[0-9]+[a-f]?\."", """"))"),"")</f>
        <v/>
      </c>
      <c r="I921" s="188" t="str">
        <f>IFERROR(__xludf.DUMMYFUNCTION("TRIM(REGEXREPLACE(E921, ""[0-9]+[a-f]?\."", """"))"),"")</f>
        <v/>
      </c>
      <c r="J921" s="188" t="str">
        <f t="shared" ref="J921:L921" si="106">$F921 &amp; ". "&amp;G921</f>
        <v>286. </v>
      </c>
      <c r="K921" s="188" t="str">
        <f t="shared" si="106"/>
        <v>286. </v>
      </c>
      <c r="L921" s="188" t="str">
        <f t="shared" si="106"/>
        <v>286. </v>
      </c>
    </row>
    <row r="922" hidden="1">
      <c r="A922" s="221" t="s">
        <v>112</v>
      </c>
      <c r="B922" s="198" t="s">
        <v>6889</v>
      </c>
      <c r="C922" s="190"/>
      <c r="D922" s="190"/>
      <c r="E922" s="190"/>
    </row>
    <row r="923">
      <c r="A923" s="306" t="s">
        <v>247</v>
      </c>
      <c r="B923" s="307" t="s">
        <v>6892</v>
      </c>
      <c r="C923" s="190" t="s">
        <v>6893</v>
      </c>
      <c r="D923" s="190" t="s">
        <v>6894</v>
      </c>
      <c r="E923" s="190" t="s">
        <v>6895</v>
      </c>
      <c r="F923" s="195">
        <v>489.0</v>
      </c>
      <c r="G923" s="188" t="str">
        <f>IFERROR(__xludf.DUMMYFUNCTION("TRIM(REGEXREPLACE(C923, ""[0-9]+[a-f]?\."", """"))"),"In a typical week during the past six months, how many days did ${hoh_biz_name} work in the household business?")</f>
        <v>In a typical week during the past six months, how many days did ${hoh_biz_name} work in the household business?</v>
      </c>
      <c r="H923" s="188" t="str">
        <f>IFERROR(__xludf.DUMMYFUNCTION("TRIM(REGEXREPLACE(D923, ""[0-9]+[a-f]?\."", """"))"),"Au cours d'une semaine normale dans les six derniers mois, combien de jours ${hoh_biz_name} a-t-il travaillé dans l'entreprise familiale ?")</f>
        <v>Au cours d'une semaine normale dans les six derniers mois, combien de jours ${hoh_biz_name} a-t-il travaillé dans l'entreprise familiale ?</v>
      </c>
      <c r="I923" s="188" t="str">
        <f>IFERROR(__xludf.DUMMYFUNCTION("TRIM(REGEXREPLACE(E923, ""[0-9]+[a-f]?\."", """"))"),"A cikin mako guda a cikin watanni shida da suka gabata, kwanaki nawa ${hoh_biz_name} yayi aiki a cikin kasuwancin gida?")</f>
        <v>A cikin mako guda a cikin watanni shida da suka gabata, kwanaki nawa ${hoh_biz_name} yayi aiki a cikin kasuwancin gida?</v>
      </c>
      <c r="J923" s="188" t="s">
        <v>6896</v>
      </c>
      <c r="K923" s="188" t="s">
        <v>6897</v>
      </c>
      <c r="L923" s="188" t="s">
        <v>6898</v>
      </c>
    </row>
    <row r="924" hidden="1">
      <c r="A924" s="305" t="s">
        <v>450</v>
      </c>
      <c r="B924" s="224" t="s">
        <v>6879</v>
      </c>
      <c r="C924" s="190" t="s">
        <v>6880</v>
      </c>
      <c r="D924" s="190"/>
      <c r="E924" s="190"/>
      <c r="F924" s="195">
        <v>287.0</v>
      </c>
      <c r="G924" s="188" t="str">
        <f>IFERROR(__xludf.DUMMYFUNCTION("TRIM(REGEXREPLACE(C924, ""[0-9]+[a-f]?\."", """"))"),"Members in Business")</f>
        <v>Members in Business</v>
      </c>
      <c r="H924" s="188" t="str">
        <f>IFERROR(__xludf.DUMMYFUNCTION("TRIM(REGEXREPLACE(D924, ""[0-9]+[a-f]?\."", """"))"),"")</f>
        <v/>
      </c>
      <c r="I924" s="188" t="str">
        <f>IFERROR(__xludf.DUMMYFUNCTION("TRIM(REGEXREPLACE(E924, ""[0-9]+[a-f]?\."", """"))"),"")</f>
        <v/>
      </c>
      <c r="J924" s="188" t="str">
        <f t="shared" ref="J924:L924" si="107">$F924 &amp; ". "&amp;G924</f>
        <v>287. Members in Business</v>
      </c>
      <c r="K924" s="188" t="str">
        <f t="shared" si="107"/>
        <v>287. </v>
      </c>
      <c r="L924" s="188" t="str">
        <f t="shared" si="107"/>
        <v>287. </v>
      </c>
    </row>
    <row r="925" hidden="1">
      <c r="A925" s="221" t="s">
        <v>256</v>
      </c>
      <c r="B925" s="198" t="s">
        <v>6899</v>
      </c>
      <c r="C925" s="190"/>
      <c r="D925" s="190"/>
      <c r="E925" s="190"/>
    </row>
    <row r="926" hidden="1">
      <c r="A926" s="221" t="s">
        <v>112</v>
      </c>
      <c r="B926" s="198" t="s">
        <v>6900</v>
      </c>
      <c r="C926" s="190"/>
      <c r="D926" s="190"/>
      <c r="E926" s="190"/>
      <c r="F926" s="195">
        <v>288.0</v>
      </c>
      <c r="G926" s="188" t="str">
        <f>IFERROR(__xludf.DUMMYFUNCTION("TRIM(REGEXREPLACE(C926, ""[0-9]+[a-f]?\."", """"))"),"")</f>
        <v/>
      </c>
      <c r="H926" s="188" t="str">
        <f>IFERROR(__xludf.DUMMYFUNCTION("TRIM(REGEXREPLACE(D926, ""[0-9]+[a-f]?\."", """"))"),"")</f>
        <v/>
      </c>
      <c r="I926" s="188" t="str">
        <f>IFERROR(__xludf.DUMMYFUNCTION("TRIM(REGEXREPLACE(E926, ""[0-9]+[a-f]?\."", """"))"),"")</f>
        <v/>
      </c>
      <c r="J926" s="188" t="str">
        <f t="shared" ref="J926:L926" si="108">$F926 &amp; ". "&amp;G926</f>
        <v>288. </v>
      </c>
      <c r="K926" s="188" t="str">
        <f t="shared" si="108"/>
        <v>288. </v>
      </c>
      <c r="L926" s="188" t="str">
        <f t="shared" si="108"/>
        <v>288. </v>
      </c>
    </row>
    <row r="927">
      <c r="A927" s="306" t="s">
        <v>247</v>
      </c>
      <c r="B927" s="307" t="s">
        <v>6901</v>
      </c>
      <c r="C927" s="190" t="s">
        <v>6902</v>
      </c>
      <c r="D927" s="190" t="s">
        <v>6903</v>
      </c>
      <c r="E927" s="190" t="s">
        <v>6904</v>
      </c>
      <c r="F927" s="195">
        <v>490.0</v>
      </c>
      <c r="G927" s="188" t="str">
        <f>IFERROR(__xludf.DUMMYFUNCTION("TRIM(REGEXREPLACE(C927, ""[0-9]+[a-f]?\."", """"))"),"Thinking about all of the revenues from this business in the past six months, what was the total amount of money coming in from this business in the last six months?")</f>
        <v>Thinking about all of the revenues from this business in the past six months, what was the total amount of money coming in from this business in the last six months?</v>
      </c>
      <c r="H927" s="188" t="str">
        <f>IFERROR(__xludf.DUMMYFUNCTION("TRIM(REGEXREPLACE(D927, ""[0-9]+[a-f]?\."", """"))"),"En considérant tous les revenus de cette entreprise au cours des six derniers mois, quel a été le montant total des rentrées d'argent provenant de cette entreprise au cours des six derniers mois ?")</f>
        <v>En considérant tous les revenus de cette entreprise au cours des six derniers mois, quel a été le montant total des rentrées d'argent provenant de cette entreprise au cours des six derniers mois ?</v>
      </c>
      <c r="I927" s="188" t="str">
        <f>IFERROR(__xludf.DUMMYFUNCTION("TRIM(REGEXREPLACE(E927, ""[0-9]+[a-f]?\."", """"))"),"Idan aka yi la’akari da dukkan kuɗaɗen shiga da aka samu daga wannan sana’ar a cikin watanni shida da suka gabata, nawa ne yawan kuɗaɗen da aka samu daga wannan sana’ar a cikin watanni shida da suka gabata?")</f>
        <v>Idan aka yi la’akari da dukkan kuɗaɗen shiga da aka samu daga wannan sana’ar a cikin watanni shida da suka gabata, nawa ne yawan kuɗaɗen da aka samu daga wannan sana’ar a cikin watanni shida da suka gabata?</v>
      </c>
      <c r="J927" s="188" t="s">
        <v>6906</v>
      </c>
      <c r="K927" s="188" t="s">
        <v>6907</v>
      </c>
      <c r="L927" s="188" t="s">
        <v>6908</v>
      </c>
    </row>
    <row r="928">
      <c r="A928" s="306" t="s">
        <v>247</v>
      </c>
      <c r="B928" s="307" t="s">
        <v>6909</v>
      </c>
      <c r="C928" s="190" t="s">
        <v>6910</v>
      </c>
      <c r="D928" s="190" t="s">
        <v>6911</v>
      </c>
      <c r="E928" s="190" t="s">
        <v>6912</v>
      </c>
      <c r="F928" s="195">
        <v>491.0</v>
      </c>
      <c r="G928" s="188" t="str">
        <f>IFERROR(__xludf.DUMMYFUNCTION("TRIM(REGEXREPLACE(C928, ""[0-9]+[a-f]?\."", """"))"),"Thinking about all of the the expenses from this business, what was the total amount of money you spent on costs related to this business in the last six months?")</f>
        <v>Thinking about all of the the expenses from this business, what was the total amount of money you spent on costs related to this business in the last six months?</v>
      </c>
      <c r="H928" s="188" t="str">
        <f>IFERROR(__xludf.DUMMYFUNCTION("TRIM(REGEXREPLACE(D928, ""[0-9]+[a-f]?\."", """"))"),"En considérant toutes les dépenses de cette entreprise, quel a été le montant total des dépenses liées à cette entreprise au cours des six derniers mois ?")</f>
        <v>En considérant toutes les dépenses de cette entreprise, quel a été le montant total des dépenses liées à cette entreprise au cours des six derniers mois ?</v>
      </c>
      <c r="I928" s="188" t="str">
        <f>IFERROR(__xludf.DUMMYFUNCTION("TRIM(REGEXREPLACE(E928, ""[0-9]+[a-f]?\."", """"))"),"Idan aka yi la’akari da duk abin da aka kashe daga wannan kasuwancin, nawa ne jimlar kuɗin da kuka kashe akan farashi mai alaƙa da wannan kasuwancin a cikin watanni shida da suka gabata?")</f>
        <v>Idan aka yi la’akari da duk abin da aka kashe daga wannan kasuwancin, nawa ne jimlar kuɗin da kuka kashe akan farashi mai alaƙa da wannan kasuwancin a cikin watanni shida da suka gabata?</v>
      </c>
      <c r="J928" s="188" t="s">
        <v>6913</v>
      </c>
      <c r="K928" s="188" t="s">
        <v>6914</v>
      </c>
      <c r="L928" s="188" t="s">
        <v>6915</v>
      </c>
    </row>
    <row r="929" hidden="1">
      <c r="A929" s="221" t="s">
        <v>112</v>
      </c>
      <c r="B929" s="198" t="s">
        <v>6916</v>
      </c>
      <c r="C929" s="190"/>
      <c r="D929" s="190"/>
      <c r="E929" s="190"/>
      <c r="F929" s="195">
        <v>289.0</v>
      </c>
      <c r="G929" s="188" t="str">
        <f>IFERROR(__xludf.DUMMYFUNCTION("TRIM(REGEXREPLACE(C929, ""[0-9]+[a-f]?\."", """"))"),"")</f>
        <v/>
      </c>
      <c r="H929" s="188" t="str">
        <f>IFERROR(__xludf.DUMMYFUNCTION("TRIM(REGEXREPLACE(D929, ""[0-9]+[a-f]?\."", """"))"),"")</f>
        <v/>
      </c>
      <c r="I929" s="188" t="str">
        <f>IFERROR(__xludf.DUMMYFUNCTION("TRIM(REGEXREPLACE(E929, ""[0-9]+[a-f]?\."", """"))"),"")</f>
        <v/>
      </c>
      <c r="J929" s="188" t="str">
        <f t="shared" ref="J929:L929" si="109">$F929 &amp; ". "&amp;G929</f>
        <v>289. </v>
      </c>
      <c r="K929" s="188" t="str">
        <f t="shared" si="109"/>
        <v>289. </v>
      </c>
      <c r="L929" s="188" t="str">
        <f t="shared" si="109"/>
        <v>289. </v>
      </c>
    </row>
    <row r="930">
      <c r="A930" s="299" t="s">
        <v>1060</v>
      </c>
      <c r="B930" s="300" t="s">
        <v>6919</v>
      </c>
      <c r="C930" s="190" t="s">
        <v>6920</v>
      </c>
      <c r="D930" s="190" t="s">
        <v>6921</v>
      </c>
      <c r="E930" s="190" t="s">
        <v>6922</v>
      </c>
      <c r="F930" s="195">
        <v>492.0</v>
      </c>
      <c r="G930" s="188" t="str">
        <f>IFERROR(__xludf.DUMMYFUNCTION("TRIM(REGEXREPLACE(C930, ""[0-9]+[a-f]?\."", """"))"),"Thinking about all the revenue and expense related to this business during the past six months, you said that the net income from this business for your household is ${hoh_biz_income}. Is that correct?")</f>
        <v>Thinking about all the revenue and expense related to this business during the past six months, you said that the net income from this business for your household is ${hoh_biz_income}. Is that correct?</v>
      </c>
      <c r="H930" s="188" t="str">
        <f>IFERROR(__xludf.DUMMYFUNCTION("TRIM(REGEXREPLACE(D930, ""[0-9]+[a-f]?\."", """"))"),"En considérant tous les revenus et dépenses liés à cette entreprise au cours des six derniers mois, vous avez indiqué que le revenu net de votre menage s'élevait à ${hoh_biz_income}. Est-ce exact ?")</f>
        <v>En considérant tous les revenus et dépenses liés à cette entreprise au cours des six derniers mois, vous avez indiqué que le revenu net de votre menage s'élevait à ${hoh_biz_income}. Est-ce exact ?</v>
      </c>
      <c r="I930" s="188" t="str">
        <f>IFERROR(__xludf.DUMMYFUNCTION("TRIM(REGEXREPLACE(E930, ""[0-9]+[a-f]?\."", """"))"),"Idan aka yi la'akari da duk kuɗaɗen shiga da kashewa da suka shafi wannan kasuwancin a cikin watanni shida da suka gabata, kun ce yawan kuɗin da aka samu daga wannan kasuwancin na gidan ku shine ${hoh_biz_income}. Shin hakan daidai ne?")</f>
        <v>Idan aka yi la'akari da duk kuɗaɗen shiga da kashewa da suka shafi wannan kasuwancin a cikin watanni shida da suka gabata, kun ce yawan kuɗin da aka samu daga wannan kasuwancin na gidan ku shine ${hoh_biz_income}. Shin hakan daidai ne?</v>
      </c>
      <c r="J930" s="188" t="s">
        <v>6923</v>
      </c>
      <c r="K930" s="188" t="s">
        <v>6924</v>
      </c>
      <c r="L930" s="188" t="s">
        <v>6925</v>
      </c>
    </row>
    <row r="931">
      <c r="A931" s="297" t="s">
        <v>46</v>
      </c>
      <c r="B931" s="298" t="s">
        <v>6926</v>
      </c>
      <c r="C931" s="282" t="s">
        <v>6927</v>
      </c>
      <c r="D931" s="282" t="s">
        <v>6928</v>
      </c>
      <c r="E931" s="282" t="s">
        <v>6929</v>
      </c>
      <c r="F931" s="195">
        <v>493.0</v>
      </c>
      <c r="G931" s="188" t="str">
        <f>IFERROR(__xludf.DUMMYFUNCTION("TRIM(REGEXREPLACE(C931, ""[0-9]+[a-f]?\."", """"))"),"We have discussed work done by members of your household in husbandry, in a business owned by your family.")</f>
        <v>We have discussed work done by members of your household in husbandry, in a business owned by your family.</v>
      </c>
      <c r="H931" s="188" t="str">
        <f>IFERROR(__xludf.DUMMYFUNCTION("TRIM(REGEXREPLACE(D931, ""[0-9]+[a-f]?\."", """"))"),"Nous avons discuté du travail effectué par les membres de votre ménage dans l'élevage, dans une entreprise appartenant à votre famille.")</f>
        <v>Nous avons discuté du travail effectué par les membres de votre ménage dans l'élevage, dans une entreprise appartenant à votre famille.</v>
      </c>
      <c r="I931" s="188" t="str">
        <f>IFERROR(__xludf.DUMMYFUNCTION("TRIM(REGEXREPLACE(E931, ""[0-9]+[a-f]?\."", """"))"),"Mun tattauna bisa ayyukan da ƴan gidanku suka yi a harakar kiwo, kasuwancin da ƴan gidanku suka mallaka.")</f>
        <v>Mun tattauna bisa ayyukan da ƴan gidanku suka yi a harakar kiwo, kasuwancin da ƴan gidanku suka mallaka.</v>
      </c>
      <c r="J931" s="188" t="s">
        <v>6930</v>
      </c>
      <c r="K931" s="188" t="s">
        <v>6931</v>
      </c>
      <c r="L931" s="188" t="s">
        <v>6932</v>
      </c>
    </row>
    <row r="932" hidden="1">
      <c r="A932" s="221" t="s">
        <v>256</v>
      </c>
      <c r="B932" s="198" t="s">
        <v>6933</v>
      </c>
      <c r="C932" s="190"/>
      <c r="D932" s="190"/>
      <c r="E932" s="190"/>
      <c r="F932" s="195">
        <v>290.0</v>
      </c>
      <c r="G932" s="188" t="str">
        <f>IFERROR(__xludf.DUMMYFUNCTION("TRIM(REGEXREPLACE(C932, ""[0-9]+[a-f]?\."", """"))"),"")</f>
        <v/>
      </c>
      <c r="H932" s="188" t="str">
        <f>IFERROR(__xludf.DUMMYFUNCTION("TRIM(REGEXREPLACE(D932, ""[0-9]+[a-f]?\."", """"))"),"")</f>
        <v/>
      </c>
      <c r="I932" s="188" t="str">
        <f>IFERROR(__xludf.DUMMYFUNCTION("TRIM(REGEXREPLACE(E932, ""[0-9]+[a-f]?\."", """"))"),"")</f>
        <v/>
      </c>
      <c r="J932" s="188" t="str">
        <f t="shared" ref="J932:L932" si="110">$F932 &amp; ". "&amp;G932</f>
        <v>290. </v>
      </c>
      <c r="K932" s="188" t="str">
        <f t="shared" si="110"/>
        <v>290. </v>
      </c>
      <c r="L932" s="188" t="str">
        <f t="shared" si="110"/>
        <v>290. </v>
      </c>
    </row>
    <row r="933" hidden="1">
      <c r="A933" s="305" t="s">
        <v>385</v>
      </c>
      <c r="B933" s="223" t="s">
        <v>6934</v>
      </c>
      <c r="C933" s="190" t="s">
        <v>6935</v>
      </c>
      <c r="D933" s="190" t="s">
        <v>6936</v>
      </c>
      <c r="E933" s="190" t="s">
        <v>6937</v>
      </c>
      <c r="F933" s="195">
        <v>291.0</v>
      </c>
      <c r="G933" s="188" t="str">
        <f>IFERROR(__xludf.DUMMYFUNCTION("TRIM(REGEXREPLACE(C933, ""[0-9]+[a-f]?\."", """"))"),"Outside Activities")</f>
        <v>Outside Activities</v>
      </c>
      <c r="H933" s="188" t="str">
        <f>IFERROR(__xludf.DUMMYFUNCTION("TRIM(REGEXREPLACE(D933, ""[0-9]+[a-f]?\."", """"))"),"Activités extérieures")</f>
        <v>Activités extérieures</v>
      </c>
      <c r="I933" s="188" t="str">
        <f>IFERROR(__xludf.DUMMYFUNCTION("TRIM(REGEXREPLACE(E933, ""[0-9]+[a-f]?\."", """"))"),"Ayyukan da ba na gida ba")</f>
        <v>Ayyukan da ba na gida ba</v>
      </c>
      <c r="J933" s="188" t="str">
        <f t="shared" ref="J933:L933" si="111">$F933 &amp; ". "&amp;G933</f>
        <v>291. Outside Activities</v>
      </c>
      <c r="K933" s="188" t="str">
        <f t="shared" si="111"/>
        <v>291. Activités extérieures</v>
      </c>
      <c r="L933" s="188" t="str">
        <f t="shared" si="111"/>
        <v>291. Ayyukan da ba na gida ba</v>
      </c>
    </row>
    <row r="934" hidden="1">
      <c r="A934" s="221" t="s">
        <v>112</v>
      </c>
      <c r="B934" s="198" t="s">
        <v>6938</v>
      </c>
      <c r="C934" s="190"/>
      <c r="D934" s="190"/>
      <c r="E934" s="190"/>
      <c r="F934" s="195">
        <v>292.0</v>
      </c>
      <c r="G934" s="188" t="str">
        <f>IFERROR(__xludf.DUMMYFUNCTION("TRIM(REGEXREPLACE(C934, ""[0-9]+[a-f]?\."", """"))"),"")</f>
        <v/>
      </c>
      <c r="H934" s="188" t="str">
        <f>IFERROR(__xludf.DUMMYFUNCTION("TRIM(REGEXREPLACE(D934, ""[0-9]+[a-f]?\."", """"))"),"")</f>
        <v/>
      </c>
      <c r="I934" s="188" t="str">
        <f>IFERROR(__xludf.DUMMYFUNCTION("TRIM(REGEXREPLACE(E934, ""[0-9]+[a-f]?\."", """"))"),"")</f>
        <v/>
      </c>
      <c r="J934" s="188" t="str">
        <f t="shared" ref="J934:L934" si="112">$F934 &amp; ". "&amp;G934</f>
        <v>292. </v>
      </c>
      <c r="K934" s="188" t="str">
        <f t="shared" si="112"/>
        <v>292. </v>
      </c>
      <c r="L934" s="188" t="str">
        <f t="shared" si="112"/>
        <v>292. </v>
      </c>
    </row>
    <row r="935" hidden="1">
      <c r="A935" s="221" t="s">
        <v>112</v>
      </c>
      <c r="B935" s="198" t="s">
        <v>6939</v>
      </c>
      <c r="C935" s="190"/>
      <c r="D935" s="190"/>
      <c r="E935" s="190"/>
      <c r="F935" s="195">
        <v>293.0</v>
      </c>
      <c r="G935" s="188" t="str">
        <f>IFERROR(__xludf.DUMMYFUNCTION("TRIM(REGEXREPLACE(C935, ""[0-9]+[a-f]?\."", """"))"),"")</f>
        <v/>
      </c>
      <c r="H935" s="188" t="str">
        <f>IFERROR(__xludf.DUMMYFUNCTION("TRIM(REGEXREPLACE(D935, ""[0-9]+[a-f]?\."", """"))"),"")</f>
        <v/>
      </c>
      <c r="I935" s="188" t="str">
        <f>IFERROR(__xludf.DUMMYFUNCTION("TRIM(REGEXREPLACE(E935, ""[0-9]+[a-f]?\."", """"))"),"")</f>
        <v/>
      </c>
      <c r="J935" s="188" t="str">
        <f t="shared" ref="J935:L935" si="113">$F935 &amp; ". "&amp;G935</f>
        <v>293. </v>
      </c>
      <c r="K935" s="188" t="str">
        <f t="shared" si="113"/>
        <v>293. </v>
      </c>
      <c r="L935" s="188" t="str">
        <f t="shared" si="113"/>
        <v>293. </v>
      </c>
    </row>
    <row r="936">
      <c r="A936" s="299" t="s">
        <v>1060</v>
      </c>
      <c r="B936" s="300" t="s">
        <v>6940</v>
      </c>
      <c r="C936" s="190" t="s">
        <v>6941</v>
      </c>
      <c r="D936" s="190" t="s">
        <v>6942</v>
      </c>
      <c r="E936" s="190" t="s">
        <v>6943</v>
      </c>
      <c r="F936" s="195">
        <v>494.0</v>
      </c>
      <c r="G936" s="188" t="str">
        <f>IFERROR(__xludf.DUMMYFUNCTION("TRIM(REGEXREPLACE(C936, ""[0-9]+[a-f]?\."", """"))"),"In the past six months, did ${hoh_member_act_name} earn money from any other activity?")</f>
        <v>In the past six months, did ${hoh_member_act_name} earn money from any other activity?</v>
      </c>
      <c r="H936" s="188" t="str">
        <f>IFERROR(__xludf.DUMMYFUNCTION("TRIM(REGEXREPLACE(D936, ""[0-9]+[a-f]?\."", """"))"),"Au cours des six derniers mois, ${hoh_member_act_name} a-t-il gagné de l'argent grâce à une autre activité ?")</f>
        <v>Au cours des six derniers mois, ${hoh_member_act_name} a-t-il gagné de l'argent grâce à une autre activité ?</v>
      </c>
      <c r="I936" s="188" t="str">
        <f>IFERROR(__xludf.DUMMYFUNCTION("TRIM(REGEXREPLACE(E936, ""[0-9]+[a-f]?\."", """"))"),"A cikin watanni shida da suka gabata, ${hoh_member_act_name} ya sami kuɗi daga wani aiki daban ?")</f>
        <v>A cikin watanni shida da suka gabata, ${hoh_member_act_name} ya sami kuɗi daga wani aiki daban ?</v>
      </c>
      <c r="J936" s="188" t="s">
        <v>6944</v>
      </c>
      <c r="K936" s="188" t="s">
        <v>6945</v>
      </c>
      <c r="L936" s="188" t="s">
        <v>6946</v>
      </c>
    </row>
    <row r="937">
      <c r="A937" s="299" t="s">
        <v>6837</v>
      </c>
      <c r="B937" s="300" t="s">
        <v>6947</v>
      </c>
      <c r="C937" s="190" t="s">
        <v>6948</v>
      </c>
      <c r="D937" s="190" t="s">
        <v>6949</v>
      </c>
      <c r="E937" s="190" t="s">
        <v>6950</v>
      </c>
      <c r="F937" s="195">
        <v>495.0</v>
      </c>
      <c r="G937" s="188" t="str">
        <f>IFERROR(__xludf.DUMMYFUNCTION("TRIM(REGEXREPLACE(C937, ""[0-9]+[a-f]?\."", """"))"),"What was the activity?")</f>
        <v>What was the activity?</v>
      </c>
      <c r="H937" s="188" t="str">
        <f>IFERROR(__xludf.DUMMYFUNCTION("TRIM(REGEXREPLACE(D937, ""[0-9]+[a-f]?\."", """"))"),"Quelle était l'activité ?")</f>
        <v>Quelle était l'activité ?</v>
      </c>
      <c r="I937" s="188" t="str">
        <f>IFERROR(__xludf.DUMMYFUNCTION("TRIM(REGEXREPLACE(E937, ""[0-9]+[a-f]?\."", """"))"),"Menene aikin?")</f>
        <v>Menene aikin?</v>
      </c>
      <c r="J937" s="188" t="s">
        <v>6951</v>
      </c>
      <c r="K937" s="188" t="s">
        <v>6952</v>
      </c>
      <c r="L937" s="188" t="s">
        <v>6953</v>
      </c>
    </row>
    <row r="938">
      <c r="A938" s="301" t="s">
        <v>220</v>
      </c>
      <c r="B938" s="302" t="s">
        <v>6954</v>
      </c>
      <c r="C938" s="190" t="s">
        <v>6955</v>
      </c>
      <c r="D938" s="190" t="s">
        <v>6956</v>
      </c>
      <c r="E938" s="190" t="s">
        <v>6957</v>
      </c>
      <c r="F938" s="195">
        <v>496.0</v>
      </c>
      <c r="G938" s="188" t="str">
        <f>IFERROR(__xludf.DUMMYFUNCTION("TRIM(REGEXREPLACE(C938, ""[0-9]+[a-f]?\."", """"))"),"Specify the activity")</f>
        <v>Specify the activity</v>
      </c>
      <c r="H938" s="188" t="str">
        <f>IFERROR(__xludf.DUMMYFUNCTION("TRIM(REGEXREPLACE(D938, ""[0-9]+[a-f]?\."", """"))"),"Précisez l'activité")</f>
        <v>Précisez l'activité</v>
      </c>
      <c r="I938" s="188" t="str">
        <f>IFERROR(__xludf.DUMMYFUNCTION("TRIM(REGEXREPLACE(E938, ""[0-9]+[a-f]?\."", """"))"),"Baiyana aikin")</f>
        <v>Baiyana aikin</v>
      </c>
      <c r="J938" s="188" t="s">
        <v>6958</v>
      </c>
      <c r="K938" s="188" t="s">
        <v>6959</v>
      </c>
      <c r="L938" s="188" t="s">
        <v>6960</v>
      </c>
    </row>
    <row r="939" hidden="1">
      <c r="A939" s="221" t="s">
        <v>112</v>
      </c>
      <c r="B939" s="198" t="s">
        <v>6961</v>
      </c>
      <c r="C939" s="190"/>
      <c r="D939" s="190"/>
      <c r="E939" s="190"/>
      <c r="F939" s="195">
        <v>583.0</v>
      </c>
      <c r="G939" s="188" t="str">
        <f>IFERROR(__xludf.DUMMYFUNCTION("TRIM(REGEXREPLACE(C939, ""[0-9]+[a-f]?\."", """"))"),"")</f>
        <v/>
      </c>
      <c r="H939" s="188" t="str">
        <f>IFERROR(__xludf.DUMMYFUNCTION("TRIM(REGEXREPLACE(D939, ""[0-9]+[a-f]?\."", """"))"),"")</f>
        <v/>
      </c>
      <c r="I939" s="188" t="str">
        <f>IFERROR(__xludf.DUMMYFUNCTION("TRIM(REGEXREPLACE(E939, ""[0-9]+[a-f]?\."", """"))"),"")</f>
        <v/>
      </c>
      <c r="J939" s="188" t="s">
        <v>6962</v>
      </c>
      <c r="K939" s="188" t="s">
        <v>6963</v>
      </c>
      <c r="L939" s="188" t="s">
        <v>6964</v>
      </c>
    </row>
    <row r="940">
      <c r="A940" s="306" t="s">
        <v>247</v>
      </c>
      <c r="B940" s="307" t="s">
        <v>6965</v>
      </c>
      <c r="C940" s="190" t="s">
        <v>6966</v>
      </c>
      <c r="D940" s="190" t="s">
        <v>6967</v>
      </c>
      <c r="E940" s="190" t="s">
        <v>6968</v>
      </c>
      <c r="F940" s="195">
        <v>497.0</v>
      </c>
      <c r="G940" s="188" t="str">
        <f>IFERROR(__xludf.DUMMYFUNCTION("TRIM(REGEXREPLACE(C940,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940" s="188" t="str">
        <f>IFERROR(__xludf.DUMMYFUNCTION("TRIM(REGEXREPLACE(D940,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940" s="188" t="str">
        <f>IFERROR(__xludf.DUMMYFUNCTION("TRIM(REGEXREPLACE(E940,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940" s="188" t="s">
        <v>6970</v>
      </c>
      <c r="K940" s="188" t="s">
        <v>6971</v>
      </c>
      <c r="L940" s="188" t="s">
        <v>6972</v>
      </c>
    </row>
    <row r="941">
      <c r="A941" s="306" t="s">
        <v>247</v>
      </c>
      <c r="B941" s="307" t="s">
        <v>6973</v>
      </c>
      <c r="C941" s="190" t="s">
        <v>6974</v>
      </c>
      <c r="D941" s="190" t="s">
        <v>6975</v>
      </c>
      <c r="E941" s="190" t="s">
        <v>6976</v>
      </c>
      <c r="F941" s="195">
        <v>498.0</v>
      </c>
      <c r="G941" s="188" t="str">
        <f>IFERROR(__xludf.DUMMYFUNCTION("TRIM(REGEXREPLACE(C941, ""[0-9]+[a-f]?\."", """"))"),"Think about the past six months how many weeks did they engage in ${hoh_member_other_activity_name}?")</f>
        <v>Think about the past six months how many weeks did they engage in ${hoh_member_other_activity_name}?</v>
      </c>
      <c r="H941" s="188" t="str">
        <f>IFERROR(__xludf.DUMMYFUNCTION("TRIM(REGEXREPLACE(D941, ""[0-9]+[a-f]?\."", """"))"),"Pensez aux six derniers mois, combien de semaines ont-ils consacrées à ${hoh_member_other_activity_name} ?")</f>
        <v>Pensez aux six derniers mois, combien de semaines ont-ils consacrées à ${hoh_member_other_activity_name} ?</v>
      </c>
      <c r="I941" s="188" t="str">
        <f>IFERROR(__xludf.DUMMYFUNCTION("TRIM(REGEXREPLACE(E941, ""[0-9]+[a-f]?\."", """"))"),"Ku tuna da lokacin da ${hoh_member_other_activity_name} a watanni shida da suka gabata tsawon makonni nawa suka yi wannan aikin ?")</f>
        <v>Ku tuna da lokacin da ${hoh_member_other_activity_name} a watanni shida da suka gabata tsawon makonni nawa suka yi wannan aikin ?</v>
      </c>
      <c r="J941" s="188" t="s">
        <v>6977</v>
      </c>
      <c r="K941" s="188" t="s">
        <v>6978</v>
      </c>
      <c r="L941" s="188" t="s">
        <v>6979</v>
      </c>
    </row>
    <row r="942">
      <c r="A942" s="306" t="s">
        <v>247</v>
      </c>
      <c r="B942" s="307" t="s">
        <v>6980</v>
      </c>
      <c r="C942" s="190" t="s">
        <v>6981</v>
      </c>
      <c r="D942" s="190" t="s">
        <v>6982</v>
      </c>
      <c r="E942" s="190" t="s">
        <v>6983</v>
      </c>
      <c r="F942" s="195">
        <v>499.0</v>
      </c>
      <c r="G942" s="188" t="str">
        <f>IFERROR(__xludf.DUMMYFUNCTION("TRIM(REGEXREPLACE(C942,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942" s="188" t="str">
        <f>IFERROR(__xludf.DUMMYFUNCTION("TRIM(REGEXREPLACE(D942,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942" s="188" t="str">
        <f>IFERROR(__xludf.DUMMYFUNCTION("TRIM(REGEXREPLACE(E942, ""[0-9]+[a-f]?\."", """"))"),"Ko za ku iya kimanta gudunmawar kuɗi da kaya da ${hoh_member_act_name} ya kawo gidan a cikin sati guda (banda aiki)?")</f>
        <v>Ko za ku iya kimanta gudunmawar kuɗi da kaya da ${hoh_member_act_name} ya kawo gidan a cikin sati guda (banda aiki)?</v>
      </c>
      <c r="J942" s="188" t="s">
        <v>6984</v>
      </c>
      <c r="K942" s="188" t="s">
        <v>6985</v>
      </c>
      <c r="L942" s="188" t="s">
        <v>6986</v>
      </c>
    </row>
    <row r="943" hidden="1">
      <c r="A943" s="305" t="s">
        <v>450</v>
      </c>
      <c r="B943" s="224" t="s">
        <v>6934</v>
      </c>
      <c r="C943" s="190" t="s">
        <v>6935</v>
      </c>
      <c r="D943" s="190" t="s">
        <v>6936</v>
      </c>
      <c r="E943" s="190" t="s">
        <v>6937</v>
      </c>
      <c r="F943" s="195">
        <v>587.0</v>
      </c>
      <c r="G943" s="188" t="str">
        <f>IFERROR(__xludf.DUMMYFUNCTION("TRIM(REGEXREPLACE(C943, ""[0-9]+[a-f]?\."", """"))"),"Outside Activities")</f>
        <v>Outside Activities</v>
      </c>
      <c r="H943" s="188" t="str">
        <f>IFERROR(__xludf.DUMMYFUNCTION("TRIM(REGEXREPLACE(D943, ""[0-9]+[a-f]?\."", """"))"),"Activités extérieures")</f>
        <v>Activités extérieures</v>
      </c>
      <c r="I943" s="188" t="str">
        <f>IFERROR(__xludf.DUMMYFUNCTION("TRIM(REGEXREPLACE(E943, ""[0-9]+[a-f]?\."", """"))"),"Ayyukan da ba na gida ba")</f>
        <v>Ayyukan da ba na gida ba</v>
      </c>
      <c r="J943" s="188" t="s">
        <v>6987</v>
      </c>
      <c r="K943" s="188" t="s">
        <v>6988</v>
      </c>
      <c r="L943" s="188" t="s">
        <v>6989</v>
      </c>
    </row>
    <row r="944" hidden="1">
      <c r="A944" s="221" t="s">
        <v>256</v>
      </c>
      <c r="B944" s="198" t="s">
        <v>6990</v>
      </c>
      <c r="C944" s="190"/>
      <c r="D944" s="190"/>
      <c r="E944" s="190"/>
      <c r="F944" s="195">
        <v>588.0</v>
      </c>
      <c r="G944" s="188" t="str">
        <f>IFERROR(__xludf.DUMMYFUNCTION("TRIM(REGEXREPLACE(C944, ""[0-9]+[a-f]?\."", """"))"),"")</f>
        <v/>
      </c>
      <c r="H944" s="188" t="str">
        <f>IFERROR(__xludf.DUMMYFUNCTION("TRIM(REGEXREPLACE(D944, ""[0-9]+[a-f]?\."", """"))"),"")</f>
        <v/>
      </c>
      <c r="I944" s="188" t="str">
        <f>IFERROR(__xludf.DUMMYFUNCTION("TRIM(REGEXREPLACE(E944, ""[0-9]+[a-f]?\."", """"))"),"")</f>
        <v/>
      </c>
      <c r="J944" s="188" t="s">
        <v>6991</v>
      </c>
      <c r="K944" s="188" t="s">
        <v>6992</v>
      </c>
      <c r="L944" s="188" t="s">
        <v>6993</v>
      </c>
    </row>
    <row r="945" hidden="1">
      <c r="A945" s="221" t="s">
        <v>112</v>
      </c>
      <c r="B945" s="198" t="s">
        <v>6994</v>
      </c>
      <c r="C945" s="190"/>
      <c r="D945" s="190"/>
      <c r="E945" s="190"/>
    </row>
    <row r="946" hidden="1">
      <c r="A946" s="320"/>
      <c r="B946" s="321"/>
      <c r="C946" s="190"/>
      <c r="D946" s="190"/>
      <c r="E946" s="190"/>
    </row>
    <row r="947" hidden="1">
      <c r="A947" s="310" t="s">
        <v>278</v>
      </c>
      <c r="B947" s="311" t="s">
        <v>6995</v>
      </c>
      <c r="C947" s="190" t="s">
        <v>6996</v>
      </c>
      <c r="D947" s="190"/>
      <c r="E947" s="190"/>
    </row>
    <row r="948" hidden="1">
      <c r="A948" s="221" t="s">
        <v>256</v>
      </c>
      <c r="B948" s="198" t="s">
        <v>6997</v>
      </c>
      <c r="C948" s="190"/>
      <c r="D948" s="190"/>
      <c r="E948" s="190"/>
      <c r="F948" s="195">
        <v>589.0</v>
      </c>
      <c r="G948" s="188" t="str">
        <f>IFERROR(__xludf.DUMMYFUNCTION("TRIM(REGEXREPLACE(C948, ""[0-9]+[a-f]?\."", """"))"),"")</f>
        <v/>
      </c>
      <c r="H948" s="188" t="str">
        <f>IFERROR(__xludf.DUMMYFUNCTION("TRIM(REGEXREPLACE(D948, ""[0-9]+[a-f]?\."", """"))"),"")</f>
        <v/>
      </c>
      <c r="I948" s="188" t="str">
        <f>IFERROR(__xludf.DUMMYFUNCTION("TRIM(REGEXREPLACE(E948, ""[0-9]+[a-f]?\."", """"))"),"")</f>
        <v/>
      </c>
      <c r="J948" s="188" t="s">
        <v>6998</v>
      </c>
      <c r="K948" s="188" t="s">
        <v>6999</v>
      </c>
      <c r="L948" s="188" t="s">
        <v>7000</v>
      </c>
    </row>
    <row r="949">
      <c r="A949" s="199" t="s">
        <v>7001</v>
      </c>
      <c r="B949" s="147" t="s">
        <v>7002</v>
      </c>
      <c r="C949" s="147" t="s">
        <v>7003</v>
      </c>
      <c r="D949" s="147" t="s">
        <v>7004</v>
      </c>
      <c r="E949" s="147" t="s">
        <v>7006</v>
      </c>
      <c r="F949" s="195">
        <v>500.0</v>
      </c>
      <c r="G949" s="188" t="str">
        <f>IFERROR(__xludf.DUMMYFUNCTION("TRIM(REGEXREPLACE(C949, ""[0-9]+[a-f]?\."", """"))"),"Since Tabaski of last year (2024), has your household received money from ${pm_name} from locations outside your village through the following methods?")</f>
        <v>Since Tabaski of last year (2024), has your household received money from ${pm_name} from locations outside your village through the following methods?</v>
      </c>
      <c r="H949" s="188" t="str">
        <f>IFERROR(__xludf.DUMMYFUNCTION("TRIM(REGEXREPLACE(D949, ""[0-9]+[a-f]?\."", """"))"),"Depuis la Tabaski de l'année dernière (2024), votre menage a-t-il reçu de l'argent de ${pm_name} en dehors de votre village par les moyens suivants ?")</f>
        <v>Depuis la Tabaski de l'année dernière (2024), votre menage a-t-il reçu de l'argent de ${pm_name} en dehors de votre village par les moyens suivants ?</v>
      </c>
      <c r="I949" s="188" t="str">
        <f>IFERROR(__xludf.DUMMYFUNCTION("TRIM(REGEXREPLACE(E949, ""[0-9]+[a-f]?\."", """"))"),"Tun layya ta bara (2024), ko ƴan gidanku sun karɓi kuɗi daga ${pm_name} daga wajen ƙauyenku ta hanyoyi masu zuwa?")</f>
        <v>Tun layya ta bara (2024), ko ƴan gidanku sun karɓi kuɗi daga ${pm_name} daga wajen ƙauyenku ta hanyoyi masu zuwa?</v>
      </c>
      <c r="J949" s="188" t="s">
        <v>7008</v>
      </c>
      <c r="K949" s="188" t="s">
        <v>7009</v>
      </c>
      <c r="L949" s="188" t="s">
        <v>7010</v>
      </c>
    </row>
    <row r="950">
      <c r="A950" s="258" t="s">
        <v>247</v>
      </c>
      <c r="B950" s="259" t="s">
        <v>7011</v>
      </c>
      <c r="C950" s="259" t="s">
        <v>7012</v>
      </c>
      <c r="D950" s="259" t="s">
        <v>7013</v>
      </c>
      <c r="E950" s="259" t="s">
        <v>7014</v>
      </c>
      <c r="F950" s="195">
        <v>501.0</v>
      </c>
      <c r="G950" s="188" t="str">
        <f>IFERROR(__xludf.DUMMYFUNCTION("TRIM(REGEXREPLACE(C950, ""[0-9]+[a-f]?\."", """"))"),"How much have you received from ${pm_name} (in CFA) since tabaski last year?")</f>
        <v>How much have you received from ${pm_name} (in CFA) since tabaski last year?</v>
      </c>
      <c r="H950" s="188" t="str">
        <f>IFERROR(__xludf.DUMMYFUNCTION("TRIM(REGEXREPLACE(D950, ""[0-9]+[a-f]?\."", """"))"),"Combien avez-vous reçu de ${pm_name} (en francs CFA) depuis la Tabaski de l'année dernière?")</f>
        <v>Combien avez-vous reçu de ${pm_name} (en francs CFA) depuis la Tabaski de l'année dernière?</v>
      </c>
      <c r="I950" s="188" t="str">
        <f>IFERROR(__xludf.DUMMYFUNCTION("TRIM(REGEXREPLACE(E950, ""[0-9]+[a-f]?\."", """"))"),"Nawa kuka karɓa daga ${pm_name} (a ​​kuɗin CFA) tun tabaski bara?")</f>
        <v>Nawa kuka karɓa daga ${pm_name} (a ​​kuɗin CFA) tun tabaski bara?</v>
      </c>
      <c r="J950" s="188" t="s">
        <v>7015</v>
      </c>
      <c r="K950" s="188" t="s">
        <v>7016</v>
      </c>
      <c r="L950" s="188" t="s">
        <v>7017</v>
      </c>
    </row>
    <row r="951">
      <c r="A951" s="199" t="s">
        <v>7001</v>
      </c>
      <c r="B951" s="147" t="s">
        <v>7018</v>
      </c>
      <c r="C951" s="147" t="s">
        <v>7019</v>
      </c>
      <c r="D951" s="147" t="s">
        <v>7020</v>
      </c>
      <c r="E951" s="147" t="s">
        <v>7021</v>
      </c>
      <c r="F951" s="195">
        <v>502.0</v>
      </c>
      <c r="G951" s="188" t="str">
        <f>IFERROR(__xludf.DUMMYFUNCTION("TRIM(REGEXREPLACE(C951, ""[0-9]+[a-f]?\."", """"))"),"Since Tabaski of last year (2024), has your household received money from other members (not including ${pm_name}) from locations outside your village through the following methods?")</f>
        <v>Since Tabaski of last year (2024), has your household received money from other members (not including ${pm_name}) from locations outside your village through the following methods?</v>
      </c>
      <c r="H951" s="188" t="str">
        <f>IFERROR(__xludf.DUMMYFUNCTION("TRIM(REGEXREPLACE(D951, ""[0-9]+[a-f]?\."", """"))"),"Depuis la Tabaski de l'année dernière (2024), votre menage a-t-il reçu de l'argent d'autres personnes (hors ${pm_name}) provenant de lieux extérieurs à votre village par les moyens suivants ?")</f>
        <v>Depuis la Tabaski de l'année dernière (2024), votre menage a-t-il reçu de l'argent d'autres personnes (hors ${pm_name}) provenant de lieux extérieurs à votre village par les moyens suivants ?</v>
      </c>
      <c r="I951" s="188" t="str">
        <f>IFERROR(__xludf.DUMMYFUNCTION("TRIM(REGEXREPLACE(E951, ""[0-9]+[a-f]?\."", """"))"),"Tun daga laiya na shekarar bara (2024), ƴan gidan ku sun karɓi kuɗi daga wasu mutanin (ba tare da ${pm_name} ba) daga wajen ƙauyenku ta hanyoyi masu zuwa?")</f>
        <v>Tun daga laiya na shekarar bara (2024), ƴan gidan ku sun karɓi kuɗi daga wasu mutanin (ba tare da ${pm_name} ba) daga wajen ƙauyenku ta hanyoyi masu zuwa?</v>
      </c>
      <c r="J951" s="188" t="s">
        <v>7024</v>
      </c>
      <c r="K951" s="188" t="s">
        <v>7025</v>
      </c>
      <c r="L951" s="188" t="s">
        <v>7026</v>
      </c>
    </row>
    <row r="952">
      <c r="A952" s="258" t="s">
        <v>247</v>
      </c>
      <c r="B952" s="259" t="s">
        <v>7028</v>
      </c>
      <c r="C952" s="259" t="s">
        <v>7029</v>
      </c>
      <c r="D952" s="259" t="s">
        <v>7030</v>
      </c>
      <c r="E952" s="259" t="s">
        <v>7031</v>
      </c>
      <c r="F952" s="195">
        <v>503.0</v>
      </c>
      <c r="G952" s="188" t="str">
        <f>IFERROR(__xludf.DUMMYFUNCTION("TRIM(REGEXREPLACE(C952, ""[0-9]+[a-f]?\."", """"))"),"How much have you received from other members of the household (in CFA)?")</f>
        <v>How much have you received from other members of the household (in CFA)?</v>
      </c>
      <c r="H952" s="188" t="str">
        <f>IFERROR(__xludf.DUMMYFUNCTION("TRIM(REGEXREPLACE(D952, ""[0-9]+[a-f]?\."", """"))"),"Combien avez-vous reçu d'autres membres du menage (en francs CFA) depuis la Tabaski de l'année dernière?")</f>
        <v>Combien avez-vous reçu d'autres membres du menage (en francs CFA) depuis la Tabaski de l'année dernière?</v>
      </c>
      <c r="I952" s="188" t="str">
        <f>IFERROR(__xludf.DUMMYFUNCTION("TRIM(REGEXREPLACE(E952, ""[0-9]+[a-f]?\."", """"))"),"Nawa kuka karɓa daga sauran membobin gidan (a cikin CFA) tun tabaski bara?")</f>
        <v>Nawa kuka karɓa daga sauran membobin gidan (a cikin CFA) tun tabaski bara?</v>
      </c>
      <c r="J952" s="188" t="s">
        <v>7032</v>
      </c>
      <c r="K952" s="188" t="s">
        <v>7033</v>
      </c>
      <c r="L952" s="188" t="s">
        <v>7034</v>
      </c>
    </row>
    <row r="953">
      <c r="A953" s="299" t="s">
        <v>2456</v>
      </c>
      <c r="B953" s="300" t="s">
        <v>7035</v>
      </c>
      <c r="C953" s="190" t="s">
        <v>7036</v>
      </c>
      <c r="D953" s="190" t="s">
        <v>7037</v>
      </c>
      <c r="E953" s="190" t="s">
        <v>7038</v>
      </c>
      <c r="F953" s="195">
        <v>504.0</v>
      </c>
      <c r="G953" s="188" t="str">
        <f>IFERROR(__xludf.DUMMYFUNCTION("TRIM(REGEXREPLACE(C953, ""[0-9]+[a-f]?\."", """"))"),"In the past six months, have you or anyone in your household received money from someone who is not a member of your household and who lives elsewhere in Niger (outside your village)?")</f>
        <v>In the past six months, have you or anyone in your household received money from someone who is not a member of your household and who lives elsewhere in Niger (outside your village)?</v>
      </c>
      <c r="H953" s="188" t="str">
        <f>IFERROR(__xludf.DUMMYFUNCTION("TRIM(REGEXREPLACE(D953, ""[0-9]+[a-f]?\."", """"))"),"Au cours des six derniers mois, avez-vous, vous ou un membre de votre menage, reçu de l'argent d'une personne extérieure à votre menage et résidant ailleurs au Niger (hors de votre village) ?")</f>
        <v>Au cours des six derniers mois, avez-vous, vous ou un membre de votre menage, reçu de l'argent d'une personne extérieure à votre menage et résidant ailleurs au Niger (hors de votre village) ?</v>
      </c>
      <c r="I953" s="188" t="str">
        <f>IFERROR(__xludf.DUMMYFUNCTION("TRIM(REGEXREPLACE(E953, ""[0-9]+[a-f]?\."", """"))"),"A cikin watanni shida da suka gabata, kai ko wani a cikin gidan ku kun karɓi kuɗi daga wanda ba ɗan gidanku ba ne kuma yana zaune a wani wuri a Nijar (a wajen ƙauyenku)?")</f>
        <v>A cikin watanni shida da suka gabata, kai ko wani a cikin gidan ku kun karɓi kuɗi daga wanda ba ɗan gidanku ba ne kuma yana zaune a wani wuri a Nijar (a wajen ƙauyenku)?</v>
      </c>
      <c r="J953" s="188" t="s">
        <v>7039</v>
      </c>
      <c r="K953" s="188" t="s">
        <v>7040</v>
      </c>
      <c r="L953" s="188" t="s">
        <v>7041</v>
      </c>
    </row>
    <row r="954">
      <c r="A954" s="306" t="s">
        <v>247</v>
      </c>
      <c r="B954" s="307" t="s">
        <v>7042</v>
      </c>
      <c r="C954" s="190" t="s">
        <v>7043</v>
      </c>
      <c r="D954" s="190" t="s">
        <v>7044</v>
      </c>
      <c r="E954" s="190" t="s">
        <v>7045</v>
      </c>
      <c r="F954" s="195">
        <v>505.0</v>
      </c>
      <c r="G954" s="188" t="str">
        <f>IFERROR(__xludf.DUMMYFUNCTION("TRIM(REGEXREPLACE(C954, ""[0-9]+[a-f]?\."", """"))"),"How much in total did members of your household receive from people elsewhere in Niger (in CFA)?")</f>
        <v>How much in total did members of your household receive from people elsewhere in Niger (in CFA)?</v>
      </c>
      <c r="H954" s="188" t="str">
        <f>IFERROR(__xludf.DUMMYFUNCTION("TRIM(REGEXREPLACE(D954, ""[0-9]+[a-f]?\."", """"))"),"Combien au total les membres de votre ménage ont-ils reçu des personnes qui sont quelques part au Niger (en CFA)?")</f>
        <v>Combien au total les membres de votre ménage ont-ils reçu des personnes qui sont quelques part au Niger (en CFA)?</v>
      </c>
      <c r="I954" s="188" t="str">
        <f>IFERROR(__xludf.DUMMYFUNCTION("TRIM(REGEXREPLACE(E954, ""[0-9]+[a-f]?\."", """"))"),"Nawa ne ƴan gidanku suka samu daga wasu matanen da ke wani gari a Nijar (in CFA)?")</f>
        <v>Nawa ne ƴan gidanku suka samu daga wasu matanen da ke wani gari a Nijar (in CFA)?</v>
      </c>
      <c r="J954" s="188" t="s">
        <v>7047</v>
      </c>
      <c r="K954" s="188" t="s">
        <v>7048</v>
      </c>
      <c r="L954" s="188" t="s">
        <v>7049</v>
      </c>
    </row>
    <row r="955">
      <c r="A955" s="299" t="s">
        <v>7001</v>
      </c>
      <c r="B955" s="300" t="s">
        <v>7050</v>
      </c>
      <c r="C955" s="190" t="s">
        <v>7051</v>
      </c>
      <c r="D955" s="190" t="s">
        <v>7052</v>
      </c>
      <c r="E955" s="190" t="s">
        <v>7053</v>
      </c>
      <c r="F955" s="195">
        <v>506.0</v>
      </c>
      <c r="G955" s="188" t="str">
        <f>IFERROR(__xludf.DUMMYFUNCTION("TRIM(REGEXREPLACE(C955, ""[0-9]+[a-f]?\."", """"))"),"How was this money transmitted to your household?")</f>
        <v>How was this money transmitted to your household?</v>
      </c>
      <c r="H955" s="188" t="str">
        <f>IFERROR(__xludf.DUMMYFUNCTION("TRIM(REGEXREPLACE(D955, ""[0-9]+[a-f]?\."", """"))"),"Comment cet argent a-t-il été envoyé à votre ménage ?")</f>
        <v>Comment cet argent a-t-il été envoyé à votre ménage ?</v>
      </c>
      <c r="I955" s="188" t="str">
        <f>IFERROR(__xludf.DUMMYFUNCTION("TRIM(REGEXREPLACE(E955, ""[0-9]+[a-f]?\."", """"))"),"Ta wace hanya aka aikawa gidanku wannan kuɗin ?")</f>
        <v>Ta wace hanya aka aikawa gidanku wannan kuɗin ?</v>
      </c>
      <c r="J955" s="188" t="s">
        <v>7054</v>
      </c>
      <c r="K955" s="188" t="s">
        <v>7055</v>
      </c>
      <c r="L955" s="188" t="s">
        <v>7056</v>
      </c>
    </row>
    <row r="956">
      <c r="A956" s="301" t="s">
        <v>220</v>
      </c>
      <c r="B956" s="302" t="s">
        <v>7057</v>
      </c>
      <c r="C956" s="190" t="s">
        <v>7058</v>
      </c>
      <c r="D956" s="190" t="s">
        <v>7059</v>
      </c>
      <c r="E956" s="190" t="s">
        <v>7060</v>
      </c>
      <c r="F956" s="195">
        <v>507.0</v>
      </c>
      <c r="G956" s="188" t="str">
        <f>IFERROR(__xludf.DUMMYFUNCTION("TRIM(REGEXREPLACE(C956, ""[0-9]+[a-f]?\."", """"))"),"Specify other transfer method")</f>
        <v>Specify other transfer method</v>
      </c>
      <c r="H956" s="188" t="str">
        <f>IFERROR(__xludf.DUMMYFUNCTION("TRIM(REGEXREPLACE(D956, ""[0-9]+[a-f]?\."", """"))"),"Précisez la méthode du transfert")</f>
        <v>Précisez la méthode du transfert</v>
      </c>
      <c r="I956" s="188" t="str">
        <f>IFERROR(__xludf.DUMMYFUNCTION("TRIM(REGEXREPLACE(E956, ""[0-9]+[a-f]?\."", """"))"),"Wani daban a Bayyana")</f>
        <v>Wani daban a Bayyana</v>
      </c>
      <c r="J956" s="188" t="s">
        <v>7061</v>
      </c>
      <c r="K956" s="188" t="s">
        <v>7062</v>
      </c>
      <c r="L956" s="188" t="s">
        <v>7063</v>
      </c>
    </row>
    <row r="957">
      <c r="A957" s="299" t="s">
        <v>2456</v>
      </c>
      <c r="B957" s="300" t="s">
        <v>7064</v>
      </c>
      <c r="C957" s="190" t="s">
        <v>7065</v>
      </c>
      <c r="D957" s="190" t="s">
        <v>7066</v>
      </c>
      <c r="E957" s="190" t="s">
        <v>7067</v>
      </c>
      <c r="F957" s="195">
        <v>508.0</v>
      </c>
      <c r="G957" s="188" t="str">
        <f>IFERROR(__xludf.DUMMYFUNCTION("TRIM(REGEXREPLACE(C957, ""[0-9]+[a-f]?\."", """"))"),"In the past six months, have you or anyone in your household received goods (payment in kind) from someone who is not a member of your household and who lives elsewhere in Niger (outside your village)?")</f>
        <v>In the past six months, have you or anyone in your household received goods (payment in kind) from someone who is not a member of your household and who lives elsewhere in Niger (outside your village)?</v>
      </c>
      <c r="H957" s="188" t="str">
        <f>IFERROR(__xludf.DUMMYFUNCTION("TRIM(REGEXREPLACE(D957, ""[0-9]+[a-f]?\."", """"))"),"Au cours des six derniers mois, avez-vous, vous ou un membre de votre foyer, reçu des biens (paiement en nature) d'une personne extérieure à votre menage et résidant ailleurs au Niger (hors de votre village) ?")</f>
        <v>Au cours des six derniers mois, avez-vous, vous ou un membre de votre foyer, reçu des biens (paiement en nature) d'une personne extérieure à votre menage et résidant ailleurs au Niger (hors de votre village) ?</v>
      </c>
      <c r="I957" s="188" t="str">
        <f>IFERROR(__xludf.DUMMYFUNCTION("TRIM(REGEXREPLACE(E957, ""[0-9]+[a-f]?\."", """"))"),"A cikin watanni shida da suka gabata, kai ko wani a cikin gidan ku kun karɓi kaya (biya daga kaya) daga wanda ba ɗan gidanku ba ne kuma yana zaune a wani wuri a Nijar (a wajen ƙauyenku)?")</f>
        <v>A cikin watanni shida da suka gabata, kai ko wani a cikin gidan ku kun karɓi kaya (biya daga kaya) daga wanda ba ɗan gidanku ba ne kuma yana zaune a wani wuri a Nijar (a wajen ƙauyenku)?</v>
      </c>
      <c r="J957" s="188" t="s">
        <v>7069</v>
      </c>
      <c r="K957" s="188" t="s">
        <v>7070</v>
      </c>
      <c r="L957" s="188" t="s">
        <v>7071</v>
      </c>
    </row>
    <row r="958">
      <c r="A958" s="306" t="s">
        <v>247</v>
      </c>
      <c r="B958" s="307" t="s">
        <v>7072</v>
      </c>
      <c r="C958" s="190" t="s">
        <v>7073</v>
      </c>
      <c r="D958" s="190" t="s">
        <v>7074</v>
      </c>
      <c r="E958" s="190" t="s">
        <v>7075</v>
      </c>
      <c r="F958" s="195">
        <v>509.0</v>
      </c>
      <c r="G958" s="188" t="str">
        <f>IFERROR(__xludf.DUMMYFUNCTION("TRIM(REGEXREPLACE(C958, ""[0-9]+[a-f]?\."", """"))"),"What was the value of the goods members of your household receive from people elsewhere in Niger (in CFA)?")</f>
        <v>What was the value of the goods members of your household receive from people elsewhere in Niger (in CFA)?</v>
      </c>
      <c r="H958" s="188" t="str">
        <f>IFERROR(__xludf.DUMMYFUNCTION("TRIM(REGEXREPLACE(D958, ""[0-9]+[a-f]?\."", """"))"),"Quel était la valeur au totale des biens que les membres de votre ménage ont reçu des personnes qui sont quelques part au Niger 
 (en CFA)?")</f>
        <v>Quel était la valeur au totale des biens que les membres de votre ménage ont reçu des personnes qui sont quelques part au Niger 
 (en CFA)?</v>
      </c>
      <c r="I958" s="188" t="str">
        <f>IFERROR(__xludf.DUMMYFUNCTION("TRIM(REGEXREPLACE(E958, ""[0-9]+[a-f]?\."", """"))"),"Nawa kimar kayayyakin da ƴan gidanku suka karba daga wasu mutane a wasu wurare a Nijar (in CFA)?")</f>
        <v>Nawa kimar kayayyakin da ƴan gidanku suka karba daga wasu mutane a wasu wurare a Nijar (in CFA)?</v>
      </c>
      <c r="J958" s="188" t="s">
        <v>7076</v>
      </c>
      <c r="K958" s="188" t="s">
        <v>7077</v>
      </c>
      <c r="L958" s="188" t="s">
        <v>7078</v>
      </c>
    </row>
    <row r="959">
      <c r="A959" s="299" t="s">
        <v>7079</v>
      </c>
      <c r="B959" s="300" t="s">
        <v>7080</v>
      </c>
      <c r="C959" s="190" t="s">
        <v>7081</v>
      </c>
      <c r="D959" s="190" t="s">
        <v>7082</v>
      </c>
      <c r="E959" s="190" t="s">
        <v>7083</v>
      </c>
      <c r="F959" s="195">
        <v>510.0</v>
      </c>
      <c r="G959" s="188" t="str">
        <f>IFERROR(__xludf.DUMMYFUNCTION("TRIM(REGEXREPLACE(C959, ""[0-9]+[a-f]?\."", """"))"),"How were these goods transmitted to your household?")</f>
        <v>How were these goods transmitted to your household?</v>
      </c>
      <c r="H959" s="188" t="str">
        <f>IFERROR(__xludf.DUMMYFUNCTION("TRIM(REGEXREPLACE(D959, ""[0-9]+[a-f]?\."", """"))"),"Comment ces biens ont-ils été envoyé à votre ménage ?")</f>
        <v>Comment ces biens ont-ils été envoyé à votre ménage ?</v>
      </c>
      <c r="I959" s="188" t="str">
        <f>IFERROR(__xludf.DUMMYFUNCTION("TRIM(REGEXREPLACE(E959, ""[0-9]+[a-f]?\."", """"))"),"Ta yaya aka aika waɗannan kayayyakin zuwa gidanku?")</f>
        <v>Ta yaya aka aika waɗannan kayayyakin zuwa gidanku?</v>
      </c>
      <c r="J959" s="188" t="s">
        <v>7084</v>
      </c>
      <c r="K959" s="188" t="s">
        <v>7085</v>
      </c>
      <c r="L959" s="188" t="s">
        <v>7087</v>
      </c>
    </row>
    <row r="960">
      <c r="A960" s="301" t="s">
        <v>220</v>
      </c>
      <c r="B960" s="302" t="s">
        <v>7088</v>
      </c>
      <c r="C960" s="190" t="s">
        <v>7089</v>
      </c>
      <c r="D960" s="190" t="s">
        <v>7090</v>
      </c>
      <c r="E960" s="190" t="s">
        <v>7091</v>
      </c>
      <c r="F960" s="195">
        <v>511.0</v>
      </c>
      <c r="G960" s="188" t="str">
        <f>IFERROR(__xludf.DUMMYFUNCTION("TRIM(REGEXREPLACE(C960, ""[0-9]+[a-f]?\."", """"))"),"Specify other transfer method")</f>
        <v>Specify other transfer method</v>
      </c>
      <c r="H960" s="188" t="str">
        <f>IFERROR(__xludf.DUMMYFUNCTION("TRIM(REGEXREPLACE(D960, ""[0-9]+[a-f]?\."", """"))"),"Précisez la méthode du transfert")</f>
        <v>Précisez la méthode du transfert</v>
      </c>
      <c r="I960" s="188" t="str">
        <f>IFERROR(__xludf.DUMMYFUNCTION("TRIM(REGEXREPLACE(E960, ""[0-9]+[a-f]?\."", """"))"),"Wani daban a Bayyana")</f>
        <v>Wani daban a Bayyana</v>
      </c>
      <c r="J960" s="188" t="s">
        <v>7092</v>
      </c>
      <c r="K960" s="188" t="s">
        <v>7093</v>
      </c>
      <c r="L960" s="188" t="s">
        <v>7094</v>
      </c>
    </row>
    <row r="961">
      <c r="A961" s="299" t="s">
        <v>2456</v>
      </c>
      <c r="B961" s="300" t="s">
        <v>7095</v>
      </c>
      <c r="C961" s="190" t="s">
        <v>7096</v>
      </c>
      <c r="D961" s="190" t="s">
        <v>7097</v>
      </c>
      <c r="E961" s="190" t="s">
        <v>7098</v>
      </c>
      <c r="F961" s="195">
        <v>512.0</v>
      </c>
      <c r="G961" s="188" t="str">
        <f>IFERROR(__xludf.DUMMYFUNCTION("TRIM(REGEXREPLACE(C961, ""[0-9]+[a-f]?\."", """"))"),"In the past six months, have you or anyone in your household received money from someone who is not a member of your household and who lives in a foreign country (outside of Niger)?")</f>
        <v>In the past six months, have you or anyone in your household received money from someone who is not a member of your household and who lives in a foreign country (outside of Niger)?</v>
      </c>
      <c r="H961" s="188" t="str">
        <f>IFERROR(__xludf.DUMMYFUNCTION("TRIM(REGEXREPLACE(D961, ""[0-9]+[a-f]?\."", """"))"),"Au cours des six derniers mois, avez-vous, ou un membre de votre menage, reçu de l'argent d'une personne extérieure à votre menage et résidant à l'étranger (hors du Niger) ?")</f>
        <v>Au cours des six derniers mois, avez-vous, ou un membre de votre menage, reçu de l'argent d'une personne extérieure à votre menage et résidant à l'étranger (hors du Niger) ?</v>
      </c>
      <c r="I961" s="188" t="str">
        <f>IFERROR(__xludf.DUMMYFUNCTION("TRIM(REGEXREPLACE(E961, ""[0-9]+[a-f]?\."", """"))"),"A cikin watanni shida da suka gabata, kai ko wani a cikin gidanku ya sami kuɗi daga wani wanda ba dan gidan ku ba kuma yana zaune a wata ƙasa (wajen Nijar)?")</f>
        <v>A cikin watanni shida da suka gabata, kai ko wani a cikin gidanku ya sami kuɗi daga wani wanda ba dan gidan ku ba kuma yana zaune a wata ƙasa (wajen Nijar)?</v>
      </c>
      <c r="J961" s="188" t="s">
        <v>7099</v>
      </c>
      <c r="K961" s="188" t="s">
        <v>7100</v>
      </c>
      <c r="L961" s="188" t="s">
        <v>7101</v>
      </c>
    </row>
    <row r="962">
      <c r="A962" s="306" t="s">
        <v>247</v>
      </c>
      <c r="B962" s="307" t="s">
        <v>7102</v>
      </c>
      <c r="C962" s="190" t="s">
        <v>7104</v>
      </c>
      <c r="D962" s="190" t="s">
        <v>7105</v>
      </c>
      <c r="E962" s="190" t="s">
        <v>7106</v>
      </c>
      <c r="F962" s="195">
        <v>513.0</v>
      </c>
      <c r="G962" s="188" t="str">
        <f>IFERROR(__xludf.DUMMYFUNCTION("TRIM(REGEXREPLACE(C962, ""[0-9]+[a-f]?\."", """"))"),"How much in total did members of your household receive from people out of Niger?")</f>
        <v>How much in total did members of your household receive from people out of Niger?</v>
      </c>
      <c r="H962" s="188" t="str">
        <f>IFERROR(__xludf.DUMMYFUNCTION("TRIM(REGEXREPLACE(D962, ""[0-9]+[a-f]?\."", """"))"),"Combien au total les membres de votre ménage ont-ils reçu des personnes qui ne sont pas au Niger ?")</f>
        <v>Combien au total les membres de votre ménage ont-ils reçu des personnes qui ne sont pas au Niger ?</v>
      </c>
      <c r="I962" s="188" t="str">
        <f>IFERROR(__xludf.DUMMYFUNCTION("TRIM(REGEXREPLACE(E962, ""[0-9]+[a-f]?\."", """"))"),"Nawa ne yan gidanku ya samu daga mutanen da ke zaune a ƙasar waje ba Nijar ba?")</f>
        <v>Nawa ne yan gidanku ya samu daga mutanen da ke zaune a ƙasar waje ba Nijar ba?</v>
      </c>
      <c r="J962" s="188" t="s">
        <v>7107</v>
      </c>
      <c r="K962" s="188" t="s">
        <v>7108</v>
      </c>
      <c r="L962" s="188" t="s">
        <v>7109</v>
      </c>
    </row>
    <row r="963">
      <c r="A963" s="299" t="s">
        <v>7001</v>
      </c>
      <c r="B963" s="300" t="s">
        <v>7110</v>
      </c>
      <c r="C963" s="190" t="s">
        <v>7111</v>
      </c>
      <c r="D963" s="190" t="s">
        <v>7112</v>
      </c>
      <c r="E963" s="190" t="s">
        <v>7113</v>
      </c>
      <c r="F963" s="195">
        <v>514.0</v>
      </c>
      <c r="G963" s="188" t="str">
        <f>IFERROR(__xludf.DUMMYFUNCTION("TRIM(REGEXREPLACE(C963, ""[0-9]+[a-f]?\."", """"))"),"How was this money transmitted to your household?")</f>
        <v>How was this money transmitted to your household?</v>
      </c>
      <c r="H963" s="188" t="str">
        <f>IFERROR(__xludf.DUMMYFUNCTION("TRIM(REGEXREPLACE(D963, ""[0-9]+[a-f]?\."", """"))"),"Comment cet argent a-t-il été envoyé à votre ménage ?")</f>
        <v>Comment cet argent a-t-il été envoyé à votre ménage ?</v>
      </c>
      <c r="I963" s="188" t="str">
        <f>IFERROR(__xludf.DUMMYFUNCTION("TRIM(REGEXREPLACE(E963, ""[0-9]+[a-f]?\."", """"))"),"Ta wace hanya aka aikawa gidanku wannan kuɗin ?")</f>
        <v>Ta wace hanya aka aikawa gidanku wannan kuɗin ?</v>
      </c>
      <c r="J963" s="188" t="s">
        <v>7114</v>
      </c>
      <c r="K963" s="188" t="s">
        <v>7115</v>
      </c>
      <c r="L963" s="188" t="s">
        <v>7116</v>
      </c>
    </row>
    <row r="964">
      <c r="A964" s="301" t="s">
        <v>220</v>
      </c>
      <c r="B964" s="302" t="s">
        <v>7117</v>
      </c>
      <c r="C964" s="190" t="s">
        <v>6283</v>
      </c>
      <c r="D964" s="190" t="s">
        <v>6284</v>
      </c>
      <c r="E964" s="190" t="s">
        <v>6285</v>
      </c>
      <c r="F964" s="195">
        <v>515.0</v>
      </c>
      <c r="G964" s="188" t="str">
        <f>IFERROR(__xludf.DUMMYFUNCTION("TRIM(REGEXREPLACE(C964, ""[0-9]+[a-f]?\."", """"))"),"Specify other transfer method")</f>
        <v>Specify other transfer method</v>
      </c>
      <c r="H964" s="188" t="str">
        <f>IFERROR(__xludf.DUMMYFUNCTION("TRIM(REGEXREPLACE(D964, ""[0-9]+[a-f]?\."", """"))"),"Précisez la méthode du transfert")</f>
        <v>Précisez la méthode du transfert</v>
      </c>
      <c r="I964" s="188" t="str">
        <f>IFERROR(__xludf.DUMMYFUNCTION("TRIM(REGEXREPLACE(E964, ""[0-9]+[a-f]?\."", """"))"),"Wani daban a Bayyana")</f>
        <v>Wani daban a Bayyana</v>
      </c>
      <c r="J964" s="188" t="s">
        <v>7119</v>
      </c>
      <c r="K964" s="188" t="s">
        <v>7120</v>
      </c>
      <c r="L964" s="188" t="s">
        <v>7121</v>
      </c>
    </row>
    <row r="965">
      <c r="A965" s="299" t="s">
        <v>2456</v>
      </c>
      <c r="B965" s="300" t="s">
        <v>7122</v>
      </c>
      <c r="C965" s="190" t="s">
        <v>7123</v>
      </c>
      <c r="D965" s="190" t="s">
        <v>7124</v>
      </c>
      <c r="E965" s="190" t="s">
        <v>7125</v>
      </c>
      <c r="F965" s="195">
        <v>516.0</v>
      </c>
      <c r="G965" s="188" t="str">
        <f>IFERROR(__xludf.DUMMYFUNCTION("TRIM(REGEXREPLACE(C965, ""[0-9]+[a-f]?\."", """"))"),"In the past six months, have you or anyone in your household received goods (payment in kind) from someone who is not a member of your household and who lives in a foreign country (outside of Niger)?")</f>
        <v>In the past six months, have you or anyone in your household received goods (payment in kind) from someone who is not a member of your household and who lives in a foreign country (outside of Niger)?</v>
      </c>
      <c r="H965" s="188" t="str">
        <f>IFERROR(__xludf.DUMMYFUNCTION("TRIM(REGEXREPLACE(D965, ""[0-9]+[a-f]?\."", """"))"),"Au cours des six derniers mois, avez-vous, vous ou un membre de votre menage, reçu des biens (paiement en nature) d'une personne extérieure à votre menage et résidant à l'étranger (hors du Niger) ?")</f>
        <v>Au cours des six derniers mois, avez-vous, vous ou un membre de votre menage, reçu des biens (paiement en nature) d'une personne extérieure à votre menage et résidant à l'étranger (hors du Niger) ?</v>
      </c>
      <c r="I965" s="188" t="str">
        <f>IFERROR(__xludf.DUMMYFUNCTION("TRIM(REGEXREPLACE(E965, ""[0-9]+[a-f]?\."", """"))"),"A cikin watanni shida da suka gabata, kai ko wani a cikin gidanku ya sami kaya (biyan daga kaya ) daga wanda ba ɗan gidanku ba ne kuma yana zaune a wata ƙasa (wajen Nijar)?")</f>
        <v>A cikin watanni shida da suka gabata, kai ko wani a cikin gidanku ya sami kaya (biyan daga kaya ) daga wanda ba ɗan gidanku ba ne kuma yana zaune a wata ƙasa (wajen Nijar)?</v>
      </c>
      <c r="J965" s="188" t="s">
        <v>7126</v>
      </c>
      <c r="K965" s="188" t="s">
        <v>7127</v>
      </c>
      <c r="L965" s="188" t="s">
        <v>7128</v>
      </c>
    </row>
    <row r="966">
      <c r="A966" s="306" t="s">
        <v>247</v>
      </c>
      <c r="B966" s="307" t="s">
        <v>7129</v>
      </c>
      <c r="C966" s="190" t="s">
        <v>7130</v>
      </c>
      <c r="D966" s="190" t="s">
        <v>7131</v>
      </c>
      <c r="E966" s="190" t="s">
        <v>7132</v>
      </c>
      <c r="F966" s="195">
        <v>517.0</v>
      </c>
      <c r="G966" s="188" t="str">
        <f>IFERROR(__xludf.DUMMYFUNCTION("TRIM(REGEXREPLACE(C966, ""[0-9]+[a-f]?\."", """"))"),"What was the value of the goods members of your household receive from people out of Niger?")</f>
        <v>What was the value of the goods members of your household receive from people out of Niger?</v>
      </c>
      <c r="H966" s="188" t="str">
        <f>IFERROR(__xludf.DUMMYFUNCTION("TRIM(REGEXREPLACE(D966, ""[0-9]+[a-f]?\."", """"))"),"Quel était la valeur au totale des biens que les membres de votre ménage ont reçu des personnes qui ne sont pas au Niger ?")</f>
        <v>Quel était la valeur au totale des biens que les membres de votre ménage ont reçu des personnes qui ne sont pas au Niger ?</v>
      </c>
      <c r="I966" s="188" t="str">
        <f>IFERROR(__xludf.DUMMYFUNCTION("TRIM(REGEXREPLACE(E966, ""[0-9]+[a-f]?\."", """"))"),"Nawa kimar kayan da ƴan gidanku suka samo daga mutanen da ke zaune a ƙasar waje ba Nijar ba?")</f>
        <v>Nawa kimar kayan da ƴan gidanku suka samo daga mutanen da ke zaune a ƙasar waje ba Nijar ba?</v>
      </c>
      <c r="J966" s="188" t="s">
        <v>7133</v>
      </c>
      <c r="K966" s="188" t="s">
        <v>7134</v>
      </c>
      <c r="L966" s="188" t="s">
        <v>7135</v>
      </c>
    </row>
    <row r="967">
      <c r="A967" s="299" t="s">
        <v>7079</v>
      </c>
      <c r="B967" s="300" t="s">
        <v>7136</v>
      </c>
      <c r="C967" s="190" t="s">
        <v>7137</v>
      </c>
      <c r="D967" s="190" t="s">
        <v>7138</v>
      </c>
      <c r="E967" s="190" t="s">
        <v>7139</v>
      </c>
      <c r="F967" s="195">
        <v>518.0</v>
      </c>
      <c r="G967" s="188" t="str">
        <f>IFERROR(__xludf.DUMMYFUNCTION("TRIM(REGEXREPLACE(C967, ""[0-9]+[a-f]?\."", """"))"),"How were these goods transmitted to your household?")</f>
        <v>How were these goods transmitted to your household?</v>
      </c>
      <c r="H967" s="188" t="str">
        <f>IFERROR(__xludf.DUMMYFUNCTION("TRIM(REGEXREPLACE(D967, ""[0-9]+[a-f]?\."", """"))"),"Comment ces biens ont-ils été envoyé à votre ménage ?")</f>
        <v>Comment ces biens ont-ils été envoyé à votre ménage ?</v>
      </c>
      <c r="I967" s="188" t="str">
        <f>IFERROR(__xludf.DUMMYFUNCTION("TRIM(REGEXREPLACE(E967, ""[0-9]+[a-f]?\."", """"))"),"Ta yaya aka aika waɗannan kayan zuwa gidanku?")</f>
        <v>Ta yaya aka aika waɗannan kayan zuwa gidanku?</v>
      </c>
      <c r="J967" s="188" t="s">
        <v>7140</v>
      </c>
      <c r="K967" s="188" t="s">
        <v>7141</v>
      </c>
      <c r="L967" s="188" t="s">
        <v>7142</v>
      </c>
    </row>
    <row r="968">
      <c r="A968" s="301" t="s">
        <v>220</v>
      </c>
      <c r="B968" s="302" t="s">
        <v>7143</v>
      </c>
      <c r="C968" s="190" t="s">
        <v>7144</v>
      </c>
      <c r="D968" s="190" t="s">
        <v>7145</v>
      </c>
      <c r="E968" s="190" t="s">
        <v>7146</v>
      </c>
      <c r="F968" s="195">
        <v>519.0</v>
      </c>
      <c r="G968" s="188" t="str">
        <f>IFERROR(__xludf.DUMMYFUNCTION("TRIM(REGEXREPLACE(C968, ""[0-9]+[a-f]?\."", """"))"),"Specify other transfer method")</f>
        <v>Specify other transfer method</v>
      </c>
      <c r="H968" s="188" t="str">
        <f>IFERROR(__xludf.DUMMYFUNCTION("TRIM(REGEXREPLACE(D968, ""[0-9]+[a-f]?\."", """"))"),"Précisez la méthode du transfert")</f>
        <v>Précisez la méthode du transfert</v>
      </c>
      <c r="I968" s="188" t="str">
        <f>IFERROR(__xludf.DUMMYFUNCTION("TRIM(REGEXREPLACE(E968, ""[0-9]+[a-f]?\."", """"))"),"Wani daban a Bayyana")</f>
        <v>Wani daban a Bayyana</v>
      </c>
      <c r="J968" s="188" t="s">
        <v>7147</v>
      </c>
      <c r="K968" s="188" t="s">
        <v>7148</v>
      </c>
      <c r="L968" s="188" t="s">
        <v>7149</v>
      </c>
    </row>
    <row r="969">
      <c r="A969" s="299" t="s">
        <v>2456</v>
      </c>
      <c r="B969" s="300" t="s">
        <v>7151</v>
      </c>
      <c r="C969" s="190" t="s">
        <v>7152</v>
      </c>
      <c r="D969" s="190" t="s">
        <v>7153</v>
      </c>
      <c r="E969" s="190" t="s">
        <v>7154</v>
      </c>
      <c r="F969" s="195">
        <v>520.0</v>
      </c>
      <c r="G969" s="188" t="str">
        <f>IFERROR(__xludf.DUMMYFUNCTION("TRIM(REGEXREPLACE(C969, ""[0-9]+[a-f]?\."", """"))"),"In the past six months, have you or anyone in your household shared or sent money to someone who is not a member of your household and who lives elsewhere in Niger (outside your village)?")</f>
        <v>In the past six months, have you or anyone in your household shared or sent money to someone who is not a member of your household and who lives elsewhere in Niger (outside your village)?</v>
      </c>
      <c r="H969" s="188" t="str">
        <f>IFERROR(__xludf.DUMMYFUNCTION("TRIM(REGEXREPLACE(D969, ""[0-9]+[a-f]?\."", """"))"),"Au cours des six derniers mois, avez-vous, vous ou un membre de votre menage, partagé ou envoyé de l'argent à une personne extérieure à votre menage et résidant ailleurs à l'intérieur du Niger (hors de votre village) ?")</f>
        <v>Au cours des six derniers mois, avez-vous, vous ou un membre de votre menage, partagé ou envoyé de l'argent à une personne extérieure à votre menage et résidant ailleurs à l'intérieur du Niger (hors de votre village) ?</v>
      </c>
      <c r="I969" s="188" t="str">
        <f>IFERROR(__xludf.DUMMYFUNCTION("TRIM(REGEXREPLACE(E969, ""[0-9]+[a-f]?\."", """"))"),"A cikin watanni shida da suka gabata, kai ko wani a cikin gidanku kun aika kudi ga wanda ba an gidanku ba kuma yana zaune a wani wuri a Nijar (a wajen kauyenku)?")</f>
        <v>A cikin watanni shida da suka gabata, kai ko wani a cikin gidanku kun aika kudi ga wanda ba an gidanku ba kuma yana zaune a wani wuri a Nijar (a wajen kauyenku)?</v>
      </c>
      <c r="J969" s="188" t="s">
        <v>7156</v>
      </c>
      <c r="K969" s="188" t="s">
        <v>7157</v>
      </c>
      <c r="L969" s="188" t="s">
        <v>7158</v>
      </c>
    </row>
    <row r="970">
      <c r="A970" s="306" t="s">
        <v>247</v>
      </c>
      <c r="B970" s="307" t="s">
        <v>7159</v>
      </c>
      <c r="C970" s="190" t="s">
        <v>7160</v>
      </c>
      <c r="D970" s="190" t="s">
        <v>7161</v>
      </c>
      <c r="E970" s="190" t="s">
        <v>7162</v>
      </c>
      <c r="F970" s="195">
        <v>521.0</v>
      </c>
      <c r="G970" s="188" t="str">
        <f>IFERROR(__xludf.DUMMYFUNCTION("TRIM(REGEXREPLACE(C970, ""[0-9]+[a-f]?\."", """"))"),"How much did your household send to people elsewhere in Niger?")</f>
        <v>How much did your household send to people elsewhere in Niger?</v>
      </c>
      <c r="H970" s="188" t="str">
        <f>IFERROR(__xludf.DUMMYFUNCTION("TRIM(REGEXREPLACE(D970, ""[0-9]+[a-f]?\."", """"))"),"Combien votre ménage a-t-il envoyé à des personnes qui sont quelque part au Niger ?")</f>
        <v>Combien votre ménage a-t-il envoyé à des personnes qui sont quelque part au Niger ?</v>
      </c>
      <c r="I970" s="188" t="str">
        <f>IFERROR(__xludf.DUMMYFUNCTION("TRIM(REGEXREPLACE(E970, ""[0-9]+[a-f]?\."", """"))"),"Nawa ne gidanku ya aikawa mutanen da ke wasu wurare a Nijar?")</f>
        <v>Nawa ne gidanku ya aikawa mutanen da ke wasu wurare a Nijar?</v>
      </c>
      <c r="J970" s="188" t="s">
        <v>7163</v>
      </c>
      <c r="K970" s="188" t="s">
        <v>7164</v>
      </c>
      <c r="L970" s="188" t="s">
        <v>7165</v>
      </c>
    </row>
    <row r="971">
      <c r="A971" s="299" t="s">
        <v>7001</v>
      </c>
      <c r="B971" s="300" t="s">
        <v>7166</v>
      </c>
      <c r="C971" s="190" t="s">
        <v>7167</v>
      </c>
      <c r="D971" s="190" t="s">
        <v>7168</v>
      </c>
      <c r="E971" s="190" t="s">
        <v>7169</v>
      </c>
      <c r="F971" s="195">
        <v>522.0</v>
      </c>
      <c r="G971" s="188" t="str">
        <f>IFERROR(__xludf.DUMMYFUNCTION("TRIM(REGEXREPLACE(C971, ""[0-9]+[a-f]?\."", """"))"),"How did you transmit the money to the recipient?")</f>
        <v>How did you transmit the money to the recipient?</v>
      </c>
      <c r="H971" s="188" t="str">
        <f>IFERROR(__xludf.DUMMYFUNCTION("TRIM(REGEXREPLACE(D971, ""[0-9]+[a-f]?\."", """"))"),"Comment avez-vous envoyé l'argent au destinataire ?")</f>
        <v>Comment avez-vous envoyé l'argent au destinataire ?</v>
      </c>
      <c r="I971" s="188" t="str">
        <f>IFERROR(__xludf.DUMMYFUNCTION("TRIM(REGEXREPLACE(E971, ""[0-9]+[a-f]?\."", """"))"),"Ta wace hanya kuka aika kuɗin ga mai karɓa?")</f>
        <v>Ta wace hanya kuka aika kuɗin ga mai karɓa?</v>
      </c>
      <c r="J971" s="188" t="s">
        <v>7170</v>
      </c>
      <c r="K971" s="188" t="s">
        <v>7171</v>
      </c>
      <c r="L971" s="188" t="s">
        <v>7172</v>
      </c>
    </row>
    <row r="972">
      <c r="A972" s="301" t="s">
        <v>220</v>
      </c>
      <c r="B972" s="302" t="s">
        <v>7173</v>
      </c>
      <c r="C972" s="190" t="s">
        <v>7174</v>
      </c>
      <c r="D972" s="190" t="s">
        <v>7175</v>
      </c>
      <c r="E972" s="190" t="s">
        <v>7176</v>
      </c>
      <c r="F972" s="195">
        <v>523.0</v>
      </c>
      <c r="G972" s="188" t="str">
        <f>IFERROR(__xludf.DUMMYFUNCTION("TRIM(REGEXREPLACE(C972, ""[0-9]+[a-f]?\."", """"))"),"Specify other transfer method")</f>
        <v>Specify other transfer method</v>
      </c>
      <c r="H972" s="188" t="str">
        <f>IFERROR(__xludf.DUMMYFUNCTION("TRIM(REGEXREPLACE(D972, ""[0-9]+[a-f]?\."", """"))"),"Précisez la méthode du transfert")</f>
        <v>Précisez la méthode du transfert</v>
      </c>
      <c r="I972" s="188" t="str">
        <f>IFERROR(__xludf.DUMMYFUNCTION("TRIM(REGEXREPLACE(E972, ""[0-9]+[a-f]?\."", """"))"),"Wani daban a Bayyana")</f>
        <v>Wani daban a Bayyana</v>
      </c>
      <c r="J972" s="188" t="s">
        <v>7177</v>
      </c>
      <c r="K972" s="188" t="s">
        <v>7178</v>
      </c>
      <c r="L972" s="188" t="s">
        <v>7179</v>
      </c>
    </row>
    <row r="973">
      <c r="A973" s="299" t="s">
        <v>2456</v>
      </c>
      <c r="B973" s="300" t="s">
        <v>7180</v>
      </c>
      <c r="C973" s="190" t="s">
        <v>7181</v>
      </c>
      <c r="D973" s="190" t="s">
        <v>7182</v>
      </c>
      <c r="E973" s="190" t="s">
        <v>7183</v>
      </c>
      <c r="F973" s="195">
        <v>524.0</v>
      </c>
      <c r="G973" s="188" t="str">
        <f>IFERROR(__xludf.DUMMYFUNCTION("TRIM(REGEXREPLACE(C973, ""[0-9]+[a-f]?\."", """"))"),"In the past six months, have you or anyone in your household shared or sent goods (payment in kind) to someone who is not a member of your household and who lives elsewhere in Niger (outside your village)?")</f>
        <v>In the past six months, have you or anyone in your household shared or sent goods (payment in kind) to someone who is not a member of your household and who lives elsewhere in Niger (outside your village)?</v>
      </c>
      <c r="H973" s="188" t="str">
        <f>IFERROR(__xludf.DUMMYFUNCTION("TRIM(REGEXREPLACE(D973, ""[0-9]+[a-f]?\."", """"))"),"Au cours des six derniers mois, avez-vous, ou un membre de votre foyer, partagé ou envoyé des biens (paiement en nature) à une personne extérieure à votre foyer et résidant ailleurs au Niger (hors de votre village) ?")</f>
        <v>Au cours des six derniers mois, avez-vous, ou un membre de votre foyer, partagé ou envoyé des biens (paiement en nature) à une personne extérieure à votre foyer et résidant ailleurs au Niger (hors de votre village) ?</v>
      </c>
      <c r="I973" s="188" t="str">
        <f>IFERROR(__xludf.DUMMYFUNCTION("TRIM(REGEXREPLACE(E973, ""[0-9]+[a-f]?\."", """"))"),"A cikin watanni shida da suka gabata, kai ko wani a cikin gidanku kun aika kaya (biya daga kaya) ga wanda ba ɗan gidanku ba kuma yana zaune a wani wuri a Nijar (wajen ƙauyenku)?")</f>
        <v>A cikin watanni shida da suka gabata, kai ko wani a cikin gidanku kun aika kaya (biya daga kaya) ga wanda ba ɗan gidanku ba kuma yana zaune a wani wuri a Nijar (wajen ƙauyenku)?</v>
      </c>
      <c r="J973" s="188" t="s">
        <v>7184</v>
      </c>
      <c r="K973" s="188" t="s">
        <v>7185</v>
      </c>
      <c r="L973" s="188" t="s">
        <v>7187</v>
      </c>
    </row>
    <row r="974">
      <c r="A974" s="306" t="s">
        <v>247</v>
      </c>
      <c r="B974" s="307" t="s">
        <v>7188</v>
      </c>
      <c r="C974" s="190" t="s">
        <v>7189</v>
      </c>
      <c r="D974" s="190" t="s">
        <v>7190</v>
      </c>
      <c r="E974" s="190" t="s">
        <v>7191</v>
      </c>
      <c r="F974" s="195">
        <v>525.0</v>
      </c>
      <c r="G974" s="188" t="str">
        <f>IFERROR(__xludf.DUMMYFUNCTION("TRIM(REGEXREPLACE(C974, ""[0-9]+[a-f]?\."", """"))"),"What was the value of the goods members of your household sent to people elsewhere in Niger?")</f>
        <v>What was the value of the goods members of your household sent to people elsewhere in Niger?</v>
      </c>
      <c r="H974" s="188" t="str">
        <f>IFERROR(__xludf.DUMMYFUNCTION("TRIM(REGEXREPLACE(D974,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974" s="188" t="str">
        <f>IFERROR(__xludf.DUMMYFUNCTION("TRIM(REGEXREPLACE(E974, ""[0-9]+[a-f]?\."", """"))"),"Nawa ne kimar kayan da ƴan gidanku suka aika wa mutane a wasu wurare a cikin Nijar?")</f>
        <v>Nawa ne kimar kayan da ƴan gidanku suka aika wa mutane a wasu wurare a cikin Nijar?</v>
      </c>
      <c r="J974" s="188" t="s">
        <v>7192</v>
      </c>
      <c r="K974" s="188" t="s">
        <v>7193</v>
      </c>
      <c r="L974" s="188" t="s">
        <v>7194</v>
      </c>
    </row>
    <row r="975">
      <c r="A975" s="299" t="s">
        <v>7079</v>
      </c>
      <c r="B975" s="300" t="s">
        <v>7195</v>
      </c>
      <c r="C975" s="190" t="s">
        <v>7196</v>
      </c>
      <c r="D975" s="190" t="s">
        <v>7197</v>
      </c>
      <c r="E975" s="190" t="s">
        <v>7198</v>
      </c>
      <c r="F975" s="195">
        <v>526.0</v>
      </c>
      <c r="G975" s="188" t="str">
        <f>IFERROR(__xludf.DUMMYFUNCTION("TRIM(REGEXREPLACE(C975, ""[0-9]+[a-f]?\."", """"))"),"How were these goods transmitted to the recipient?")</f>
        <v>How were these goods transmitted to the recipient?</v>
      </c>
      <c r="H975" s="188" t="str">
        <f>IFERROR(__xludf.DUMMYFUNCTION("TRIM(REGEXREPLACE(D975, ""[0-9]+[a-f]?\."", """"))"),"Comment ces biens ont-ils été envoyé au destinataire ?")</f>
        <v>Comment ces biens ont-ils été envoyé au destinataire ?</v>
      </c>
      <c r="I975" s="188" t="str">
        <f>IFERROR(__xludf.DUMMYFUNCTION("TRIM(REGEXREPLACE(E975, ""[0-9]+[a-f]?\."", """"))"),"Ta yaya aka aika waɗannan kayayyaki zuwa ga mai karɓa?")</f>
        <v>Ta yaya aka aika waɗannan kayayyaki zuwa ga mai karɓa?</v>
      </c>
      <c r="J975" s="188" t="s">
        <v>7199</v>
      </c>
      <c r="K975" s="188" t="s">
        <v>7200</v>
      </c>
      <c r="L975" s="188" t="s">
        <v>7201</v>
      </c>
    </row>
    <row r="976">
      <c r="A976" s="301" t="s">
        <v>220</v>
      </c>
      <c r="B976" s="302" t="s">
        <v>7203</v>
      </c>
      <c r="C976" s="190" t="s">
        <v>6351</v>
      </c>
      <c r="D976" s="190" t="s">
        <v>6352</v>
      </c>
      <c r="E976" s="190" t="s">
        <v>6353</v>
      </c>
      <c r="F976" s="195">
        <v>527.0</v>
      </c>
      <c r="G976" s="188" t="str">
        <f>IFERROR(__xludf.DUMMYFUNCTION("TRIM(REGEXREPLACE(C976, ""[0-9]+[a-f]?\."", """"))"),"Specify other transfer method")</f>
        <v>Specify other transfer method</v>
      </c>
      <c r="H976" s="188" t="str">
        <f>IFERROR(__xludf.DUMMYFUNCTION("TRIM(REGEXREPLACE(D976, ""[0-9]+[a-f]?\."", """"))"),"Precisez la methode du transfert")</f>
        <v>Precisez la methode du transfert</v>
      </c>
      <c r="I976" s="188" t="str">
        <f>IFERROR(__xludf.DUMMYFUNCTION("TRIM(REGEXREPLACE(E976, ""[0-9]+[a-f]?\."", """"))"),"Wani daban a Bayyana")</f>
        <v>Wani daban a Bayyana</v>
      </c>
      <c r="J976" s="188" t="s">
        <v>7204</v>
      </c>
      <c r="K976" s="188" t="s">
        <v>7205</v>
      </c>
      <c r="L976" s="188" t="s">
        <v>7206</v>
      </c>
    </row>
    <row r="977">
      <c r="A977" s="299" t="s">
        <v>2456</v>
      </c>
      <c r="B977" s="300" t="s">
        <v>7207</v>
      </c>
      <c r="C977" s="190" t="s">
        <v>7208</v>
      </c>
      <c r="D977" s="190" t="s">
        <v>7209</v>
      </c>
      <c r="E977" s="190" t="s">
        <v>7210</v>
      </c>
      <c r="F977" s="195">
        <v>528.0</v>
      </c>
      <c r="G977" s="188" t="str">
        <f>IFERROR(__xludf.DUMMYFUNCTION("TRIM(REGEXREPLACE(C977, ""[0-9]+[a-f]?\."", """"))"),"In the past six months, have you or anyone in your household shared or sent money to someone who is not a member of your household and who lives in a foreign country (outside of Niger)?")</f>
        <v>In the past six months, have you or anyone in your household shared or sent money to someone who is not a member of your household and who lives in a foreign country (outside of Niger)?</v>
      </c>
      <c r="H977" s="188" t="str">
        <f>IFERROR(__xludf.DUMMYFUNCTION("TRIM(REGEXREPLACE(D977, ""[0-9]+[a-f]?\."", """"))"),"Au cours des six derniers mois, avez-vous, ou un membre de votre foyer, partagé ou envoyé de l'argent à une personne extérieure à votre foyer et résidant à l'étranger (hors du Niger) ?")</f>
        <v>Au cours des six derniers mois, avez-vous, ou un membre de votre foyer, partagé ou envoyé de l'argent à une personne extérieure à votre foyer et résidant à l'étranger (hors du Niger) ?</v>
      </c>
      <c r="I977" s="188" t="str">
        <f>IFERROR(__xludf.DUMMYFUNCTION("TRIM(REGEXREPLACE(E977, ""[0-9]+[a-f]?\."", """"))"),"A cikin watanni shida da suka gabata, kai ko wani a cikin gidanku kun raba ko aika kudi ga wanda ba dan gidanku ba kuma yana zaune a wata kasa (wajen Nijar)?")</f>
        <v>A cikin watanni shida da suka gabata, kai ko wani a cikin gidanku kun raba ko aika kudi ga wanda ba dan gidanku ba kuma yana zaune a wata kasa (wajen Nijar)?</v>
      </c>
      <c r="J977" s="188" t="s">
        <v>7211</v>
      </c>
      <c r="K977" s="188" t="s">
        <v>7212</v>
      </c>
      <c r="L977" s="188" t="s">
        <v>7213</v>
      </c>
    </row>
    <row r="978">
      <c r="A978" s="306" t="s">
        <v>247</v>
      </c>
      <c r="B978" s="307" t="s">
        <v>7215</v>
      </c>
      <c r="C978" s="190" t="s">
        <v>7216</v>
      </c>
      <c r="D978" s="190" t="s">
        <v>7217</v>
      </c>
      <c r="E978" s="190" t="s">
        <v>7218</v>
      </c>
      <c r="F978" s="195">
        <v>529.0</v>
      </c>
      <c r="G978" s="188" t="str">
        <f>IFERROR(__xludf.DUMMYFUNCTION("TRIM(REGEXREPLACE(C978, ""[0-9]+[a-f]?\."", """"))"),"How much did your household send to people people out of Niger?")</f>
        <v>How much did your household send to people people out of Niger?</v>
      </c>
      <c r="H978" s="188" t="str">
        <f>IFERROR(__xludf.DUMMYFUNCTION("TRIM(REGEXREPLACE(D978, ""[0-9]+[a-f]?\."", """"))"),"Combien votre ménage a-t-il envoyé à d'autres personnes qui sont quelque part hors du Niger ?")</f>
        <v>Combien votre ménage a-t-il envoyé à d'autres personnes qui sont quelque part hors du Niger ?</v>
      </c>
      <c r="I978" s="188" t="str">
        <f>IFERROR(__xludf.DUMMYFUNCTION("TRIM(REGEXREPLACE(E978, ""[0-9]+[a-f]?\."", """"))"),"Nawa gidanku ya aikawa wasu mutane da ke wani wuri ba a Nijar ba?")</f>
        <v>Nawa gidanku ya aikawa wasu mutane da ke wani wuri ba a Nijar ba?</v>
      </c>
      <c r="J978" s="188" t="s">
        <v>7220</v>
      </c>
      <c r="K978" s="188" t="s">
        <v>7221</v>
      </c>
      <c r="L978" s="188" t="s">
        <v>7222</v>
      </c>
    </row>
    <row r="979">
      <c r="A979" s="299" t="s">
        <v>7001</v>
      </c>
      <c r="B979" s="300" t="s">
        <v>7223</v>
      </c>
      <c r="C979" s="190" t="s">
        <v>7225</v>
      </c>
      <c r="D979" s="190" t="s">
        <v>7226</v>
      </c>
      <c r="E979" s="190" t="s">
        <v>7227</v>
      </c>
      <c r="F979" s="195">
        <v>530.0</v>
      </c>
      <c r="G979" s="188" t="str">
        <f>IFERROR(__xludf.DUMMYFUNCTION("TRIM(REGEXREPLACE(C979, ""[0-9]+[a-f]?\."", """"))"),"How did you transmit the money to the recipient?")</f>
        <v>How did you transmit the money to the recipient?</v>
      </c>
      <c r="H979" s="188" t="str">
        <f>IFERROR(__xludf.DUMMYFUNCTION("TRIM(REGEXREPLACE(D979, ""[0-9]+[a-f]?\."", """"))"),"Comment avez-vous transmis l'argent au destinataire ?")</f>
        <v>Comment avez-vous transmis l'argent au destinataire ?</v>
      </c>
      <c r="I979" s="188" t="str">
        <f>IFERROR(__xludf.DUMMYFUNCTION("TRIM(REGEXREPLACE(E979, ""[0-9]+[a-f]?\."", """"))"),"Ta wace hanya kuka aika kuɗin ga mai karɓa?")</f>
        <v>Ta wace hanya kuka aika kuɗin ga mai karɓa?</v>
      </c>
      <c r="J979" s="188" t="s">
        <v>7228</v>
      </c>
      <c r="K979" s="188" t="s">
        <v>7229</v>
      </c>
      <c r="L979" s="188" t="s">
        <v>7230</v>
      </c>
    </row>
    <row r="980">
      <c r="A980" s="301" t="s">
        <v>220</v>
      </c>
      <c r="B980" s="302" t="s">
        <v>7231</v>
      </c>
      <c r="C980" s="190" t="s">
        <v>7232</v>
      </c>
      <c r="D980" s="190" t="s">
        <v>7233</v>
      </c>
      <c r="E980" s="190" t="s">
        <v>7234</v>
      </c>
      <c r="F980" s="195">
        <v>531.0</v>
      </c>
      <c r="G980" s="188" t="str">
        <f>IFERROR(__xludf.DUMMYFUNCTION("TRIM(REGEXREPLACE(C980, ""[0-9]+[a-f]?\."", """"))"),"Specify other transfer method")</f>
        <v>Specify other transfer method</v>
      </c>
      <c r="H980" s="188" t="str">
        <f>IFERROR(__xludf.DUMMYFUNCTION("TRIM(REGEXREPLACE(D980, ""[0-9]+[a-f]?\."", """"))"),"Precisez la methode du transfert")</f>
        <v>Precisez la methode du transfert</v>
      </c>
      <c r="I980" s="188" t="str">
        <f>IFERROR(__xludf.DUMMYFUNCTION("TRIM(REGEXREPLACE(E980, ""[0-9]+[a-f]?\."", """"))"),"Wani daban a Bayyana")</f>
        <v>Wani daban a Bayyana</v>
      </c>
      <c r="J980" s="188" t="s">
        <v>7235</v>
      </c>
      <c r="K980" s="188" t="s">
        <v>7236</v>
      </c>
      <c r="L980" s="188" t="s">
        <v>7237</v>
      </c>
    </row>
    <row r="981">
      <c r="A981" s="299" t="s">
        <v>2456</v>
      </c>
      <c r="B981" s="300" t="s">
        <v>7238</v>
      </c>
      <c r="C981" s="190" t="s">
        <v>7239</v>
      </c>
      <c r="D981" s="190" t="s">
        <v>7240</v>
      </c>
      <c r="E981" s="190" t="s">
        <v>7241</v>
      </c>
      <c r="F981" s="195">
        <v>532.0</v>
      </c>
      <c r="G981" s="188" t="str">
        <f>IFERROR(__xludf.DUMMYFUNCTION("TRIM(REGEXREPLACE(C981, ""[0-9]+[a-f]?\."", """"))"),"In the past six months, have you or anyone in your household shared or sent goods (payment in kind) to someone who is not a member of your household and who lives in a foreign country (outside of Niger)?")</f>
        <v>In the past six months, have you or anyone in your household shared or sent goods (payment in kind) to someone who is not a member of your household and who lives in a foreign country (outside of Niger)?</v>
      </c>
      <c r="H981" s="188" t="str">
        <f>IFERROR(__xludf.DUMMYFUNCTION("TRIM(REGEXREPLACE(D981, ""[0-9]+[a-f]?\."", """"))"),"Au cours des six derniers mois, avez-vous, ou un membre de votre foyer, partagé ou envoyé des biens (paiement en nature) à une personne extérieure à votre foyer et résidant à l'étranger (hors du Niger) ?")</f>
        <v>Au cours des six derniers mois, avez-vous, ou un membre de votre foyer, partagé ou envoyé des biens (paiement en nature) à une personne extérieure à votre foyer et résidant à l'étranger (hors du Niger) ?</v>
      </c>
      <c r="I981" s="188" t="str">
        <f>IFERROR(__xludf.DUMMYFUNCTION("TRIM(REGEXREPLACE(E981, ""[0-9]+[a-f]?\."", """"))"),"A cikin watanni shida da suka gabata, kai ko wani a cikin gidanku kun aika kaya (biya daga kaya) ga wanda ba ɗan gidanku ba kuma yana zaune a wata ƙasa (a wajen Nijar)?")</f>
        <v>A cikin watanni shida da suka gabata, kai ko wani a cikin gidanku kun aika kaya (biya daga kaya) ga wanda ba ɗan gidanku ba kuma yana zaune a wata ƙasa (a wajen Nijar)?</v>
      </c>
      <c r="J981" s="188" t="s">
        <v>7243</v>
      </c>
      <c r="K981" s="188" t="s">
        <v>7244</v>
      </c>
      <c r="L981" s="188" t="s">
        <v>7245</v>
      </c>
    </row>
    <row r="982">
      <c r="A982" s="306" t="s">
        <v>247</v>
      </c>
      <c r="B982" s="307" t="s">
        <v>7246</v>
      </c>
      <c r="C982" s="190" t="s">
        <v>7247</v>
      </c>
      <c r="D982" s="190" t="s">
        <v>7248</v>
      </c>
      <c r="E982" s="190" t="s">
        <v>7249</v>
      </c>
      <c r="F982" s="195">
        <v>533.0</v>
      </c>
      <c r="G982" s="188" t="str">
        <f>IFERROR(__xludf.DUMMYFUNCTION("TRIM(REGEXREPLACE(C982, ""[0-9]+[a-f]?\."", """"))"),"What was the value of the goods members of your household sent to people out of Niger?")</f>
        <v>What was the value of the goods members of your household sent to people out of Niger?</v>
      </c>
      <c r="H982" s="188" t="str">
        <f>IFERROR(__xludf.DUMMYFUNCTION("TRIM(REGEXREPLACE(D982,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982" s="188" t="str">
        <f>IFERROR(__xludf.DUMMYFUNCTION("TRIM(REGEXREPLACE(E982, ""[0-9]+[a-f]?\."", """"))"),"Nawa ne kimar kayan da ƴan gidanku suka aikawa wasu mutane da ke wani wuri ba a Nijar ba?")</f>
        <v>Nawa ne kimar kayan da ƴan gidanku suka aikawa wasu mutane da ke wani wuri ba a Nijar ba?</v>
      </c>
      <c r="J982" s="188" t="s">
        <v>7250</v>
      </c>
      <c r="K982" s="188" t="s">
        <v>7251</v>
      </c>
      <c r="L982" s="188" t="s">
        <v>7252</v>
      </c>
    </row>
    <row r="983">
      <c r="A983" s="299" t="s">
        <v>7079</v>
      </c>
      <c r="B983" s="300" t="s">
        <v>7253</v>
      </c>
      <c r="C983" s="190" t="s">
        <v>7254</v>
      </c>
      <c r="D983" s="190" t="s">
        <v>7255</v>
      </c>
      <c r="E983" s="190" t="s">
        <v>7256</v>
      </c>
      <c r="F983" s="195">
        <v>534.0</v>
      </c>
      <c r="G983" s="188" t="str">
        <f>IFERROR(__xludf.DUMMYFUNCTION("TRIM(REGEXREPLACE(C983, ""[0-9]+[a-f]?\."", """"))"),"How were these goods transmitted to the recipient?")</f>
        <v>How were these goods transmitted to the recipient?</v>
      </c>
      <c r="H983" s="188" t="str">
        <f>IFERROR(__xludf.DUMMYFUNCTION("TRIM(REGEXREPLACE(D983, ""[0-9]+[a-f]?\."", """"))"),"Comment ces biens ont-ils été envoyé au destinataire ?")</f>
        <v>Comment ces biens ont-ils été envoyé au destinataire ?</v>
      </c>
      <c r="I983" s="188" t="str">
        <f>IFERROR(__xludf.DUMMYFUNCTION("TRIM(REGEXREPLACE(E983, ""[0-9]+[a-f]?\."", """"))"),"Ta yaya aka aika waɗannan kayayyaki zuwa ga mai karɓa?")</f>
        <v>Ta yaya aka aika waɗannan kayayyaki zuwa ga mai karɓa?</v>
      </c>
      <c r="J983" s="188" t="s">
        <v>7257</v>
      </c>
      <c r="K983" s="188" t="s">
        <v>7258</v>
      </c>
      <c r="L983" s="188" t="s">
        <v>7259</v>
      </c>
    </row>
    <row r="984">
      <c r="A984" s="301" t="s">
        <v>220</v>
      </c>
      <c r="B984" s="302" t="s">
        <v>7260</v>
      </c>
      <c r="C984" s="190" t="s">
        <v>7262</v>
      </c>
      <c r="D984" s="190" t="s">
        <v>7263</v>
      </c>
      <c r="E984" s="190" t="s">
        <v>7264</v>
      </c>
      <c r="F984" s="195">
        <v>535.0</v>
      </c>
      <c r="G984" s="188" t="str">
        <f>IFERROR(__xludf.DUMMYFUNCTION("TRIM(REGEXREPLACE(C984, ""[0-9]+[a-f]?\."", """"))"),"Specify other transfer method")</f>
        <v>Specify other transfer method</v>
      </c>
      <c r="H984" s="188" t="str">
        <f>IFERROR(__xludf.DUMMYFUNCTION("TRIM(REGEXREPLACE(D984, ""[0-9]+[a-f]?\."", """"))"),"Precisez la methode du transfert")</f>
        <v>Precisez la methode du transfert</v>
      </c>
      <c r="I984" s="188" t="str">
        <f>IFERROR(__xludf.DUMMYFUNCTION("TRIM(REGEXREPLACE(E984, ""[0-9]+[a-f]?\."", """"))"),"Wani daban a Bayyana")</f>
        <v>Wani daban a Bayyana</v>
      </c>
      <c r="J984" s="188" t="s">
        <v>7265</v>
      </c>
      <c r="K984" s="188" t="s">
        <v>7266</v>
      </c>
      <c r="L984" s="188" t="s">
        <v>7267</v>
      </c>
    </row>
    <row r="985">
      <c r="A985" s="299" t="s">
        <v>7268</v>
      </c>
      <c r="B985" s="300" t="s">
        <v>7269</v>
      </c>
      <c r="C985" s="190" t="s">
        <v>7270</v>
      </c>
      <c r="D985" s="190" t="s">
        <v>7271</v>
      </c>
      <c r="E985" s="190" t="s">
        <v>7272</v>
      </c>
      <c r="F985" s="195">
        <v>536.0</v>
      </c>
      <c r="G985" s="188" t="str">
        <f>IFERROR(__xludf.DUMMYFUNCTION("TRIM(REGEXREPLACE(C985, ""[0-9]+[a-f]?\."", """"))"),"In the past six months, have you received support from any of the following sources?")</f>
        <v>In the past six months, have you received support from any of the following sources?</v>
      </c>
      <c r="H985" s="188" t="str">
        <f>IFERROR(__xludf.DUMMYFUNCTION("TRIM(REGEXREPLACE(D985, ""[0-9]+[a-f]?\."", """"))"),"Au cours des six derniers mois, avez-vous reçu une aide de l'une des sources suivantes ?")</f>
        <v>Au cours des six derniers mois, avez-vous reçu une aide de l'une des sources suivantes ?</v>
      </c>
      <c r="I985" s="188" t="str">
        <f>IFERROR(__xludf.DUMMYFUNCTION("TRIM(REGEXREPLACE(E985, ""[0-9]+[a-f]?\."", """"))"),"A cikin watanni shida da suka gabata, kun sami tallafi daga ɗayan waɗannan kafofin?")</f>
        <v>A cikin watanni shida da suka gabata, kun sami tallafi daga ɗayan waɗannan kafofin?</v>
      </c>
      <c r="J985" s="188" t="s">
        <v>7273</v>
      </c>
      <c r="K985" s="188" t="s">
        <v>7274</v>
      </c>
      <c r="L985" s="188" t="s">
        <v>7275</v>
      </c>
    </row>
    <row r="986">
      <c r="A986" s="306" t="s">
        <v>247</v>
      </c>
      <c r="B986" s="307" t="s">
        <v>7276</v>
      </c>
      <c r="C986" s="190" t="s">
        <v>7277</v>
      </c>
      <c r="D986" s="190" t="s">
        <v>7279</v>
      </c>
      <c r="E986" s="190" t="s">
        <v>7280</v>
      </c>
      <c r="F986" s="195">
        <v>537.0</v>
      </c>
      <c r="G986" s="188" t="str">
        <f>IFERROR(__xludf.DUMMYFUNCTION("TRIM(REGEXREPLACE(C986, ""[0-9]+[a-f]?\."", """"))"),"How much did ou receive from all the sources combined?")</f>
        <v>How much did ou receive from all the sources combined?</v>
      </c>
      <c r="H986" s="188" t="str">
        <f>IFERROR(__xludf.DUMMYFUNCTION("TRIM(REGEXREPLACE(D986, ""[0-9]+[a-f]?\."", """"))"),"Combien avez-vous reçu de toutes les sources confondues ?")</f>
        <v>Combien avez-vous reçu de toutes les sources confondues ?</v>
      </c>
      <c r="I986" s="188" t="str">
        <f>IFERROR(__xludf.DUMMYFUNCTION("TRIM(REGEXREPLACE(E986, ""[0-9]+[a-f]?\."", """"))"),"Nawa kuka samu daga duk hanyoyin shiga gaba ɗayan su?")</f>
        <v>Nawa kuka samu daga duk hanyoyin shiga gaba ɗayan su?</v>
      </c>
      <c r="J986" s="188" t="s">
        <v>7281</v>
      </c>
      <c r="K986" s="188" t="s">
        <v>7282</v>
      </c>
      <c r="L986" s="188" t="s">
        <v>7283</v>
      </c>
    </row>
    <row r="987">
      <c r="A987" s="306" t="s">
        <v>247</v>
      </c>
      <c r="B987" s="307" t="s">
        <v>7284</v>
      </c>
      <c r="C987" s="190" t="s">
        <v>7285</v>
      </c>
      <c r="D987" s="190" t="s">
        <v>7286</v>
      </c>
      <c r="E987" s="190" t="s">
        <v>7287</v>
      </c>
      <c r="F987" s="195">
        <v>538.0</v>
      </c>
      <c r="G987" s="188" t="str">
        <f>IFERROR(__xludf.DUMMYFUNCTION("TRIM(REGEXREPLACE(C987, ""[0-9]+[a-f]?\."", """"))"),"In addition to the transfers we just discussed, what is the total value of income from charity or gifts your household has received &lt;b&gt;in the past six months&lt;/b&gt; in CFA?")</f>
        <v>In addition to the transfers we just discussed, what is the total value of income from charity or gifts your household has received &lt;b&gt;in the past six months&lt;/b&gt; in CFA?</v>
      </c>
      <c r="H987" s="188" t="str">
        <f>IFERROR(__xludf.DUMMYFUNCTION("TRIM(REGEXREPLACE(D987, ""[0-9]+[a-f]?\."", """"))"),"Outre les transferts que nous venons d'évoquer, quel est le montant total des revenus provenant d'œuvres caritatives ou de dons que votre ménage a reçus &lt;b&gt;au cours des six derniers mois&lt;/b&gt; en francs CFA ?")</f>
        <v>Outre les transferts que nous venons d'évoquer, quel est le montant total des revenus provenant d'œuvres caritatives ou de dons que votre ménage a reçus &lt;b&gt;au cours des six derniers mois&lt;/b&gt; en francs CFA ?</v>
      </c>
      <c r="I987" s="188" t="str">
        <f>IFERROR(__xludf.DUMMYFUNCTION("TRIM(REGEXREPLACE(E987, ""[0-9]+[a-f]?\."", """"))"),"Bancin aiken kuɗi da muka tattauna yanzu, nawa ne jimillar kuɗin da kuka samu na taimako ko kyaututtukan &lt;b&gt;a cikin watanni shida da suka gabata a CFA?")</f>
        <v>Bancin aiken kuɗi da muka tattauna yanzu, nawa ne jimillar kuɗin da kuka samu na taimako ko kyaututtukan &lt;b&gt;a cikin watanni shida da suka gabata a CFA?</v>
      </c>
      <c r="J987" s="188" t="s">
        <v>7288</v>
      </c>
      <c r="K987" s="188" t="s">
        <v>7289</v>
      </c>
      <c r="L987" s="188" t="s">
        <v>7290</v>
      </c>
    </row>
    <row r="988" hidden="1">
      <c r="A988" s="221" t="s">
        <v>256</v>
      </c>
      <c r="B988" s="198" t="s">
        <v>7291</v>
      </c>
      <c r="C988" s="190"/>
      <c r="D988" s="190"/>
      <c r="E988" s="190"/>
      <c r="F988" s="195">
        <v>315.0</v>
      </c>
      <c r="G988" s="188" t="str">
        <f>IFERROR(__xludf.DUMMYFUNCTION("TRIM(REGEXREPLACE(C988, ""[0-9]+[a-f]?\."", """"))"),"")</f>
        <v/>
      </c>
      <c r="H988" s="188" t="str">
        <f>IFERROR(__xludf.DUMMYFUNCTION("TRIM(REGEXREPLACE(D988, ""[0-9]+[a-f]?\."", """"))"),"")</f>
        <v/>
      </c>
      <c r="I988" s="188" t="str">
        <f>IFERROR(__xludf.DUMMYFUNCTION("TRIM(REGEXREPLACE(E988, ""[0-9]+[a-f]?\."", """"))"),"")</f>
        <v/>
      </c>
      <c r="J988" s="188" t="str">
        <f t="shared" ref="J988:L988" si="114">$F988 &amp; ". "&amp;G988</f>
        <v>315. </v>
      </c>
      <c r="K988" s="188" t="str">
        <f t="shared" si="114"/>
        <v>315. </v>
      </c>
      <c r="L988" s="188" t="str">
        <f t="shared" si="114"/>
        <v>315. </v>
      </c>
    </row>
    <row r="989" hidden="1">
      <c r="A989" s="221" t="s">
        <v>112</v>
      </c>
      <c r="B989" s="198" t="s">
        <v>7292</v>
      </c>
      <c r="C989" s="190"/>
      <c r="D989" s="190"/>
      <c r="E989" s="190"/>
    </row>
    <row r="990" hidden="1">
      <c r="A990" s="310" t="s">
        <v>331</v>
      </c>
      <c r="B990" s="315" t="s">
        <v>6995</v>
      </c>
      <c r="C990" s="190" t="s">
        <v>6996</v>
      </c>
      <c r="D990" s="190"/>
      <c r="E990" s="190"/>
    </row>
    <row r="991" hidden="1">
      <c r="A991" s="221" t="s">
        <v>256</v>
      </c>
      <c r="B991" s="198" t="s">
        <v>7293</v>
      </c>
      <c r="C991" s="190"/>
      <c r="D991" s="190"/>
      <c r="E991" s="190"/>
    </row>
    <row r="992" hidden="1">
      <c r="A992" s="310" t="s">
        <v>278</v>
      </c>
      <c r="B992" s="311" t="s">
        <v>7294</v>
      </c>
      <c r="C992" s="190" t="s">
        <v>7295</v>
      </c>
      <c r="D992" s="190" t="s">
        <v>7296</v>
      </c>
      <c r="E992" s="190" t="s">
        <v>7297</v>
      </c>
      <c r="F992" s="195">
        <v>316.0</v>
      </c>
      <c r="G992" s="188" t="str">
        <f>IFERROR(__xludf.DUMMYFUNCTION("TRIM(REGEXREPLACE(C992, ""[0-9]+[a-f]?\."", """"))"),"Improvements")</f>
        <v>Improvements</v>
      </c>
      <c r="H992" s="188" t="str">
        <f>IFERROR(__xludf.DUMMYFUNCTION("TRIM(REGEXREPLACE(D992, ""[0-9]+[a-f]?\."", """"))"),"Améliorations")</f>
        <v>Améliorations</v>
      </c>
      <c r="I992" s="188" t="str">
        <f>IFERROR(__xludf.DUMMYFUNCTION("TRIM(REGEXREPLACE(E992, ""[0-9]+[a-f]?\."", """"))"),"Ingantawa")</f>
        <v>Ingantawa</v>
      </c>
      <c r="J992" s="188" t="str">
        <f t="shared" ref="J992:L992" si="115">$F992 &amp; ". "&amp;G992</f>
        <v>316. Improvements</v>
      </c>
      <c r="K992" s="188" t="str">
        <f t="shared" si="115"/>
        <v>316. Améliorations</v>
      </c>
      <c r="L992" s="188" t="str">
        <f t="shared" si="115"/>
        <v>316. Ingantawa</v>
      </c>
    </row>
    <row r="993">
      <c r="A993" s="299" t="s">
        <v>1060</v>
      </c>
      <c r="B993" s="300" t="s">
        <v>7298</v>
      </c>
      <c r="C993" s="190" t="s">
        <v>7299</v>
      </c>
      <c r="D993" s="190" t="s">
        <v>7300</v>
      </c>
      <c r="E993" s="190" t="s">
        <v>7301</v>
      </c>
      <c r="F993" s="195">
        <v>539.0</v>
      </c>
      <c r="G993" s="188" t="str">
        <f>IFERROR(__xludf.DUMMYFUNCTION("TRIM(REGEXREPLACE(C993, ""[0-9]+[a-f]?\."", """"))"),"In the past six months did your household make a significant investment or improvement in the house you reside in?")</f>
        <v>In the past six months did your household make a significant investment or improvement in the house you reside in?</v>
      </c>
      <c r="H993" s="188" t="str">
        <f>IFERROR(__xludf.DUMMYFUNCTION("TRIM(REGEXREPLACE(D993, ""[0-9]+[a-f]?\."", """"))"),"Au cours des six derniers mois, votre ménage a-t-il réalisé un investissement ou une amélioration significative dans la maison que vous occupez ?")</f>
        <v>Au cours des six derniers mois, votre ménage a-t-il réalisé un investissement ou une amélioration significative dans la maison que vous occupez ?</v>
      </c>
      <c r="I993" s="188" t="str">
        <f>IFERROR(__xludf.DUMMYFUNCTION("TRIM(REGEXREPLACE(E993, ""[0-9]+[a-f]?\."", """"))"),"A cikin watanni shida da suka gabata, an yi wasu kashe kashen kuɗi don gyara gidan ku wanda kuke zaune a ciki?")</f>
        <v>A cikin watanni shida da suka gabata, an yi wasu kashe kashen kuɗi don gyara gidan ku wanda kuke zaune a ciki?</v>
      </c>
      <c r="J993" s="188" t="s">
        <v>7302</v>
      </c>
      <c r="K993" s="188" t="s">
        <v>7303</v>
      </c>
      <c r="L993" s="188" t="s">
        <v>7305</v>
      </c>
    </row>
    <row r="994">
      <c r="A994" s="299" t="s">
        <v>1060</v>
      </c>
      <c r="B994" s="300" t="s">
        <v>7306</v>
      </c>
      <c r="C994" s="190" t="s">
        <v>7307</v>
      </c>
      <c r="D994" s="190" t="s">
        <v>7308</v>
      </c>
      <c r="E994" s="190" t="s">
        <v>7309</v>
      </c>
      <c r="F994" s="195">
        <v>540.0</v>
      </c>
      <c r="G994" s="188" t="str">
        <f>IFERROR(__xludf.DUMMYFUNCTION("TRIM(REGEXREPLACE(C994, ""[0-9]+[a-f]?\."", """"))"),"Build additional rooms")</f>
        <v>Build additional rooms</v>
      </c>
      <c r="H994" s="188" t="str">
        <f>IFERROR(__xludf.DUMMYFUNCTION("TRIM(REGEXREPLACE(D994, ""[0-9]+[a-f]?\."", """"))"),"Construire des chambres supplémentaires")</f>
        <v>Construire des chambres supplémentaires</v>
      </c>
      <c r="I994" s="188" t="str">
        <f>IFERROR(__xludf.DUMMYFUNCTION("TRIM(REGEXREPLACE(E994, ""[0-9]+[a-f]?\."", """"))"),"Ginin ƙarin ɗakuna")</f>
        <v>Ginin ƙarin ɗakuna</v>
      </c>
      <c r="J994" s="188" t="s">
        <v>7310</v>
      </c>
      <c r="K994" s="188" t="s">
        <v>7311</v>
      </c>
      <c r="L994" s="188" t="s">
        <v>7312</v>
      </c>
    </row>
    <row r="995">
      <c r="A995" s="299" t="s">
        <v>1060</v>
      </c>
      <c r="B995" s="300" t="s">
        <v>7313</v>
      </c>
      <c r="C995" s="190" t="s">
        <v>7314</v>
      </c>
      <c r="D995" s="190" t="s">
        <v>7315</v>
      </c>
      <c r="E995" s="190" t="s">
        <v>7316</v>
      </c>
      <c r="F995" s="195">
        <v>541.0</v>
      </c>
      <c r="G995" s="188" t="str">
        <f>IFERROR(__xludf.DUMMYFUNCTION("TRIM(REGEXREPLACE(C995, ""[0-9]+[a-f]?\."", """"))"),"Improve floors")</f>
        <v>Improve floors</v>
      </c>
      <c r="H995" s="188" t="str">
        <f>IFERROR(__xludf.DUMMYFUNCTION("TRIM(REGEXREPLACE(D995, ""[0-9]+[a-f]?\."", """"))"),"Améliorer les sols")</f>
        <v>Améliorer les sols</v>
      </c>
      <c r="I995" s="188" t="str">
        <f>IFERROR(__xludf.DUMMYFUNCTION("TRIM(REGEXREPLACE(E995, ""[0-9]+[a-f]?\."", """"))"),"Inganta filalayen gida")</f>
        <v>Inganta filalayen gida</v>
      </c>
      <c r="J995" s="188" t="s">
        <v>7317</v>
      </c>
      <c r="K995" s="188" t="s">
        <v>7318</v>
      </c>
      <c r="L995" s="188" t="s">
        <v>7319</v>
      </c>
    </row>
    <row r="996">
      <c r="A996" s="299" t="s">
        <v>1060</v>
      </c>
      <c r="B996" s="300" t="s">
        <v>7320</v>
      </c>
      <c r="C996" s="190" t="s">
        <v>7321</v>
      </c>
      <c r="D996" s="190" t="s">
        <v>7322</v>
      </c>
      <c r="E996" s="190" t="s">
        <v>7323</v>
      </c>
      <c r="F996" s="195">
        <v>542.0</v>
      </c>
      <c r="G996" s="188" t="str">
        <f>IFERROR(__xludf.DUMMYFUNCTION("TRIM(REGEXREPLACE(C996, ""[0-9]+[a-f]?\."", """"))"),"Improve walls")</f>
        <v>Improve walls</v>
      </c>
      <c r="H996" s="188" t="str">
        <f>IFERROR(__xludf.DUMMYFUNCTION("TRIM(REGEXREPLACE(D996, ""[0-9]+[a-f]?\."", """"))"),"Réfectionner les murs")</f>
        <v>Réfectionner les murs</v>
      </c>
      <c r="I996" s="188" t="str">
        <f>IFERROR(__xludf.DUMMYFUNCTION("TRIM(REGEXREPLACE(E996, ""[0-9]+[a-f]?\."", """"))"),"gyara katangun gida")</f>
        <v>gyara katangun gida</v>
      </c>
      <c r="J996" s="188" t="s">
        <v>7324</v>
      </c>
      <c r="K996" s="188" t="s">
        <v>7325</v>
      </c>
      <c r="L996" s="188" t="s">
        <v>7326</v>
      </c>
    </row>
    <row r="997">
      <c r="A997" s="299" t="s">
        <v>1060</v>
      </c>
      <c r="B997" s="300" t="s">
        <v>7327</v>
      </c>
      <c r="C997" s="190" t="s">
        <v>7328</v>
      </c>
      <c r="D997" s="190" t="s">
        <v>7329</v>
      </c>
      <c r="E997" s="190" t="s">
        <v>7330</v>
      </c>
      <c r="F997" s="195">
        <v>543.0</v>
      </c>
      <c r="G997" s="188" t="str">
        <f>IFERROR(__xludf.DUMMYFUNCTION("TRIM(REGEXREPLACE(C997, ""[0-9]+[a-f]?\."", """"))"),"Improve roof")</f>
        <v>Improve roof</v>
      </c>
      <c r="H997" s="188" t="str">
        <f>IFERROR(__xludf.DUMMYFUNCTION("TRIM(REGEXREPLACE(D997, ""[0-9]+[a-f]?\."", """"))"),"Réfectionner le toit")</f>
        <v>Réfectionner le toit</v>
      </c>
      <c r="I997" s="188" t="str">
        <f>IFERROR(__xludf.DUMMYFUNCTION("TRIM(REGEXREPLACE(E997, ""[0-9]+[a-f]?\."", """"))"),"gyara rufin gida")</f>
        <v>gyara rufin gida</v>
      </c>
      <c r="J997" s="188" t="s">
        <v>7331</v>
      </c>
      <c r="K997" s="188" t="s">
        <v>7332</v>
      </c>
      <c r="L997" s="188" t="s">
        <v>7333</v>
      </c>
    </row>
    <row r="998">
      <c r="A998" s="299" t="s">
        <v>1060</v>
      </c>
      <c r="B998" s="300" t="s">
        <v>7334</v>
      </c>
      <c r="C998" s="190" t="s">
        <v>7335</v>
      </c>
      <c r="D998" s="190" t="s">
        <v>7336</v>
      </c>
      <c r="E998" s="190" t="s">
        <v>7337</v>
      </c>
      <c r="F998" s="195">
        <v>544.0</v>
      </c>
      <c r="G998" s="188" t="str">
        <f>IFERROR(__xludf.DUMMYFUNCTION("TRIM(REGEXREPLACE(C998, ""[0-9]+[a-f]?\."", """"))"),"Other improvement")</f>
        <v>Other improvement</v>
      </c>
      <c r="H998" s="188" t="str">
        <f>IFERROR(__xludf.DUMMYFUNCTION("TRIM(REGEXREPLACE(D998, ""[0-9]+[a-f]?\."", """"))"),"Autre amélioration")</f>
        <v>Autre amélioration</v>
      </c>
      <c r="I998" s="188" t="str">
        <f>IFERROR(__xludf.DUMMYFUNCTION("TRIM(REGEXREPLACE(E998, ""[0-9]+[a-f]?\."", """"))"),"Wasu gyare gyare daban")</f>
        <v>Wasu gyare gyare daban</v>
      </c>
      <c r="J998" s="188" t="s">
        <v>7338</v>
      </c>
      <c r="K998" s="188" t="s">
        <v>7339</v>
      </c>
      <c r="L998" s="188" t="s">
        <v>7340</v>
      </c>
    </row>
    <row r="999" hidden="1">
      <c r="A999" s="310" t="s">
        <v>331</v>
      </c>
      <c r="B999" s="315" t="s">
        <v>7294</v>
      </c>
      <c r="C999" s="190" t="s">
        <v>7295</v>
      </c>
      <c r="D999" s="190" t="s">
        <v>7296</v>
      </c>
      <c r="E999" s="190" t="s">
        <v>7297</v>
      </c>
    </row>
    <row r="1000">
      <c r="A1000" s="301" t="s">
        <v>220</v>
      </c>
      <c r="B1000" s="302" t="s">
        <v>7341</v>
      </c>
      <c r="C1000" s="190" t="s">
        <v>7342</v>
      </c>
      <c r="D1000" s="190" t="s">
        <v>7343</v>
      </c>
      <c r="E1000" s="190" t="s">
        <v>7345</v>
      </c>
      <c r="F1000" s="195">
        <v>545.0</v>
      </c>
      <c r="G1000" s="188" t="str">
        <f>IFERROR(__xludf.DUMMYFUNCTION("TRIM(REGEXREPLACE(C1000, ""[0-9]+[a-f]?\."", """"))"),"Specify other improvement (i.e. connect to electricity, build latrine)")</f>
        <v>Specify other improvement (i.e. connect to electricity, build latrine)</v>
      </c>
      <c r="H1000" s="188" t="str">
        <f>IFERROR(__xludf.DUMMYFUNCTION("TRIM(REGEXREPLACE(D1000, ""[0-9]+[a-f]?\."", """"))"),"Précisez les autres améliorations (c.-à-d. connecter de l'électricité, construire des latrines)")</f>
        <v>Précisez les autres améliorations (c.-à-d. connecter de l'électricité, construire des latrines)</v>
      </c>
      <c r="I1000" s="188" t="str">
        <f>IFERROR(__xludf.DUMMYFUNCTION("TRIM(REGEXREPLACE(E1000, ""[0-9]+[a-f]?\."", """"))"),"Baiyana wasu abubuwan ingantawa (kamar sa wutar lantarki, gina salga (masai ) )")</f>
        <v>Baiyana wasu abubuwan ingantawa (kamar sa wutar lantarki, gina salga (masai ) )</v>
      </c>
      <c r="J1000" s="188" t="s">
        <v>7346</v>
      </c>
      <c r="K1000" s="188" t="s">
        <v>7347</v>
      </c>
      <c r="L1000" s="188" t="s">
        <v>7348</v>
      </c>
    </row>
    <row r="1001">
      <c r="A1001" s="306" t="s">
        <v>247</v>
      </c>
      <c r="B1001" s="307" t="s">
        <v>7349</v>
      </c>
      <c r="C1001" s="190" t="s">
        <v>7350</v>
      </c>
      <c r="D1001" s="190" t="s">
        <v>7351</v>
      </c>
      <c r="E1001" s="190" t="s">
        <v>7352</v>
      </c>
      <c r="F1001" s="195">
        <v>546.0</v>
      </c>
      <c r="G1001" s="188" t="str">
        <f>IFERROR(__xludf.DUMMYFUNCTION("TRIM(REGEXREPLACE(C1001, ""[0-9]+[a-f]?\."", """"))"),"Approximately how much did all of these investments together cost in CFA?")</f>
        <v>Approximately how much did all of these investments together cost in CFA?</v>
      </c>
      <c r="H1001" s="188" t="str">
        <f>IFERROR(__xludf.DUMMYFUNCTION("TRIM(REGEXREPLACE(D1001, ""[0-9]+[a-f]?\."", """"))"),"Combien ont coûté approximativement tous ces investissements (en CFA) ?")</f>
        <v>Combien ont coûté approximativement tous ces investissements (en CFA) ?</v>
      </c>
      <c r="I1001" s="188" t="str">
        <f>IFERROR(__xludf.DUMMYFUNCTION("TRIM(REGEXREPLACE(E1001, ""[0-9]+[a-f]?\."", """"))"),"Aƙalla nawa aka kashe akan waɗannan ayyukan a sefa?")</f>
        <v>Aƙalla nawa aka kashe akan waɗannan ayyukan a sefa?</v>
      </c>
      <c r="J1001" s="188" t="s">
        <v>7353</v>
      </c>
      <c r="K1001" s="188" t="s">
        <v>7354</v>
      </c>
      <c r="L1001" s="188" t="s">
        <v>7355</v>
      </c>
    </row>
    <row r="1002">
      <c r="A1002" s="299" t="s">
        <v>1060</v>
      </c>
      <c r="B1002" s="300" t="s">
        <v>7356</v>
      </c>
      <c r="C1002" s="190" t="s">
        <v>7357</v>
      </c>
      <c r="D1002" s="190" t="s">
        <v>7358</v>
      </c>
      <c r="E1002" s="190" t="s">
        <v>7359</v>
      </c>
      <c r="F1002" s="195">
        <v>547.0</v>
      </c>
      <c r="G1002" s="188" t="str">
        <f>IFERROR(__xludf.DUMMYFUNCTION("TRIM(REGEXREPLACE(C1002, ""[0-9]+[a-f]?\."", """"))"),"In the past six months did you make any investments in your non-agricultural business?")</f>
        <v>In the past six months did you make any investments in your non-agricultural business?</v>
      </c>
      <c r="H1002" s="188" t="str">
        <f>IFERROR(__xludf.DUMMYFUNCTION("TRIM(REGEXREPLACE(D1002, ""[0-9]+[a-f]?\."", """"))"),"Au cours des six derniers mois, avez-vous investi dans votre entreprise non agricole ?")</f>
        <v>Au cours des six derniers mois, avez-vous investi dans votre entreprise non agricole ?</v>
      </c>
      <c r="I1002" s="188" t="str">
        <f>IFERROR(__xludf.DUMMYFUNCTION("TRIM(REGEXREPLACE(E1002, ""[0-9]+[a-f]?\."", """"))"),"A cikin watanni shida da suka gabata kun saka wani jari a cikin kasuwancin ku wanda ba na noma ba?")</f>
        <v>A cikin watanni shida da suka gabata kun saka wani jari a cikin kasuwancin ku wanda ba na noma ba?</v>
      </c>
      <c r="J1002" s="188" t="s">
        <v>7360</v>
      </c>
      <c r="K1002" s="188" t="s">
        <v>7361</v>
      </c>
      <c r="L1002" s="188" t="s">
        <v>7363</v>
      </c>
    </row>
    <row r="1003">
      <c r="A1003" s="301" t="s">
        <v>220</v>
      </c>
      <c r="B1003" s="302" t="s">
        <v>7364</v>
      </c>
      <c r="C1003" s="190" t="s">
        <v>7365</v>
      </c>
      <c r="D1003" s="190" t="s">
        <v>7366</v>
      </c>
      <c r="E1003" s="190" t="s">
        <v>7367</v>
      </c>
      <c r="F1003" s="195">
        <v>548.0</v>
      </c>
      <c r="G1003" s="188" t="str">
        <f>IFERROR(__xludf.DUMMYFUNCTION("TRIM(REGEXREPLACE(C1003, ""[0-9]+[a-f]?\."", """"))"),"Specify the improvement to your business")</f>
        <v>Specify the improvement to your business</v>
      </c>
      <c r="H1003" s="188" t="str">
        <f>IFERROR(__xludf.DUMMYFUNCTION("TRIM(REGEXREPLACE(D1003, ""[0-9]+[a-f]?\."", """"))"),"Précisez les investissements que vous avez fait dans votre entreprise")</f>
        <v>Précisez les investissements que vous avez fait dans votre entreprise</v>
      </c>
      <c r="I1003" s="188" t="str">
        <f>IFERROR(__xludf.DUMMYFUNCTION("TRIM(REGEXREPLACE(E1003, ""[0-9]+[a-f]?\."", """"))"),"Ku bayyana kuɗin da kuka kashe don haɓɓaka kasuwancin ku")</f>
        <v>Ku bayyana kuɗin da kuka kashe don haɓɓaka kasuwancin ku</v>
      </c>
      <c r="J1003" s="188" t="s">
        <v>7368</v>
      </c>
      <c r="K1003" s="188" t="s">
        <v>7369</v>
      </c>
      <c r="L1003" s="188" t="s">
        <v>7370</v>
      </c>
    </row>
    <row r="1004">
      <c r="A1004" s="299" t="s">
        <v>1060</v>
      </c>
      <c r="B1004" s="300" t="s">
        <v>7371</v>
      </c>
      <c r="C1004" s="190" t="s">
        <v>7372</v>
      </c>
      <c r="D1004" s="190" t="s">
        <v>7373</v>
      </c>
      <c r="E1004" s="190" t="s">
        <v>7374</v>
      </c>
      <c r="F1004" s="195">
        <v>549.0</v>
      </c>
      <c r="G1004" s="188" t="str">
        <f>IFERROR(__xludf.DUMMYFUNCTION("TRIM(REGEXREPLACE(C1004, ""[0-9]+[a-f]?\."", """"))"),"In the past six months did you make any investments to improve the productivity of your land?")</f>
        <v>In the past six months did you make any investments to improve the productivity of your land?</v>
      </c>
      <c r="H1004" s="188" t="str">
        <f>IFERROR(__xludf.DUMMYFUNCTION("TRIM(REGEXREPLACE(D1004, ""[0-9]+[a-f]?\."", """"))"),"Au cours des six derniers mois, avez-vous investi pour améliorer la productivité de vos terres ?")</f>
        <v>Au cours des six derniers mois, avez-vous investi pour améliorer la productivité de vos terres ?</v>
      </c>
      <c r="I1004" s="188" t="str">
        <f>IFERROR(__xludf.DUMMYFUNCTION("TRIM(REGEXREPLACE(E1004, ""[0-9]+[a-f]?\."", """"))"),"A cikin watanni shida da suka gabata kun yi wasu kashe kashen kuɗi don inganta samun amfani a gonakin ku?")</f>
        <v>A cikin watanni shida da suka gabata kun yi wasu kashe kashen kuɗi don inganta samun amfani a gonakin ku?</v>
      </c>
      <c r="J1004" s="188" t="s">
        <v>7375</v>
      </c>
      <c r="K1004" s="188" t="s">
        <v>7376</v>
      </c>
      <c r="L1004" s="188" t="s">
        <v>7377</v>
      </c>
    </row>
    <row r="1005">
      <c r="A1005" s="301" t="s">
        <v>220</v>
      </c>
      <c r="B1005" s="302" t="s">
        <v>7378</v>
      </c>
      <c r="C1005" s="190" t="s">
        <v>7379</v>
      </c>
      <c r="D1005" s="190" t="s">
        <v>7380</v>
      </c>
      <c r="E1005" s="190" t="s">
        <v>7381</v>
      </c>
      <c r="F1005" s="195">
        <v>550.0</v>
      </c>
      <c r="G1005" s="188" t="str">
        <f>IFERROR(__xludf.DUMMYFUNCTION("TRIM(REGEXREPLACE(C1005, ""[0-9]+[a-f]?\."", """"))"),"Specify improvement to land")</f>
        <v>Specify improvement to land</v>
      </c>
      <c r="H1005" s="188" t="str">
        <f>IFERROR(__xludf.DUMMYFUNCTION("TRIM(REGEXREPLACE(D1005, ""[0-9]+[a-f]?\."", """"))"),"Précisez les améliorations de votre terre que vous avez fait")</f>
        <v>Précisez les améliorations de votre terre que vous avez fait</v>
      </c>
      <c r="I1005" s="188" t="str">
        <f>IFERROR(__xludf.DUMMYFUNCTION("TRIM(REGEXREPLACE(E1005, ""[0-9]+[a-f]?\."", """"))"),"Ku bayyana kuɗin da kuka kashe don haɓɓaka gonarku")</f>
        <v>Ku bayyana kuɗin da kuka kashe don haɓɓaka gonarku</v>
      </c>
      <c r="J1005" s="188" t="s">
        <v>7382</v>
      </c>
      <c r="K1005" s="188" t="s">
        <v>7384</v>
      </c>
      <c r="L1005" s="188" t="s">
        <v>7385</v>
      </c>
    </row>
    <row r="1006" hidden="1">
      <c r="A1006" s="221" t="s">
        <v>256</v>
      </c>
      <c r="B1006" s="198" t="s">
        <v>7386</v>
      </c>
      <c r="C1006" s="190"/>
      <c r="D1006" s="190"/>
      <c r="E1006" s="190"/>
    </row>
    <row r="1007" hidden="1">
      <c r="A1007" s="221" t="s">
        <v>112</v>
      </c>
      <c r="B1007" s="198" t="s">
        <v>7387</v>
      </c>
      <c r="C1007" s="190"/>
      <c r="D1007" s="190"/>
      <c r="E1007" s="190"/>
    </row>
    <row r="1008" hidden="1">
      <c r="A1008" s="221" t="s">
        <v>256</v>
      </c>
      <c r="B1008" s="198" t="s">
        <v>7388</v>
      </c>
      <c r="C1008" s="190"/>
      <c r="D1008" s="190"/>
      <c r="E1008" s="190"/>
    </row>
    <row r="1009">
      <c r="A1009" s="297" t="s">
        <v>46</v>
      </c>
      <c r="B1009" s="298" t="s">
        <v>7389</v>
      </c>
      <c r="C1009" s="190" t="s">
        <v>7390</v>
      </c>
      <c r="D1009" s="190" t="s">
        <v>7391</v>
      </c>
      <c r="E1009" s="190" t="s">
        <v>7392</v>
      </c>
      <c r="F1009" s="195">
        <v>551.0</v>
      </c>
      <c r="G1009" s="188" t="str">
        <f>IFERROR(__xludf.DUMMYFUNCTION("TRIM(REGEXREPLACE(C1009, ""[0-9]+[a-f]?\."", """"))"),"Now I will ask you about different ways your household may use money that you earn.")</f>
        <v>Now I will ask you about different ways your household may use money that you earn.</v>
      </c>
      <c r="H1009" s="188" t="str">
        <f>IFERROR(__xludf.DUMMYFUNCTION("TRIM(REGEXREPLACE(D1009, ""[0-9]+[a-f]?\."", """"))"),"Je vais maintenant vous poser des questions sur les différentes façons dont votre ménage peut utiliser l'argent que vous gagnez.")</f>
        <v>Je vais maintenant vous poser des questions sur les différentes façons dont votre ménage peut utiliser l'argent que vous gagnez.</v>
      </c>
      <c r="I1009" s="188" t="str">
        <f>IFERROR(__xludf.DUMMYFUNCTION("TRIM(REGEXREPLACE(E1009, ""[0-9]+[a-f]?\."", """"))"),"Yanzu zan yi muku tambayoyi game hanyoyi daban-daban da gidanku ke iya amfani da su don kashe kuɗin da yake samu.")</f>
        <v>Yanzu zan yi muku tambayoyi game hanyoyi daban-daban da gidanku ke iya amfani da su don kashe kuɗin da yake samu.</v>
      </c>
      <c r="J1009" s="188" t="s">
        <v>7393</v>
      </c>
      <c r="K1009" s="188" t="s">
        <v>7394</v>
      </c>
      <c r="L1009" s="188" t="s">
        <v>7395</v>
      </c>
    </row>
    <row r="1010">
      <c r="A1010" s="299" t="s">
        <v>3286</v>
      </c>
      <c r="B1010" s="300" t="s">
        <v>7396</v>
      </c>
      <c r="C1010" s="190" t="s">
        <v>7397</v>
      </c>
      <c r="D1010" s="190" t="s">
        <v>7398</v>
      </c>
      <c r="E1010" s="190" t="s">
        <v>7399</v>
      </c>
      <c r="F1010" s="195">
        <v>552.0</v>
      </c>
      <c r="G1010" s="188" t="str">
        <f>IFERROR(__xludf.DUMMYFUNCTION("TRIM(REGEXREPLACE(C1010, ""[0-9]+[a-f]?\."", """"))"),"Does your household currently have any savings that you keep in any of the following ways?")</f>
        <v>Does your household currently have any savings that you keep in any of the following ways?</v>
      </c>
      <c r="H1010" s="188" t="str">
        <f>IFERROR(__xludf.DUMMYFUNCTION("TRIM(REGEXREPLACE(D1010, ""[0-9]+[a-f]?\."", """"))"),"Votre ménage dispose-t-il actuellement d'économies que vous conservez de l'une des manières suivantes ?")</f>
        <v>Votre ménage dispose-t-il actuellement d'économies que vous conservez de l'une des manières suivantes ?</v>
      </c>
      <c r="I1010" s="188" t="str">
        <f>IFERROR(__xludf.DUMMYFUNCTION("TRIM(REGEXREPLACE(E1010, ""[0-9]+[a-f]?\."", """"))"),"Ko a halin yanzu gidanku na da ajiyar kuɗi daga ɗaya a cikin wanɗannan dubaru?")</f>
        <v>Ko a halin yanzu gidanku na da ajiyar kuɗi daga ɗaya a cikin wanɗannan dubaru?</v>
      </c>
      <c r="J1010" s="188" t="s">
        <v>7400</v>
      </c>
      <c r="K1010" s="188" t="s">
        <v>7401</v>
      </c>
      <c r="L1010" s="188" t="s">
        <v>7402</v>
      </c>
    </row>
    <row r="1011">
      <c r="A1011" s="301" t="s">
        <v>220</v>
      </c>
      <c r="B1011" s="302" t="s">
        <v>7403</v>
      </c>
      <c r="C1011" s="190" t="s">
        <v>7404</v>
      </c>
      <c r="D1011" s="190" t="s">
        <v>7405</v>
      </c>
      <c r="E1011" s="190" t="s">
        <v>7406</v>
      </c>
      <c r="F1011" s="195">
        <v>553.0</v>
      </c>
      <c r="G1011" s="188" t="str">
        <f>IFERROR(__xludf.DUMMYFUNCTION("TRIM(REGEXREPLACE(C1011, ""[0-9]+[a-f]?\."", """"))"),"Specify other:")</f>
        <v>Specify other:</v>
      </c>
      <c r="H1011" s="188" t="str">
        <f>IFERROR(__xludf.DUMMYFUNCTION("TRIM(REGEXREPLACE(D1011, ""[0-9]+[a-f]?\."", """"))"),"Autre a préciser :")</f>
        <v>Autre a préciser :</v>
      </c>
      <c r="I1011" s="188" t="str">
        <f>IFERROR(__xludf.DUMMYFUNCTION("TRIM(REGEXREPLACE(E1011, ""[0-9]+[a-f]?\."", """"))"),"Baiyana wani abu daban:")</f>
        <v>Baiyana wani abu daban:</v>
      </c>
      <c r="J1011" s="188" t="s">
        <v>7408</v>
      </c>
      <c r="K1011" s="188" t="s">
        <v>7409</v>
      </c>
      <c r="L1011" s="188" t="s">
        <v>7410</v>
      </c>
    </row>
    <row r="1012" hidden="1">
      <c r="A1012" s="305" t="s">
        <v>385</v>
      </c>
      <c r="B1012" s="223" t="s">
        <v>7411</v>
      </c>
      <c r="C1012" s="190" t="s">
        <v>3302</v>
      </c>
      <c r="D1012" s="190" t="s">
        <v>3303</v>
      </c>
      <c r="E1012" s="190" t="s">
        <v>3304</v>
      </c>
    </row>
    <row r="1013" hidden="1">
      <c r="A1013" s="221" t="s">
        <v>112</v>
      </c>
      <c r="B1013" s="198" t="s">
        <v>7412</v>
      </c>
      <c r="C1013" s="190"/>
      <c r="D1013" s="190"/>
      <c r="E1013" s="190"/>
    </row>
    <row r="1014" hidden="1">
      <c r="A1014" s="221" t="s">
        <v>112</v>
      </c>
      <c r="B1014" s="198" t="s">
        <v>7413</v>
      </c>
      <c r="C1014" s="190" t="s">
        <v>3309</v>
      </c>
      <c r="D1014" s="190" t="s">
        <v>3310</v>
      </c>
      <c r="E1014" s="190" t="s">
        <v>7414</v>
      </c>
    </row>
    <row r="1015">
      <c r="A1015" s="306" t="s">
        <v>247</v>
      </c>
      <c r="B1015" s="307" t="s">
        <v>7415</v>
      </c>
      <c r="C1015" s="190" t="s">
        <v>7416</v>
      </c>
      <c r="D1015" s="190" t="s">
        <v>7417</v>
      </c>
      <c r="E1015" s="190" t="s">
        <v>7419</v>
      </c>
      <c r="F1015" s="195">
        <v>554.0</v>
      </c>
      <c r="G1015" s="188" t="str">
        <f>IFERROR(__xludf.DUMMYFUNCTION("TRIM(REGEXREPLACE(C1015, ""[0-9]+[a-f]?\."", """"))"),"Please share with us your best estimate of the value in CFA ${hoh_savings_name}")</f>
        <v>Please share with us your best estimate of the value in CFA ${hoh_savings_name}</v>
      </c>
      <c r="H1015" s="188" t="str">
        <f>IFERROR(__xludf.DUMMYFUNCTION("TRIM(REGEXREPLACE(D1015, ""[0-9]+[a-f]?\."", """"))"),"Veuillez nous dire votre meilleure estimation de la valeur en CFA ${hoh_savings_name}")</f>
        <v>Veuillez nous dire votre meilleure estimation de la valeur en CFA ${hoh_savings_name}</v>
      </c>
      <c r="I1015" s="188" t="str">
        <f>IFERROR(__xludf.DUMMYFUNCTION("TRIM(REGEXREPLACE(E1015, ""[0-9]+[a-f]?\."", """"))"),"Da fatan zaku baiyana mini yawan kuɗin a tsammaninku ${hoh_savings_name} a CFA")</f>
        <v>Da fatan zaku baiyana mini yawan kuɗin a tsammaninku ${hoh_savings_name} a CFA</v>
      </c>
      <c r="J1015" s="188" t="s">
        <v>7420</v>
      </c>
      <c r="K1015" s="188" t="s">
        <v>7421</v>
      </c>
      <c r="L1015" s="188" t="s">
        <v>7422</v>
      </c>
    </row>
    <row r="1016">
      <c r="A1016" s="299" t="s">
        <v>1060</v>
      </c>
      <c r="B1016" s="300" t="s">
        <v>7423</v>
      </c>
      <c r="C1016" s="190" t="s">
        <v>7424</v>
      </c>
      <c r="D1016" s="190" t="s">
        <v>7425</v>
      </c>
      <c r="E1016" s="190" t="s">
        <v>7427</v>
      </c>
      <c r="F1016" s="195">
        <v>555.0</v>
      </c>
      <c r="G1016" s="188" t="str">
        <f>IFERROR(__xludf.DUMMYFUNCTION("TRIM(REGEXREPLACE(C1016, ""[0-9]+[a-f]?\."", """"))"),"Do you earn interest on this money ${hoh_savings_name}?")</f>
        <v>Do you earn interest on this money ${hoh_savings_name}?</v>
      </c>
      <c r="H1016" s="188" t="str">
        <f>IFERROR(__xludf.DUMMYFUNCTION("TRIM(REGEXREPLACE(D1016, ""[0-9]+[a-f]?\."", """"))"),"Gagnez-vous des intérêts sur cet argent ${hoh_savings_name} ?")</f>
        <v>Gagnez-vous des intérêts sur cet argent ${hoh_savings_name} ?</v>
      </c>
      <c r="I1016" s="188" t="str">
        <f>IFERROR(__xludf.DUMMYFUNCTION("TRIM(REGEXREPLACE(E1016, ""[0-9]+[a-f]?\."", """"))"),"Kuna samun kudin ruwa akan wannan kuɗin ${hoh_savings_name}?")</f>
        <v>Kuna samun kudin ruwa akan wannan kuɗin ${hoh_savings_name}?</v>
      </c>
      <c r="J1016" s="188" t="s">
        <v>7429</v>
      </c>
      <c r="K1016" s="188" t="s">
        <v>7430</v>
      </c>
      <c r="L1016" s="188" t="s">
        <v>7431</v>
      </c>
    </row>
    <row r="1017" hidden="1">
      <c r="A1017" s="305" t="s">
        <v>450</v>
      </c>
      <c r="B1017" s="224" t="s">
        <v>7411</v>
      </c>
      <c r="C1017" s="190" t="s">
        <v>3302</v>
      </c>
      <c r="D1017" s="190" t="s">
        <v>3303</v>
      </c>
      <c r="E1017" s="190" t="s">
        <v>3304</v>
      </c>
    </row>
    <row r="1018" hidden="1">
      <c r="A1018" s="221" t="s">
        <v>256</v>
      </c>
      <c r="B1018" s="198" t="s">
        <v>7432</v>
      </c>
      <c r="C1018" s="190"/>
      <c r="D1018" s="190"/>
      <c r="E1018" s="190"/>
    </row>
    <row r="1019" hidden="1">
      <c r="A1019" s="221" t="s">
        <v>112</v>
      </c>
      <c r="B1019" s="198" t="s">
        <v>7434</v>
      </c>
      <c r="C1019" s="190"/>
      <c r="D1019" s="190"/>
      <c r="E1019" s="190"/>
    </row>
    <row r="1020" hidden="1">
      <c r="A1020" s="221" t="s">
        <v>112</v>
      </c>
      <c r="B1020" s="198" t="s">
        <v>7435</v>
      </c>
      <c r="C1020" s="190"/>
      <c r="D1020" s="190"/>
      <c r="E1020" s="190"/>
    </row>
    <row r="1021">
      <c r="A1021" s="299" t="s">
        <v>1060</v>
      </c>
      <c r="B1021" s="300" t="s">
        <v>7436</v>
      </c>
      <c r="C1021" s="190" t="s">
        <v>7437</v>
      </c>
      <c r="D1021" s="190" t="s">
        <v>7438</v>
      </c>
      <c r="E1021" s="190" t="s">
        <v>7439</v>
      </c>
      <c r="F1021" s="195">
        <v>556.0</v>
      </c>
      <c r="G1021" s="188" t="str">
        <f>IFERROR(__xludf.DUMMYFUNCTION("TRIM(REGEXREPLACE(C1021, ""[0-9]+[a-f]?\."", """"))"),"Total savings: ${hoh_savings_total}: Does this look correct?")</f>
        <v>Total savings: ${hoh_savings_total}: Does this look correct?</v>
      </c>
      <c r="H1021" s="188" t="str">
        <f>IFERROR(__xludf.DUMMYFUNCTION("TRIM(REGEXREPLACE(D1021, ""[0-9]+[a-f]?\."", """"))"),"Économies totales : ${hoh_savings_total} : cela vous semble correct ?")</f>
        <v>Économies totales : ${hoh_savings_total} : cela vous semble correct ?</v>
      </c>
      <c r="I1021" s="188" t="str">
        <f>IFERROR(__xludf.DUMMYFUNCTION("TRIM(REGEXREPLACE(E1021, ""[0-9]+[a-f]?\."", """"))"),"Jimillar ajiya: ${hoh_savings_total}: kuna ganin ​​wannan yayi daidai?")</f>
        <v>Jimillar ajiya: ${hoh_savings_total}: kuna ganin ​​wannan yayi daidai?</v>
      </c>
      <c r="J1021" s="188" t="s">
        <v>7440</v>
      </c>
      <c r="K1021" s="188" t="s">
        <v>7441</v>
      </c>
      <c r="L1021" s="188" t="s">
        <v>7442</v>
      </c>
    </row>
    <row r="1022" hidden="1">
      <c r="A1022" s="392"/>
      <c r="B1022" s="393"/>
      <c r="C1022" s="190"/>
      <c r="D1022" s="190"/>
      <c r="E1022" s="190"/>
    </row>
    <row r="1023">
      <c r="A1023" s="299" t="s">
        <v>4090</v>
      </c>
      <c r="B1023" s="300" t="s">
        <v>7444</v>
      </c>
      <c r="C1023" s="190" t="s">
        <v>7445</v>
      </c>
      <c r="D1023" s="190" t="s">
        <v>7446</v>
      </c>
      <c r="E1023" s="190" t="s">
        <v>7447</v>
      </c>
      <c r="F1023" s="195">
        <v>557.0</v>
      </c>
      <c r="G1023" s="188" t="str">
        <f>IFERROR(__xludf.DUMMYFUNCTION("TRIM(REGEXREPLACE(C1023, ""[0-9]+[a-f]?\."", """"))"),"During ${period}, was your household negatively affected by any of the following types of events?")</f>
        <v>During ${period}, was your household negatively affected by any of the following types of events?</v>
      </c>
      <c r="H1023" s="188" t="str">
        <f>IFERROR(__xludf.DUMMYFUNCTION("TRIM(REGEXREPLACE(D1023, ""[0-9]+[a-f]?\."", """"))"),"Au cours de ${period_french}, votre ménage a-t-il été affecté négativement par l'un des types d'événements suivants ?")</f>
        <v>Au cours de ${period_french}, votre ménage a-t-il été affecté négativement par l'un des types d'événements suivants ?</v>
      </c>
      <c r="I1023" s="188" t="str">
        <f>IFERROR(__xludf.DUMMYFUNCTION("TRIM(REGEXREPLACE(E1023, ""[0-9]+[a-f]?\."", """"))"),"A lokacin ${period_hausa}, ko gidanku ya fuskanci wani daga cikin matsaloli nan masu zuwa? Zaɓi duk abin da ya dace")</f>
        <v>A lokacin ${period_hausa}, ko gidanku ya fuskanci wani daga cikin matsaloli nan masu zuwa? Zaɓi duk abin da ya dace</v>
      </c>
      <c r="J1023" s="188" t="s">
        <v>7449</v>
      </c>
      <c r="K1023" s="188" t="s">
        <v>7450</v>
      </c>
      <c r="L1023" s="188" t="s">
        <v>7451</v>
      </c>
    </row>
    <row r="1024">
      <c r="A1024" s="301" t="s">
        <v>220</v>
      </c>
      <c r="B1024" s="302" t="s">
        <v>7452</v>
      </c>
      <c r="C1024" s="190" t="s">
        <v>7453</v>
      </c>
      <c r="D1024" s="190" t="s">
        <v>7454</v>
      </c>
      <c r="E1024" s="190" t="s">
        <v>7455</v>
      </c>
      <c r="F1024" s="195">
        <v>558.0</v>
      </c>
      <c r="G1024" s="188" t="str">
        <f>IFERROR(__xludf.DUMMYFUNCTION("TRIM(REGEXREPLACE(C1024, ""[0-9]+[a-f]?\."", """"))"),"Please briefly describe the event(s) that negatveily affected your household")</f>
        <v>Please briefly describe the event(s) that negatveily affected your household</v>
      </c>
      <c r="H1024" s="188" t="str">
        <f>IFERROR(__xludf.DUMMYFUNCTION("TRIM(REGEXREPLACE(D1024, ""[0-9]+[a-f]?\."", """"))"),"Veuillez décrire brièvement le/les événement(s) qui ont eu des effets négatifs sur votre ménage au cours des 3 derniers mois")</f>
        <v>Veuillez décrire brièvement le/les événement(s) qui ont eu des effets négatifs sur votre ménage au cours des 3 derniers mois</v>
      </c>
      <c r="I1024" s="188" t="str">
        <f>IFERROR(__xludf.DUMMYFUNCTION("TRIM(REGEXREPLACE(E1024, ""[0-9]+[a-f]?\."", """"))"),"Da fatan za ku yi taƙaitaccen bayani a kan abin da ya shafi gidan ku")</f>
        <v>Da fatan za ku yi taƙaitaccen bayani a kan abin da ya shafi gidan ku</v>
      </c>
      <c r="J1024" s="188" t="s">
        <v>7456</v>
      </c>
      <c r="K1024" s="188" t="s">
        <v>7457</v>
      </c>
      <c r="L1024" s="188" t="s">
        <v>7458</v>
      </c>
    </row>
    <row r="1025" hidden="1">
      <c r="A1025" s="221" t="s">
        <v>256</v>
      </c>
      <c r="B1025" s="198" t="s">
        <v>7459</v>
      </c>
      <c r="C1025" s="190"/>
      <c r="D1025" s="190"/>
      <c r="E1025" s="190"/>
    </row>
    <row r="1026" hidden="1">
      <c r="A1026" s="305" t="s">
        <v>385</v>
      </c>
      <c r="B1026" s="223" t="s">
        <v>7461</v>
      </c>
      <c r="C1026" s="190" t="s">
        <v>4107</v>
      </c>
      <c r="D1026" s="190"/>
      <c r="E1026" s="190"/>
    </row>
    <row r="1027" hidden="1">
      <c r="A1027" s="221" t="s">
        <v>112</v>
      </c>
      <c r="B1027" s="198" t="s">
        <v>7462</v>
      </c>
      <c r="C1027" s="190" t="s">
        <v>4115</v>
      </c>
      <c r="D1027" s="190"/>
      <c r="E1027" s="190"/>
    </row>
    <row r="1028" hidden="1">
      <c r="A1028" s="310" t="s">
        <v>278</v>
      </c>
      <c r="B1028" s="311" t="s">
        <v>7463</v>
      </c>
      <c r="C1028" s="190"/>
      <c r="D1028" s="190"/>
      <c r="E1028" s="190"/>
    </row>
    <row r="1029">
      <c r="A1029" s="299" t="s">
        <v>2456</v>
      </c>
      <c r="B1029" s="300" t="s">
        <v>7464</v>
      </c>
      <c r="C1029" s="190" t="s">
        <v>7465</v>
      </c>
      <c r="D1029" s="190" t="s">
        <v>7466</v>
      </c>
      <c r="E1029" s="190" t="s">
        <v>7467</v>
      </c>
      <c r="F1029" s="195">
        <v>559.0</v>
      </c>
      <c r="G1029" s="188" t="str">
        <f>IFERROR(__xludf.DUMMYFUNCTION("TRIM(REGEXREPLACE(C1029, ""[0-9]+[a-f]?\."", """"))"),"In response to ${hoh_emergency_name}, did you or your household take the following actions?")</f>
        <v>In response to ${hoh_emergency_name}, did you or your household take the following actions?</v>
      </c>
      <c r="H1029" s="188" t="str">
        <f>IFERROR(__xludf.DUMMYFUNCTION("TRIM(REGEXREPLACE(D1029, ""[0-9]+[a-f]?\."", """"))"),"En réponse à ${hoh_emergency_name}, avez-vous vous ou votre ménage pris les mesures suivantes ??")</f>
        <v>En réponse à ${hoh_emergency_name}, avez-vous vous ou votre ménage pris les mesures suivantes ??</v>
      </c>
      <c r="I1029" s="188" t="str">
        <f>IFERROR(__xludf.DUMMYFUNCTION("TRIM(REGEXREPLACE(E1029, ""[0-9]+[a-f]?\."", """"))"),"Dangance da ${hoh_emergency_name}, ku ko ƴan gindanku kun ɗauki waɗannan matakai?")</f>
        <v>Dangance da ${hoh_emergency_name}, ku ko ƴan gindanku kun ɗauki waɗannan matakai?</v>
      </c>
      <c r="J1029" s="188" t="s">
        <v>7468</v>
      </c>
      <c r="K1029" s="188" t="s">
        <v>7469</v>
      </c>
      <c r="L1029" s="188" t="s">
        <v>7470</v>
      </c>
    </row>
    <row r="1030">
      <c r="A1030" s="299" t="s">
        <v>2456</v>
      </c>
      <c r="B1030" s="300" t="s">
        <v>7471</v>
      </c>
      <c r="C1030" s="190" t="s">
        <v>7472</v>
      </c>
      <c r="D1030" s="190" t="s">
        <v>7473</v>
      </c>
      <c r="E1030" s="190" t="s">
        <v>7474</v>
      </c>
      <c r="F1030" s="195">
        <v>560.0</v>
      </c>
      <c r="G1030" s="188" t="str">
        <f>IFERROR(__xludf.DUMMYFUNCTION("TRIM(REGEXREPLACE(C1030, ""[0-9]+[a-f]?\."", """"))"),"Sell assets?")</f>
        <v>Sell assets?</v>
      </c>
      <c r="H1030" s="188" t="str">
        <f>IFERROR(__xludf.DUMMYFUNCTION("TRIM(REGEXREPLACE(D1030, ""[0-9]+[a-f]?\."", """"))"),"Vendre des actifs")</f>
        <v>Vendre des actifs</v>
      </c>
      <c r="I1030" s="188" t="str">
        <f>IFERROR(__xludf.DUMMYFUNCTION("TRIM(REGEXREPLACE(E1030, ""[0-9]+[a-f]?\."", """"))"),"Saida kadarori")</f>
        <v>Saida kadarori</v>
      </c>
      <c r="J1030" s="188" t="s">
        <v>7475</v>
      </c>
      <c r="K1030" s="188" t="s">
        <v>7476</v>
      </c>
      <c r="L1030" s="188" t="s">
        <v>7477</v>
      </c>
    </row>
    <row r="1031">
      <c r="A1031" s="299" t="s">
        <v>2456</v>
      </c>
      <c r="B1031" s="300" t="s">
        <v>7478</v>
      </c>
      <c r="C1031" s="190" t="s">
        <v>7479</v>
      </c>
      <c r="D1031" s="190" t="s">
        <v>7480</v>
      </c>
      <c r="E1031" s="190" t="s">
        <v>7481</v>
      </c>
      <c r="F1031" s="195">
        <v>561.0</v>
      </c>
      <c r="G1031" s="188" t="str">
        <f>IFERROR(__xludf.DUMMYFUNCTION("TRIM(REGEXREPLACE(C1031, ""[0-9]+[a-f]?\."", """"))"),"Borrow money?")</f>
        <v>Borrow money?</v>
      </c>
      <c r="H1031" s="188" t="str">
        <f>IFERROR(__xludf.DUMMYFUNCTION("TRIM(REGEXREPLACE(D1031, ""[0-9]+[a-f]?\."", """"))"),"Emprunter de l'argent")</f>
        <v>Emprunter de l'argent</v>
      </c>
      <c r="I1031" s="188" t="str">
        <f>IFERROR(__xludf.DUMMYFUNCTION("TRIM(REGEXREPLACE(E1031, ""[0-9]+[a-f]?\."", """"))"),"Bashin kuɗi")</f>
        <v>Bashin kuɗi</v>
      </c>
      <c r="J1031" s="188" t="s">
        <v>7483</v>
      </c>
      <c r="K1031" s="188" t="s">
        <v>7484</v>
      </c>
      <c r="L1031" s="188" t="s">
        <v>7485</v>
      </c>
    </row>
    <row r="1032">
      <c r="A1032" s="299" t="s">
        <v>2456</v>
      </c>
      <c r="B1032" s="300" t="s">
        <v>7486</v>
      </c>
      <c r="C1032" s="190" t="s">
        <v>7487</v>
      </c>
      <c r="D1032" s="190" t="s">
        <v>7488</v>
      </c>
      <c r="E1032" s="190" t="s">
        <v>7489</v>
      </c>
      <c r="F1032" s="195">
        <v>562.0</v>
      </c>
      <c r="G1032" s="188" t="str">
        <f>IFERROR(__xludf.DUMMYFUNCTION("TRIM(REGEXREPLACE(C1032, ""[0-9]+[a-f]?\."", """"))"),"Spend your savings?")</f>
        <v>Spend your savings?</v>
      </c>
      <c r="H1032" s="188" t="str">
        <f>IFERROR(__xludf.DUMMYFUNCTION("TRIM(REGEXREPLACE(D1032, ""[0-9]+[a-f]?\."", """"))"),"Utiliser votre épargne")</f>
        <v>Utiliser votre épargne</v>
      </c>
      <c r="I1032" s="188" t="str">
        <f>IFERROR(__xludf.DUMMYFUNCTION("TRIM(REGEXREPLACE(E1032, ""[0-9]+[a-f]?\."", """"))"),"Kashe kuɗin ajiyar ku")</f>
        <v>Kashe kuɗin ajiyar ku</v>
      </c>
      <c r="J1032" s="188" t="s">
        <v>7490</v>
      </c>
      <c r="K1032" s="188" t="s">
        <v>7491</v>
      </c>
      <c r="L1032" s="188" t="s">
        <v>7492</v>
      </c>
    </row>
    <row r="1033">
      <c r="A1033" s="299" t="s">
        <v>2456</v>
      </c>
      <c r="B1033" s="300" t="s">
        <v>7493</v>
      </c>
      <c r="C1033" s="190" t="s">
        <v>7494</v>
      </c>
      <c r="D1033" s="190" t="s">
        <v>7495</v>
      </c>
      <c r="E1033" s="190" t="s">
        <v>7496</v>
      </c>
      <c r="F1033" s="195">
        <v>563.0</v>
      </c>
      <c r="G1033" s="188" t="str">
        <f>IFERROR(__xludf.DUMMYFUNCTION("TRIM(REGEXREPLACE(C1033, ""[0-9]+[a-f]?\."", """"))"),"Reduce spending on food or change your food consumption?")</f>
        <v>Reduce spending on food or change your food consumption?</v>
      </c>
      <c r="H1033" s="188" t="str">
        <f>IFERROR(__xludf.DUMMYFUNCTION("TRIM(REGEXREPLACE(D1033, ""[0-9]+[a-f]?\."", """"))"),"Réduire les dépenses alimentaires ou changé des habitudes de consommation ?")</f>
        <v>Réduire les dépenses alimentaires ou changé des habitudes de consommation ?</v>
      </c>
      <c r="I1033" s="188" t="str">
        <f>IFERROR(__xludf.DUMMYFUNCTION("TRIM(REGEXREPLACE(E1033, ""[0-9]+[a-f]?\."", """"))"),"Rage kashe kuɗi akan abinci ko canza abincin?")</f>
        <v>Rage kashe kuɗi akan abinci ko canza abincin?</v>
      </c>
      <c r="J1033" s="188" t="s">
        <v>7497</v>
      </c>
      <c r="K1033" s="188" t="s">
        <v>7498</v>
      </c>
      <c r="L1033" s="188" t="s">
        <v>7499</v>
      </c>
    </row>
    <row r="1034" hidden="1">
      <c r="A1034" s="310" t="s">
        <v>331</v>
      </c>
      <c r="B1034" s="315" t="s">
        <v>7463</v>
      </c>
      <c r="C1034" s="190"/>
      <c r="D1034" s="190"/>
      <c r="E1034" s="190"/>
    </row>
    <row r="1035" hidden="1">
      <c r="A1035" s="310" t="s">
        <v>278</v>
      </c>
      <c r="B1035" s="311" t="s">
        <v>7500</v>
      </c>
      <c r="C1035" s="190"/>
      <c r="D1035" s="190"/>
      <c r="E1035" s="190"/>
    </row>
    <row r="1036">
      <c r="A1036" s="297" t="s">
        <v>46</v>
      </c>
      <c r="B1036" s="298" t="s">
        <v>7501</v>
      </c>
      <c r="C1036" s="190" t="s">
        <v>7502</v>
      </c>
      <c r="D1036" s="190" t="s">
        <v>7503</v>
      </c>
      <c r="E1036" s="190" t="s">
        <v>7504</v>
      </c>
      <c r="F1036" s="195">
        <v>564.0</v>
      </c>
      <c r="G1036" s="188" t="str">
        <f>IFERROR(__xludf.DUMMYFUNCTION("TRIM(REGEXREPLACE(C1036, ""[0-9]+[a-f]?\."", """"))"),"For ${hoh_emergency_name}
 What was the value of the following in CFA?")</f>
        <v>For ${hoh_emergency_name}
 What was the value of the following in CFA?</v>
      </c>
      <c r="H1036" s="188" t="str">
        <f>IFERROR(__xludf.DUMMYFUNCTION("TRIM(REGEXREPLACE(D1036, ""[0-9]+[a-f]?\."", """"))"),"Par rapport à ${hoh_emergency_name}
 Quelle était la valeur des éléments suivantes en CFA?")</f>
        <v>Par rapport à ${hoh_emergency_name}
 Quelle était la valeur des éléments suivantes en CFA?</v>
      </c>
      <c r="I1036" s="188" t="str">
        <f>IFERROR(__xludf.DUMMYFUNCTION("TRIM(REGEXREPLACE(E1036, ""[0-9]+[a-f]?\."", """"))"),"Game da ${hoh_emergency_name}
 Nawa ne kimar waɗannan abubuwan a kuɗin CFA?")</f>
        <v>Game da ${hoh_emergency_name}
 Nawa ne kimar waɗannan abubuwan a kuɗin CFA?</v>
      </c>
      <c r="J1036" s="188" t="s">
        <v>7505</v>
      </c>
      <c r="K1036" s="188" t="s">
        <v>7506</v>
      </c>
      <c r="L1036" s="188" t="s">
        <v>7507</v>
      </c>
    </row>
    <row r="1037">
      <c r="A1037" s="306" t="s">
        <v>247</v>
      </c>
      <c r="B1037" s="307" t="s">
        <v>7508</v>
      </c>
      <c r="C1037" s="190" t="s">
        <v>7509</v>
      </c>
      <c r="D1037" s="190" t="s">
        <v>7510</v>
      </c>
      <c r="E1037" s="190" t="s">
        <v>7511</v>
      </c>
      <c r="F1037" s="195">
        <v>565.0</v>
      </c>
      <c r="G1037" s="188" t="str">
        <f>IFERROR(__xludf.DUMMYFUNCTION("TRIM(REGEXREPLACE(C1037, ""[0-9]+[a-f]?\."", """"))"),"Assets you sold")</f>
        <v>Assets you sold</v>
      </c>
      <c r="H1037" s="188" t="str">
        <f>IFERROR(__xludf.DUMMYFUNCTION("TRIM(REGEXREPLACE(D1037, ""[0-9]+[a-f]?\."", """"))"),"Les actifs que vous avez vendus")</f>
        <v>Les actifs que vous avez vendus</v>
      </c>
      <c r="I1037" s="188" t="str">
        <f>IFERROR(__xludf.DUMMYFUNCTION("TRIM(REGEXREPLACE(E1037, ""[0-9]+[a-f]?\."", """"))"),"Kadarorin da kuka saida")</f>
        <v>Kadarorin da kuka saida</v>
      </c>
      <c r="J1037" s="188" t="s">
        <v>7512</v>
      </c>
      <c r="K1037" s="188" t="s">
        <v>7513</v>
      </c>
      <c r="L1037" s="188" t="s">
        <v>7514</v>
      </c>
    </row>
    <row r="1038">
      <c r="A1038" s="306" t="s">
        <v>247</v>
      </c>
      <c r="B1038" s="307" t="s">
        <v>7515</v>
      </c>
      <c r="C1038" s="190" t="s">
        <v>7516</v>
      </c>
      <c r="D1038" s="190" t="s">
        <v>7517</v>
      </c>
      <c r="E1038" s="190" t="s">
        <v>7518</v>
      </c>
      <c r="F1038" s="195">
        <v>566.0</v>
      </c>
      <c r="G1038" s="188" t="str">
        <f>IFERROR(__xludf.DUMMYFUNCTION("TRIM(REGEXREPLACE(C1038, ""[0-9]+[a-f]?\."", """"))"),"Loan(s) you took")</f>
        <v>Loan(s) you took</v>
      </c>
      <c r="H1038" s="188" t="str">
        <f>IFERROR(__xludf.DUMMYFUNCTION("TRIM(REGEXREPLACE(D1038, ""[0-9]+[a-f]?\."", """"))"),"Les prêt(s) que vous avez contracté")</f>
        <v>Les prêt(s) que vous avez contracté</v>
      </c>
      <c r="I1038" s="188" t="str">
        <f>IFERROR(__xludf.DUMMYFUNCTION("TRIM(REGEXREPLACE(E1038, ""[0-9]+[a-f]?\."", """"))"),"Bashin da kuka ɗauka")</f>
        <v>Bashin da kuka ɗauka</v>
      </c>
      <c r="J1038" s="188" t="s">
        <v>7519</v>
      </c>
      <c r="K1038" s="188" t="s">
        <v>7520</v>
      </c>
      <c r="L1038" s="188" t="s">
        <v>7521</v>
      </c>
    </row>
    <row r="1039">
      <c r="A1039" s="306" t="s">
        <v>247</v>
      </c>
      <c r="B1039" s="307" t="s">
        <v>7522</v>
      </c>
      <c r="C1039" s="190" t="s">
        <v>7523</v>
      </c>
      <c r="D1039" s="190" t="s">
        <v>7524</v>
      </c>
      <c r="E1039" s="190" t="s">
        <v>7525</v>
      </c>
      <c r="F1039" s="195">
        <v>567.0</v>
      </c>
      <c r="G1039" s="188" t="str">
        <f>IFERROR(__xludf.DUMMYFUNCTION("TRIM(REGEXREPLACE(C1039, ""[0-9]+[a-f]?\."", """"))"),"Savings you spent?")</f>
        <v>Savings you spent?</v>
      </c>
      <c r="H1039" s="188" t="str">
        <f>IFERROR(__xludf.DUMMYFUNCTION("TRIM(REGEXREPLACE(D1039, ""[0-9]+[a-f]?\."", """"))"),"L'épargne que vous avez utilisé")</f>
        <v>L'épargne que vous avez utilisé</v>
      </c>
      <c r="I1039" s="188" t="str">
        <f>IFERROR(__xludf.DUMMYFUNCTION("TRIM(REGEXREPLACE(E1039, ""[0-9]+[a-f]?\."", """"))"),"Ajiyar da kuka kashe")</f>
        <v>Ajiyar da kuka kashe</v>
      </c>
      <c r="J1039" s="188" t="s">
        <v>7526</v>
      </c>
      <c r="K1039" s="188" t="s">
        <v>7527</v>
      </c>
      <c r="L1039" s="188" t="s">
        <v>7528</v>
      </c>
    </row>
    <row r="1040" hidden="1">
      <c r="A1040" s="310" t="s">
        <v>331</v>
      </c>
      <c r="B1040" s="315" t="s">
        <v>7500</v>
      </c>
      <c r="C1040" s="190"/>
      <c r="D1040" s="190"/>
      <c r="E1040" s="190"/>
    </row>
    <row r="1041" hidden="1">
      <c r="A1041" s="305" t="s">
        <v>450</v>
      </c>
      <c r="B1041" s="224" t="s">
        <v>7461</v>
      </c>
      <c r="C1041" s="190" t="s">
        <v>4107</v>
      </c>
      <c r="D1041" s="190"/>
      <c r="E1041" s="190"/>
    </row>
    <row r="1042" hidden="1">
      <c r="A1042" s="221" t="s">
        <v>256</v>
      </c>
      <c r="B1042" s="198" t="s">
        <v>7530</v>
      </c>
      <c r="C1042" s="190"/>
      <c r="D1042" s="190"/>
      <c r="E1042" s="190"/>
    </row>
    <row r="1043" hidden="1">
      <c r="A1043" s="221" t="s">
        <v>112</v>
      </c>
      <c r="B1043" s="198" t="s">
        <v>7531</v>
      </c>
      <c r="C1043" s="190"/>
      <c r="D1043" s="190"/>
      <c r="E1043" s="190"/>
    </row>
    <row r="1044" hidden="1">
      <c r="A1044" s="221" t="s">
        <v>256</v>
      </c>
      <c r="B1044" s="198" t="s">
        <v>7532</v>
      </c>
      <c r="C1044" s="190"/>
      <c r="D1044" s="190"/>
      <c r="E1044" s="190"/>
    </row>
    <row r="1045">
      <c r="A1045" s="297" t="s">
        <v>46</v>
      </c>
      <c r="B1045" s="298" t="s">
        <v>7533</v>
      </c>
      <c r="C1045" s="190" t="s">
        <v>7534</v>
      </c>
      <c r="D1045" s="190" t="s">
        <v>7535</v>
      </c>
      <c r="E1045" s="190" t="s">
        <v>7536</v>
      </c>
      <c r="F1045" s="195">
        <v>568.0</v>
      </c>
      <c r="G1045" s="188" t="str">
        <f>IFERROR(__xludf.DUMMYFUNCTION("TRIM(REGEXREPLACE(C1045,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1045" s="188" t="str">
        <f>IFERROR(__xludf.DUMMYFUNCTION("TRIM(REGEXREPLACE(D1045,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1045" s="188" t="str">
        <f>IFERROR(__xludf.DUMMYFUNCTION("TRIM(REGEXREPLACE(E1045,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1045" s="188" t="s">
        <v>7537</v>
      </c>
      <c r="K1045" s="188" t="s">
        <v>7538</v>
      </c>
      <c r="L1045" s="188" t="s">
        <v>7539</v>
      </c>
    </row>
    <row r="1046">
      <c r="A1046" s="299" t="s">
        <v>2456</v>
      </c>
      <c r="B1046" s="300" t="s">
        <v>7540</v>
      </c>
      <c r="C1046" s="190" t="s">
        <v>7541</v>
      </c>
      <c r="D1046" s="190" t="s">
        <v>7542</v>
      </c>
      <c r="E1046" s="190" t="s">
        <v>7543</v>
      </c>
      <c r="F1046" s="195">
        <v>569.0</v>
      </c>
      <c r="G1046" s="188" t="str">
        <f>IFERROR(__xludf.DUMMYFUNCTION("TRIM(REGEXREPLACE(C1046, ""[0-9]+[a-f]?\."", """"))"),"In the last six months did you or a member of your household try to secure a loan from any source but were refused?")</f>
        <v>In the last six months did you or a member of your household try to secure a loan from any source but were refused?</v>
      </c>
      <c r="H1046" s="188" t="str">
        <f>IFERROR(__xludf.DUMMYFUNCTION("TRIM(REGEXREPLACE(D1046, ""[0-9]+[a-f]?\."", """"))"),"Au cours des six derniers mois, vous ou un membre de votre ménage avez-vous tenté d'obtenir un prêt, quelle qu'en soit la source, mais votre demande a été refusée ?")</f>
        <v>Au cours des six derniers mois, vous ou un membre de votre ménage avez-vous tenté d'obtenir un prêt, quelle qu'en soit la source, mais votre demande a été refusée ?</v>
      </c>
      <c r="I1046" s="188" t="str">
        <f>IFERROR(__xludf.DUMMYFUNCTION("TRIM(REGEXREPLACE(E1046, ""[0-9]+[a-f]?\."", """"))"),"A cikin watanni shida da suka gabata kai ko wani dan gidan ku kun yi ƙoƙarin samun bashi daga kowace hanya amma an ƙi a baku ?")</f>
        <v>A cikin watanni shida da suka gabata kai ko wani dan gidan ku kun yi ƙoƙarin samun bashi daga kowace hanya amma an ƙi a baku ?</v>
      </c>
      <c r="J1046" s="188" t="s">
        <v>7544</v>
      </c>
      <c r="K1046" s="188" t="s">
        <v>7545</v>
      </c>
      <c r="L1046" s="188" t="s">
        <v>7546</v>
      </c>
    </row>
    <row r="1047">
      <c r="A1047" s="306" t="s">
        <v>247</v>
      </c>
      <c r="B1047" s="307" t="s">
        <v>7547</v>
      </c>
      <c r="C1047" s="190" t="s">
        <v>7548</v>
      </c>
      <c r="D1047" s="190" t="s">
        <v>7549</v>
      </c>
      <c r="E1047" s="190" t="s">
        <v>7550</v>
      </c>
      <c r="F1047" s="195">
        <v>570.0</v>
      </c>
      <c r="G1047" s="188" t="str">
        <f>IFERROR(__xludf.DUMMYFUNCTION("TRIM(REGEXREPLACE(C1047, ""[0-9]+[a-f]?\."", """"))"),"What was the value of the loan in CFA?")</f>
        <v>What was the value of the loan in CFA?</v>
      </c>
      <c r="H1047" s="188" t="str">
        <f>IFERROR(__xludf.DUMMYFUNCTION("TRIM(REGEXREPLACE(D1047, ""[0-9]+[a-f]?\."", """"))"),"Quelle était la valeur du prêt en CFA?")</f>
        <v>Quelle était la valeur du prêt en CFA?</v>
      </c>
      <c r="I1047" s="188" t="str">
        <f>IFERROR(__xludf.DUMMYFUNCTION("TRIM(REGEXREPLACE(E1047, ""[0-9]+[a-f]?\."", """"))"),"Nawa ne yawan kuɗin bashin a sefa?")</f>
        <v>Nawa ne yawan kuɗin bashin a sefa?</v>
      </c>
      <c r="J1047" s="188" t="s">
        <v>7552</v>
      </c>
      <c r="K1047" s="188" t="s">
        <v>7553</v>
      </c>
      <c r="L1047" s="188" t="s">
        <v>7554</v>
      </c>
    </row>
    <row r="1048">
      <c r="A1048" s="306" t="s">
        <v>247</v>
      </c>
      <c r="B1048" s="307" t="s">
        <v>7555</v>
      </c>
      <c r="C1048" s="190" t="s">
        <v>7556</v>
      </c>
      <c r="D1048" s="190" t="s">
        <v>7557</v>
      </c>
      <c r="E1048" s="190" t="s">
        <v>7558</v>
      </c>
      <c r="F1048" s="195">
        <v>571.0</v>
      </c>
      <c r="G1048" s="188" t="str">
        <f>IFERROR(__xludf.DUMMYFUNCTION("TRIM(REGEXREPLACE(C1048,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1048" s="188" t="str">
        <f>IFERROR(__xludf.DUMMYFUNCTION("TRIM(REGEXREPLACE(D1048,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1048" s="188" t="str">
        <f>IFERROR(__xludf.DUMMYFUNCTION("TRIM(REGEXREPLACE(E1048,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1048" s="188" t="s">
        <v>7559</v>
      </c>
      <c r="K1048" s="188" t="s">
        <v>7560</v>
      </c>
      <c r="L1048" s="188" t="s">
        <v>7561</v>
      </c>
    </row>
    <row r="1049">
      <c r="A1049" s="299" t="s">
        <v>2456</v>
      </c>
      <c r="B1049" s="300" t="s">
        <v>7562</v>
      </c>
      <c r="C1049" s="190" t="s">
        <v>7563</v>
      </c>
      <c r="D1049" s="190" t="s">
        <v>7564</v>
      </c>
      <c r="E1049" s="190" t="s">
        <v>7565</v>
      </c>
      <c r="F1049" s="195">
        <v>572.0</v>
      </c>
      <c r="G1049" s="188" t="str">
        <f>IFERROR(__xludf.DUMMYFUNCTION("TRIM(REGEXREPLACE(C1049, ""[0-9]+[a-f]?\."", """"))"),"Do you know if a loan was given to your household by a household that participated in the TSARI training program?")</f>
        <v>Do you know if a loan was given to your household by a household that participated in the TSARI training program?</v>
      </c>
      <c r="H1049" s="188" t="str">
        <f>IFERROR(__xludf.DUMMYFUNCTION("TRIM(REGEXREPLACE(D1049, ""[0-9]+[a-f]?\."", """"))"),"Savez-vous si un prêt a été accordé à votre ménage par un ménage ayant participé au programme de formation TSARI ?")</f>
        <v>Savez-vous si un prêt a été accordé à votre ménage par un ménage ayant participé au programme de formation TSARI ?</v>
      </c>
      <c r="I1049" s="188" t="str">
        <f>IFERROR(__xludf.DUMMYFUNCTION("TRIM(REGEXREPLACE(E1049, ""[0-9]+[a-f]?\."", """"))"),"Shin ko kun san ko gidan ku ya karɓi bashi daga wani gida da ke cikin shirin TSARI ?")</f>
        <v>Shin ko kun san ko gidan ku ya karɓi bashi daga wani gida da ke cikin shirin TSARI ?</v>
      </c>
      <c r="J1049" s="188" t="s">
        <v>7567</v>
      </c>
      <c r="K1049" s="188" t="s">
        <v>7568</v>
      </c>
      <c r="L1049" s="188" t="s">
        <v>7569</v>
      </c>
    </row>
    <row r="1050">
      <c r="A1050" s="299" t="s">
        <v>1060</v>
      </c>
      <c r="B1050" s="300" t="s">
        <v>7570</v>
      </c>
      <c r="C1050" s="190" t="s">
        <v>7571</v>
      </c>
      <c r="D1050" s="190" t="s">
        <v>7572</v>
      </c>
      <c r="E1050" s="190" t="s">
        <v>7573</v>
      </c>
      <c r="F1050" s="195">
        <v>573.0</v>
      </c>
      <c r="G1050" s="188" t="str">
        <f>IFERROR(__xludf.DUMMYFUNCTION("TRIM(REGEXREPLACE(C1050, ""[0-9]+[a-f]?\."", """"))"),"In the past six months, have you or anyone in your household received money or goods from someone who is not a member of your household and lives in your village in Niger?")</f>
        <v>In the past six months, have you or anyone in your household received money or goods from someone who is not a member of your household and lives in your village in Niger?</v>
      </c>
      <c r="H1050" s="188" t="str">
        <f>IFERROR(__xludf.DUMMYFUNCTION("TRIM(REGEXREPLACE(D1050, ""[0-9]+[a-f]?\."", """"))"),"Au cours des six derniers mois, vous ou un membre de votre ménage avez-vous reçu de l'argent ou des biens d'une personne extérieure à votre ménage et vivant dans votre village au Niger ?")</f>
        <v>Au cours des six derniers mois, vous ou un membre de votre ménage avez-vous reçu de l'argent ou des biens d'une personne extérieure à votre ménage et vivant dans votre village au Niger ?</v>
      </c>
      <c r="I1050" s="188" t="str">
        <f>IFERROR(__xludf.DUMMYFUNCTION("TRIM(REGEXREPLACE(E1050, ""[0-9]+[a-f]?\."", """"))"),"A cikin watanni shida da suka gabata, kai ko wani a cikin gidan ku kun karbi kudi ko kaya daga wani wanda ba ɗan gidanku ba ne kuma yana zaune a kauyenku a Nijar?")</f>
        <v>A cikin watanni shida da suka gabata, kai ko wani a cikin gidan ku kun karbi kudi ko kaya daga wani wanda ba ɗan gidanku ba ne kuma yana zaune a kauyenku a Nijar?</v>
      </c>
      <c r="J1050" s="188" t="s">
        <v>7574</v>
      </c>
      <c r="K1050" s="188" t="s">
        <v>7575</v>
      </c>
      <c r="L1050" s="188" t="s">
        <v>7576</v>
      </c>
    </row>
    <row r="1051">
      <c r="A1051" s="299" t="s">
        <v>2456</v>
      </c>
      <c r="B1051" s="300" t="s">
        <v>7577</v>
      </c>
      <c r="C1051" s="190" t="s">
        <v>7578</v>
      </c>
      <c r="D1051" s="190" t="s">
        <v>7579</v>
      </c>
      <c r="E1051" s="190" t="s">
        <v>7580</v>
      </c>
      <c r="F1051" s="195">
        <v>574.0</v>
      </c>
      <c r="G1051" s="188" t="str">
        <f>IFERROR(__xludf.DUMMYFUNCTION("TRIM(REGEXREPLACE(C1051, ""[0-9]+[a-f]?\."", """"))"),"Do you know if the person who gave your hosuehold money was from a household that participated in the TSARI training program?")</f>
        <v>Do you know if the person who gave your hosuehold money was from a household that participated in the TSARI training program?</v>
      </c>
      <c r="H1051" s="188" t="str">
        <f>IFERROR(__xludf.DUMMYFUNCTION("TRIM(REGEXREPLACE(D1051, ""[0-9]+[a-f]?\."", """"))"),"Savez-vous si la personne qui a donné de l'argent à votre ménage était issue d'un ménage ayant participé au programme de formation TSARI ?")</f>
        <v>Savez-vous si la personne qui a donné de l'argent à votre ménage était issue d'un ménage ayant participé au programme de formation TSARI ?</v>
      </c>
      <c r="I1051" s="188" t="str">
        <f>IFERROR(__xludf.DUMMYFUNCTION("TRIM(REGEXREPLACE(E1051, ""[0-9]+[a-f]?\."", """"))"),"Shin kun san ko mutumin da ya bada kuɗin ga gidan ku ko ya fito daga gidajen da suka shiga cikin shirin horon TSARI ne?")</f>
        <v>Shin kun san ko mutumin da ya bada kuɗin ga gidan ku ko ya fito daga gidajen da suka shiga cikin shirin horon TSARI ne?</v>
      </c>
      <c r="J1051" s="188" t="s">
        <v>7581</v>
      </c>
      <c r="K1051" s="188" t="s">
        <v>7582</v>
      </c>
      <c r="L1051" s="188" t="s">
        <v>7583</v>
      </c>
    </row>
    <row r="1052" hidden="1">
      <c r="A1052" s="221" t="s">
        <v>256</v>
      </c>
      <c r="B1052" s="198" t="s">
        <v>7585</v>
      </c>
      <c r="C1052" s="190"/>
      <c r="D1052" s="190"/>
      <c r="E1052" s="190"/>
    </row>
    <row r="1053" hidden="1">
      <c r="A1053" s="221" t="s">
        <v>112</v>
      </c>
      <c r="B1053" s="198" t="s">
        <v>7586</v>
      </c>
      <c r="C1053" s="190"/>
      <c r="D1053" s="190"/>
      <c r="E1053" s="190"/>
    </row>
    <row r="1054" hidden="1">
      <c r="A1054" s="221" t="s">
        <v>256</v>
      </c>
      <c r="B1054" s="198" t="s">
        <v>7587</v>
      </c>
      <c r="C1054" s="190"/>
      <c r="D1054" s="190"/>
      <c r="E1054" s="190"/>
    </row>
    <row r="1055">
      <c r="A1055" s="297" t="s">
        <v>46</v>
      </c>
      <c r="B1055" s="298" t="s">
        <v>7588</v>
      </c>
      <c r="C1055" s="190" t="s">
        <v>7589</v>
      </c>
      <c r="D1055" s="190" t="s">
        <v>7590</v>
      </c>
      <c r="E1055" s="190" t="s">
        <v>7591</v>
      </c>
      <c r="F1055" s="195">
        <v>575.0</v>
      </c>
      <c r="G1055" s="188" t="str">
        <f>IFERROR(__xludf.DUMMYFUNCTION("TRIM(REGEXREPLACE(C1055, ""[0-9]+[a-f]?\."", """"))"),"I will now ask you about meals people in your household have consumed in the past 7 days.")</f>
        <v>I will now ask you about meals people in your household have consumed in the past 7 days.</v>
      </c>
      <c r="H1055" s="188" t="str">
        <f>IFERROR(__xludf.DUMMYFUNCTION("TRIM(REGEXREPLACE(D1055,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055" s="188" t="str">
        <f>IFERROR(__xludf.DUMMYFUNCTION("TRIM(REGEXREPLACE(E1055, ""[0-9]+[a-f]?\."", """"))"),"Yanzu zan tambaye ku bisa abincin da mutanen gidanku suka ci a cikin kwanaki 7 da suka wuce.")</f>
        <v>Yanzu zan tambaye ku bisa abincin da mutanen gidanku suka ci a cikin kwanaki 7 da suka wuce.</v>
      </c>
      <c r="J1055" s="188" t="s">
        <v>7592</v>
      </c>
      <c r="K1055" s="188" t="s">
        <v>7593</v>
      </c>
      <c r="L1055" s="188" t="s">
        <v>7594</v>
      </c>
    </row>
    <row r="1056">
      <c r="A1056" s="299" t="s">
        <v>2456</v>
      </c>
      <c r="B1056" s="300" t="s">
        <v>7596</v>
      </c>
      <c r="C1056" s="190" t="s">
        <v>7597</v>
      </c>
      <c r="D1056" s="190" t="s">
        <v>7598</v>
      </c>
      <c r="E1056" s="190" t="s">
        <v>7599</v>
      </c>
      <c r="F1056" s="195">
        <v>576.0</v>
      </c>
      <c r="G1056" s="188" t="str">
        <f>IFERROR(__xludf.DUMMYFUNCTION("TRIM(REGEXREPLACE(C1056, ""[0-9]+[a-f]?\."", """"))"),"In the last 7 days, have adults gone a whole day without meals?")</f>
        <v>In the last 7 days, have adults gone a whole day without meals?</v>
      </c>
      <c r="H1056" s="188" t="str">
        <f>IFERROR(__xludf.DUMMYFUNCTION("TRIM(REGEXREPLACE(D1056, ""[0-9]+[a-f]?\."", """"))"),"Au cours des 7 derniers jours, des adultes sont-ils restés une journée entière sans manger de repas ?")</f>
        <v>Au cours des 7 derniers jours, des adultes sont-ils restés une journée entière sans manger de repas ?</v>
      </c>
      <c r="I1056" s="188" t="str">
        <f>IFERROR(__xludf.DUMMYFUNCTION("TRIM(REGEXREPLACE(E1056, ""[0-9]+[a-f]?\."", """"))"),"A cikin kwanaki 7 da suka wuce, ko manya gidanku sun zauna tsawon wuni guda basu ci abinci ba?")</f>
        <v>A cikin kwanaki 7 da suka wuce, ko manya gidanku sun zauna tsawon wuni guda basu ci abinci ba?</v>
      </c>
      <c r="J1056" s="188" t="s">
        <v>7600</v>
      </c>
      <c r="K1056" s="188" t="s">
        <v>7601</v>
      </c>
      <c r="L1056" s="188" t="s">
        <v>7602</v>
      </c>
    </row>
    <row r="1057">
      <c r="A1057" s="306" t="s">
        <v>247</v>
      </c>
      <c r="B1057" s="307" t="s">
        <v>7603</v>
      </c>
      <c r="C1057" s="190" t="s">
        <v>7604</v>
      </c>
      <c r="D1057" s="190" t="s">
        <v>7605</v>
      </c>
      <c r="E1057" s="190" t="s">
        <v>7606</v>
      </c>
      <c r="F1057" s="195">
        <v>577.0</v>
      </c>
      <c r="G1057" s="188" t="str">
        <f>IFERROR(__xludf.DUMMYFUNCTION("TRIM(REGEXREPLACE(C1057, ""[0-9]+[a-f]?\."", """"))"),"How many days?")</f>
        <v>How many days?</v>
      </c>
      <c r="H1057" s="188" t="str">
        <f>IFERROR(__xludf.DUMMYFUNCTION("TRIM(REGEXREPLACE(D1057, ""[0-9]+[a-f]?\."", """"))"),"Pendant combien de jours?")</f>
        <v>Pendant combien de jours?</v>
      </c>
      <c r="I1057" s="188" t="str">
        <f>IFERROR(__xludf.DUMMYFUNCTION("TRIM(REGEXREPLACE(E1057, ""[0-9]+[a-f]?\."", """"))"),"151a Tsawon kwanaki nawa?")</f>
        <v>151a Tsawon kwanaki nawa?</v>
      </c>
      <c r="J1057" s="188" t="s">
        <v>7608</v>
      </c>
      <c r="K1057" s="188" t="s">
        <v>7609</v>
      </c>
      <c r="L1057" s="188" t="s">
        <v>7610</v>
      </c>
    </row>
    <row r="1058">
      <c r="A1058" s="299" t="s">
        <v>2456</v>
      </c>
      <c r="B1058" s="300" t="s">
        <v>7611</v>
      </c>
      <c r="C1058" s="190" t="s">
        <v>7612</v>
      </c>
      <c r="D1058" s="190" t="s">
        <v>7613</v>
      </c>
      <c r="E1058" s="190" t="s">
        <v>7614</v>
      </c>
      <c r="F1058" s="195">
        <v>578.0</v>
      </c>
      <c r="G1058" s="188" t="str">
        <f>IFERROR(__xludf.DUMMYFUNCTION("TRIM(REGEXREPLACE(C1058, ""[0-9]+[a-f]?\."", """"))"),"In the last 7 days, have adults cut the size of meals or skipped meals?")</f>
        <v>In the last 7 days, have adults cut the size of meals or skipped meals?</v>
      </c>
      <c r="H1058" s="188" t="str">
        <f>IFERROR(__xludf.DUMMYFUNCTION("TRIM(REGEXREPLACE(D1058, ""[0-9]+[a-f]?\."", """"))"),"Au cours des 7 derniers jours, les adultes ont-ils réduit la taille de leur repas ou les ont-ils sauté?")</f>
        <v>Au cours des 7 derniers jours, les adultes ont-ils réduit la taille de leur repas ou les ont-ils sauté?</v>
      </c>
      <c r="I1058" s="188" t="str">
        <f>IFERROR(__xludf.DUMMYFUNCTION("TRIM(REGEXREPLACE(E1058, ""[0-9]+[a-f]?\."", """"))"),"A cikin kwanaki 7 na ƙarshe, ko manyan gidanku sun rage yawan abincin da suka saba ci ko sun tsallake shi?")</f>
        <v>A cikin kwanaki 7 na ƙarshe, ko manyan gidanku sun rage yawan abincin da suka saba ci ko sun tsallake shi?</v>
      </c>
      <c r="J1058" s="188" t="s">
        <v>7615</v>
      </c>
      <c r="K1058" s="188" t="s">
        <v>7616</v>
      </c>
      <c r="L1058" s="188" t="s">
        <v>7617</v>
      </c>
    </row>
    <row r="1059">
      <c r="A1059" s="306" t="s">
        <v>247</v>
      </c>
      <c r="B1059" s="307" t="s">
        <v>7618</v>
      </c>
      <c r="C1059" s="190" t="s">
        <v>7619</v>
      </c>
      <c r="D1059" s="190" t="s">
        <v>7620</v>
      </c>
      <c r="E1059" s="190" t="s">
        <v>7621</v>
      </c>
      <c r="F1059" s="195">
        <v>579.0</v>
      </c>
      <c r="G1059" s="188" t="str">
        <f>IFERROR(__xludf.DUMMYFUNCTION("TRIM(REGEXREPLACE(C1059, ""[0-9]+[a-f]?\."", """"))"),"How many days?")</f>
        <v>How many days?</v>
      </c>
      <c r="H1059" s="188" t="str">
        <f>IFERROR(__xludf.DUMMYFUNCTION("TRIM(REGEXREPLACE(D1059, ""[0-9]+[a-f]?\."", """"))"),"Pendant combien de jours?")</f>
        <v>Pendant combien de jours?</v>
      </c>
      <c r="I1059" s="188" t="str">
        <f>IFERROR(__xludf.DUMMYFUNCTION("TRIM(REGEXREPLACE(E1059, ""[0-9]+[a-f]?\."", """"))"),"Tsawon kwanaki nawa?")</f>
        <v>Tsawon kwanaki nawa?</v>
      </c>
      <c r="J1059" s="188" t="s">
        <v>7623</v>
      </c>
      <c r="K1059" s="188" t="s">
        <v>7624</v>
      </c>
      <c r="L1059" s="188" t="s">
        <v>7625</v>
      </c>
    </row>
    <row r="1060">
      <c r="A1060" s="306" t="s">
        <v>247</v>
      </c>
      <c r="B1060" s="307" t="s">
        <v>7626</v>
      </c>
      <c r="C1060" s="190" t="s">
        <v>7627</v>
      </c>
      <c r="D1060" s="190" t="s">
        <v>7628</v>
      </c>
      <c r="E1060" s="190" t="s">
        <v>7629</v>
      </c>
      <c r="F1060" s="195">
        <v>580.0</v>
      </c>
      <c r="G1060" s="188" t="str">
        <f>IFERROR(__xludf.DUMMYFUNCTION("TRIM(REGEXREPLACE(C1060, ""[0-9]+[a-f]?\."", """"))"),"In the past week how many days have adults in your household consumed animal protein (including fish, meat, poultry)?")</f>
        <v>In the past week how many days have adults in your household consumed animal protein (including fish, meat, poultry)?</v>
      </c>
      <c r="H1060" s="188" t="str">
        <f>IFERROR(__xludf.DUMMYFUNCTION("TRIM(REGEXREPLACE(D1060,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060" s="188" t="str">
        <f>IFERROR(__xludf.DUMMYFUNCTION("TRIM(REGEXREPLACE(E1060, ""[0-9]+[a-f]?\."", """"))"),"A cikin kwanaki 7 da suka wuce sau nawa manyan gidanku suka ci abinci masu gina jiki kamar su kifi ko nama ko kaji?")</f>
        <v>A cikin kwanaki 7 da suka wuce sau nawa manyan gidanku suka ci abinci masu gina jiki kamar su kifi ko nama ko kaji?</v>
      </c>
      <c r="J1060" s="188" t="s">
        <v>7630</v>
      </c>
      <c r="K1060" s="188" t="s">
        <v>7631</v>
      </c>
      <c r="L1060" s="188" t="s">
        <v>7632</v>
      </c>
    </row>
    <row r="1061">
      <c r="A1061" s="299" t="s">
        <v>2456</v>
      </c>
      <c r="B1061" s="300" t="s">
        <v>7633</v>
      </c>
      <c r="C1061" s="190" t="s">
        <v>7634</v>
      </c>
      <c r="D1061" s="190" t="s">
        <v>7635</v>
      </c>
      <c r="E1061" s="190" t="s">
        <v>7636</v>
      </c>
      <c r="F1061" s="195">
        <v>581.0</v>
      </c>
      <c r="G1061" s="188" t="str">
        <f>IFERROR(__xludf.DUMMYFUNCTION("TRIM(REGEXREPLACE(C1061, ""[0-9]+[a-f]?\."", """"))"),"In the last 7 days, have children (&lt;14) gone a whole day without meals?")</f>
        <v>In the last 7 days, have children (&lt;14) gone a whole day without meals?</v>
      </c>
      <c r="H1061" s="188" t="str">
        <f>IFERROR(__xludf.DUMMYFUNCTION("TRIM(REGEXREPLACE(D1061, ""[0-9]+[a-f]?\."", """"))"),"Au cours des 7 derniers jours, des enfants (&lt;14) ont-ils passé une journée entière sans manger de repas ?")</f>
        <v>Au cours des 7 derniers jours, des enfants (&lt;14) ont-ils passé une journée entière sans manger de repas ?</v>
      </c>
      <c r="I1061" s="188" t="str">
        <f>IFERROR(__xludf.DUMMYFUNCTION("TRIM(REGEXREPLACE(E1061, ""[0-9]+[a-f]?\."", """"))"),"A cikin kwanaki 7 na ƙarshe, ko yara ƴan ƙasa da shekara goma sha huɗu sun zauna tsawon wuni guda ba su ci da abinci ba?")</f>
        <v>A cikin kwanaki 7 na ƙarshe, ko yara ƴan ƙasa da shekara goma sha huɗu sun zauna tsawon wuni guda ba su ci da abinci ba?</v>
      </c>
      <c r="J1061" s="188" t="s">
        <v>7638</v>
      </c>
      <c r="K1061" s="188" t="s">
        <v>7639</v>
      </c>
      <c r="L1061" s="188" t="s">
        <v>7640</v>
      </c>
    </row>
    <row r="1062">
      <c r="A1062" s="306" t="s">
        <v>247</v>
      </c>
      <c r="B1062" s="307" t="s">
        <v>7641</v>
      </c>
      <c r="C1062" s="190" t="s">
        <v>7642</v>
      </c>
      <c r="D1062" s="190" t="s">
        <v>7643</v>
      </c>
      <c r="E1062" s="190" t="s">
        <v>7644</v>
      </c>
      <c r="F1062" s="195">
        <v>582.0</v>
      </c>
      <c r="G1062" s="188" t="str">
        <f>IFERROR(__xludf.DUMMYFUNCTION("TRIM(REGEXREPLACE(C1062, ""[0-9]+[a-f]?\."", """"))"),"How many days?")</f>
        <v>How many days?</v>
      </c>
      <c r="H1062" s="188" t="str">
        <f>IFERROR(__xludf.DUMMYFUNCTION("TRIM(REGEXREPLACE(D1062, ""[0-9]+[a-f]?\."", """"))"),"Pendant combien de jours?")</f>
        <v>Pendant combien de jours?</v>
      </c>
      <c r="I1062" s="188" t="str">
        <f>IFERROR(__xludf.DUMMYFUNCTION("TRIM(REGEXREPLACE(E1062, ""[0-9]+[a-f]?\."", """"))"),"154a Tsawon kwanaki nawa?")</f>
        <v>154a Tsawon kwanaki nawa?</v>
      </c>
      <c r="J1062" s="188" t="s">
        <v>7645</v>
      </c>
      <c r="K1062" s="188" t="s">
        <v>7646</v>
      </c>
      <c r="L1062" s="188" t="s">
        <v>7647</v>
      </c>
    </row>
    <row r="1063">
      <c r="A1063" s="299" t="s">
        <v>2456</v>
      </c>
      <c r="B1063" s="300" t="s">
        <v>7648</v>
      </c>
      <c r="C1063" s="190" t="s">
        <v>7649</v>
      </c>
      <c r="D1063" s="190" t="s">
        <v>7650</v>
      </c>
      <c r="E1063" s="190" t="s">
        <v>7651</v>
      </c>
      <c r="F1063" s="195">
        <v>583.0</v>
      </c>
      <c r="G1063" s="188" t="str">
        <f>IFERROR(__xludf.DUMMYFUNCTION("TRIM(REGEXREPLACE(C1063, ""[0-9]+[a-f]?\."", """"))"),"In the last 7 days, have children (&lt;14) cut the size of meals or skipped meals?")</f>
        <v>In the last 7 days, have children (&lt;14) cut the size of meals or skipped meals?</v>
      </c>
      <c r="H1063" s="188" t="str">
        <f>IFERROR(__xludf.DUMMYFUNCTION("TRIM(REGEXREPLACE(D1063, ""[0-9]+[a-f]?\."", """"))"),"Au cours des 7 derniers jours, des enfants (&lt;14) ont-ils réduit la taille de leurs repas ou les ont-ils sauté?")</f>
        <v>Au cours des 7 derniers jours, des enfants (&lt;14) ont-ils réduit la taille de leurs repas ou les ont-ils sauté?</v>
      </c>
      <c r="I1063" s="188" t="str">
        <f>IFERROR(__xludf.DUMMYFUNCTION("TRIM(REGEXREPLACE(E1063, ""[0-9]+[a-f]?\."", """"))"),"A cikin kwanaki 7 na ƙarshe, suna da yara (&lt;14) sun rage yawan abinci ko sun rasa gaba ɗaya?")</f>
        <v>A cikin kwanaki 7 na ƙarshe, suna da yara (&lt;14) sun rage yawan abinci ko sun rasa gaba ɗaya?</v>
      </c>
      <c r="J1063" s="188" t="s">
        <v>7652</v>
      </c>
      <c r="K1063" s="188" t="s">
        <v>7653</v>
      </c>
      <c r="L1063" s="188" t="s">
        <v>7654</v>
      </c>
    </row>
    <row r="1064">
      <c r="A1064" s="306" t="s">
        <v>247</v>
      </c>
      <c r="B1064" s="307" t="s">
        <v>7655</v>
      </c>
      <c r="C1064" s="190" t="s">
        <v>7656</v>
      </c>
      <c r="D1064" s="190" t="s">
        <v>7657</v>
      </c>
      <c r="E1064" s="190" t="s">
        <v>7658</v>
      </c>
      <c r="F1064" s="195">
        <v>584.0</v>
      </c>
      <c r="G1064" s="188" t="str">
        <f>IFERROR(__xludf.DUMMYFUNCTION("TRIM(REGEXREPLACE(C1064, ""[0-9]+[a-f]?\."", """"))"),"How many days?")</f>
        <v>How many days?</v>
      </c>
      <c r="H1064" s="188" t="str">
        <f>IFERROR(__xludf.DUMMYFUNCTION("TRIM(REGEXREPLACE(D1064, ""[0-9]+[a-f]?\."", """"))"),"Pendant combien de jours?")</f>
        <v>Pendant combien de jours?</v>
      </c>
      <c r="I1064" s="188" t="str">
        <f>IFERROR(__xludf.DUMMYFUNCTION("TRIM(REGEXREPLACE(E1064, ""[0-9]+[a-f]?\."", """"))"),"155a Tsawon kwanaki nawa?")</f>
        <v>155a Tsawon kwanaki nawa?</v>
      </c>
      <c r="J1064" s="188" t="s">
        <v>7659</v>
      </c>
      <c r="K1064" s="188" t="s">
        <v>7660</v>
      </c>
      <c r="L1064" s="188" t="s">
        <v>7661</v>
      </c>
    </row>
    <row r="1065">
      <c r="A1065" s="306" t="s">
        <v>247</v>
      </c>
      <c r="B1065" s="307" t="s">
        <v>7662</v>
      </c>
      <c r="C1065" s="190" t="s">
        <v>7663</v>
      </c>
      <c r="D1065" s="190" t="s">
        <v>7664</v>
      </c>
      <c r="E1065" s="190" t="s">
        <v>7665</v>
      </c>
      <c r="F1065" s="195">
        <v>585.0</v>
      </c>
      <c r="G1065" s="188" t="str">
        <f>IFERROR(__xludf.DUMMYFUNCTION("TRIM(REGEXREPLACE(C1065, ""[0-9]+[a-f]?\."", """"))"),"In the past week how many days have children in your household consumed animal protein (inlcuding fish, meat, poultry)?")</f>
        <v>In the past week how many days have children in your household consumed animal protein (inlcuding fish, meat, poultry)?</v>
      </c>
      <c r="H1065" s="188" t="str">
        <f>IFERROR(__xludf.DUMMYFUNCTION("TRIM(REGEXREPLACE(D1065,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065" s="188" t="str">
        <f>IFERROR(__xludf.DUMMYFUNCTION("TRIM(REGEXREPLACE(E1065, ""[0-9]+[a-f]?\."", """"))"),"A cikin kwanaki 7 da suka gabata sau nawa yara a cikin gidanku suka ci abinci masu gina jiki kamar su kifi, nama, kaji ?")</f>
        <v>A cikin kwanaki 7 da suka gabata sau nawa yara a cikin gidanku suka ci abinci masu gina jiki kamar su kifi, nama, kaji ?</v>
      </c>
      <c r="J1065" s="188" t="s">
        <v>7666</v>
      </c>
      <c r="K1065" s="188" t="s">
        <v>7667</v>
      </c>
      <c r="L1065" s="188" t="s">
        <v>7668</v>
      </c>
    </row>
    <row r="1066" hidden="1">
      <c r="A1066" s="221" t="s">
        <v>256</v>
      </c>
      <c r="B1066" s="198" t="s">
        <v>7669</v>
      </c>
      <c r="C1066" s="190"/>
      <c r="D1066" s="190"/>
      <c r="E1066" s="190"/>
    </row>
    <row r="1067" hidden="1">
      <c r="A1067" s="221" t="s">
        <v>112</v>
      </c>
      <c r="B1067" s="198" t="s">
        <v>7670</v>
      </c>
      <c r="C1067" s="190"/>
      <c r="D1067" s="190"/>
      <c r="E1067" s="190"/>
    </row>
    <row r="1068" hidden="1">
      <c r="A1068" s="320"/>
      <c r="B1068" s="321"/>
      <c r="C1068" s="190" t="s">
        <v>55</v>
      </c>
      <c r="D1068" s="190" t="s">
        <v>55</v>
      </c>
      <c r="E1068" s="190" t="s">
        <v>55</v>
      </c>
    </row>
    <row r="1069" hidden="1">
      <c r="A1069" s="310" t="s">
        <v>278</v>
      </c>
      <c r="B1069" s="311" t="s">
        <v>7671</v>
      </c>
      <c r="C1069" s="190"/>
      <c r="D1069" s="190"/>
      <c r="E1069" s="190"/>
    </row>
    <row r="1070" hidden="1">
      <c r="A1070" s="221" t="s">
        <v>256</v>
      </c>
      <c r="B1070" s="198" t="s">
        <v>7672</v>
      </c>
      <c r="C1070" s="190"/>
      <c r="D1070" s="190"/>
      <c r="E1070" s="190"/>
    </row>
    <row r="1071">
      <c r="A1071" s="299" t="s">
        <v>3962</v>
      </c>
      <c r="B1071" s="300" t="s">
        <v>7673</v>
      </c>
      <c r="C1071" s="190" t="s">
        <v>7674</v>
      </c>
      <c r="D1071" s="190" t="s">
        <v>7675</v>
      </c>
      <c r="E1071" s="190" t="s">
        <v>7676</v>
      </c>
      <c r="F1071" s="195">
        <v>586.0</v>
      </c>
      <c r="G1071" s="188" t="str">
        <f>IFERROR(__xludf.DUMMYFUNCTION("TRIM(REGEXREPLACE(C1071, ""[0-9]+[a-f]?\."", """"))"),"Has your household spent money on the following types of expenses in the past month?")</f>
        <v>Has your household spent money on the following types of expenses in the past month?</v>
      </c>
      <c r="H1071" s="188" t="str">
        <f>IFERROR(__xludf.DUMMYFUNCTION("TRIM(REGEXREPLACE(D1071, ""[0-9]+[a-f]?\."", """"))"),"Votre ménage a-t-il dépensé de l'argent pour les types de dépenses suivants au cours du dernier mois ?")</f>
        <v>Votre ménage a-t-il dépensé de l'argent pour les types de dépenses suivants au cours du dernier mois ?</v>
      </c>
      <c r="I1071" s="188" t="str">
        <f>IFERROR(__xludf.DUMMYFUNCTION("TRIM(REGEXREPLACE(E1071, ""[0-9]+[a-f]?\."", """"))"),"Shin gidanku ya kashe kuɗi akan irin waɗannan abubuwan a cikin watan da ya gabata?")</f>
        <v>Shin gidanku ya kashe kuɗi akan irin waɗannan abubuwan a cikin watan da ya gabata?</v>
      </c>
      <c r="J1071" s="188" t="s">
        <v>7677</v>
      </c>
      <c r="K1071" s="188" t="s">
        <v>7678</v>
      </c>
      <c r="L1071" s="188" t="s">
        <v>7679</v>
      </c>
    </row>
    <row r="1072" hidden="1">
      <c r="A1072" s="305" t="s">
        <v>385</v>
      </c>
      <c r="B1072" s="223" t="s">
        <v>7680</v>
      </c>
      <c r="C1072" s="190" t="s">
        <v>3974</v>
      </c>
      <c r="D1072" s="190" t="s">
        <v>3975</v>
      </c>
      <c r="E1072" s="190" t="s">
        <v>3976</v>
      </c>
    </row>
    <row r="1073" hidden="1">
      <c r="A1073" s="221" t="s">
        <v>112</v>
      </c>
      <c r="B1073" s="198" t="s">
        <v>7681</v>
      </c>
      <c r="C1073" s="190" t="s">
        <v>3981</v>
      </c>
      <c r="D1073" s="190" t="s">
        <v>3983</v>
      </c>
      <c r="E1073" s="190" t="s">
        <v>3984</v>
      </c>
    </row>
    <row r="1074">
      <c r="A1074" s="306" t="s">
        <v>247</v>
      </c>
      <c r="B1074" s="307" t="s">
        <v>7682</v>
      </c>
      <c r="C1074" s="190" t="s">
        <v>7683</v>
      </c>
      <c r="D1074" s="190" t="s">
        <v>7685</v>
      </c>
      <c r="E1074" s="190" t="s">
        <v>7686</v>
      </c>
      <c r="F1074" s="195">
        <v>587.0</v>
      </c>
      <c r="G1074" s="188" t="str">
        <f>IFERROR(__xludf.DUMMYFUNCTION("TRIM(REGEXREPLACE(C1074, ""[0-9]+[a-f]?\."", """"))"),"How much did your household spend on ${hoh_item} in the past month (in CFA)?")</f>
        <v>How much did your household spend on ${hoh_item} in the past month (in CFA)?</v>
      </c>
      <c r="H1074" s="188" t="str">
        <f>IFERROR(__xludf.DUMMYFUNCTION("TRIM(REGEXREPLACE(D1074, ""[0-9]+[a-f]?\."", """"))"),"Combien votre ménage a-t-il dépensé pour ${hoh_item} au cours du dernier mois (en CFA) ?")</f>
        <v>Combien votre ménage a-t-il dépensé pour ${hoh_item} au cours du dernier mois (en CFA) ?</v>
      </c>
      <c r="I1074" s="188" t="str">
        <f>IFERROR(__xludf.DUMMYFUNCTION("TRIM(REGEXREPLACE(E1074, ""[0-9]+[a-f]?\."", """"))"),"Nawa ne (a CFA) gidanku ya kashe akan ${hoh_item} cikin watan da ya gabata ?")</f>
        <v>Nawa ne (a CFA) gidanku ya kashe akan ${hoh_item} cikin watan da ya gabata ?</v>
      </c>
      <c r="J1074" s="188" t="s">
        <v>7687</v>
      </c>
      <c r="K1074" s="188" t="s">
        <v>7688</v>
      </c>
      <c r="L1074" s="188" t="s">
        <v>7689</v>
      </c>
    </row>
    <row r="1075" hidden="1">
      <c r="A1075" s="305" t="s">
        <v>450</v>
      </c>
      <c r="B1075" s="224" t="s">
        <v>7680</v>
      </c>
      <c r="C1075" s="190" t="s">
        <v>3974</v>
      </c>
      <c r="D1075" s="190" t="s">
        <v>3975</v>
      </c>
      <c r="E1075" s="190" t="s">
        <v>3976</v>
      </c>
    </row>
    <row r="1076">
      <c r="A1076" s="299" t="s">
        <v>3995</v>
      </c>
      <c r="B1076" s="300" t="s">
        <v>7690</v>
      </c>
      <c r="C1076" s="190" t="s">
        <v>7691</v>
      </c>
      <c r="D1076" s="190" t="s">
        <v>7692</v>
      </c>
      <c r="E1076" s="190" t="s">
        <v>7693</v>
      </c>
      <c r="F1076" s="195">
        <v>588.0</v>
      </c>
      <c r="G1076" s="188" t="str">
        <f>IFERROR(__xludf.DUMMYFUNCTION("TRIM(REGEXREPLACE(C1076, ""[0-9]+[a-f]?\."", """"))"),"Has your household spent money on the following types of expenses in the past week?")</f>
        <v>Has your household spent money on the following types of expenses in the past week?</v>
      </c>
      <c r="H1076" s="188" t="str">
        <f>IFERROR(__xludf.DUMMYFUNCTION("TRIM(REGEXREPLACE(D1076, ""[0-9]+[a-f]?\."", """"))"),"Votre ménage a-t-il dépensé de l'argent pour les types de dépenses suivants au cours de la semaine dernière ?")</f>
        <v>Votre ménage a-t-il dépensé de l'argent pour les types de dépenses suivants au cours de la semaine dernière ?</v>
      </c>
      <c r="I1076" s="188" t="str">
        <f>IFERROR(__xludf.DUMMYFUNCTION("TRIM(REGEXREPLACE(E1076, ""[0-9]+[a-f]?\."", """"))"),"Ko gidanku sun kashe kuɗi akan ire iren waɗannan abubuwan a cikin satin da ya gabata?")</f>
        <v>Ko gidanku sun kashe kuɗi akan ire iren waɗannan abubuwan a cikin satin da ya gabata?</v>
      </c>
      <c r="J1076" s="188" t="s">
        <v>7695</v>
      </c>
      <c r="K1076" s="188" t="s">
        <v>7696</v>
      </c>
      <c r="L1076" s="188" t="s">
        <v>7697</v>
      </c>
    </row>
    <row r="1077" hidden="1">
      <c r="A1077" s="305" t="s">
        <v>385</v>
      </c>
      <c r="B1077" s="223" t="s">
        <v>7698</v>
      </c>
      <c r="C1077" s="190" t="s">
        <v>4008</v>
      </c>
      <c r="D1077" s="190" t="s">
        <v>4009</v>
      </c>
      <c r="E1077" s="190" t="s">
        <v>4010</v>
      </c>
    </row>
    <row r="1078" hidden="1">
      <c r="A1078" s="221" t="s">
        <v>112</v>
      </c>
      <c r="B1078" s="198" t="s">
        <v>7699</v>
      </c>
      <c r="C1078" s="190" t="s">
        <v>4015</v>
      </c>
      <c r="D1078" s="190" t="s">
        <v>4016</v>
      </c>
      <c r="E1078" s="190" t="s">
        <v>4017</v>
      </c>
    </row>
    <row r="1079">
      <c r="A1079" s="306" t="s">
        <v>247</v>
      </c>
      <c r="B1079" s="307" t="s">
        <v>7700</v>
      </c>
      <c r="C1079" s="190" t="s">
        <v>7701</v>
      </c>
      <c r="D1079" s="190" t="s">
        <v>7702</v>
      </c>
      <c r="E1079" s="190" t="s">
        <v>7703</v>
      </c>
      <c r="F1079" s="195">
        <v>589.0</v>
      </c>
      <c r="G1079" s="188" t="str">
        <f>IFERROR(__xludf.DUMMYFUNCTION("TRIM(REGEXREPLACE(C1079, ""[0-9]+[a-f]?\."", """"))"),"How much did your household spend on ${hoh_item_week} in the past week (in CFA)?")</f>
        <v>How much did your household spend on ${hoh_item_week} in the past week (in CFA)?</v>
      </c>
      <c r="H1079" s="188" t="str">
        <f>IFERROR(__xludf.DUMMYFUNCTION("TRIM(REGEXREPLACE(D1079, ""[0-9]+[a-f]?\."", """"))"),"Combien votre ménage a-t-il dépensé en ${hoh_item_week} la semaine dernière (en CFA) ?")</f>
        <v>Combien votre ménage a-t-il dépensé en ${hoh_item_week} la semaine dernière (en CFA) ?</v>
      </c>
      <c r="I1079" s="188" t="str">
        <f>IFERROR(__xludf.DUMMYFUNCTION("TRIM(REGEXREPLACE(E1079, ""[0-9]+[a-f]?\."", """"))"),"Nawa ne gidan ku ya kashe (a CFA) a ${hoh_item_week} satin da ya gabata ?")</f>
        <v>Nawa ne gidan ku ya kashe (a CFA) a ${hoh_item_week} satin da ya gabata ?</v>
      </c>
      <c r="J1079" s="188" t="s">
        <v>7704</v>
      </c>
      <c r="K1079" s="188" t="s">
        <v>7705</v>
      </c>
      <c r="L1079" s="188" t="s">
        <v>7706</v>
      </c>
    </row>
    <row r="1080" hidden="1">
      <c r="A1080" s="305" t="s">
        <v>450</v>
      </c>
      <c r="B1080" s="224" t="s">
        <v>7698</v>
      </c>
      <c r="C1080" s="190" t="s">
        <v>4008</v>
      </c>
      <c r="D1080" s="190" t="s">
        <v>4009</v>
      </c>
      <c r="E1080" s="190" t="s">
        <v>4010</v>
      </c>
    </row>
    <row r="1081" hidden="1">
      <c r="A1081" s="310" t="s">
        <v>278</v>
      </c>
      <c r="B1081" s="394" t="s">
        <v>7707</v>
      </c>
      <c r="C1081" s="190"/>
      <c r="D1081" s="190"/>
      <c r="E1081" s="190"/>
    </row>
    <row r="1082">
      <c r="A1082" s="299" t="s">
        <v>2456</v>
      </c>
      <c r="B1082" s="300" t="s">
        <v>7708</v>
      </c>
      <c r="C1082" s="190" t="s">
        <v>7709</v>
      </c>
      <c r="D1082" s="190" t="s">
        <v>7710</v>
      </c>
      <c r="E1082" s="190" t="s">
        <v>7565</v>
      </c>
      <c r="F1082" s="195">
        <v>590.0</v>
      </c>
      <c r="G1082" s="188" t="str">
        <f>IFERROR(__xludf.DUMMYFUNCTION("TRIM(REGEXREPLACE(C1082, ""[0-9]+[a-f]?\."", """"))"),"For Tabaski, did your household purchase any of the following?")</f>
        <v>For Tabaski, did your household purchase any of the following?</v>
      </c>
      <c r="H1082" s="188" t="str">
        <f>IFERROR(__xludf.DUMMYFUNCTION("TRIM(REGEXREPLACE(D1082, ""[0-9]+[a-f]?\."", """"))"),"Pour le Tabaski, votre ménage a-t-il acheté l'un des produits suivants ?")</f>
        <v>Pour le Tabaski, votre ménage a-t-il acheté l'un des produits suivants ?</v>
      </c>
      <c r="I1082" s="188" t="str">
        <f>IFERROR(__xludf.DUMMYFUNCTION("TRIM(REGEXREPLACE(E1082, ""[0-9]+[a-f]?\."", """"))"),"Shin ko kun san ko gidan ku ya karɓi bashi daga wani gida da ke cikin shirin TSARI ?")</f>
        <v>Shin ko kun san ko gidan ku ya karɓi bashi daga wani gida da ke cikin shirin TSARI ?</v>
      </c>
      <c r="J1082" s="188" t="s">
        <v>7711</v>
      </c>
      <c r="K1082" s="188" t="s">
        <v>7712</v>
      </c>
      <c r="L1082" s="188" t="s">
        <v>7713</v>
      </c>
    </row>
    <row r="1083">
      <c r="A1083" s="299" t="s">
        <v>2456</v>
      </c>
      <c r="B1083" s="300" t="s">
        <v>7714</v>
      </c>
      <c r="C1083" s="190" t="s">
        <v>7715</v>
      </c>
      <c r="D1083" s="190" t="s">
        <v>7716</v>
      </c>
      <c r="E1083" s="190" t="s">
        <v>7717</v>
      </c>
      <c r="F1083" s="195">
        <v>591.0</v>
      </c>
      <c r="G1083" s="188" t="str">
        <f>IFERROR(__xludf.DUMMYFUNCTION("TRIM(REGEXREPLACE(C1083, ""[0-9]+[a-f]?\."", """"))"),"Clothing")</f>
        <v>Clothing</v>
      </c>
      <c r="H1083" s="188" t="str">
        <f>IFERROR(__xludf.DUMMYFUNCTION("TRIM(REGEXREPLACE(D1083, ""[0-9]+[a-f]?\."", """"))"),"Vêtements")</f>
        <v>Vêtements</v>
      </c>
      <c r="I1083" s="188" t="str">
        <f>IFERROR(__xludf.DUMMYFUNCTION("TRIM(REGEXREPLACE(E1083, ""[0-9]+[a-f]?\."", """"))"),"Tufafi")</f>
        <v>Tufafi</v>
      </c>
      <c r="J1083" s="188" t="s">
        <v>7718</v>
      </c>
      <c r="K1083" s="188" t="s">
        <v>7720</v>
      </c>
      <c r="L1083" s="188" t="s">
        <v>7721</v>
      </c>
    </row>
    <row r="1084">
      <c r="A1084" s="299" t="s">
        <v>2456</v>
      </c>
      <c r="B1084" s="300" t="s">
        <v>7722</v>
      </c>
      <c r="C1084" s="190" t="s">
        <v>7723</v>
      </c>
      <c r="D1084" s="190" t="s">
        <v>7725</v>
      </c>
      <c r="E1084" s="190" t="s">
        <v>7726</v>
      </c>
      <c r="F1084" s="195">
        <v>592.0</v>
      </c>
      <c r="G1084" s="188" t="str">
        <f>IFERROR(__xludf.DUMMYFUNCTION("TRIM(REGEXREPLACE(C1084, ""[0-9]+[a-f]?\."", """"))"),"Sheep")</f>
        <v>Sheep</v>
      </c>
      <c r="H1084" s="188" t="str">
        <f>IFERROR(__xludf.DUMMYFUNCTION("TRIM(REGEXREPLACE(D1084, ""[0-9]+[a-f]?\."", """"))"),"Mouton")</f>
        <v>Mouton</v>
      </c>
      <c r="I1084" s="188" t="str">
        <f>IFERROR(__xludf.DUMMYFUNCTION("TRIM(REGEXREPLACE(E1084, ""[0-9]+[a-f]?\."", """"))"),"Rago")</f>
        <v>Rago</v>
      </c>
      <c r="J1084" s="188" t="s">
        <v>7727</v>
      </c>
      <c r="K1084" s="188" t="s">
        <v>7728</v>
      </c>
      <c r="L1084" s="188" t="s">
        <v>7729</v>
      </c>
    </row>
    <row r="1085">
      <c r="A1085" s="299" t="s">
        <v>2456</v>
      </c>
      <c r="B1085" s="300" t="s">
        <v>7730</v>
      </c>
      <c r="C1085" s="190" t="s">
        <v>7731</v>
      </c>
      <c r="D1085" s="190" t="s">
        <v>7732</v>
      </c>
      <c r="E1085" s="190" t="s">
        <v>7733</v>
      </c>
      <c r="F1085" s="195">
        <v>593.0</v>
      </c>
      <c r="G1085" s="188" t="str">
        <f>IFERROR(__xludf.DUMMYFUNCTION("TRIM(REGEXREPLACE(C1085, ""[0-9]+[a-f]?\."", """"))"),"Goat")</f>
        <v>Goat</v>
      </c>
      <c r="H1085" s="188" t="str">
        <f>IFERROR(__xludf.DUMMYFUNCTION("TRIM(REGEXREPLACE(D1085, ""[0-9]+[a-f]?\."", """"))"),"Chèvre")</f>
        <v>Chèvre</v>
      </c>
      <c r="I1085" s="188" t="str">
        <f>IFERROR(__xludf.DUMMYFUNCTION("TRIM(REGEXREPLACE(E1085, ""[0-9]+[a-f]?\."", """"))"),"Akuya")</f>
        <v>Akuya</v>
      </c>
      <c r="J1085" s="188" t="s">
        <v>7735</v>
      </c>
      <c r="K1085" s="188" t="s">
        <v>7736</v>
      </c>
      <c r="L1085" s="188" t="s">
        <v>7737</v>
      </c>
    </row>
    <row r="1086">
      <c r="A1086" s="299" t="s">
        <v>2456</v>
      </c>
      <c r="B1086" s="300" t="s">
        <v>7738</v>
      </c>
      <c r="C1086" s="190" t="s">
        <v>7739</v>
      </c>
      <c r="D1086" s="190" t="s">
        <v>7740</v>
      </c>
      <c r="E1086" s="190" t="s">
        <v>7741</v>
      </c>
      <c r="F1086" s="195">
        <v>594.0</v>
      </c>
      <c r="G1086" s="188" t="str">
        <f>IFERROR(__xludf.DUMMYFUNCTION("TRIM(REGEXREPLACE(C1086, ""[0-9]+[a-f]?\."", """"))"),"Poultry")</f>
        <v>Poultry</v>
      </c>
      <c r="H1086" s="188" t="str">
        <f>IFERROR(__xludf.DUMMYFUNCTION("TRIM(REGEXREPLACE(D1086, ""[0-9]+[a-f]?\."", """"))"),"Volaille")</f>
        <v>Volaille</v>
      </c>
      <c r="I1086" s="188" t="str">
        <f>IFERROR(__xludf.DUMMYFUNCTION("TRIM(REGEXREPLACE(E1086, ""[0-9]+[a-f]?\."", """"))"),"Kaji")</f>
        <v>Kaji</v>
      </c>
      <c r="J1086" s="188" t="s">
        <v>7743</v>
      </c>
      <c r="K1086" s="188" t="s">
        <v>7744</v>
      </c>
      <c r="L1086" s="188" t="s">
        <v>7745</v>
      </c>
    </row>
    <row r="1087" hidden="1">
      <c r="A1087" s="310" t="s">
        <v>331</v>
      </c>
      <c r="B1087" s="394" t="s">
        <v>7707</v>
      </c>
      <c r="C1087" s="190"/>
      <c r="D1087" s="190"/>
      <c r="E1087" s="190"/>
    </row>
    <row r="1088" hidden="1">
      <c r="A1088" s="310" t="s">
        <v>331</v>
      </c>
      <c r="B1088" s="315" t="s">
        <v>7671</v>
      </c>
      <c r="C1088" s="190"/>
      <c r="D1088" s="190"/>
      <c r="E1088" s="190"/>
    </row>
    <row r="1089" hidden="1">
      <c r="A1089" s="221" t="s">
        <v>256</v>
      </c>
      <c r="B1089" s="198" t="s">
        <v>7746</v>
      </c>
      <c r="C1089" s="190"/>
      <c r="D1089" s="190"/>
      <c r="E1089" s="190"/>
    </row>
    <row r="1090" hidden="1">
      <c r="A1090" s="221" t="s">
        <v>112</v>
      </c>
      <c r="B1090" s="198" t="s">
        <v>7747</v>
      </c>
      <c r="C1090" s="190"/>
      <c r="D1090" s="190"/>
      <c r="E1090" s="190"/>
    </row>
    <row r="1091" hidden="1">
      <c r="A1091" s="310" t="s">
        <v>331</v>
      </c>
      <c r="B1091" s="315" t="s">
        <v>5950</v>
      </c>
      <c r="C1091" s="190"/>
      <c r="D1091" s="190"/>
      <c r="E1091" s="190"/>
    </row>
    <row r="1092" hidden="1">
      <c r="A1092" s="310" t="s">
        <v>331</v>
      </c>
      <c r="B1092" s="315" t="s">
        <v>5187</v>
      </c>
      <c r="C1092" s="190" t="s">
        <v>5188</v>
      </c>
      <c r="D1092" s="190"/>
      <c r="E1092" s="190"/>
    </row>
    <row r="1093" hidden="1">
      <c r="A1093" s="221" t="s">
        <v>256</v>
      </c>
      <c r="B1093" s="198" t="s">
        <v>7748</v>
      </c>
      <c r="C1093" s="190"/>
      <c r="D1093" s="190"/>
      <c r="E1093" s="190"/>
    </row>
    <row r="1094" hidden="1">
      <c r="A1094" s="221" t="s">
        <v>112</v>
      </c>
      <c r="B1094" s="198" t="s">
        <v>7749</v>
      </c>
      <c r="C1094" s="190"/>
      <c r="D1094" s="190"/>
      <c r="E1094" s="190"/>
    </row>
    <row r="1095" hidden="1">
      <c r="A1095" s="292"/>
      <c r="B1095" s="292"/>
      <c r="C1095" s="190"/>
      <c r="D1095" s="190"/>
      <c r="E1095" s="190"/>
    </row>
    <row r="1096" hidden="1">
      <c r="A1096" s="395" t="s">
        <v>331</v>
      </c>
      <c r="B1096" s="395" t="s">
        <v>1691</v>
      </c>
      <c r="C1096" s="190"/>
      <c r="D1096" s="190"/>
      <c r="E1096" s="190"/>
    </row>
    <row r="1097" hidden="1">
      <c r="A1097" s="292"/>
      <c r="B1097" s="292"/>
      <c r="C1097" s="190"/>
      <c r="D1097" s="190"/>
      <c r="E1097" s="190"/>
    </row>
    <row r="1098" hidden="1">
      <c r="A1098" s="141" t="s">
        <v>278</v>
      </c>
      <c r="B1098" s="142" t="s">
        <v>7750</v>
      </c>
      <c r="C1098" s="190" t="s">
        <v>7751</v>
      </c>
      <c r="D1098" s="190" t="s">
        <v>7752</v>
      </c>
      <c r="E1098" s="190" t="s">
        <v>7753</v>
      </c>
    </row>
    <row r="1099">
      <c r="A1099" s="128" t="s">
        <v>46</v>
      </c>
      <c r="B1099" s="129" t="s">
        <v>7754</v>
      </c>
      <c r="C1099" s="190" t="s">
        <v>7755</v>
      </c>
      <c r="D1099" s="190" t="s">
        <v>7756</v>
      </c>
      <c r="E1099" s="190" t="s">
        <v>7757</v>
      </c>
      <c r="F1099" s="195">
        <v>595.0</v>
      </c>
      <c r="G1099" s="188" t="str">
        <f>IFERROR(__xludf.DUMMYFUNCTION("TRIM(REGEXREPLACE(C1099, ""[0-9]+[a-f]?\."", """"))"),"As I mentioned at the beginning of our interview, we would like to stay in touch with you.")</f>
        <v>As I mentioned at the beginning of our interview, we would like to stay in touch with you.</v>
      </c>
      <c r="H1099" s="188" t="str">
        <f>IFERROR(__xludf.DUMMYFUNCTION("TRIM(REGEXREPLACE(D1099, ""[0-9]+[a-f]?\."", """"))"),"Comme je l'ai mentionné au début de notre entretien, nous aimerions rester en contact avec vous.")</f>
        <v>Comme je l'ai mentionné au début de notre entretien, nous aimerions rester en contact avec vous.</v>
      </c>
      <c r="I1099" s="188" t="str">
        <f>IFERROR(__xludf.DUMMYFUNCTION("TRIM(REGEXREPLACE(E1099, ""[0-9]+[a-f]?\."", """"))"),"Kamar yadda na faɗa a farkon hirarmu, muna son mu ci gaba da tuntuɓar ku.")</f>
        <v>Kamar yadda na faɗa a farkon hirarmu, muna son mu ci gaba da tuntuɓar ku.</v>
      </c>
      <c r="J1099" s="188" t="s">
        <v>7758</v>
      </c>
      <c r="K1099" s="188" t="s">
        <v>7759</v>
      </c>
      <c r="L1099" s="188" t="s">
        <v>7760</v>
      </c>
    </row>
    <row r="1100">
      <c r="A1100" s="219" t="s">
        <v>220</v>
      </c>
      <c r="B1100" s="295" t="s">
        <v>7761</v>
      </c>
      <c r="C1100" s="190" t="s">
        <v>7762</v>
      </c>
      <c r="D1100" s="190" t="s">
        <v>7763</v>
      </c>
      <c r="E1100" s="190" t="s">
        <v>7764</v>
      </c>
      <c r="F1100" s="195">
        <v>596.0</v>
      </c>
      <c r="G1100" s="188" t="str">
        <f>IFERROR(__xludf.DUMMYFUNCTION("TRIM(REGEXREPLACE(C1100, ""[0-9]+[a-f]?\."", """"))"),"What is the phone number where we can reach you?")</f>
        <v>What is the phone number where we can reach you?</v>
      </c>
      <c r="H1100" s="188" t="str">
        <f>IFERROR(__xludf.DUMMYFUNCTION("TRIM(REGEXREPLACE(D1100, ""[0-9]+[a-f]?\."", """"))"),"Quel est le numéro de téléphone auquel nous pouvons vous joindre?")</f>
        <v>Quel est le numéro de téléphone auquel nous pouvons vous joindre?</v>
      </c>
      <c r="I1100" s="188" t="str">
        <f>IFERROR(__xludf.DUMMYFUNCTION("TRIM(REGEXREPLACE(E1100, ""[0-9]+[a-f]?\."", """"))"),"Wace lambar waya ce zamu iya samun ku da ita?")</f>
        <v>Wace lambar waya ce zamu iya samun ku da ita?</v>
      </c>
      <c r="J1100" s="188" t="s">
        <v>7765</v>
      </c>
      <c r="K1100" s="188" t="s">
        <v>7766</v>
      </c>
      <c r="L1100" s="188" t="s">
        <v>7767</v>
      </c>
    </row>
    <row r="1101">
      <c r="A1101" s="145" t="s">
        <v>1060</v>
      </c>
      <c r="B1101" s="146" t="s">
        <v>7768</v>
      </c>
      <c r="C1101" s="190" t="s">
        <v>7769</v>
      </c>
      <c r="D1101" s="190" t="s">
        <v>7770</v>
      </c>
      <c r="E1101" s="190" t="s">
        <v>7771</v>
      </c>
      <c r="F1101" s="195">
        <v>597.0</v>
      </c>
      <c r="G1101" s="188" t="str">
        <f>IFERROR(__xludf.DUMMYFUNCTION("TRIM(REGEXREPLACE(C1101, ""[0-9]+[a-f]?\."", """"))"),"I am going to read back the phone number you just shared with me. Can you confirm this is your primary phone number? ${primary_phone}")</f>
        <v>I am going to read back the phone number you just shared with me. Can you confirm this is your primary phone number? ${primary_phone}</v>
      </c>
      <c r="H1101" s="188" t="str">
        <f>IFERROR(__xludf.DUMMYFUNCTION("TRIM(REGEXREPLACE(D1101,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1101" s="188" t="str">
        <f>IFERROR(__xludf.DUMMYFUNCTION("TRIM(REGEXREPLACE(E1101, ""[0-9]+[a-f]?\."", """"))"),"Zan sake karanta lambar wayar da kuka bani. Zaku iya tabbatar mini da wannan itace lambar wayarku ta farko? ${primary_phone}")</f>
        <v>Zan sake karanta lambar wayar da kuka bani. Zaku iya tabbatar mini da wannan itace lambar wayarku ta farko? ${primary_phone}</v>
      </c>
      <c r="J1101" s="188" t="s">
        <v>7772</v>
      </c>
      <c r="K1101" s="188" t="s">
        <v>7773</v>
      </c>
      <c r="L1101" s="188" t="s">
        <v>7774</v>
      </c>
    </row>
    <row r="1102">
      <c r="A1102" s="128" t="s">
        <v>46</v>
      </c>
      <c r="B1102" s="129" t="s">
        <v>7775</v>
      </c>
      <c r="C1102" s="190" t="s">
        <v>7776</v>
      </c>
      <c r="D1102" s="190" t="s">
        <v>7777</v>
      </c>
      <c r="E1102" s="190" t="s">
        <v>7778</v>
      </c>
      <c r="F1102" s="195">
        <v>598.0</v>
      </c>
      <c r="G1102" s="188" t="str">
        <f>IFERROR(__xludf.DUMMYFUNCTION("TRIM(REGEXREPLACE(C1102, ""[0-9]+[a-f]?\."", """"))"),"Please go back and correct the number.")</f>
        <v>Please go back and correct the number.</v>
      </c>
      <c r="H1102" s="188" t="str">
        <f>IFERROR(__xludf.DUMMYFUNCTION("TRIM(REGEXREPLACE(D1102, ""[0-9]+[a-f]?\."", """"))"),"Veuillez revenir en arrière pour corriger le numéro.")</f>
        <v>Veuillez revenir en arrière pour corriger le numéro.</v>
      </c>
      <c r="I1102" s="188" t="str">
        <f>IFERROR(__xludf.DUMMYFUNCTION("TRIM(REGEXREPLACE(E1102, ""[0-9]+[a-f]?\."", """"))"),"ko za ka koma baya ka gyara lambar.")</f>
        <v>ko za ka koma baya ka gyara lambar.</v>
      </c>
      <c r="J1102" s="188" t="s">
        <v>7779</v>
      </c>
      <c r="K1102" s="188" t="s">
        <v>7780</v>
      </c>
      <c r="L1102" s="188" t="s">
        <v>7781</v>
      </c>
    </row>
    <row r="1103">
      <c r="A1103" s="145" t="s">
        <v>7782</v>
      </c>
      <c r="B1103" s="146" t="s">
        <v>7783</v>
      </c>
      <c r="C1103" s="190" t="s">
        <v>7784</v>
      </c>
      <c r="D1103" s="190" t="s">
        <v>7785</v>
      </c>
      <c r="E1103" s="190" t="s">
        <v>7786</v>
      </c>
      <c r="F1103" s="195">
        <v>599.0</v>
      </c>
      <c r="G1103" s="188" t="str">
        <f>IFERROR(__xludf.DUMMYFUNCTION("TRIM(REGEXREPLACE(C1103, ""[0-9]+[a-f]?\."", """"))"),"I am going to call this phone number to confirm it is correct.")</f>
        <v>I am going to call this phone number to confirm it is correct.</v>
      </c>
      <c r="H1103" s="188" t="str">
        <f>IFERROR(__xludf.DUMMYFUNCTION("TRIM(REGEXREPLACE(D1103, ""[0-9]+[a-f]?\."", """"))"),"Je vais appeler ce numéro de téléphone pour confirmer qu'il est correct.")</f>
        <v>Je vais appeler ce numéro de téléphone pour confirmer qu'il est correct.</v>
      </c>
      <c r="I1103" s="188" t="str">
        <f>IFERROR(__xludf.DUMMYFUNCTION("TRIM(REGEXREPLACE(E1103, ""[0-9]+[a-f]?\."", """"))"),"Zan kirayi wannan lambar don tabbatar da cewa daidai ce.")</f>
        <v>Zan kirayi wannan lambar don tabbatar da cewa daidai ce.</v>
      </c>
      <c r="J1103" s="188" t="s">
        <v>7787</v>
      </c>
      <c r="K1103" s="188" t="s">
        <v>7788</v>
      </c>
      <c r="L1103" s="188" t="s">
        <v>7789</v>
      </c>
    </row>
    <row r="1104">
      <c r="A1104" s="128" t="s">
        <v>46</v>
      </c>
      <c r="B1104" s="129" t="s">
        <v>7790</v>
      </c>
      <c r="C1104" s="190" t="s">
        <v>7791</v>
      </c>
      <c r="D1104" s="190" t="s">
        <v>7792</v>
      </c>
      <c r="E1104" s="190" t="s">
        <v>7793</v>
      </c>
      <c r="F1104" s="195">
        <v>600.0</v>
      </c>
      <c r="G1104" s="188" t="str">
        <f>IFERROR(__xludf.DUMMYFUNCTION("TRIM(REGEXREPLACE(C1104, ""[0-9]+[a-f]?\."", """"))"),"Please go back and enter a new phone number.")</f>
        <v>Please go back and enter a new phone number.</v>
      </c>
      <c r="H1104" s="188" t="str">
        <f>IFERROR(__xludf.DUMMYFUNCTION("TRIM(REGEXREPLACE(D1104, ""[0-9]+[a-f]?\."", """"))"),"Veuillez revenir en arrière pour entrer un nouveau numéro de téléphone.")</f>
        <v>Veuillez revenir en arrière pour entrer un nouveau numéro de téléphone.</v>
      </c>
      <c r="I1104" s="188" t="str">
        <f>IFERROR(__xludf.DUMMYFUNCTION("TRIM(REGEXREPLACE(E1104, ""[0-9]+[a-f]?\."", """"))"),"Ko za ka koma baya ka shigar da sabuwar lambar waya.")</f>
        <v>Ko za ka koma baya ka shigar da sabuwar lambar waya.</v>
      </c>
      <c r="J1104" s="188" t="s">
        <v>7794</v>
      </c>
      <c r="K1104" s="188" t="s">
        <v>7795</v>
      </c>
      <c r="L1104" s="188" t="s">
        <v>7796</v>
      </c>
    </row>
    <row r="1105">
      <c r="A1105" s="145" t="s">
        <v>1060</v>
      </c>
      <c r="B1105" s="146" t="s">
        <v>7797</v>
      </c>
      <c r="C1105" s="190" t="s">
        <v>7798</v>
      </c>
      <c r="D1105" s="190" t="s">
        <v>7799</v>
      </c>
      <c r="E1105" s="190" t="s">
        <v>7800</v>
      </c>
      <c r="F1105" s="195">
        <v>601.0</v>
      </c>
      <c r="G1105" s="188" t="str">
        <f>IFERROR(__xludf.DUMMYFUNCTION("TRIM(REGEXREPLACE(C1105, ""[0-9]+[a-f]?\."", """"))"),"Do you have a Whatsapp account/ phone number you use for WhatsApp?")</f>
        <v>Do you have a Whatsapp account/ phone number you use for WhatsApp?</v>
      </c>
      <c r="H1105" s="188" t="str">
        <f>IFERROR(__xludf.DUMMYFUNCTION("TRIM(REGEXREPLACE(D1105, ""[0-9]+[a-f]?\."", """"))"),"Avez-vous un compte/numéro de téléphone Whatsapp que vous utilisez pour WhatsApp ?")</f>
        <v>Avez-vous un compte/numéro de téléphone Whatsapp que vous utilisez pour WhatsApp ?</v>
      </c>
      <c r="I1105" s="188" t="str">
        <f>IFERROR(__xludf.DUMMYFUNCTION("TRIM(REGEXREPLACE(E1105, ""[0-9]+[a-f]?\."", """"))"),"Kuna yin WhatsApp / lambar wayar da kuke amfani da ita ta WhatsApp ce?")</f>
        <v>Kuna yin WhatsApp / lambar wayar da kuke amfani da ita ta WhatsApp ce?</v>
      </c>
      <c r="J1105" s="188" t="s">
        <v>7802</v>
      </c>
      <c r="K1105" s="188" t="s">
        <v>7803</v>
      </c>
      <c r="L1105" s="188" t="s">
        <v>7804</v>
      </c>
    </row>
    <row r="1106">
      <c r="A1106" s="145" t="s">
        <v>1060</v>
      </c>
      <c r="B1106" s="146" t="s">
        <v>7805</v>
      </c>
      <c r="C1106" s="190" t="s">
        <v>7806</v>
      </c>
      <c r="D1106" s="190" t="s">
        <v>7807</v>
      </c>
      <c r="E1106" s="190" t="s">
        <v>7808</v>
      </c>
      <c r="F1106" s="195">
        <v>602.0</v>
      </c>
      <c r="G1106" s="188" t="str">
        <f>IFERROR(__xludf.DUMMYFUNCTION("TRIM(REGEXREPLACE(C1106, ""[0-9]+[a-f]?\."", """"))"),"Is this the phone number you use for whatsapp?")</f>
        <v>Is this the phone number you use for whatsapp?</v>
      </c>
      <c r="H1106" s="188" t="str">
        <f>IFERROR(__xludf.DUMMYFUNCTION("TRIM(REGEXREPLACE(D1106, ""[0-9]+[a-f]?\."", """"))"),"Est-ce le numéro de téléphone que vous utilisez pour WhatsApp ?")</f>
        <v>Est-ce le numéro de téléphone que vous utilisez pour WhatsApp ?</v>
      </c>
      <c r="I1106" s="188" t="str">
        <f>IFERROR(__xludf.DUMMYFUNCTION("TRIM(REGEXREPLACE(E1106, ""[0-9]+[a-f]?\."", """"))"),"Wannan ita ce lambar wayar da kuke amfani da ita don yin whatsapp?")</f>
        <v>Wannan ita ce lambar wayar da kuke amfani da ita don yin whatsapp?</v>
      </c>
      <c r="J1106" s="188" t="s">
        <v>7809</v>
      </c>
      <c r="K1106" s="188" t="s">
        <v>7810</v>
      </c>
      <c r="L1106" s="188" t="s">
        <v>7811</v>
      </c>
    </row>
    <row r="1107">
      <c r="A1107" s="219" t="s">
        <v>220</v>
      </c>
      <c r="B1107" s="295" t="s">
        <v>7812</v>
      </c>
      <c r="C1107" s="190" t="s">
        <v>7813</v>
      </c>
      <c r="D1107" s="190" t="s">
        <v>7814</v>
      </c>
      <c r="E1107" s="190" t="s">
        <v>7815</v>
      </c>
      <c r="F1107" s="195">
        <v>603.0</v>
      </c>
      <c r="G1107" s="188" t="str">
        <f>IFERROR(__xludf.DUMMYFUNCTION("TRIM(REGEXREPLACE(C1107, ""[0-9]+[a-f]?\."", """"))"),"Please tell me the phone number you use for Whatsapp")</f>
        <v>Please tell me the phone number you use for Whatsapp</v>
      </c>
      <c r="H1107" s="188" t="str">
        <f>IFERROR(__xludf.DUMMYFUNCTION("TRIM(REGEXREPLACE(D1107, ""[0-9]+[a-f]?\."", """"))"),"Veuillez me dire le numéro de téléphone que vous utilisez pour Whatsapp")</f>
        <v>Veuillez me dire le numéro de téléphone que vous utilisez pour Whatsapp</v>
      </c>
      <c r="I1107" s="188" t="str">
        <f>IFERROR(__xludf.DUMMYFUNCTION("TRIM(REGEXREPLACE(E1107, ""[0-9]+[a-f]?\."", """"))"),"Don Allah ku gaya mini lambar wayar da kuke amfani da ita don yin Whatsapp")</f>
        <v>Don Allah ku gaya mini lambar wayar da kuke amfani da ita don yin Whatsapp</v>
      </c>
      <c r="J1107" s="188" t="s">
        <v>7816</v>
      </c>
      <c r="K1107" s="188" t="s">
        <v>7817</v>
      </c>
      <c r="L1107" s="188" t="s">
        <v>7818</v>
      </c>
    </row>
    <row r="1108">
      <c r="A1108" s="145" t="s">
        <v>1060</v>
      </c>
      <c r="B1108" s="146" t="s">
        <v>7819</v>
      </c>
      <c r="C1108" s="190" t="s">
        <v>7820</v>
      </c>
      <c r="D1108" s="190" t="s">
        <v>7821</v>
      </c>
      <c r="E1108" s="190" t="s">
        <v>7822</v>
      </c>
      <c r="F1108" s="195">
        <v>604.0</v>
      </c>
      <c r="G1108" s="188" t="str">
        <f>IFERROR(__xludf.DUMMYFUNCTION("TRIM(REGEXREPLACE(C1108,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1108" s="188" t="str">
        <f>IFERROR(__xludf.DUMMYFUNCTION("TRIM(REGEXREPLACE(D1108,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1108" s="188" t="str">
        <f>IFERROR(__xludf.DUMMYFUNCTION("TRIM(REGEXREPLACE(E1108,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1108" s="188" t="s">
        <v>7823</v>
      </c>
      <c r="K1108" s="188" t="s">
        <v>7824</v>
      </c>
      <c r="L1108" s="188" t="s">
        <v>7825</v>
      </c>
    </row>
    <row r="1109">
      <c r="A1109" s="128" t="s">
        <v>46</v>
      </c>
      <c r="B1109" s="129" t="s">
        <v>7826</v>
      </c>
      <c r="C1109" s="190" t="s">
        <v>7827</v>
      </c>
      <c r="D1109" s="190" t="s">
        <v>7828</v>
      </c>
      <c r="E1109" s="190" t="s">
        <v>7829</v>
      </c>
      <c r="F1109" s="195">
        <v>605.0</v>
      </c>
      <c r="G1109" s="188" t="str">
        <f>IFERROR(__xludf.DUMMYFUNCTION("TRIM(REGEXREPLACE(C1109, ""[0-9]+[a-f]?\."", """"))"),"Please go back and correct the number.")</f>
        <v>Please go back and correct the number.</v>
      </c>
      <c r="H1109" s="188" t="str">
        <f>IFERROR(__xludf.DUMMYFUNCTION("TRIM(REGEXREPLACE(D1109, ""[0-9]+[a-f]?\."", """"))"),"Veuillez revenir en arrière pour corriger le numéro.")</f>
        <v>Veuillez revenir en arrière pour corriger le numéro.</v>
      </c>
      <c r="I1109" s="188" t="str">
        <f>IFERROR(__xludf.DUMMYFUNCTION("TRIM(REGEXREPLACE(E1109, ""[0-9]+[a-f]?\."", """"))"),"Da fatan za ka koma baya ka gyara lambar.")</f>
        <v>Da fatan za ka koma baya ka gyara lambar.</v>
      </c>
      <c r="J1109" s="188" t="s">
        <v>7830</v>
      </c>
      <c r="K1109" s="188" t="s">
        <v>7831</v>
      </c>
      <c r="L1109" s="188" t="s">
        <v>7832</v>
      </c>
    </row>
    <row r="1110">
      <c r="A1110" s="145" t="s">
        <v>1060</v>
      </c>
      <c r="B1110" s="146" t="s">
        <v>7833</v>
      </c>
      <c r="C1110" s="190" t="s">
        <v>7834</v>
      </c>
      <c r="D1110" s="190" t="s">
        <v>7835</v>
      </c>
      <c r="E1110" s="190" t="s">
        <v>7836</v>
      </c>
      <c r="F1110" s="195">
        <v>606.0</v>
      </c>
      <c r="G1110" s="188" t="str">
        <f>IFERROR(__xludf.DUMMYFUNCTION("TRIM(REGEXREPLACE(C1110, ""[0-9]+[a-f]?\."", """"))"),"Do you have other phone numbers that you use regularly (i.e. other phone carriers)?")</f>
        <v>Do you have other phone numbers that you use regularly (i.e. other phone carriers)?</v>
      </c>
      <c r="H1110" s="188" t="str">
        <f>IFERROR(__xludf.DUMMYFUNCTION("TRIM(REGEXREPLACE(D1110, ""[0-9]+[a-f]?\."", """"))"),"Avez-vous d'autres numéros de téléphone que vous utilisez régulièrement (c'est-à-dire d'autres opérateurs téléphoniques) ?")</f>
        <v>Avez-vous d'autres numéros de téléphone que vous utilisez régulièrement (c'est-à-dire d'autres opérateurs téléphoniques) ?</v>
      </c>
      <c r="I1110" s="188" t="str">
        <f>IFERROR(__xludf.DUMMYFUNCTION("TRIM(REGEXREPLACE(E1110, ""[0-9]+[a-f]?\."", """"))"),"Ko kuna da wasu lambobin waya waɗanda kuke amfani da su kai-akai (layin wasu gidan wayar salula)?")</f>
        <v>Ko kuna da wasu lambobin waya waɗanda kuke amfani da su kai-akai (layin wasu gidan wayar salula)?</v>
      </c>
      <c r="J1110" s="188" t="s">
        <v>7837</v>
      </c>
      <c r="K1110" s="188" t="s">
        <v>7838</v>
      </c>
      <c r="L1110" s="188" t="s">
        <v>7839</v>
      </c>
    </row>
    <row r="1111">
      <c r="A1111" s="303" t="s">
        <v>247</v>
      </c>
      <c r="B1111" s="304" t="s">
        <v>7840</v>
      </c>
      <c r="C1111" s="190" t="s">
        <v>7841</v>
      </c>
      <c r="D1111" s="190" t="s">
        <v>7842</v>
      </c>
      <c r="E1111" s="190" t="s">
        <v>7843</v>
      </c>
      <c r="F1111" s="195">
        <v>607.0</v>
      </c>
      <c r="G1111" s="188" t="str">
        <f>IFERROR(__xludf.DUMMYFUNCTION("TRIM(REGEXREPLACE(C1111, ""[0-9]+[a-f]?\."", """"))"),"How many other additional phone numbers?")</f>
        <v>How many other additional phone numbers?</v>
      </c>
      <c r="H1111" s="188" t="str">
        <f>IFERROR(__xludf.DUMMYFUNCTION("TRIM(REGEXREPLACE(D1111, ""[0-9]+[a-f]?\."", """"))"),"Y-a t-il d'autres numéros de téléphone supplémentaires ?")</f>
        <v>Y-a t-il d'autres numéros de téléphone supplémentaires ?</v>
      </c>
      <c r="I1111" s="188" t="str">
        <f>IFERROR(__xludf.DUMMYFUNCTION("TRIM(REGEXREPLACE(E1111, ""[0-9]+[a-f]?\."", """"))"),"220 a. Ko akwai ƙarin wasu lambobin waya?")</f>
        <v>220 a. Ko akwai ƙarin wasu lambobin waya?</v>
      </c>
      <c r="J1111" s="188" t="s">
        <v>7844</v>
      </c>
      <c r="K1111" s="188" t="s">
        <v>7845</v>
      </c>
      <c r="L1111" s="188" t="s">
        <v>7846</v>
      </c>
    </row>
    <row r="1112" hidden="1">
      <c r="A1112" s="396" t="s">
        <v>385</v>
      </c>
      <c r="B1112" s="274" t="s">
        <v>7847</v>
      </c>
      <c r="C1112" s="190" t="s">
        <v>7848</v>
      </c>
      <c r="D1112" s="190"/>
      <c r="E1112" s="190"/>
    </row>
    <row r="1113">
      <c r="A1113" s="219" t="s">
        <v>220</v>
      </c>
      <c r="B1113" s="295" t="s">
        <v>7849</v>
      </c>
      <c r="C1113" s="190" t="s">
        <v>7850</v>
      </c>
      <c r="D1113" s="190" t="s">
        <v>7851</v>
      </c>
      <c r="E1113" s="190" t="s">
        <v>7852</v>
      </c>
      <c r="F1113" s="195">
        <v>608.0</v>
      </c>
      <c r="G1113" s="188" t="str">
        <f>IFERROR(__xludf.DUMMYFUNCTION("TRIM(REGEXREPLACE(C1113, ""[0-9]+[a-f]?\."", """"))"),"What are these additional phone numbers?")</f>
        <v>What are these additional phone numbers?</v>
      </c>
      <c r="H1113" s="188" t="str">
        <f>IFERROR(__xludf.DUMMYFUNCTION("TRIM(REGEXREPLACE(D1113, ""[0-9]+[a-f]?\."", """"))"),"Quels sont les numéros de téléphone supplémentaires ?")</f>
        <v>Quels sont les numéros de téléphone supplémentaires ?</v>
      </c>
      <c r="I1113" s="188" t="str">
        <f>IFERROR(__xludf.DUMMYFUNCTION("TRIM(REGEXREPLACE(E1113, ""[0-9]+[a-f]?\."", """"))"),"Waɗannene ƙarin lambobin wayan?")</f>
        <v>Waɗannene ƙarin lambobin wayan?</v>
      </c>
      <c r="J1113" s="188" t="s">
        <v>7853</v>
      </c>
      <c r="K1113" s="188" t="s">
        <v>7854</v>
      </c>
      <c r="L1113" s="188" t="s">
        <v>7855</v>
      </c>
    </row>
    <row r="1114" hidden="1">
      <c r="A1114" s="396" t="s">
        <v>450</v>
      </c>
      <c r="B1114" s="396" t="s">
        <v>7847</v>
      </c>
      <c r="C1114" s="190" t="s">
        <v>7848</v>
      </c>
      <c r="D1114" s="190"/>
      <c r="E1114" s="190"/>
    </row>
    <row r="1115">
      <c r="A1115" s="145" t="s">
        <v>1060</v>
      </c>
      <c r="B1115" s="146" t="s">
        <v>7856</v>
      </c>
      <c r="C1115" s="190" t="s">
        <v>7857</v>
      </c>
      <c r="D1115" s="190" t="s">
        <v>7858</v>
      </c>
      <c r="E1115" s="190" t="s">
        <v>7859</v>
      </c>
      <c r="F1115" s="195">
        <v>609.0</v>
      </c>
      <c r="G1115" s="188" t="str">
        <f>IFERROR(__xludf.DUMMYFUNCTION("TRIM(REGEXREPLACE(C1115,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1115" s="188" t="str">
        <f>IFERROR(__xludf.DUMMYFUNCTION("TRIM(REGEXREPLACE(D1115,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1115" s="188" t="str">
        <f>IFERROR(__xludf.DUMMYFUNCTION("TRIM(REGEXREPLACE(E1115,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1115" s="188" t="s">
        <v>7860</v>
      </c>
      <c r="K1115" s="188" t="s">
        <v>7861</v>
      </c>
      <c r="L1115" s="188" t="s">
        <v>7862</v>
      </c>
    </row>
    <row r="1116" hidden="1">
      <c r="A1116" s="141" t="s">
        <v>278</v>
      </c>
      <c r="B1116" s="142" t="s">
        <v>7863</v>
      </c>
      <c r="C1116" s="190" t="s">
        <v>7864</v>
      </c>
      <c r="D1116" s="190"/>
      <c r="E1116" s="190"/>
    </row>
    <row r="1117">
      <c r="A1117" s="219" t="s">
        <v>220</v>
      </c>
      <c r="B1117" s="295" t="s">
        <v>7865</v>
      </c>
      <c r="C1117" s="190" t="s">
        <v>7866</v>
      </c>
      <c r="D1117" s="190" t="s">
        <v>7867</v>
      </c>
      <c r="E1117" s="190" t="s">
        <v>7868</v>
      </c>
      <c r="F1117" s="195">
        <v>610.0</v>
      </c>
      <c r="G1117" s="188" t="str">
        <f>IFERROR(__xludf.DUMMYFUNCTION("TRIM(REGEXREPLACE(C1117, ""[0-9]+[a-f]?\."", """"))"),"What is the last name of this person")</f>
        <v>What is the last name of this person</v>
      </c>
      <c r="H1117" s="188" t="str">
        <f>IFERROR(__xludf.DUMMYFUNCTION("TRIM(REGEXREPLACE(D1117, ""[0-9]+[a-f]?\."", """"))"),"Quel est le nom de cette personne")</f>
        <v>Quel est le nom de cette personne</v>
      </c>
      <c r="I1117" s="188" t="str">
        <f>IFERROR(__xludf.DUMMYFUNCTION("TRIM(REGEXREPLACE(E1117, ""[0-9]+[a-f]?\."", """"))"),"Menene sunan uban wannan mutumen?")</f>
        <v>Menene sunan uban wannan mutumen?</v>
      </c>
      <c r="J1117" s="188" t="s">
        <v>7869</v>
      </c>
      <c r="K1117" s="188" t="s">
        <v>7870</v>
      </c>
      <c r="L1117" s="188" t="s">
        <v>7871</v>
      </c>
    </row>
    <row r="1118">
      <c r="A1118" s="219" t="s">
        <v>220</v>
      </c>
      <c r="B1118" s="295" t="s">
        <v>7872</v>
      </c>
      <c r="C1118" s="190" t="s">
        <v>7873</v>
      </c>
      <c r="D1118" s="190" t="s">
        <v>7874</v>
      </c>
      <c r="E1118" s="190" t="s">
        <v>7875</v>
      </c>
      <c r="F1118" s="195">
        <v>611.0</v>
      </c>
      <c r="G1118" s="188" t="str">
        <f>IFERROR(__xludf.DUMMYFUNCTION("TRIM(REGEXREPLACE(C1118, ""[0-9]+[a-f]?\."", """"))"),"What is the first name of this person")</f>
        <v>What is the first name of this person</v>
      </c>
      <c r="H1118" s="188" t="str">
        <f>IFERROR(__xludf.DUMMYFUNCTION("TRIM(REGEXREPLACE(D1118, ""[0-9]+[a-f]?\."", """"))"),"Quel est le prénom de cette personne")</f>
        <v>Quel est le prénom de cette personne</v>
      </c>
      <c r="I1118" s="188" t="str">
        <f>IFERROR(__xludf.DUMMYFUNCTION("TRIM(REGEXREPLACE(E1118, ""[0-9]+[a-f]?\."", """"))"),"Menene sunan wannan mutumen?")</f>
        <v>Menene sunan wannan mutumen?</v>
      </c>
      <c r="J1118" s="188" t="s">
        <v>7876</v>
      </c>
      <c r="K1118" s="188" t="s">
        <v>7877</v>
      </c>
      <c r="L1118" s="188" t="s">
        <v>7878</v>
      </c>
    </row>
    <row r="1119" hidden="1">
      <c r="A1119" s="141" t="s">
        <v>331</v>
      </c>
      <c r="B1119" s="141" t="s">
        <v>7863</v>
      </c>
      <c r="C1119" s="190" t="s">
        <v>7864</v>
      </c>
      <c r="D1119" s="190"/>
      <c r="E1119" s="190"/>
    </row>
    <row r="1120" hidden="1">
      <c r="A1120" s="66" t="s">
        <v>112</v>
      </c>
      <c r="B1120" s="67" t="s">
        <v>7879</v>
      </c>
      <c r="C1120" s="190"/>
      <c r="D1120" s="190"/>
      <c r="E1120" s="190"/>
    </row>
    <row r="1121">
      <c r="A1121" s="219" t="s">
        <v>220</v>
      </c>
      <c r="B1121" s="295" t="s">
        <v>7881</v>
      </c>
      <c r="C1121" s="190" t="s">
        <v>7882</v>
      </c>
      <c r="D1121" s="190" t="s">
        <v>7883</v>
      </c>
      <c r="E1121" s="190" t="s">
        <v>7884</v>
      </c>
      <c r="F1121" s="195">
        <v>612.0</v>
      </c>
      <c r="G1121" s="188" t="str">
        <f>IFERROR(__xludf.DUMMYFUNCTION("TRIM(REGEXREPLACE(C1121, ""[0-9]+[a-f]?\."", """"))"),"What is their phone number?")</f>
        <v>What is their phone number?</v>
      </c>
      <c r="H1121" s="188" t="str">
        <f>IFERROR(__xludf.DUMMYFUNCTION("TRIM(REGEXREPLACE(D1121, ""[0-9]+[a-f]?\."", """"))"),"Quel est leur numéro de téléphone?")</f>
        <v>Quel est leur numéro de téléphone?</v>
      </c>
      <c r="I1121" s="188" t="str">
        <f>IFERROR(__xludf.DUMMYFUNCTION("TRIM(REGEXREPLACE(E1121, ""[0-9]+[a-f]?\."", """"))"),"Menene lambar wayarsu?")</f>
        <v>Menene lambar wayarsu?</v>
      </c>
      <c r="J1121" s="188" t="s">
        <v>7885</v>
      </c>
      <c r="K1121" s="188" t="s">
        <v>7886</v>
      </c>
      <c r="L1121" s="188" t="s">
        <v>7887</v>
      </c>
    </row>
    <row r="1122">
      <c r="A1122" s="145" t="s">
        <v>4572</v>
      </c>
      <c r="B1122" s="146" t="s">
        <v>7888</v>
      </c>
      <c r="C1122" s="190" t="s">
        <v>7889</v>
      </c>
      <c r="D1122" s="190" t="s">
        <v>7890</v>
      </c>
      <c r="E1122" s="190" t="s">
        <v>7891</v>
      </c>
      <c r="F1122" s="195">
        <v>613.0</v>
      </c>
      <c r="G1122" s="188" t="str">
        <f>IFERROR(__xludf.DUMMYFUNCTION("TRIM(REGEXREPLACE(C1122, ""[0-9]+[a-f]?\."", """"))"),"What is ${secondary_name1}'s relationship to you?")</f>
        <v>What is ${secondary_name1}'s relationship to you?</v>
      </c>
      <c r="H1122" s="188" t="str">
        <f>IFERROR(__xludf.DUMMYFUNCTION("TRIM(REGEXREPLACE(D1122, ""[0-9]+[a-f]?\."", """"))"),"Quelle est la relation entre ${secondary_name1} et vous ?")</f>
        <v>Quelle est la relation entre ${secondary_name1} et vous ?</v>
      </c>
      <c r="I1122" s="188" t="str">
        <f>IFERROR(__xludf.DUMMYFUNCTION("TRIM(REGEXREPLACE(E1122, ""[0-9]+[a-f]?\."", """"))"),"Menene alaƙar ku da ${secondary_name1} ?")</f>
        <v>Menene alaƙar ku da ${secondary_name1} ?</v>
      </c>
      <c r="J1122" s="188" t="s">
        <v>7892</v>
      </c>
      <c r="K1122" s="188" t="s">
        <v>7893</v>
      </c>
      <c r="L1122" s="188" t="s">
        <v>7894</v>
      </c>
    </row>
    <row r="1123">
      <c r="A1123" s="145" t="s">
        <v>1060</v>
      </c>
      <c r="B1123" s="146" t="s">
        <v>7895</v>
      </c>
      <c r="C1123" s="190" t="s">
        <v>7896</v>
      </c>
      <c r="D1123" s="190" t="s">
        <v>7897</v>
      </c>
      <c r="E1123" s="190" t="s">
        <v>7898</v>
      </c>
      <c r="F1123" s="195">
        <v>614.0</v>
      </c>
      <c r="G1123" s="188" t="str">
        <f>IFERROR(__xludf.DUMMYFUNCTION("TRIM(REGEXREPLACE(C1123, ""[0-9]+[a-f]?\."", """"))"),"Just to confirm, is this the number? 
 ${secondary_name1}
 ${secondary_phone1}")</f>
        <v>Just to confirm, is this the number? 
 ${secondary_name1}
 ${secondary_phone1}</v>
      </c>
      <c r="H1123" s="188" t="str">
        <f>IFERROR(__xludf.DUMMYFUNCTION("TRIM(REGEXREPLACE(D1123, ""[0-9]+[a-f]?\."", """"))"),"Juste pour confirmer, est-ce bien le numéro ?
 ${secondary_name1}
 ${secondary_phone1}")</f>
        <v>Juste pour confirmer, est-ce bien le numéro ?
 ${secondary_name1}
 ${secondary_phone1}</v>
      </c>
      <c r="I1123" s="188" t="str">
        <f>IFERROR(__xludf.DUMMYFUNCTION("TRIM(REGEXREPLACE(E1123, ""[0-9]+[a-f]?\."", """"))"),"Don tabbatarwa kawai, da wannan itace lambar?
 ${secondary_name1}
 ${secondary_phone1}")</f>
        <v>Don tabbatarwa kawai, da wannan itace lambar?
 ${secondary_name1}
 ${secondary_phone1}</v>
      </c>
      <c r="J1123" s="188" t="s">
        <v>7899</v>
      </c>
      <c r="K1123" s="188" t="s">
        <v>7900</v>
      </c>
      <c r="L1123" s="188" t="s">
        <v>7901</v>
      </c>
    </row>
    <row r="1124">
      <c r="A1124" s="128" t="s">
        <v>46</v>
      </c>
      <c r="B1124" s="129" t="s">
        <v>7902</v>
      </c>
      <c r="C1124" s="190" t="s">
        <v>7903</v>
      </c>
      <c r="D1124" s="190" t="s">
        <v>7904</v>
      </c>
      <c r="E1124" s="190" t="s">
        <v>7905</v>
      </c>
      <c r="F1124" s="195">
        <v>615.0</v>
      </c>
      <c r="G1124" s="188" t="str">
        <f>IFERROR(__xludf.DUMMYFUNCTION("TRIM(REGEXREPLACE(C1124, ""[0-9]+[a-f]?\."", """"))"),"Please go back and correct the name and phone number.")</f>
        <v>Please go back and correct the name and phone number.</v>
      </c>
      <c r="H1124" s="188" t="str">
        <f>IFERROR(__xludf.DUMMYFUNCTION("TRIM(REGEXREPLACE(D1124, ""[0-9]+[a-f]?\."", """"))"),"Veuillez revenir en arrière et corriger le nom et le numéro de téléphone.")</f>
        <v>Veuillez revenir en arrière et corriger le nom et le numéro de téléphone.</v>
      </c>
      <c r="I1124" s="188" t="str">
        <f>IFERROR(__xludf.DUMMYFUNCTION("TRIM(REGEXREPLACE(E1124, ""[0-9]+[a-f]?\."", """"))"),"Da fatan za ka koma baya don ka gyara suna da lambar waya.")</f>
        <v>Da fatan za ka koma baya don ka gyara suna da lambar waya.</v>
      </c>
      <c r="J1124" s="188" t="s">
        <v>7906</v>
      </c>
      <c r="K1124" s="188" t="s">
        <v>7907</v>
      </c>
      <c r="L1124" s="188" t="s">
        <v>7908</v>
      </c>
    </row>
    <row r="1125">
      <c r="A1125" s="145" t="s">
        <v>7782</v>
      </c>
      <c r="B1125" s="146" t="s">
        <v>7909</v>
      </c>
      <c r="C1125" s="190" t="s">
        <v>7910</v>
      </c>
      <c r="D1125" s="190" t="s">
        <v>7911</v>
      </c>
      <c r="E1125" s="190" t="s">
        <v>7912</v>
      </c>
      <c r="F1125" s="195">
        <v>616.0</v>
      </c>
      <c r="G1125" s="188" t="str">
        <f>IFERROR(__xludf.DUMMYFUNCTION("TRIM(REGEXREPLACE(C1125, ""[0-9]+[a-f]?\."", """"))"),"I am going to call this phone number to confirm it is correct. [Enumerator: Did the phone ring?]")</f>
        <v>I am going to call this phone number to confirm it is correct. [Enumerator: Did the phone ring?]</v>
      </c>
      <c r="H1125" s="188" t="str">
        <f>IFERROR(__xludf.DUMMYFUNCTION("TRIM(REGEXREPLACE(D1125, ""[0-9]+[a-f]?\."", """"))"),"Je vais appeler ce numéro de téléphone pour confirmer qu'il est correct. [Enquêteur : Le téléphone a-t-il sonné ?]")</f>
        <v>Je vais appeler ce numéro de téléphone pour confirmer qu'il est correct. [Enquêteur : Le téléphone a-t-il sonné ?]</v>
      </c>
      <c r="I1125" s="188" t="str">
        <f>IFERROR(__xludf.DUMMYFUNCTION("TRIM(REGEXREPLACE(E1125, ""[0-9]+[a-f]?\."", """"))"),"Zan kirayi wannan lambar wayar don tabbatar da daidai ce. [Ɗan bincike: Wayar ta yi ƙara?]")</f>
        <v>Zan kirayi wannan lambar wayar don tabbatar da daidai ce. [Ɗan bincike: Wayar ta yi ƙara?]</v>
      </c>
      <c r="J1125" s="188" t="s">
        <v>7913</v>
      </c>
      <c r="K1125" s="188" t="s">
        <v>7914</v>
      </c>
      <c r="L1125" s="188" t="s">
        <v>7915</v>
      </c>
    </row>
    <row r="1126">
      <c r="A1126" s="128" t="s">
        <v>46</v>
      </c>
      <c r="B1126" s="129" t="s">
        <v>7916</v>
      </c>
      <c r="C1126" s="190" t="s">
        <v>7917</v>
      </c>
      <c r="D1126" s="190" t="s">
        <v>7918</v>
      </c>
      <c r="E1126" s="190" t="s">
        <v>7919</v>
      </c>
      <c r="F1126" s="195">
        <v>617.0</v>
      </c>
      <c r="G1126" s="188" t="str">
        <f>IFERROR(__xludf.DUMMYFUNCTION("TRIM(REGEXREPLACE(C1126, ""[0-9]+[a-f]?\."", """"))"),"Please go back and enter a new phone number.")</f>
        <v>Please go back and enter a new phone number.</v>
      </c>
      <c r="H1126" s="188" t="str">
        <f>IFERROR(__xludf.DUMMYFUNCTION("TRIM(REGEXREPLACE(D1126, ""[0-9]+[a-f]?\."", """"))"),"Veuillez ressaisir le numéro")</f>
        <v>Veuillez ressaisir le numéro</v>
      </c>
      <c r="I1126" s="188" t="str">
        <f>IFERROR(__xludf.DUMMYFUNCTION("TRIM(REGEXREPLACE(E1126, ""[0-9]+[a-f]?\."", """"))"),"Da fatan zaku rubuta lambar")</f>
        <v>Da fatan zaku rubuta lambar</v>
      </c>
      <c r="J1126" s="188" t="s">
        <v>7920</v>
      </c>
      <c r="K1126" s="188" t="s">
        <v>7921</v>
      </c>
      <c r="L1126" s="188" t="s">
        <v>7922</v>
      </c>
    </row>
    <row r="1127">
      <c r="A1127" s="145" t="s">
        <v>1060</v>
      </c>
      <c r="B1127" s="146" t="s">
        <v>7923</v>
      </c>
      <c r="C1127" s="190" t="s">
        <v>7924</v>
      </c>
      <c r="D1127" s="190" t="s">
        <v>7925</v>
      </c>
      <c r="E1127" s="190" t="s">
        <v>7926</v>
      </c>
      <c r="F1127" s="195">
        <v>618.0</v>
      </c>
      <c r="G1127" s="188" t="str">
        <f>IFERROR(__xludf.DUMMYFUNCTION("TRIM(REGEXREPLACE(C1127,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1127" s="188" t="str">
        <f>IFERROR(__xludf.DUMMYFUNCTION("TRIM(REGEXREPLACE(D1127,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1127" s="188" t="str">
        <f>IFERROR(__xludf.DUMMYFUNCTION("TRIM(REGEXREPLACE(E1127,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1127" s="188" t="s">
        <v>7927</v>
      </c>
      <c r="K1127" s="188" t="s">
        <v>7928</v>
      </c>
      <c r="L1127" s="188" t="s">
        <v>7929</v>
      </c>
    </row>
    <row r="1128" hidden="1">
      <c r="A1128" s="141" t="s">
        <v>278</v>
      </c>
      <c r="B1128" s="142" t="s">
        <v>7930</v>
      </c>
      <c r="C1128" s="190" t="s">
        <v>7931</v>
      </c>
      <c r="D1128" s="190"/>
      <c r="E1128" s="190"/>
    </row>
    <row r="1129">
      <c r="A1129" s="219" t="s">
        <v>220</v>
      </c>
      <c r="B1129" s="295" t="s">
        <v>7932</v>
      </c>
      <c r="C1129" s="190" t="s">
        <v>7933</v>
      </c>
      <c r="D1129" s="190" t="s">
        <v>7934</v>
      </c>
      <c r="E1129" s="190" t="s">
        <v>7935</v>
      </c>
      <c r="F1129" s="195">
        <v>619.0</v>
      </c>
      <c r="G1129" s="188" t="str">
        <f>IFERROR(__xludf.DUMMYFUNCTION("TRIM(REGEXREPLACE(C1129, ""[0-9]+[a-f]?\."", """"))"),"What is the last name of this person")</f>
        <v>What is the last name of this person</v>
      </c>
      <c r="H1129" s="188" t="str">
        <f>IFERROR(__xludf.DUMMYFUNCTION("TRIM(REGEXREPLACE(D1129, ""[0-9]+[a-f]?\."", """"))"),"Quel est le nom de cette personne?")</f>
        <v>Quel est le nom de cette personne?</v>
      </c>
      <c r="I1129" s="188" t="str">
        <f>IFERROR(__xludf.DUMMYFUNCTION("TRIM(REGEXREPLACE(E1129, ""[0-9]+[a-f]?\."", """"))"),"Menene sunan uban wannan mutumen?")</f>
        <v>Menene sunan uban wannan mutumen?</v>
      </c>
      <c r="J1129" s="188" t="s">
        <v>7939</v>
      </c>
      <c r="K1129" s="188" t="s">
        <v>7940</v>
      </c>
      <c r="L1129" s="188" t="s">
        <v>7942</v>
      </c>
    </row>
    <row r="1130">
      <c r="A1130" s="219" t="s">
        <v>220</v>
      </c>
      <c r="B1130" s="295" t="s">
        <v>7943</v>
      </c>
      <c r="C1130" s="190" t="s">
        <v>7944</v>
      </c>
      <c r="D1130" s="190" t="s">
        <v>7945</v>
      </c>
      <c r="E1130" s="190" t="s">
        <v>7946</v>
      </c>
      <c r="F1130" s="195">
        <v>620.0</v>
      </c>
      <c r="G1130" s="188" t="str">
        <f>IFERROR(__xludf.DUMMYFUNCTION("TRIM(REGEXREPLACE(C1130, ""[0-9]+[a-f]?\."", """"))"),"What is the first name of this person")</f>
        <v>What is the first name of this person</v>
      </c>
      <c r="H1130" s="188" t="str">
        <f>IFERROR(__xludf.DUMMYFUNCTION("TRIM(REGEXREPLACE(D1130, ""[0-9]+[a-f]?\."", """"))"),"Quel est le prénom de cette personne?")</f>
        <v>Quel est le prénom de cette personne?</v>
      </c>
      <c r="I1130" s="188" t="str">
        <f>IFERROR(__xludf.DUMMYFUNCTION("TRIM(REGEXREPLACE(E1130, ""[0-9]+[a-f]?\."", """"))"),"Menene sunan wannan mutumen?")</f>
        <v>Menene sunan wannan mutumen?</v>
      </c>
      <c r="J1130" s="188" t="s">
        <v>7947</v>
      </c>
      <c r="K1130" s="188" t="s">
        <v>7948</v>
      </c>
      <c r="L1130" s="188" t="s">
        <v>7949</v>
      </c>
    </row>
    <row r="1131" hidden="1">
      <c r="A1131" s="141" t="s">
        <v>331</v>
      </c>
      <c r="B1131" s="141" t="s">
        <v>7930</v>
      </c>
      <c r="C1131" s="190" t="s">
        <v>7931</v>
      </c>
      <c r="D1131" s="190"/>
      <c r="E1131" s="190"/>
    </row>
    <row r="1132" hidden="1">
      <c r="A1132" s="66" t="s">
        <v>112</v>
      </c>
      <c r="B1132" s="67" t="s">
        <v>7950</v>
      </c>
      <c r="C1132" s="190"/>
      <c r="D1132" s="190"/>
      <c r="E1132" s="190"/>
    </row>
    <row r="1133">
      <c r="A1133" s="219" t="s">
        <v>220</v>
      </c>
      <c r="B1133" s="295" t="s">
        <v>7951</v>
      </c>
      <c r="C1133" s="190" t="s">
        <v>7952</v>
      </c>
      <c r="D1133" s="190" t="s">
        <v>7953</v>
      </c>
      <c r="E1133" s="190" t="s">
        <v>7954</v>
      </c>
      <c r="F1133" s="195">
        <v>621.0</v>
      </c>
      <c r="G1133" s="188" t="str">
        <f>IFERROR(__xludf.DUMMYFUNCTION("TRIM(REGEXREPLACE(C1133, ""[0-9]+[a-f]?\."", """"))"),"What is their phone number?")</f>
        <v>What is their phone number?</v>
      </c>
      <c r="H1133" s="188" t="str">
        <f>IFERROR(__xludf.DUMMYFUNCTION("TRIM(REGEXREPLACE(D1133, ""[0-9]+[a-f]?\."", """"))"),"Quel est leur numéro de téléphone?")</f>
        <v>Quel est leur numéro de téléphone?</v>
      </c>
      <c r="I1133" s="188" t="str">
        <f>IFERROR(__xludf.DUMMYFUNCTION("TRIM(REGEXREPLACE(E1133, ""[0-9]+[a-f]?\."", """"))"),"Menene lambar wayarsu?")</f>
        <v>Menene lambar wayarsu?</v>
      </c>
      <c r="J1133" s="188" t="s">
        <v>7955</v>
      </c>
      <c r="K1133" s="188" t="s">
        <v>7956</v>
      </c>
      <c r="L1133" s="188" t="s">
        <v>7957</v>
      </c>
    </row>
    <row r="1134">
      <c r="A1134" s="145" t="s">
        <v>4572</v>
      </c>
      <c r="B1134" s="146" t="s">
        <v>7958</v>
      </c>
      <c r="C1134" s="190" t="s">
        <v>7959</v>
      </c>
      <c r="D1134" s="190" t="s">
        <v>7960</v>
      </c>
      <c r="E1134" s="190" t="s">
        <v>7961</v>
      </c>
      <c r="F1134" s="195">
        <v>622.0</v>
      </c>
      <c r="G1134" s="188" t="str">
        <f>IFERROR(__xludf.DUMMYFUNCTION("TRIM(REGEXREPLACE(C1134, ""[0-9]+[a-f]?\."", """"))"),"What is ${secondary_name2}'s relationship to you?")</f>
        <v>What is ${secondary_name2}'s relationship to you?</v>
      </c>
      <c r="H1134" s="188" t="str">
        <f>IFERROR(__xludf.DUMMYFUNCTION("TRIM(REGEXREPLACE(D1134, ""[0-9]+[a-f]?\."", """"))"),"Quelle est la relation entre ${secondary_name2} et vous ?")</f>
        <v>Quelle est la relation entre ${secondary_name2} et vous ?</v>
      </c>
      <c r="I1134" s="188" t="str">
        <f>IFERROR(__xludf.DUMMYFUNCTION("TRIM(REGEXREPLACE(E1134, ""[0-9]+[a-f]?\."", """"))"),"Menene alaƙar ku da ${secondary_name2} ?")</f>
        <v>Menene alaƙar ku da ${secondary_name2} ?</v>
      </c>
      <c r="J1134" s="188" t="s">
        <v>7962</v>
      </c>
      <c r="K1134" s="188" t="s">
        <v>7963</v>
      </c>
      <c r="L1134" s="188" t="s">
        <v>7964</v>
      </c>
    </row>
    <row r="1135">
      <c r="A1135" s="145" t="s">
        <v>1060</v>
      </c>
      <c r="B1135" s="146" t="s">
        <v>7965</v>
      </c>
      <c r="C1135" s="190" t="s">
        <v>7966</v>
      </c>
      <c r="D1135" s="190" t="s">
        <v>7967</v>
      </c>
      <c r="E1135" s="190" t="s">
        <v>7969</v>
      </c>
      <c r="F1135" s="195">
        <v>623.0</v>
      </c>
      <c r="G1135" s="188" t="str">
        <f>IFERROR(__xludf.DUMMYFUNCTION("TRIM(REGEXREPLACE(C1135, ""[0-9]+[a-f]?\."", """"))"),"Just to confirm, is this the number? 
 ${secondary_name2}
 ${secondary_phone2}")</f>
        <v>Just to confirm, is this the number? 
 ${secondary_name2}
 ${secondary_phone2}</v>
      </c>
      <c r="H1135" s="188" t="str">
        <f>IFERROR(__xludf.DUMMYFUNCTION("TRIM(REGEXREPLACE(D1135, ""[0-9]+[a-f]?\."", """"))"),"Juste pour confirmer, est-ce bien le numéro ?
 ${secondary_name2}
 ${secondary_phone2}")</f>
        <v>Juste pour confirmer, est-ce bien le numéro ?
 ${secondary_name2}
 ${secondary_phone2}</v>
      </c>
      <c r="I1135" s="188" t="str">
        <f>IFERROR(__xludf.DUMMYFUNCTION("TRIM(REGEXREPLACE(E1135, ""[0-9]+[a-f]?\."", """"))"),"Don tabbatar kawai, da wannan itace lambar?
 ${secondary_name2}
 ${secondary_phone2}")</f>
        <v>Don tabbatar kawai, da wannan itace lambar?
 ${secondary_name2}
 ${secondary_phone2}</v>
      </c>
      <c r="J1135" s="188" t="s">
        <v>7970</v>
      </c>
      <c r="K1135" s="188" t="s">
        <v>7971</v>
      </c>
      <c r="L1135" s="188" t="s">
        <v>7972</v>
      </c>
    </row>
    <row r="1136">
      <c r="A1136" s="128" t="s">
        <v>46</v>
      </c>
      <c r="B1136" s="129" t="s">
        <v>7973</v>
      </c>
      <c r="C1136" s="190" t="s">
        <v>7974</v>
      </c>
      <c r="D1136" s="190" t="s">
        <v>7975</v>
      </c>
      <c r="E1136" s="190" t="s">
        <v>7976</v>
      </c>
      <c r="F1136" s="195">
        <v>624.0</v>
      </c>
      <c r="G1136" s="188" t="str">
        <f>IFERROR(__xludf.DUMMYFUNCTION("TRIM(REGEXREPLACE(C1136, ""[0-9]+[a-f]?\."", """"))"),"Please go back and correct the name and phone number.")</f>
        <v>Please go back and correct the name and phone number.</v>
      </c>
      <c r="H1136" s="188" t="str">
        <f>IFERROR(__xludf.DUMMYFUNCTION("TRIM(REGEXREPLACE(D1136, ""[0-9]+[a-f]?\."", """"))"),"Veuillez revenir en arrière et corriger le nom et le numéro de téléphone.")</f>
        <v>Veuillez revenir en arrière et corriger le nom et le numéro de téléphone.</v>
      </c>
      <c r="I1136" s="188" t="str">
        <f>IFERROR(__xludf.DUMMYFUNCTION("TRIM(REGEXREPLACE(E1136, ""[0-9]+[a-f]?\."", """"))"),"Da fatan za ka koma baya ka gyara suna da lambar waya.")</f>
        <v>Da fatan za ka koma baya ka gyara suna da lambar waya.</v>
      </c>
      <c r="J1136" s="188" t="s">
        <v>7977</v>
      </c>
      <c r="K1136" s="188" t="s">
        <v>7978</v>
      </c>
      <c r="L1136" s="188" t="s">
        <v>7979</v>
      </c>
    </row>
    <row r="1137">
      <c r="A1137" s="145" t="s">
        <v>7782</v>
      </c>
      <c r="B1137" s="146" t="s">
        <v>7980</v>
      </c>
      <c r="C1137" s="190" t="s">
        <v>7981</v>
      </c>
      <c r="D1137" s="190" t="s">
        <v>7982</v>
      </c>
      <c r="E1137" s="190" t="s">
        <v>7983</v>
      </c>
      <c r="F1137" s="195">
        <v>625.0</v>
      </c>
      <c r="G1137" s="188" t="str">
        <f>IFERROR(__xludf.DUMMYFUNCTION("TRIM(REGEXREPLACE(C1137, ""[0-9]+[a-f]?\."", """"))"),"I am going to call this phone number to confirm it is correct. [Enumerator: Did the phone ring?]")</f>
        <v>I am going to call this phone number to confirm it is correct. [Enumerator: Did the phone ring?]</v>
      </c>
      <c r="H1137" s="188" t="str">
        <f>IFERROR(__xludf.DUMMYFUNCTION("TRIM(REGEXREPLACE(D1137, ""[0-9]+[a-f]?\."", """"))"),"Je vais appeler ce numéro de téléphone pour confirmer qu'il est correct. [Enquêteur : Le téléphone a-t-il sonné ?]")</f>
        <v>Je vais appeler ce numéro de téléphone pour confirmer qu'il est correct. [Enquêteur : Le téléphone a-t-il sonné ?]</v>
      </c>
      <c r="I1137" s="188" t="str">
        <f>IFERROR(__xludf.DUMMYFUNCTION("TRIM(REGEXREPLACE(E1137, ""[0-9]+[a-f]?\."", """"))"),"Zan kirayi wannan lambar wayar don tabbatar da daidai ce. [Ɗan bincike: Wayar ta yi ƙara?]")</f>
        <v>Zan kirayi wannan lambar wayar don tabbatar da daidai ce. [Ɗan bincike: Wayar ta yi ƙara?]</v>
      </c>
      <c r="J1137" s="188" t="s">
        <v>7984</v>
      </c>
      <c r="K1137" s="188" t="s">
        <v>7985</v>
      </c>
      <c r="L1137" s="188" t="s">
        <v>7986</v>
      </c>
    </row>
    <row r="1138">
      <c r="A1138" s="128" t="s">
        <v>46</v>
      </c>
      <c r="B1138" s="129" t="s">
        <v>7987</v>
      </c>
      <c r="C1138" s="190" t="s">
        <v>7988</v>
      </c>
      <c r="D1138" s="190" t="s">
        <v>7989</v>
      </c>
      <c r="E1138" s="190" t="s">
        <v>7990</v>
      </c>
      <c r="F1138" s="195">
        <v>626.0</v>
      </c>
      <c r="G1138" s="188" t="str">
        <f>IFERROR(__xludf.DUMMYFUNCTION("TRIM(REGEXREPLACE(C1138, ""[0-9]+[a-f]?\."", """"))"),"Please go back and enter a new phone number.")</f>
        <v>Please go back and enter a new phone number.</v>
      </c>
      <c r="H1138" s="188" t="str">
        <f>IFERROR(__xludf.DUMMYFUNCTION("TRIM(REGEXREPLACE(D1138, ""[0-9]+[a-f]?\."", """"))"),"Veuillez ressaisir le numéro")</f>
        <v>Veuillez ressaisir le numéro</v>
      </c>
      <c r="I1138" s="188" t="str">
        <f>IFERROR(__xludf.DUMMYFUNCTION("TRIM(REGEXREPLACE(E1138, ""[0-9]+[a-f]?\."", """"))"),"Da fatan zaku rubuta lambar")</f>
        <v>Da fatan zaku rubuta lambar</v>
      </c>
      <c r="J1138" s="188" t="s">
        <v>7991</v>
      </c>
      <c r="K1138" s="188" t="s">
        <v>7992</v>
      </c>
      <c r="L1138" s="188" t="s">
        <v>7993</v>
      </c>
    </row>
    <row r="1139" hidden="1">
      <c r="A1139" s="141" t="s">
        <v>331</v>
      </c>
      <c r="B1139" s="141" t="s">
        <v>7750</v>
      </c>
      <c r="C1139" s="190" t="s">
        <v>7751</v>
      </c>
      <c r="D1139" s="190" t="s">
        <v>7752</v>
      </c>
      <c r="E1139" s="190" t="s">
        <v>7753</v>
      </c>
    </row>
    <row r="1140" hidden="1">
      <c r="A1140" s="292"/>
      <c r="B1140" s="292"/>
      <c r="C1140" s="190"/>
      <c r="D1140" s="190"/>
      <c r="E1140" s="190"/>
    </row>
    <row r="1141" hidden="1">
      <c r="A1141" s="141" t="s">
        <v>278</v>
      </c>
      <c r="B1141" s="142" t="s">
        <v>7994</v>
      </c>
      <c r="C1141" s="190" t="s">
        <v>7995</v>
      </c>
      <c r="D1141" s="190" t="s">
        <v>7996</v>
      </c>
      <c r="E1141" s="190" t="s">
        <v>7997</v>
      </c>
    </row>
    <row r="1142">
      <c r="A1142" s="145" t="s">
        <v>7998</v>
      </c>
      <c r="B1142" s="146" t="s">
        <v>7999</v>
      </c>
      <c r="C1142" s="190" t="s">
        <v>8000</v>
      </c>
      <c r="D1142" s="190" t="s">
        <v>8001</v>
      </c>
      <c r="E1142" s="190" t="s">
        <v>8002</v>
      </c>
      <c r="F1142" s="195">
        <v>627.0</v>
      </c>
      <c r="G1142" s="188" t="str">
        <f>IFERROR(__xludf.DUMMYFUNCTION("TRIM(REGEXREPLACE(C1142, ""[0-9]+[a-f]?\."", """"))"),"How interested was the resppondent")</f>
        <v>How interested was the resppondent</v>
      </c>
      <c r="H1142" s="188" t="str">
        <f>IFERROR(__xludf.DUMMYFUNCTION("TRIM(REGEXREPLACE(D1142, ""[0-9]+[a-f]?\."", """"))"),"Dans quelle mesure le répondant était-il intéressé")</f>
        <v>Dans quelle mesure le répondant était-il intéressé</v>
      </c>
      <c r="I1142" s="188" t="str">
        <f>IFERROR(__xludf.DUMMYFUNCTION("TRIM(REGEXREPLACE(E1142, ""[0-9]+[a-f]?\."", """"))"),"Yaya kake ganin maida hankalin mai bada amsa yake")</f>
        <v>Yaya kake ganin maida hankalin mai bada amsa yake</v>
      </c>
      <c r="J1142" s="188" t="s">
        <v>8003</v>
      </c>
      <c r="K1142" s="188" t="s">
        <v>8004</v>
      </c>
      <c r="L1142" s="188" t="s">
        <v>8005</v>
      </c>
    </row>
    <row r="1143">
      <c r="A1143" s="145" t="s">
        <v>8006</v>
      </c>
      <c r="B1143" s="146" t="s">
        <v>8007</v>
      </c>
      <c r="C1143" s="190" t="s">
        <v>8008</v>
      </c>
      <c r="D1143" s="190" t="s">
        <v>8009</v>
      </c>
      <c r="E1143" s="190" t="s">
        <v>8010</v>
      </c>
      <c r="F1143" s="195">
        <v>628.0</v>
      </c>
      <c r="G1143" s="188" t="str">
        <f>IFERROR(__xludf.DUMMYFUNCTION("TRIM(REGEXREPLACE(C1143, ""[0-9]+[a-f]?\."", """"))"),"How impatient was the respondent?")</f>
        <v>How impatient was the respondent?</v>
      </c>
      <c r="H1143" s="188" t="str">
        <f>IFERROR(__xludf.DUMMYFUNCTION("TRIM(REGEXREPLACE(D1143, ""[0-9]+[a-f]?\."", """"))"),"À quel point le répondant était-il impatient ?")</f>
        <v>À quel point le répondant était-il impatient ?</v>
      </c>
      <c r="I1143" s="188" t="str">
        <f>IFERROR(__xludf.DUMMYFUNCTION("TRIM(REGEXREPLACE(E1143, ""[0-9]+[a-f]?\."", """"))"),"Yaya kake ganin rashin haƙurin mai bada amsa?")</f>
        <v>Yaya kake ganin rashin haƙurin mai bada amsa?</v>
      </c>
      <c r="J1143" s="188" t="s">
        <v>8011</v>
      </c>
      <c r="K1143" s="188" t="s">
        <v>8012</v>
      </c>
      <c r="L1143" s="188" t="s">
        <v>8013</v>
      </c>
    </row>
    <row r="1144">
      <c r="A1144" s="145" t="s">
        <v>8014</v>
      </c>
      <c r="B1144" s="146" t="s">
        <v>8015</v>
      </c>
      <c r="C1144" s="190" t="s">
        <v>8016</v>
      </c>
      <c r="D1144" s="190" t="s">
        <v>8017</v>
      </c>
      <c r="E1144" s="190" t="s">
        <v>8018</v>
      </c>
      <c r="F1144" s="195">
        <v>629.0</v>
      </c>
      <c r="G1144" s="188" t="str">
        <f>IFERROR(__xludf.DUMMYFUNCTION("TRIM(REGEXREPLACE(C1144, ""[0-9]+[a-f]?\."", """"))"),"How well did the respondent understand the questions?")</f>
        <v>How well did the respondent understand the questions?</v>
      </c>
      <c r="H1144" s="188" t="str">
        <f>IFERROR(__xludf.DUMMYFUNCTION("TRIM(REGEXREPLACE(D1144, ""[0-9]+[a-f]?\."", """"))"),"Dans quelle mesure le répondant a-t-il compris les questions ?")</f>
        <v>Dans quelle mesure le répondant a-t-il compris les questions ?</v>
      </c>
      <c r="I1144" s="188" t="str">
        <f>IFERROR(__xludf.DUMMYFUNCTION("TRIM(REGEXREPLACE(E1144, ""[0-9]+[a-f]?\."", """"))"),"Yaya kake ganin mai bada amsa ya fahimci tambayoyin?")</f>
        <v>Yaya kake ganin mai bada amsa ya fahimci tambayoyin?</v>
      </c>
      <c r="J1144" s="188" t="s">
        <v>8019</v>
      </c>
      <c r="K1144" s="188" t="s">
        <v>8020</v>
      </c>
      <c r="L1144" s="188" t="s">
        <v>8021</v>
      </c>
    </row>
    <row r="1145">
      <c r="A1145" s="145" t="s">
        <v>8022</v>
      </c>
      <c r="B1145" s="146" t="s">
        <v>8023</v>
      </c>
      <c r="C1145" s="190" t="s">
        <v>8024</v>
      </c>
      <c r="D1145" s="190" t="s">
        <v>8025</v>
      </c>
      <c r="E1145" s="190" t="s">
        <v>8026</v>
      </c>
      <c r="F1145" s="195">
        <v>630.0</v>
      </c>
      <c r="G1145" s="188" t="str">
        <f>IFERROR(__xludf.DUMMYFUNCTION("TRIM(REGEXREPLACE(C1145, ""[0-9]+[a-f]?\."", """"))"),"Was the interview conducted in the presence of other people?")</f>
        <v>Was the interview conducted in the presence of other people?</v>
      </c>
      <c r="H1145" s="188" t="str">
        <f>IFERROR(__xludf.DUMMYFUNCTION("TRIM(REGEXREPLACE(D1145, ""[0-9]+[a-f]?\."", """"))"),"L'entretien a-t-il été réalisé en présence d'autres personnes ?")</f>
        <v>L'entretien a-t-il été réalisé en présence d'autres personnes ?</v>
      </c>
      <c r="I1145" s="188" t="str">
        <f>IFERROR(__xludf.DUMMYFUNCTION("TRIM(REGEXREPLACE(E1145, ""[0-9]+[a-f]?\."", """"))"),"Ko an yi hirar ne a gaban wasu mutane?")</f>
        <v>Ko an yi hirar ne a gaban wasu mutane?</v>
      </c>
      <c r="J1145" s="188" t="s">
        <v>8028</v>
      </c>
      <c r="K1145" s="188" t="s">
        <v>8029</v>
      </c>
      <c r="L1145" s="188" t="s">
        <v>8030</v>
      </c>
    </row>
    <row r="1146">
      <c r="A1146" s="219" t="s">
        <v>220</v>
      </c>
      <c r="B1146" s="295" t="s">
        <v>8031</v>
      </c>
      <c r="C1146" s="190" t="s">
        <v>8032</v>
      </c>
      <c r="D1146" s="190" t="s">
        <v>8033</v>
      </c>
      <c r="E1146" s="190" t="s">
        <v>8034</v>
      </c>
      <c r="F1146" s="195">
        <v>631.0</v>
      </c>
      <c r="G1146" s="188" t="str">
        <f>IFERROR(__xludf.DUMMYFUNCTION("TRIM(REGEXREPLACE(C1146, ""[0-9]+[a-f]?\."", """"))"),"Enumerator: Record any comments on the survey")</f>
        <v>Enumerator: Record any comments on the survey</v>
      </c>
      <c r="H1146" s="188" t="str">
        <f>IFERROR(__xludf.DUMMYFUNCTION("TRIM(REGEXREPLACE(D1146, ""[0-9]+[a-f]?\."", """"))"),"Enquêteur : Veuillez noter vos commentaires si vous en avez")</f>
        <v>Enquêteur : Veuillez noter vos commentaires si vous en avez</v>
      </c>
      <c r="I1146" s="188" t="str">
        <f>IFERROR(__xludf.DUMMYFUNCTION("TRIM(REGEXREPLACE(E1146, ""[0-9]+[a-f]?\."", """"))"),"Ɗan bincike: Yi rikodin duk wani sharhi akan binciken")</f>
        <v>Ɗan bincike: Yi rikodin duk wani sharhi akan binciken</v>
      </c>
      <c r="J1146" s="188" t="s">
        <v>8035</v>
      </c>
      <c r="K1146" s="188" t="s">
        <v>8036</v>
      </c>
      <c r="L1146" s="188" t="s">
        <v>8037</v>
      </c>
    </row>
    <row r="1147" hidden="1">
      <c r="A1147" s="403" t="s">
        <v>535</v>
      </c>
      <c r="B1147" s="404" t="s">
        <v>8038</v>
      </c>
      <c r="C1147" s="190" t="s">
        <v>8039</v>
      </c>
      <c r="D1147" s="190" t="s">
        <v>8040</v>
      </c>
      <c r="E1147" s="190" t="s">
        <v>8041</v>
      </c>
    </row>
    <row r="1148" hidden="1">
      <c r="A1148" s="141" t="s">
        <v>331</v>
      </c>
      <c r="B1148" s="141" t="s">
        <v>7994</v>
      </c>
      <c r="C1148" s="190" t="s">
        <v>7995</v>
      </c>
      <c r="D1148" s="190" t="s">
        <v>7996</v>
      </c>
      <c r="E1148" s="190" t="s">
        <v>8042</v>
      </c>
    </row>
    <row r="1149" hidden="1">
      <c r="A1149" s="292"/>
      <c r="B1149" s="292"/>
      <c r="C1149" s="190"/>
      <c r="D1149" s="190"/>
      <c r="E1149" s="190"/>
    </row>
    <row r="1150" hidden="1">
      <c r="A1150" s="141" t="s">
        <v>331</v>
      </c>
      <c r="B1150" s="141" t="s">
        <v>1682</v>
      </c>
      <c r="C1150" s="190" t="s">
        <v>8043</v>
      </c>
      <c r="D1150" s="190"/>
      <c r="E1150" s="190"/>
    </row>
    <row r="1151">
      <c r="A1151" s="128" t="s">
        <v>46</v>
      </c>
      <c r="B1151" s="129" t="s">
        <v>8044</v>
      </c>
      <c r="C1151" s="190" t="s">
        <v>8045</v>
      </c>
      <c r="D1151" s="190" t="s">
        <v>8046</v>
      </c>
      <c r="E1151" s="190" t="s">
        <v>8047</v>
      </c>
      <c r="F1151" s="195">
        <v>632.0</v>
      </c>
      <c r="G1151" s="188" t="str">
        <f>IFERROR(__xludf.DUMMYFUNCTION("TRIM(REGEXREPLACE(C1151, ""[0-9]+[a-f]?\."", """"))"),"That is the end of the survey. Thank you for your time.")</f>
        <v>That is the end of the survey. Thank you for your time.</v>
      </c>
      <c r="H1151" s="188" t="str">
        <f>IFERROR(__xludf.DUMMYFUNCTION("TRIM(REGEXREPLACE(D1151, ""[0-9]+[a-f]?\."", """"))"),"C'est la fin de l'enquête. Merci pour votre temps.")</f>
        <v>C'est la fin de l'enquête. Merci pour votre temps.</v>
      </c>
      <c r="I1151" s="188" t="str">
        <f>IFERROR(__xludf.DUMMYFUNCTION("TRIM(REGEXREPLACE(E1151, ""[0-9]+[a-f]?\."", """"))"),"Karshen tambayoyin kenan. Na gode da lokacin da kuka bani.")</f>
        <v>Karshen tambayoyin kenan. Na gode da lokacin da kuka bani.</v>
      </c>
      <c r="J1151" s="188" t="s">
        <v>8048</v>
      </c>
      <c r="K1151" s="188" t="s">
        <v>8049</v>
      </c>
      <c r="L1151" s="188" t="s">
        <v>8050</v>
      </c>
    </row>
    <row r="1152" hidden="1">
      <c r="A1152" s="292"/>
      <c r="B1152" s="292"/>
      <c r="C1152" s="190"/>
      <c r="D1152" s="190"/>
      <c r="E1152" s="190"/>
    </row>
    <row r="1153" hidden="1">
      <c r="A1153" s="405"/>
      <c r="B1153" s="405"/>
      <c r="C1153" s="190"/>
      <c r="D1153" s="190"/>
      <c r="E1153" s="190"/>
    </row>
    <row r="1154" hidden="1">
      <c r="A1154" s="405"/>
      <c r="B1154" s="405"/>
      <c r="C1154" s="190"/>
      <c r="D1154" s="190"/>
      <c r="E1154" s="190"/>
    </row>
    <row r="1155" hidden="1">
      <c r="A1155" s="405"/>
      <c r="B1155" s="405"/>
      <c r="C1155" s="190"/>
      <c r="D1155" s="190"/>
      <c r="E1155" s="190"/>
    </row>
    <row r="1156" hidden="1">
      <c r="A1156" s="405"/>
      <c r="B1156" s="405"/>
      <c r="C1156" s="190"/>
      <c r="D1156" s="190"/>
      <c r="E1156" s="190"/>
    </row>
    <row r="1157" hidden="1">
      <c r="A1157" s="405"/>
      <c r="B1157" s="405"/>
      <c r="C1157" s="190"/>
      <c r="D1157" s="190"/>
      <c r="E1157" s="190"/>
    </row>
    <row r="1158" hidden="1">
      <c r="A1158" s="405"/>
      <c r="B1158" s="405"/>
      <c r="C1158" s="190"/>
      <c r="D1158" s="190"/>
      <c r="E1158" s="190"/>
    </row>
    <row r="1159" hidden="1">
      <c r="A1159" s="405"/>
      <c r="B1159" s="405"/>
      <c r="C1159" s="190"/>
      <c r="D1159" s="190"/>
      <c r="E1159" s="190"/>
    </row>
    <row r="1160" hidden="1">
      <c r="A1160" s="405"/>
      <c r="B1160" s="405"/>
      <c r="C1160" s="190"/>
      <c r="D1160" s="190"/>
      <c r="E1160" s="190"/>
    </row>
    <row r="1161" hidden="1">
      <c r="A1161" s="189"/>
      <c r="B1161" s="189"/>
      <c r="C1161" s="190"/>
      <c r="D1161" s="190"/>
      <c r="E1161" s="190"/>
    </row>
    <row r="1162" hidden="1">
      <c r="A1162" s="189"/>
      <c r="B1162" s="189"/>
      <c r="C1162" s="190"/>
      <c r="D1162" s="190"/>
      <c r="E1162" s="190"/>
    </row>
    <row r="1163" hidden="1">
      <c r="A1163" s="189"/>
      <c r="B1163" s="189"/>
      <c r="C1163" s="190"/>
      <c r="D1163" s="190"/>
      <c r="E1163" s="190"/>
    </row>
    <row r="1164" hidden="1">
      <c r="A1164" s="189"/>
      <c r="B1164" s="189"/>
      <c r="C1164" s="190"/>
      <c r="D1164" s="190"/>
      <c r="E1164" s="190"/>
    </row>
    <row r="1165" hidden="1">
      <c r="A1165" s="189"/>
      <c r="B1165" s="189"/>
      <c r="C1165" s="190"/>
      <c r="D1165" s="190"/>
      <c r="E1165" s="190"/>
    </row>
    <row r="1166" hidden="1">
      <c r="A1166" s="189"/>
      <c r="B1166" s="189"/>
      <c r="C1166" s="190"/>
      <c r="D1166" s="190"/>
      <c r="E1166" s="190"/>
    </row>
    <row r="1167" hidden="1">
      <c r="A1167" s="189"/>
      <c r="B1167" s="189"/>
      <c r="C1167" s="190"/>
      <c r="D1167" s="190"/>
      <c r="E1167" s="190"/>
    </row>
    <row r="1168" hidden="1">
      <c r="A1168" s="189"/>
      <c r="B1168" s="189"/>
      <c r="C1168" s="190"/>
      <c r="D1168" s="190"/>
      <c r="E1168" s="190"/>
    </row>
    <row r="1169" hidden="1">
      <c r="A1169" s="189"/>
      <c r="B1169" s="189"/>
      <c r="C1169" s="190"/>
      <c r="D1169" s="190"/>
      <c r="E1169" s="190"/>
    </row>
    <row r="1170" hidden="1">
      <c r="A1170" s="189"/>
      <c r="B1170" s="189"/>
      <c r="C1170" s="190"/>
      <c r="D1170" s="190"/>
      <c r="E1170" s="190"/>
    </row>
    <row r="1171" hidden="1">
      <c r="A1171" s="189"/>
      <c r="B1171" s="189"/>
      <c r="C1171" s="190"/>
      <c r="D1171" s="190"/>
      <c r="E1171" s="190"/>
    </row>
    <row r="1172" hidden="1">
      <c r="A1172" s="189"/>
      <c r="B1172" s="189"/>
      <c r="C1172" s="190"/>
      <c r="D1172" s="190"/>
      <c r="E1172" s="190"/>
    </row>
    <row r="1173" hidden="1">
      <c r="A1173" s="189"/>
      <c r="B1173" s="189"/>
      <c r="C1173" s="190"/>
      <c r="D1173" s="190"/>
      <c r="E1173" s="190"/>
    </row>
    <row r="1174" hidden="1">
      <c r="A1174" s="189"/>
      <c r="B1174" s="189"/>
      <c r="C1174" s="190"/>
      <c r="D1174" s="190"/>
      <c r="E1174" s="190"/>
    </row>
    <row r="1175" hidden="1">
      <c r="A1175" s="189"/>
      <c r="B1175" s="189"/>
      <c r="C1175" s="190"/>
      <c r="D1175" s="190"/>
      <c r="E1175" s="190"/>
    </row>
    <row r="1176" hidden="1">
      <c r="A1176" s="189"/>
      <c r="B1176" s="189"/>
      <c r="C1176" s="190"/>
      <c r="D1176" s="190"/>
      <c r="E1176" s="190"/>
    </row>
    <row r="1177" hidden="1">
      <c r="A1177" s="189"/>
      <c r="B1177" s="189"/>
      <c r="C1177" s="190"/>
      <c r="D1177" s="190"/>
      <c r="E1177" s="190"/>
    </row>
    <row r="1178" hidden="1">
      <c r="A1178" s="189"/>
      <c r="B1178" s="189"/>
      <c r="C1178" s="190"/>
      <c r="D1178" s="190"/>
      <c r="E1178" s="190"/>
    </row>
    <row r="1179" hidden="1">
      <c r="A1179" s="189"/>
      <c r="B1179" s="189"/>
      <c r="C1179" s="190"/>
      <c r="D1179" s="190"/>
      <c r="E1179" s="190"/>
    </row>
    <row r="1180" hidden="1">
      <c r="A1180" s="189"/>
      <c r="B1180" s="189"/>
      <c r="C1180" s="190"/>
      <c r="D1180" s="190"/>
      <c r="E1180" s="190"/>
    </row>
    <row r="1181" hidden="1">
      <c r="A1181" s="189"/>
      <c r="B1181" s="189"/>
      <c r="C1181" s="190"/>
      <c r="D1181" s="190"/>
      <c r="E1181" s="190"/>
    </row>
    <row r="1182" hidden="1">
      <c r="A1182" s="189"/>
      <c r="B1182" s="189"/>
      <c r="C1182" s="190"/>
      <c r="D1182" s="190"/>
      <c r="E1182" s="190"/>
    </row>
    <row r="1183" hidden="1">
      <c r="A1183" s="189"/>
      <c r="B1183" s="189"/>
      <c r="C1183" s="190"/>
      <c r="D1183" s="190"/>
      <c r="E1183" s="190"/>
    </row>
    <row r="1184" hidden="1">
      <c r="A1184" s="189"/>
      <c r="B1184" s="189"/>
      <c r="C1184" s="190"/>
      <c r="D1184" s="190"/>
      <c r="E1184" s="190"/>
    </row>
    <row r="1185" hidden="1">
      <c r="A1185" s="189"/>
      <c r="B1185" s="189"/>
      <c r="C1185" s="190"/>
      <c r="D1185" s="190"/>
      <c r="E1185" s="190"/>
    </row>
    <row r="1186" hidden="1">
      <c r="A1186" s="189"/>
      <c r="B1186" s="189"/>
      <c r="C1186" s="190"/>
      <c r="D1186" s="190"/>
      <c r="E1186" s="190"/>
    </row>
    <row r="1187" hidden="1">
      <c r="A1187" s="189"/>
      <c r="B1187" s="189"/>
      <c r="C1187" s="190"/>
      <c r="D1187" s="190"/>
      <c r="E1187" s="190"/>
    </row>
    <row r="1188" hidden="1">
      <c r="A1188" s="189"/>
      <c r="B1188" s="189"/>
      <c r="C1188" s="190"/>
      <c r="D1188" s="190"/>
      <c r="E1188" s="190"/>
    </row>
    <row r="1189" hidden="1">
      <c r="A1189" s="189"/>
      <c r="B1189" s="189"/>
      <c r="C1189" s="190"/>
      <c r="D1189" s="190"/>
      <c r="E1189" s="190"/>
    </row>
    <row r="1190" hidden="1">
      <c r="A1190" s="189"/>
      <c r="B1190" s="189"/>
      <c r="C1190" s="190"/>
      <c r="D1190" s="190"/>
      <c r="E1190" s="190"/>
    </row>
    <row r="1191" hidden="1">
      <c r="A1191" s="189"/>
      <c r="B1191" s="189"/>
      <c r="C1191" s="190"/>
      <c r="D1191" s="190"/>
      <c r="E1191" s="190"/>
    </row>
    <row r="1192" hidden="1">
      <c r="A1192" s="189"/>
      <c r="B1192" s="189"/>
      <c r="C1192" s="190"/>
      <c r="D1192" s="190"/>
      <c r="E1192" s="190"/>
    </row>
    <row r="1193" hidden="1">
      <c r="A1193" s="189"/>
      <c r="B1193" s="189"/>
      <c r="C1193" s="190"/>
      <c r="D1193" s="190"/>
      <c r="E1193" s="190"/>
    </row>
    <row r="1194" hidden="1">
      <c r="A1194" s="189"/>
      <c r="B1194" s="189"/>
      <c r="C1194" s="190"/>
      <c r="D1194" s="190"/>
      <c r="E1194" s="190"/>
    </row>
    <row r="1195" hidden="1">
      <c r="A1195" s="189"/>
      <c r="B1195" s="189"/>
      <c r="C1195" s="190"/>
      <c r="D1195" s="190"/>
      <c r="E1195" s="190"/>
    </row>
    <row r="1196" hidden="1">
      <c r="A1196" s="189"/>
      <c r="B1196" s="189"/>
      <c r="C1196" s="190"/>
      <c r="D1196" s="190"/>
      <c r="E1196" s="190"/>
    </row>
    <row r="1197" hidden="1">
      <c r="A1197" s="189"/>
      <c r="B1197" s="189"/>
      <c r="C1197" s="190"/>
      <c r="D1197" s="190"/>
      <c r="E1197" s="190"/>
    </row>
    <row r="1198" hidden="1">
      <c r="A1198" s="189"/>
      <c r="B1198" s="189"/>
      <c r="C1198" s="190"/>
      <c r="D1198" s="190"/>
      <c r="E1198" s="190"/>
    </row>
    <row r="1199" hidden="1">
      <c r="A1199" s="189"/>
      <c r="B1199" s="189"/>
      <c r="C1199" s="190"/>
      <c r="D1199" s="190"/>
      <c r="E1199" s="190"/>
    </row>
    <row r="1200" hidden="1">
      <c r="A1200" s="189"/>
      <c r="B1200" s="189"/>
      <c r="C1200" s="190"/>
      <c r="D1200" s="190"/>
      <c r="E1200" s="190"/>
    </row>
    <row r="1201" hidden="1">
      <c r="A1201" s="189"/>
      <c r="B1201" s="189"/>
      <c r="C1201" s="190"/>
      <c r="D1201" s="190"/>
      <c r="E1201" s="190"/>
    </row>
    <row r="1202" hidden="1">
      <c r="A1202" s="189"/>
      <c r="B1202" s="189"/>
      <c r="C1202" s="190"/>
      <c r="D1202" s="190"/>
      <c r="E1202" s="190"/>
    </row>
    <row r="1203" hidden="1">
      <c r="A1203" s="189"/>
      <c r="B1203" s="189"/>
      <c r="C1203" s="190"/>
      <c r="D1203" s="190"/>
      <c r="E1203" s="190"/>
    </row>
    <row r="1204" hidden="1">
      <c r="A1204" s="189"/>
      <c r="B1204" s="189"/>
      <c r="C1204" s="190"/>
      <c r="D1204" s="190"/>
      <c r="E1204" s="190"/>
    </row>
    <row r="1205" hidden="1">
      <c r="A1205" s="189"/>
      <c r="B1205" s="189"/>
      <c r="C1205" s="190"/>
      <c r="D1205" s="190"/>
      <c r="E1205" s="190"/>
    </row>
    <row r="1206" hidden="1">
      <c r="A1206" s="189"/>
      <c r="B1206" s="189"/>
      <c r="C1206" s="190"/>
      <c r="D1206" s="190"/>
      <c r="E1206" s="190"/>
    </row>
    <row r="1207" hidden="1">
      <c r="A1207" s="189"/>
      <c r="B1207" s="189"/>
      <c r="C1207" s="190"/>
      <c r="D1207" s="190"/>
      <c r="E1207" s="190"/>
    </row>
    <row r="1208" hidden="1">
      <c r="A1208" s="189"/>
      <c r="B1208" s="189"/>
      <c r="C1208" s="190"/>
      <c r="D1208" s="190"/>
      <c r="E1208" s="190"/>
    </row>
    <row r="1209" hidden="1">
      <c r="A1209" s="189"/>
      <c r="B1209" s="189"/>
      <c r="C1209" s="190"/>
      <c r="D1209" s="190"/>
      <c r="E1209" s="190"/>
    </row>
    <row r="1210" hidden="1">
      <c r="A1210" s="189"/>
      <c r="B1210" s="189"/>
      <c r="C1210" s="190"/>
      <c r="D1210" s="190"/>
      <c r="E1210" s="190"/>
    </row>
    <row r="1211" hidden="1">
      <c r="A1211" s="189"/>
      <c r="B1211" s="189"/>
      <c r="C1211" s="190"/>
      <c r="D1211" s="190"/>
      <c r="E1211" s="190"/>
    </row>
    <row r="1212" hidden="1">
      <c r="A1212" s="189"/>
      <c r="B1212" s="189"/>
      <c r="C1212" s="190"/>
      <c r="D1212" s="190"/>
      <c r="E1212" s="190"/>
    </row>
    <row r="1213" hidden="1">
      <c r="A1213" s="189"/>
      <c r="B1213" s="189"/>
      <c r="C1213" s="190"/>
      <c r="D1213" s="190"/>
      <c r="E1213" s="190"/>
    </row>
    <row r="1214" hidden="1">
      <c r="A1214" s="189"/>
      <c r="B1214" s="189"/>
      <c r="C1214" s="190"/>
      <c r="D1214" s="190"/>
      <c r="E1214" s="190"/>
    </row>
    <row r="1215" hidden="1">
      <c r="A1215" s="189"/>
      <c r="B1215" s="189"/>
      <c r="C1215" s="190"/>
      <c r="D1215" s="190"/>
      <c r="E1215" s="190"/>
    </row>
    <row r="1216" hidden="1">
      <c r="A1216" s="189"/>
      <c r="B1216" s="189"/>
      <c r="C1216" s="190"/>
      <c r="D1216" s="190"/>
      <c r="E1216" s="190"/>
    </row>
    <row r="1217" hidden="1">
      <c r="A1217" s="189"/>
      <c r="B1217" s="189"/>
      <c r="C1217" s="190"/>
      <c r="D1217" s="190"/>
      <c r="E1217" s="190"/>
    </row>
    <row r="1218" hidden="1">
      <c r="A1218" s="189"/>
      <c r="B1218" s="189"/>
      <c r="C1218" s="190"/>
      <c r="D1218" s="190"/>
      <c r="E1218" s="190"/>
    </row>
    <row r="1219" hidden="1">
      <c r="A1219" s="189"/>
      <c r="B1219" s="189"/>
      <c r="C1219" s="190"/>
      <c r="D1219" s="190"/>
      <c r="E1219" s="190"/>
    </row>
    <row r="1220" hidden="1">
      <c r="A1220" s="189"/>
      <c r="B1220" s="189"/>
      <c r="C1220" s="190"/>
      <c r="D1220" s="190"/>
      <c r="E1220" s="190"/>
    </row>
    <row r="1221" hidden="1">
      <c r="A1221" s="189"/>
      <c r="B1221" s="189"/>
      <c r="C1221" s="190"/>
      <c r="D1221" s="190"/>
      <c r="E1221" s="190"/>
    </row>
    <row r="1222" hidden="1">
      <c r="A1222" s="189"/>
      <c r="B1222" s="189"/>
      <c r="C1222" s="190"/>
      <c r="D1222" s="190"/>
      <c r="E1222" s="190"/>
    </row>
    <row r="1223" hidden="1">
      <c r="A1223" s="189"/>
      <c r="B1223" s="189"/>
      <c r="C1223" s="190"/>
      <c r="D1223" s="190"/>
      <c r="E1223" s="190"/>
    </row>
    <row r="1224" hidden="1">
      <c r="A1224" s="189"/>
      <c r="B1224" s="189"/>
      <c r="C1224" s="190"/>
      <c r="D1224" s="190"/>
      <c r="E1224" s="190"/>
    </row>
    <row r="1225" hidden="1">
      <c r="A1225" s="189"/>
      <c r="B1225" s="189"/>
      <c r="C1225" s="190"/>
      <c r="D1225" s="190"/>
      <c r="E1225" s="190"/>
    </row>
    <row r="1226" hidden="1">
      <c r="A1226" s="189"/>
      <c r="B1226" s="189"/>
      <c r="C1226" s="190"/>
      <c r="D1226" s="190"/>
      <c r="E1226" s="190"/>
    </row>
    <row r="1227" hidden="1">
      <c r="A1227" s="189"/>
      <c r="B1227" s="189"/>
      <c r="C1227" s="190"/>
      <c r="D1227" s="190"/>
      <c r="E1227" s="190"/>
    </row>
    <row r="1228" hidden="1">
      <c r="A1228" s="189"/>
      <c r="B1228" s="189"/>
      <c r="C1228" s="190"/>
      <c r="D1228" s="190"/>
      <c r="E1228" s="190"/>
    </row>
    <row r="1229" hidden="1">
      <c r="A1229" s="189"/>
      <c r="B1229" s="189"/>
      <c r="C1229" s="190"/>
      <c r="D1229" s="190"/>
      <c r="E1229" s="190"/>
    </row>
    <row r="1230" hidden="1">
      <c r="A1230" s="189"/>
      <c r="B1230" s="189"/>
      <c r="C1230" s="190"/>
      <c r="D1230" s="190"/>
      <c r="E1230" s="190"/>
    </row>
    <row r="1231" hidden="1">
      <c r="A1231" s="189"/>
      <c r="B1231" s="189"/>
      <c r="C1231" s="190"/>
      <c r="D1231" s="190"/>
      <c r="E1231" s="190"/>
    </row>
    <row r="1232" hidden="1">
      <c r="A1232" s="189"/>
      <c r="B1232" s="189"/>
      <c r="C1232" s="190"/>
      <c r="D1232" s="190"/>
      <c r="E1232" s="190"/>
    </row>
    <row r="1233" hidden="1">
      <c r="A1233" s="189"/>
      <c r="B1233" s="189"/>
      <c r="C1233" s="190"/>
      <c r="D1233" s="190"/>
      <c r="E1233" s="190"/>
    </row>
    <row r="1234" hidden="1">
      <c r="A1234" s="189"/>
      <c r="B1234" s="189"/>
      <c r="C1234" s="190"/>
      <c r="D1234" s="190"/>
      <c r="E1234" s="190"/>
    </row>
    <row r="1235" hidden="1">
      <c r="A1235" s="189"/>
      <c r="B1235" s="189"/>
      <c r="C1235" s="190"/>
      <c r="D1235" s="190"/>
      <c r="E1235" s="190"/>
    </row>
    <row r="1236" hidden="1">
      <c r="A1236" s="189"/>
      <c r="B1236" s="189"/>
      <c r="C1236" s="190"/>
      <c r="D1236" s="190"/>
      <c r="E1236" s="190"/>
    </row>
    <row r="1237" hidden="1">
      <c r="A1237" s="189"/>
      <c r="B1237" s="189"/>
      <c r="C1237" s="190"/>
      <c r="D1237" s="190"/>
      <c r="E1237" s="190"/>
    </row>
    <row r="1238" hidden="1">
      <c r="A1238" s="189"/>
      <c r="B1238" s="189"/>
      <c r="C1238" s="190"/>
      <c r="D1238" s="190"/>
      <c r="E1238" s="190"/>
    </row>
    <row r="1239" hidden="1">
      <c r="A1239" s="189"/>
      <c r="B1239" s="189"/>
      <c r="C1239" s="190"/>
      <c r="D1239" s="190"/>
      <c r="E1239" s="190"/>
    </row>
    <row r="1240" hidden="1">
      <c r="A1240" s="189"/>
      <c r="B1240" s="189"/>
      <c r="C1240" s="190"/>
      <c r="D1240" s="190"/>
      <c r="E1240" s="190"/>
    </row>
    <row r="1241" hidden="1">
      <c r="A1241" s="189"/>
      <c r="B1241" s="189"/>
      <c r="C1241" s="190"/>
      <c r="D1241" s="190"/>
      <c r="E1241" s="190"/>
    </row>
    <row r="1242" hidden="1">
      <c r="A1242" s="189"/>
      <c r="B1242" s="189"/>
      <c r="C1242" s="190"/>
      <c r="D1242" s="190"/>
      <c r="E1242" s="190"/>
    </row>
    <row r="1243" hidden="1">
      <c r="A1243" s="189"/>
      <c r="B1243" s="189"/>
      <c r="C1243" s="190"/>
      <c r="D1243" s="190"/>
      <c r="E1243" s="190"/>
    </row>
    <row r="1244" hidden="1">
      <c r="A1244" s="189"/>
      <c r="B1244" s="189"/>
      <c r="C1244" s="190"/>
      <c r="D1244" s="190"/>
      <c r="E1244" s="190"/>
    </row>
    <row r="1245" hidden="1">
      <c r="A1245" s="189"/>
      <c r="B1245" s="189"/>
      <c r="C1245" s="190"/>
      <c r="D1245" s="190"/>
      <c r="E1245" s="190"/>
    </row>
    <row r="1246" hidden="1">
      <c r="A1246" s="189"/>
      <c r="B1246" s="189"/>
      <c r="C1246" s="190"/>
      <c r="D1246" s="190"/>
      <c r="E1246" s="190"/>
    </row>
    <row r="1247" hidden="1">
      <c r="A1247" s="189"/>
      <c r="B1247" s="189"/>
      <c r="C1247" s="190"/>
      <c r="D1247" s="190"/>
      <c r="E1247" s="190"/>
    </row>
    <row r="1248" hidden="1">
      <c r="A1248" s="189"/>
      <c r="B1248" s="189"/>
      <c r="C1248" s="190"/>
      <c r="D1248" s="190"/>
      <c r="E1248" s="190"/>
    </row>
    <row r="1249" hidden="1">
      <c r="A1249" s="189"/>
      <c r="B1249" s="189"/>
      <c r="C1249" s="190"/>
      <c r="D1249" s="190"/>
      <c r="E1249" s="190"/>
    </row>
    <row r="1250" hidden="1">
      <c r="A1250" s="189"/>
      <c r="B1250" s="189"/>
      <c r="C1250" s="190"/>
      <c r="D1250" s="190"/>
      <c r="E1250" s="190"/>
    </row>
    <row r="1251" hidden="1">
      <c r="A1251" s="189"/>
      <c r="B1251" s="189"/>
      <c r="C1251" s="190"/>
      <c r="D1251" s="190"/>
      <c r="E1251" s="190"/>
    </row>
    <row r="1252" hidden="1">
      <c r="A1252" s="189"/>
      <c r="B1252" s="189"/>
      <c r="C1252" s="190"/>
      <c r="D1252" s="190"/>
      <c r="E1252" s="190"/>
    </row>
    <row r="1253" hidden="1">
      <c r="A1253" s="189"/>
      <c r="B1253" s="189"/>
      <c r="C1253" s="190"/>
      <c r="D1253" s="190"/>
      <c r="E1253" s="190"/>
    </row>
    <row r="1254" hidden="1">
      <c r="A1254" s="189"/>
      <c r="B1254" s="189"/>
      <c r="C1254" s="190"/>
      <c r="D1254" s="190"/>
      <c r="E1254" s="190"/>
    </row>
    <row r="1255" hidden="1">
      <c r="A1255" s="189"/>
      <c r="B1255" s="189"/>
      <c r="C1255" s="190"/>
      <c r="D1255" s="190"/>
      <c r="E1255" s="190"/>
    </row>
    <row r="1256" hidden="1">
      <c r="A1256" s="189"/>
      <c r="B1256" s="189"/>
      <c r="C1256" s="190"/>
      <c r="D1256" s="190"/>
      <c r="E1256" s="190"/>
    </row>
    <row r="1257" hidden="1">
      <c r="A1257" s="189"/>
      <c r="B1257" s="189"/>
      <c r="C1257" s="190"/>
      <c r="D1257" s="190"/>
      <c r="E1257" s="190"/>
    </row>
    <row r="1258" hidden="1">
      <c r="A1258" s="189"/>
      <c r="B1258" s="189"/>
      <c r="C1258" s="190"/>
      <c r="D1258" s="190"/>
      <c r="E1258" s="190"/>
    </row>
    <row r="1259" hidden="1">
      <c r="A1259" s="189"/>
      <c r="B1259" s="189"/>
      <c r="C1259" s="190"/>
      <c r="D1259" s="190"/>
      <c r="E1259" s="190"/>
    </row>
    <row r="1260" hidden="1">
      <c r="A1260" s="189"/>
      <c r="B1260" s="189"/>
      <c r="C1260" s="190"/>
      <c r="D1260" s="190"/>
      <c r="E1260" s="190"/>
    </row>
    <row r="1261" hidden="1">
      <c r="A1261" s="189"/>
      <c r="B1261" s="189"/>
      <c r="C1261" s="190"/>
      <c r="D1261" s="190"/>
      <c r="E1261" s="190"/>
    </row>
    <row r="1262" hidden="1">
      <c r="A1262" s="189"/>
      <c r="B1262" s="189"/>
      <c r="C1262" s="190"/>
      <c r="D1262" s="190"/>
      <c r="E1262" s="190"/>
    </row>
    <row r="1263" hidden="1">
      <c r="A1263" s="189"/>
      <c r="B1263" s="189"/>
      <c r="C1263" s="190"/>
      <c r="D1263" s="190"/>
      <c r="E1263" s="190"/>
    </row>
    <row r="1264" hidden="1">
      <c r="A1264" s="189"/>
      <c r="B1264" s="189"/>
      <c r="C1264" s="190"/>
      <c r="D1264" s="190"/>
      <c r="E1264" s="190"/>
    </row>
    <row r="1265" hidden="1">
      <c r="A1265" s="189"/>
      <c r="B1265" s="189"/>
      <c r="C1265" s="190"/>
      <c r="D1265" s="190"/>
      <c r="E1265" s="190"/>
    </row>
    <row r="1266" hidden="1">
      <c r="A1266" s="189"/>
      <c r="B1266" s="189"/>
      <c r="C1266" s="190"/>
      <c r="D1266" s="190"/>
      <c r="E1266" s="190"/>
    </row>
    <row r="1267" hidden="1">
      <c r="A1267" s="189"/>
      <c r="B1267" s="189"/>
      <c r="C1267" s="190"/>
      <c r="D1267" s="190"/>
      <c r="E1267" s="190"/>
    </row>
    <row r="1268" hidden="1">
      <c r="A1268" s="189"/>
      <c r="B1268" s="189"/>
      <c r="C1268" s="190"/>
      <c r="D1268" s="190"/>
      <c r="E1268" s="190"/>
    </row>
    <row r="1269" hidden="1">
      <c r="A1269" s="189"/>
      <c r="B1269" s="189"/>
      <c r="C1269" s="190"/>
      <c r="D1269" s="190"/>
      <c r="E1269" s="190"/>
    </row>
    <row r="1270" hidden="1">
      <c r="A1270" s="189"/>
      <c r="B1270" s="189"/>
      <c r="C1270" s="190"/>
      <c r="D1270" s="190"/>
      <c r="E1270" s="190"/>
    </row>
    <row r="1271" hidden="1">
      <c r="A1271" s="189"/>
      <c r="B1271" s="189"/>
      <c r="C1271" s="190"/>
      <c r="D1271" s="190"/>
      <c r="E1271" s="190"/>
    </row>
    <row r="1272" hidden="1">
      <c r="A1272" s="189"/>
      <c r="B1272" s="189"/>
      <c r="C1272" s="190"/>
      <c r="D1272" s="190"/>
      <c r="E1272" s="190"/>
    </row>
    <row r="1273" hidden="1">
      <c r="A1273" s="189"/>
      <c r="B1273" s="189"/>
      <c r="C1273" s="190"/>
      <c r="D1273" s="190"/>
      <c r="E1273" s="190"/>
    </row>
    <row r="1274" hidden="1">
      <c r="A1274" s="189"/>
      <c r="B1274" s="189"/>
      <c r="C1274" s="190"/>
      <c r="D1274" s="190"/>
      <c r="E1274" s="190"/>
    </row>
    <row r="1275" hidden="1">
      <c r="A1275" s="189"/>
      <c r="B1275" s="189"/>
      <c r="C1275" s="190"/>
      <c r="D1275" s="190"/>
      <c r="E1275" s="190"/>
    </row>
    <row r="1276" hidden="1">
      <c r="A1276" s="189"/>
      <c r="B1276" s="189"/>
      <c r="C1276" s="190"/>
      <c r="D1276" s="190"/>
      <c r="E1276" s="190"/>
    </row>
    <row r="1277" hidden="1">
      <c r="A1277" s="189"/>
      <c r="B1277" s="189"/>
      <c r="C1277" s="190"/>
      <c r="D1277" s="190"/>
      <c r="E1277" s="190"/>
    </row>
    <row r="1278" hidden="1">
      <c r="A1278" s="189"/>
      <c r="B1278" s="189"/>
      <c r="C1278" s="190"/>
      <c r="D1278" s="190"/>
      <c r="E1278" s="190"/>
    </row>
    <row r="1279" hidden="1">
      <c r="A1279" s="189"/>
      <c r="B1279" s="189"/>
      <c r="C1279" s="190"/>
      <c r="D1279" s="190"/>
      <c r="E1279" s="190"/>
    </row>
    <row r="1280" hidden="1">
      <c r="A1280" s="189"/>
      <c r="B1280" s="189"/>
      <c r="C1280" s="190"/>
      <c r="D1280" s="190"/>
      <c r="E1280" s="190"/>
    </row>
    <row r="1281" hidden="1">
      <c r="A1281" s="189"/>
      <c r="B1281" s="189"/>
      <c r="C1281" s="190"/>
      <c r="D1281" s="190"/>
      <c r="E1281" s="190"/>
    </row>
    <row r="1282" hidden="1">
      <c r="A1282" s="189"/>
      <c r="B1282" s="189"/>
      <c r="C1282" s="190"/>
      <c r="D1282" s="190"/>
      <c r="E1282" s="190"/>
    </row>
    <row r="1283" hidden="1">
      <c r="A1283" s="189"/>
      <c r="B1283" s="189"/>
      <c r="C1283" s="190"/>
      <c r="D1283" s="190"/>
      <c r="E1283" s="190"/>
    </row>
    <row r="1284" hidden="1">
      <c r="A1284" s="189"/>
      <c r="B1284" s="189"/>
      <c r="C1284" s="190"/>
      <c r="D1284" s="190"/>
      <c r="E1284" s="190"/>
    </row>
    <row r="1285" hidden="1">
      <c r="A1285" s="189"/>
      <c r="B1285" s="189"/>
      <c r="C1285" s="190"/>
      <c r="D1285" s="190"/>
      <c r="E1285" s="190"/>
    </row>
    <row r="1286" hidden="1">
      <c r="A1286" s="189"/>
      <c r="B1286" s="189"/>
      <c r="C1286" s="190"/>
      <c r="D1286" s="190"/>
      <c r="E1286" s="190"/>
    </row>
    <row r="1287" hidden="1">
      <c r="A1287" s="189"/>
      <c r="B1287" s="189"/>
      <c r="C1287" s="190"/>
      <c r="D1287" s="190"/>
      <c r="E1287" s="190"/>
    </row>
    <row r="1288" hidden="1">
      <c r="A1288" s="189"/>
      <c r="B1288" s="189"/>
      <c r="C1288" s="190"/>
      <c r="D1288" s="190"/>
      <c r="E1288" s="190"/>
    </row>
    <row r="1289" hidden="1">
      <c r="A1289" s="189"/>
      <c r="B1289" s="189"/>
      <c r="C1289" s="190"/>
      <c r="D1289" s="190"/>
      <c r="E1289" s="190"/>
    </row>
    <row r="1290" hidden="1">
      <c r="A1290" s="189"/>
      <c r="B1290" s="189"/>
      <c r="C1290" s="190"/>
      <c r="D1290" s="190"/>
      <c r="E1290" s="190"/>
    </row>
    <row r="1291" hidden="1">
      <c r="A1291" s="189"/>
      <c r="B1291" s="189"/>
      <c r="C1291" s="190"/>
      <c r="D1291" s="190"/>
      <c r="E1291" s="190"/>
    </row>
    <row r="1292" hidden="1">
      <c r="A1292" s="189"/>
      <c r="B1292" s="189"/>
      <c r="C1292" s="190"/>
      <c r="D1292" s="190"/>
      <c r="E1292" s="190"/>
    </row>
    <row r="1293" hidden="1">
      <c r="A1293" s="189"/>
      <c r="B1293" s="189"/>
      <c r="C1293" s="190"/>
      <c r="D1293" s="190"/>
      <c r="E1293" s="190"/>
    </row>
    <row r="1294" hidden="1">
      <c r="A1294" s="189"/>
      <c r="B1294" s="189"/>
      <c r="C1294" s="190"/>
      <c r="D1294" s="190"/>
      <c r="E1294" s="190"/>
    </row>
    <row r="1295" hidden="1">
      <c r="A1295" s="189"/>
      <c r="B1295" s="189"/>
      <c r="C1295" s="190"/>
      <c r="D1295" s="190"/>
      <c r="E1295" s="190"/>
    </row>
    <row r="1296" hidden="1">
      <c r="A1296" s="189"/>
      <c r="B1296" s="189"/>
      <c r="C1296" s="190"/>
      <c r="D1296" s="190"/>
      <c r="E1296" s="190"/>
    </row>
    <row r="1297" hidden="1">
      <c r="A1297" s="189"/>
      <c r="B1297" s="189"/>
      <c r="C1297" s="190"/>
      <c r="D1297" s="190"/>
      <c r="E1297" s="190"/>
    </row>
    <row r="1298" hidden="1">
      <c r="A1298" s="189"/>
      <c r="B1298" s="189"/>
      <c r="C1298" s="190"/>
      <c r="D1298" s="190"/>
      <c r="E1298" s="190"/>
    </row>
    <row r="1299" hidden="1">
      <c r="A1299" s="189"/>
      <c r="B1299" s="189"/>
      <c r="C1299" s="190"/>
      <c r="D1299" s="190"/>
      <c r="E1299" s="190"/>
    </row>
    <row r="1300" hidden="1">
      <c r="A1300" s="189"/>
      <c r="B1300" s="189"/>
      <c r="C1300" s="190"/>
      <c r="D1300" s="190"/>
      <c r="E1300" s="190"/>
    </row>
    <row r="1301" hidden="1">
      <c r="A1301" s="189"/>
      <c r="B1301" s="189"/>
      <c r="C1301" s="190"/>
      <c r="D1301" s="190"/>
      <c r="E1301" s="190"/>
    </row>
    <row r="1302" hidden="1">
      <c r="A1302" s="189"/>
      <c r="B1302" s="189"/>
      <c r="C1302" s="190"/>
      <c r="D1302" s="190"/>
      <c r="E1302" s="190"/>
    </row>
    <row r="1303" hidden="1">
      <c r="A1303" s="189"/>
      <c r="B1303" s="189"/>
      <c r="C1303" s="190"/>
      <c r="D1303" s="190"/>
      <c r="E1303" s="190"/>
    </row>
    <row r="1304" hidden="1">
      <c r="A1304" s="189"/>
      <c r="B1304" s="189"/>
      <c r="C1304" s="190"/>
      <c r="D1304" s="190"/>
      <c r="E1304" s="190"/>
    </row>
    <row r="1305" hidden="1">
      <c r="A1305" s="189"/>
      <c r="B1305" s="189"/>
      <c r="C1305" s="190"/>
      <c r="D1305" s="190"/>
      <c r="E1305" s="190"/>
    </row>
    <row r="1306" hidden="1">
      <c r="A1306" s="189"/>
      <c r="B1306" s="189"/>
      <c r="C1306" s="190"/>
      <c r="D1306" s="190"/>
      <c r="E1306" s="190"/>
    </row>
    <row r="1307" hidden="1">
      <c r="A1307" s="189"/>
      <c r="B1307" s="189"/>
      <c r="C1307" s="190"/>
      <c r="D1307" s="190"/>
      <c r="E1307" s="190"/>
    </row>
    <row r="1308" hidden="1">
      <c r="A1308" s="189"/>
      <c r="B1308" s="189"/>
      <c r="C1308" s="190"/>
      <c r="D1308" s="190"/>
      <c r="E1308" s="190"/>
    </row>
    <row r="1309" hidden="1">
      <c r="A1309" s="189"/>
      <c r="B1309" s="189"/>
      <c r="C1309" s="190"/>
      <c r="D1309" s="190"/>
      <c r="E1309" s="190"/>
    </row>
    <row r="1310" hidden="1">
      <c r="A1310" s="189"/>
      <c r="B1310" s="189"/>
      <c r="C1310" s="190"/>
      <c r="D1310" s="190"/>
      <c r="E1310" s="190"/>
    </row>
    <row r="1311" hidden="1">
      <c r="A1311" s="189"/>
      <c r="B1311" s="189"/>
      <c r="C1311" s="190"/>
      <c r="D1311" s="190"/>
      <c r="E1311" s="190"/>
    </row>
    <row r="1312" hidden="1">
      <c r="A1312" s="189"/>
      <c r="B1312" s="189"/>
      <c r="C1312" s="190"/>
      <c r="D1312" s="190"/>
      <c r="E1312" s="190"/>
    </row>
    <row r="1313" hidden="1">
      <c r="A1313" s="189"/>
      <c r="B1313" s="189"/>
      <c r="C1313" s="190"/>
      <c r="D1313" s="190"/>
      <c r="E1313" s="190"/>
    </row>
    <row r="1314" hidden="1">
      <c r="A1314" s="189"/>
      <c r="B1314" s="189"/>
      <c r="C1314" s="190"/>
      <c r="D1314" s="190"/>
      <c r="E1314" s="190"/>
    </row>
    <row r="1315" hidden="1">
      <c r="A1315" s="189"/>
      <c r="B1315" s="189"/>
      <c r="C1315" s="190"/>
      <c r="D1315" s="190"/>
      <c r="E1315" s="190"/>
    </row>
    <row r="1316" hidden="1">
      <c r="A1316" s="189"/>
      <c r="B1316" s="189"/>
      <c r="C1316" s="190"/>
      <c r="D1316" s="190"/>
      <c r="E1316" s="190"/>
    </row>
    <row r="1317" hidden="1">
      <c r="A1317" s="189"/>
      <c r="B1317" s="189"/>
      <c r="C1317" s="190"/>
      <c r="D1317" s="190"/>
      <c r="E1317" s="190"/>
    </row>
    <row r="1318" hidden="1">
      <c r="A1318" s="189"/>
      <c r="B1318" s="189"/>
      <c r="C1318" s="190"/>
      <c r="D1318" s="190"/>
      <c r="E1318" s="190"/>
    </row>
    <row r="1319" hidden="1">
      <c r="A1319" s="189"/>
      <c r="B1319" s="189"/>
      <c r="C1319" s="190"/>
      <c r="D1319" s="190"/>
      <c r="E1319" s="190"/>
    </row>
    <row r="1320" hidden="1">
      <c r="A1320" s="189"/>
      <c r="B1320" s="189"/>
      <c r="C1320" s="190"/>
      <c r="D1320" s="190"/>
      <c r="E1320" s="190"/>
    </row>
    <row r="1321" hidden="1">
      <c r="A1321" s="189"/>
      <c r="B1321" s="189"/>
      <c r="C1321" s="190"/>
      <c r="D1321" s="190"/>
      <c r="E1321" s="190"/>
    </row>
    <row r="1322" hidden="1">
      <c r="A1322" s="189"/>
      <c r="B1322" s="189"/>
      <c r="C1322" s="190"/>
      <c r="D1322" s="190"/>
      <c r="E1322" s="190"/>
    </row>
    <row r="1323" hidden="1">
      <c r="A1323" s="189"/>
      <c r="B1323" s="189"/>
      <c r="C1323" s="190"/>
      <c r="D1323" s="190"/>
      <c r="E1323" s="190"/>
    </row>
    <row r="1324" hidden="1">
      <c r="A1324" s="189"/>
      <c r="B1324" s="189"/>
      <c r="C1324" s="190"/>
      <c r="D1324" s="190"/>
      <c r="E1324" s="190"/>
    </row>
    <row r="1325" hidden="1">
      <c r="A1325" s="189"/>
      <c r="B1325" s="189"/>
      <c r="C1325" s="190"/>
      <c r="D1325" s="190"/>
      <c r="E1325" s="190"/>
    </row>
    <row r="1326" hidden="1">
      <c r="A1326" s="189"/>
      <c r="B1326" s="189"/>
      <c r="C1326" s="190"/>
      <c r="D1326" s="190"/>
      <c r="E1326" s="190"/>
    </row>
    <row r="1327" hidden="1">
      <c r="A1327" s="189"/>
      <c r="B1327" s="189"/>
      <c r="C1327" s="190"/>
      <c r="D1327" s="190"/>
      <c r="E1327" s="190"/>
    </row>
    <row r="1328" hidden="1">
      <c r="A1328" s="189"/>
      <c r="B1328" s="189"/>
      <c r="C1328" s="190"/>
      <c r="D1328" s="190"/>
      <c r="E1328" s="190"/>
    </row>
    <row r="1329" hidden="1">
      <c r="A1329" s="189"/>
      <c r="B1329" s="189"/>
      <c r="C1329" s="190"/>
      <c r="D1329" s="190"/>
      <c r="E1329" s="190"/>
    </row>
    <row r="1330" hidden="1">
      <c r="A1330" s="189"/>
      <c r="B1330" s="189"/>
      <c r="C1330" s="190"/>
      <c r="D1330" s="190"/>
      <c r="E1330" s="190"/>
    </row>
    <row r="1331" hidden="1">
      <c r="A1331" s="189"/>
      <c r="B1331" s="189"/>
      <c r="C1331" s="190"/>
      <c r="D1331" s="190"/>
      <c r="E1331" s="190"/>
    </row>
    <row r="1332" hidden="1">
      <c r="A1332" s="189"/>
      <c r="B1332" s="189"/>
      <c r="C1332" s="190"/>
      <c r="D1332" s="190"/>
      <c r="E1332" s="190"/>
    </row>
    <row r="1333" hidden="1">
      <c r="A1333" s="189"/>
      <c r="B1333" s="189"/>
      <c r="C1333" s="190"/>
      <c r="D1333" s="190"/>
      <c r="E1333" s="190"/>
    </row>
    <row r="1334" hidden="1">
      <c r="A1334" s="189"/>
      <c r="B1334" s="189"/>
      <c r="C1334" s="190"/>
      <c r="D1334" s="190"/>
      <c r="E1334" s="190"/>
    </row>
    <row r="1335" hidden="1">
      <c r="A1335" s="189"/>
      <c r="B1335" s="189"/>
      <c r="C1335" s="190"/>
      <c r="D1335" s="190"/>
      <c r="E1335" s="190"/>
    </row>
    <row r="1336" hidden="1">
      <c r="A1336" s="189"/>
      <c r="B1336" s="189"/>
      <c r="C1336" s="190"/>
      <c r="D1336" s="190"/>
      <c r="E1336" s="190"/>
    </row>
    <row r="1337" hidden="1">
      <c r="A1337" s="189"/>
      <c r="B1337" s="189"/>
      <c r="C1337" s="190"/>
      <c r="D1337" s="190"/>
      <c r="E1337" s="190"/>
    </row>
    <row r="1338" hidden="1">
      <c r="A1338" s="189"/>
      <c r="B1338" s="189"/>
      <c r="C1338" s="190"/>
      <c r="D1338" s="190"/>
      <c r="E1338" s="190"/>
    </row>
    <row r="1339" hidden="1">
      <c r="A1339" s="189"/>
      <c r="B1339" s="189"/>
      <c r="C1339" s="190"/>
      <c r="D1339" s="190"/>
      <c r="E1339" s="190"/>
    </row>
    <row r="1340" hidden="1">
      <c r="A1340" s="189"/>
      <c r="B1340" s="189"/>
      <c r="C1340" s="190"/>
      <c r="D1340" s="190"/>
      <c r="E1340" s="190"/>
    </row>
    <row r="1341" hidden="1">
      <c r="A1341" s="189"/>
      <c r="B1341" s="189"/>
      <c r="C1341" s="190"/>
      <c r="D1341" s="190"/>
      <c r="E1341" s="190"/>
    </row>
    <row r="1342" hidden="1">
      <c r="A1342" s="189"/>
      <c r="B1342" s="189"/>
      <c r="C1342" s="190"/>
      <c r="D1342" s="190"/>
      <c r="E1342" s="190"/>
    </row>
    <row r="1343" hidden="1">
      <c r="A1343" s="189"/>
      <c r="B1343" s="189"/>
      <c r="C1343" s="190"/>
      <c r="D1343" s="190"/>
      <c r="E1343" s="190"/>
    </row>
    <row r="1344" hidden="1">
      <c r="A1344" s="189"/>
      <c r="B1344" s="189"/>
      <c r="C1344" s="190"/>
      <c r="D1344" s="190"/>
      <c r="E1344" s="190"/>
    </row>
    <row r="1345" hidden="1">
      <c r="A1345" s="189"/>
      <c r="B1345" s="189"/>
      <c r="C1345" s="190"/>
      <c r="D1345" s="190"/>
      <c r="E1345" s="190"/>
    </row>
    <row r="1346" hidden="1">
      <c r="A1346" s="189"/>
      <c r="B1346" s="189"/>
      <c r="C1346" s="190"/>
      <c r="D1346" s="190"/>
      <c r="E1346" s="190"/>
    </row>
    <row r="1347" hidden="1">
      <c r="A1347" s="189"/>
      <c r="B1347" s="189"/>
      <c r="C1347" s="190"/>
      <c r="D1347" s="190"/>
      <c r="E1347" s="190"/>
    </row>
    <row r="1348" hidden="1">
      <c r="A1348" s="189"/>
      <c r="B1348" s="189"/>
      <c r="C1348" s="190"/>
      <c r="D1348" s="190"/>
      <c r="E1348" s="190"/>
    </row>
    <row r="1349" hidden="1">
      <c r="A1349" s="189"/>
      <c r="B1349" s="189"/>
      <c r="C1349" s="190"/>
      <c r="D1349" s="190"/>
      <c r="E1349" s="190"/>
    </row>
    <row r="1350" hidden="1">
      <c r="A1350" s="189"/>
      <c r="B1350" s="189"/>
      <c r="C1350" s="190"/>
      <c r="D1350" s="190"/>
      <c r="E1350" s="190"/>
    </row>
    <row r="1351" hidden="1">
      <c r="A1351" s="189"/>
      <c r="B1351" s="189"/>
      <c r="C1351" s="190"/>
      <c r="D1351" s="190"/>
      <c r="E1351" s="190"/>
    </row>
    <row r="1352" hidden="1">
      <c r="A1352" s="189"/>
      <c r="B1352" s="189"/>
      <c r="C1352" s="190"/>
      <c r="D1352" s="190"/>
      <c r="E1352" s="190"/>
    </row>
    <row r="1353" hidden="1">
      <c r="A1353" s="189"/>
      <c r="B1353" s="189"/>
      <c r="C1353" s="190"/>
      <c r="D1353" s="190"/>
      <c r="E1353" s="190"/>
    </row>
    <row r="1354" hidden="1">
      <c r="A1354" s="189"/>
      <c r="B1354" s="189"/>
      <c r="C1354" s="190"/>
      <c r="D1354" s="190"/>
      <c r="E1354" s="190"/>
    </row>
    <row r="1355" hidden="1">
      <c r="A1355" s="189"/>
      <c r="B1355" s="189"/>
      <c r="C1355" s="190"/>
      <c r="D1355" s="190"/>
      <c r="E1355" s="190"/>
    </row>
    <row r="1356" hidden="1">
      <c r="A1356" s="189"/>
      <c r="B1356" s="189"/>
      <c r="C1356" s="190"/>
      <c r="D1356" s="190"/>
      <c r="E1356" s="190"/>
    </row>
    <row r="1357" hidden="1">
      <c r="A1357" s="189"/>
      <c r="B1357" s="189"/>
      <c r="C1357" s="190"/>
      <c r="D1357" s="190"/>
      <c r="E1357" s="190"/>
    </row>
    <row r="1358" hidden="1">
      <c r="A1358" s="189"/>
      <c r="B1358" s="189"/>
      <c r="C1358" s="190"/>
      <c r="D1358" s="190"/>
      <c r="E1358" s="190"/>
    </row>
    <row r="1359" hidden="1">
      <c r="A1359" s="189"/>
      <c r="B1359" s="189"/>
      <c r="C1359" s="190"/>
      <c r="D1359" s="190"/>
      <c r="E1359" s="190"/>
    </row>
    <row r="1360" hidden="1">
      <c r="A1360" s="189"/>
      <c r="B1360" s="189"/>
      <c r="C1360" s="190"/>
      <c r="D1360" s="190"/>
      <c r="E1360" s="190"/>
    </row>
    <row r="1361" hidden="1">
      <c r="A1361" s="189"/>
      <c r="B1361" s="189"/>
      <c r="C1361" s="190"/>
      <c r="D1361" s="190"/>
      <c r="E1361" s="190"/>
    </row>
    <row r="1362" hidden="1">
      <c r="A1362" s="189"/>
      <c r="B1362" s="189"/>
      <c r="C1362" s="190"/>
      <c r="D1362" s="190"/>
      <c r="E1362" s="190"/>
    </row>
    <row r="1363" hidden="1">
      <c r="A1363" s="189"/>
      <c r="B1363" s="189"/>
      <c r="C1363" s="190"/>
      <c r="D1363" s="190"/>
      <c r="E1363" s="190"/>
    </row>
    <row r="1364" hidden="1">
      <c r="A1364" s="189"/>
      <c r="B1364" s="189"/>
      <c r="C1364" s="190"/>
      <c r="D1364" s="190"/>
      <c r="E1364" s="190"/>
    </row>
    <row r="1365" hidden="1">
      <c r="A1365" s="189"/>
      <c r="B1365" s="189"/>
      <c r="C1365" s="190"/>
      <c r="D1365" s="190"/>
      <c r="E1365" s="190"/>
    </row>
    <row r="1366" hidden="1">
      <c r="A1366" s="189"/>
      <c r="B1366" s="189"/>
      <c r="C1366" s="190"/>
      <c r="D1366" s="190"/>
      <c r="E1366" s="190"/>
    </row>
    <row r="1367" hidden="1">
      <c r="A1367" s="189"/>
      <c r="B1367" s="189"/>
      <c r="C1367" s="190"/>
      <c r="D1367" s="190"/>
      <c r="E1367" s="190"/>
    </row>
    <row r="1368" hidden="1">
      <c r="A1368" s="189"/>
      <c r="B1368" s="189"/>
      <c r="C1368" s="190"/>
      <c r="D1368" s="190"/>
      <c r="E1368" s="190"/>
    </row>
    <row r="1369" hidden="1">
      <c r="A1369" s="189"/>
      <c r="B1369" s="189"/>
      <c r="C1369" s="190"/>
      <c r="D1369" s="190"/>
      <c r="E1369" s="190"/>
    </row>
    <row r="1370" hidden="1">
      <c r="A1370" s="189"/>
      <c r="B1370" s="189"/>
      <c r="C1370" s="190"/>
      <c r="D1370" s="190"/>
      <c r="E1370" s="190"/>
    </row>
    <row r="1371" hidden="1">
      <c r="A1371" s="189"/>
      <c r="B1371" s="189"/>
      <c r="C1371" s="190"/>
      <c r="D1371" s="190"/>
      <c r="E1371" s="190"/>
    </row>
    <row r="1372" hidden="1">
      <c r="A1372" s="189"/>
      <c r="B1372" s="189"/>
      <c r="C1372" s="190"/>
      <c r="D1372" s="190"/>
      <c r="E1372" s="190"/>
    </row>
    <row r="1373" hidden="1">
      <c r="A1373" s="189"/>
      <c r="B1373" s="189"/>
      <c r="C1373" s="190"/>
      <c r="D1373" s="190"/>
      <c r="E1373" s="190"/>
    </row>
    <row r="1374" hidden="1">
      <c r="A1374" s="189"/>
      <c r="B1374" s="189"/>
      <c r="C1374" s="190"/>
      <c r="D1374" s="190"/>
      <c r="E1374" s="190"/>
    </row>
    <row r="1375" hidden="1">
      <c r="A1375" s="189"/>
      <c r="B1375" s="189"/>
      <c r="C1375" s="190"/>
      <c r="D1375" s="190"/>
      <c r="E1375" s="190"/>
    </row>
    <row r="1376" hidden="1">
      <c r="A1376" s="189"/>
      <c r="B1376" s="189"/>
      <c r="C1376" s="190"/>
      <c r="D1376" s="190"/>
      <c r="E1376" s="190"/>
    </row>
    <row r="1377" hidden="1">
      <c r="A1377" s="189"/>
      <c r="B1377" s="189"/>
      <c r="C1377" s="190"/>
      <c r="D1377" s="190"/>
      <c r="E1377" s="190"/>
    </row>
    <row r="1378" hidden="1">
      <c r="A1378" s="189"/>
      <c r="B1378" s="189"/>
      <c r="C1378" s="190"/>
      <c r="D1378" s="190"/>
      <c r="E1378" s="190"/>
    </row>
    <row r="1379" hidden="1">
      <c r="A1379" s="189"/>
      <c r="B1379" s="189"/>
      <c r="C1379" s="190"/>
      <c r="D1379" s="190"/>
      <c r="E1379" s="190"/>
    </row>
    <row r="1380" hidden="1">
      <c r="A1380" s="189"/>
      <c r="B1380" s="189"/>
      <c r="C1380" s="190"/>
      <c r="D1380" s="190"/>
      <c r="E1380" s="190"/>
    </row>
    <row r="1381" hidden="1">
      <c r="A1381" s="189"/>
      <c r="B1381" s="189"/>
      <c r="C1381" s="190"/>
      <c r="D1381" s="190"/>
      <c r="E1381" s="190"/>
    </row>
    <row r="1382" hidden="1">
      <c r="A1382" s="189"/>
      <c r="B1382" s="189"/>
      <c r="C1382" s="190"/>
      <c r="D1382" s="190"/>
      <c r="E1382" s="190"/>
    </row>
    <row r="1383" hidden="1">
      <c r="A1383" s="189"/>
      <c r="B1383" s="189"/>
      <c r="C1383" s="190"/>
      <c r="D1383" s="190"/>
      <c r="E1383" s="190"/>
    </row>
    <row r="1384" hidden="1">
      <c r="A1384" s="189"/>
      <c r="B1384" s="189"/>
      <c r="C1384" s="190"/>
      <c r="D1384" s="190"/>
      <c r="E1384" s="190"/>
    </row>
    <row r="1385" hidden="1">
      <c r="A1385" s="189"/>
      <c r="B1385" s="189"/>
      <c r="C1385" s="190"/>
      <c r="D1385" s="190"/>
      <c r="E1385" s="190"/>
    </row>
    <row r="1386" hidden="1">
      <c r="A1386" s="189"/>
      <c r="B1386" s="189"/>
      <c r="C1386" s="190"/>
      <c r="D1386" s="190"/>
      <c r="E1386" s="190"/>
    </row>
    <row r="1387" hidden="1">
      <c r="A1387" s="189"/>
      <c r="B1387" s="189"/>
      <c r="C1387" s="190"/>
      <c r="D1387" s="190"/>
      <c r="E1387" s="190"/>
    </row>
    <row r="1388" hidden="1">
      <c r="A1388" s="189"/>
      <c r="B1388" s="189"/>
      <c r="C1388" s="190"/>
      <c r="D1388" s="190"/>
      <c r="E1388" s="190"/>
    </row>
    <row r="1389" hidden="1">
      <c r="A1389" s="189"/>
      <c r="B1389" s="189"/>
      <c r="C1389" s="190"/>
      <c r="D1389" s="190"/>
      <c r="E1389" s="190"/>
    </row>
    <row r="1390" hidden="1">
      <c r="A1390" s="189"/>
      <c r="B1390" s="189"/>
      <c r="C1390" s="190"/>
      <c r="D1390" s="190"/>
      <c r="E1390" s="190"/>
    </row>
    <row r="1391" hidden="1">
      <c r="A1391" s="189"/>
      <c r="B1391" s="189"/>
      <c r="C1391" s="190"/>
      <c r="D1391" s="190"/>
      <c r="E1391" s="190"/>
    </row>
    <row r="1392" hidden="1">
      <c r="A1392" s="189"/>
      <c r="B1392" s="189"/>
      <c r="C1392" s="190"/>
      <c r="D1392" s="190"/>
      <c r="E1392" s="190"/>
    </row>
    <row r="1393" hidden="1">
      <c r="A1393" s="189"/>
      <c r="B1393" s="189"/>
      <c r="C1393" s="190"/>
      <c r="D1393" s="190"/>
      <c r="E1393" s="190"/>
    </row>
    <row r="1394" hidden="1">
      <c r="A1394" s="189"/>
      <c r="B1394" s="189"/>
      <c r="C1394" s="190"/>
      <c r="D1394" s="190"/>
      <c r="E1394" s="190"/>
    </row>
    <row r="1395" hidden="1">
      <c r="A1395" s="189"/>
      <c r="B1395" s="189"/>
      <c r="C1395" s="190"/>
      <c r="D1395" s="190"/>
      <c r="E1395" s="190"/>
    </row>
    <row r="1396" hidden="1">
      <c r="A1396" s="189"/>
      <c r="B1396" s="189"/>
      <c r="C1396" s="190"/>
      <c r="D1396" s="190"/>
      <c r="E1396" s="190"/>
    </row>
    <row r="1397" hidden="1">
      <c r="A1397" s="189"/>
      <c r="B1397" s="189"/>
      <c r="C1397" s="190"/>
      <c r="D1397" s="190"/>
      <c r="E1397" s="190"/>
    </row>
    <row r="1398" hidden="1">
      <c r="A1398" s="189"/>
      <c r="B1398" s="189"/>
      <c r="C1398" s="190"/>
      <c r="D1398" s="190"/>
      <c r="E1398" s="190"/>
    </row>
    <row r="1399" hidden="1">
      <c r="A1399" s="189"/>
      <c r="B1399" s="189"/>
      <c r="C1399" s="190"/>
      <c r="D1399" s="190"/>
      <c r="E1399" s="190"/>
    </row>
    <row r="1400" hidden="1">
      <c r="A1400" s="189"/>
      <c r="B1400" s="189"/>
      <c r="C1400" s="190"/>
      <c r="D1400" s="190"/>
      <c r="E1400" s="190"/>
    </row>
    <row r="1401" hidden="1">
      <c r="A1401" s="189"/>
      <c r="B1401" s="189"/>
      <c r="C1401" s="190"/>
      <c r="D1401" s="190"/>
      <c r="E1401" s="190"/>
    </row>
    <row r="1402" hidden="1">
      <c r="A1402" s="189"/>
      <c r="B1402" s="189"/>
      <c r="C1402" s="190"/>
      <c r="D1402" s="190"/>
      <c r="E1402" s="190"/>
    </row>
    <row r="1403" hidden="1">
      <c r="A1403" s="189"/>
      <c r="B1403" s="189"/>
      <c r="C1403" s="190"/>
      <c r="D1403" s="190"/>
      <c r="E1403" s="190"/>
    </row>
    <row r="1404" hidden="1">
      <c r="A1404" s="189"/>
      <c r="B1404" s="189"/>
      <c r="C1404" s="190"/>
      <c r="D1404" s="190"/>
      <c r="E1404" s="190"/>
    </row>
    <row r="1405" hidden="1">
      <c r="A1405" s="189"/>
      <c r="B1405" s="189"/>
      <c r="C1405" s="190"/>
      <c r="D1405" s="190"/>
      <c r="E1405" s="190"/>
    </row>
    <row r="1406" hidden="1">
      <c r="A1406" s="189"/>
      <c r="B1406" s="189"/>
      <c r="C1406" s="190"/>
      <c r="D1406" s="190"/>
      <c r="E1406" s="190"/>
    </row>
    <row r="1407" hidden="1">
      <c r="A1407" s="189"/>
      <c r="B1407" s="189"/>
      <c r="C1407" s="190"/>
      <c r="D1407" s="190"/>
      <c r="E1407" s="190"/>
    </row>
    <row r="1408" hidden="1">
      <c r="A1408" s="189"/>
      <c r="B1408" s="189"/>
      <c r="C1408" s="190"/>
      <c r="D1408" s="190"/>
      <c r="E1408" s="190"/>
    </row>
    <row r="1409" hidden="1">
      <c r="A1409" s="189"/>
      <c r="B1409" s="189"/>
      <c r="C1409" s="190"/>
      <c r="D1409" s="190"/>
      <c r="E1409" s="190"/>
    </row>
    <row r="1410" hidden="1">
      <c r="A1410" s="189"/>
      <c r="B1410" s="189"/>
      <c r="C1410" s="190"/>
      <c r="D1410" s="190"/>
      <c r="E1410" s="190"/>
    </row>
    <row r="1411" hidden="1">
      <c r="A1411" s="189"/>
      <c r="B1411" s="189"/>
      <c r="C1411" s="190"/>
      <c r="D1411" s="190"/>
      <c r="E1411" s="190"/>
    </row>
    <row r="1412" hidden="1">
      <c r="A1412" s="189"/>
      <c r="B1412" s="189"/>
      <c r="C1412" s="190"/>
      <c r="D1412" s="190"/>
      <c r="E1412" s="190"/>
    </row>
    <row r="1413" hidden="1">
      <c r="A1413" s="189"/>
      <c r="B1413" s="189"/>
      <c r="C1413" s="190"/>
      <c r="D1413" s="190"/>
      <c r="E1413" s="190"/>
    </row>
    <row r="1414" hidden="1">
      <c r="A1414" s="189"/>
      <c r="B1414" s="189"/>
      <c r="C1414" s="190"/>
      <c r="D1414" s="190"/>
      <c r="E1414" s="190"/>
    </row>
    <row r="1415" hidden="1">
      <c r="A1415" s="189"/>
      <c r="B1415" s="189"/>
      <c r="C1415" s="190"/>
      <c r="D1415" s="190"/>
      <c r="E1415" s="190"/>
    </row>
    <row r="1416" hidden="1">
      <c r="A1416" s="189"/>
      <c r="B1416" s="189"/>
      <c r="C1416" s="190"/>
      <c r="D1416" s="190"/>
      <c r="E1416" s="190"/>
    </row>
    <row r="1417" hidden="1">
      <c r="A1417" s="189"/>
      <c r="B1417" s="189"/>
      <c r="C1417" s="190"/>
      <c r="D1417" s="190"/>
      <c r="E1417" s="190"/>
    </row>
    <row r="1418" hidden="1">
      <c r="A1418" s="189"/>
      <c r="B1418" s="189"/>
      <c r="C1418" s="190"/>
      <c r="D1418" s="190"/>
      <c r="E1418" s="190"/>
    </row>
    <row r="1419" hidden="1">
      <c r="A1419" s="189"/>
      <c r="B1419" s="189"/>
      <c r="C1419" s="190"/>
      <c r="D1419" s="190"/>
      <c r="E1419" s="190"/>
    </row>
    <row r="1420" hidden="1">
      <c r="A1420" s="189"/>
      <c r="B1420" s="189"/>
      <c r="C1420" s="190"/>
      <c r="D1420" s="190"/>
      <c r="E1420" s="190"/>
    </row>
    <row r="1421" hidden="1">
      <c r="A1421" s="189"/>
      <c r="B1421" s="189"/>
      <c r="C1421" s="190"/>
      <c r="D1421" s="190"/>
      <c r="E1421" s="190"/>
    </row>
    <row r="1422" hidden="1">
      <c r="A1422" s="189"/>
      <c r="B1422" s="189"/>
      <c r="C1422" s="190"/>
      <c r="D1422" s="190"/>
      <c r="E1422" s="190"/>
    </row>
    <row r="1423" hidden="1">
      <c r="A1423" s="189"/>
      <c r="B1423" s="189"/>
      <c r="C1423" s="190"/>
      <c r="D1423" s="190"/>
      <c r="E1423" s="190"/>
    </row>
    <row r="1424" hidden="1">
      <c r="A1424" s="189"/>
      <c r="B1424" s="189"/>
      <c r="C1424" s="190"/>
      <c r="D1424" s="190"/>
      <c r="E1424" s="190"/>
    </row>
    <row r="1425" hidden="1">
      <c r="A1425" s="189"/>
      <c r="B1425" s="189"/>
      <c r="C1425" s="190"/>
      <c r="D1425" s="190"/>
      <c r="E1425" s="190"/>
    </row>
    <row r="1426" hidden="1">
      <c r="A1426" s="189"/>
      <c r="B1426" s="189"/>
      <c r="C1426" s="190"/>
      <c r="D1426" s="190"/>
      <c r="E1426" s="190"/>
    </row>
    <row r="1427" hidden="1">
      <c r="A1427" s="189"/>
      <c r="B1427" s="189"/>
      <c r="C1427" s="190"/>
      <c r="D1427" s="190"/>
      <c r="E1427" s="190"/>
    </row>
    <row r="1428" hidden="1">
      <c r="A1428" s="189"/>
      <c r="B1428" s="189"/>
      <c r="C1428" s="190"/>
      <c r="D1428" s="190"/>
      <c r="E1428" s="190"/>
    </row>
    <row r="1429" hidden="1">
      <c r="A1429" s="189"/>
      <c r="B1429" s="189"/>
      <c r="C1429" s="190"/>
      <c r="D1429" s="190"/>
      <c r="E1429" s="190"/>
    </row>
    <row r="1430" hidden="1">
      <c r="A1430" s="189"/>
      <c r="B1430" s="189"/>
      <c r="C1430" s="190"/>
      <c r="D1430" s="190"/>
      <c r="E1430" s="190"/>
    </row>
    <row r="1431" hidden="1">
      <c r="A1431" s="189"/>
      <c r="B1431" s="189"/>
      <c r="C1431" s="190"/>
      <c r="D1431" s="190"/>
      <c r="E1431" s="190"/>
    </row>
    <row r="1432" hidden="1">
      <c r="A1432" s="189"/>
      <c r="B1432" s="189"/>
      <c r="C1432" s="190"/>
      <c r="D1432" s="190"/>
      <c r="E1432" s="190"/>
    </row>
    <row r="1433" hidden="1">
      <c r="A1433" s="189"/>
      <c r="B1433" s="189"/>
      <c r="C1433" s="190"/>
      <c r="D1433" s="190"/>
      <c r="E1433" s="190"/>
    </row>
    <row r="1434" hidden="1">
      <c r="A1434" s="189"/>
      <c r="B1434" s="189"/>
      <c r="C1434" s="190"/>
      <c r="D1434" s="190"/>
      <c r="E1434" s="190"/>
    </row>
    <row r="1435" hidden="1">
      <c r="A1435" s="189"/>
      <c r="B1435" s="189"/>
      <c r="C1435" s="190"/>
      <c r="D1435" s="190"/>
      <c r="E1435" s="190"/>
    </row>
    <row r="1436" hidden="1">
      <c r="A1436" s="189"/>
      <c r="B1436" s="189"/>
      <c r="C1436" s="190"/>
      <c r="D1436" s="190"/>
      <c r="E1436" s="190"/>
    </row>
    <row r="1437" hidden="1">
      <c r="A1437" s="189"/>
      <c r="B1437" s="189"/>
      <c r="C1437" s="190"/>
      <c r="D1437" s="190"/>
      <c r="E1437" s="190"/>
    </row>
    <row r="1438" hidden="1">
      <c r="A1438" s="189"/>
      <c r="B1438" s="189"/>
      <c r="C1438" s="190"/>
      <c r="D1438" s="190"/>
      <c r="E1438" s="190"/>
    </row>
    <row r="1439" hidden="1">
      <c r="A1439" s="189"/>
      <c r="B1439" s="189"/>
      <c r="C1439" s="190"/>
      <c r="D1439" s="190"/>
      <c r="E1439" s="190"/>
    </row>
    <row r="1440" hidden="1">
      <c r="A1440" s="189"/>
      <c r="B1440" s="189"/>
      <c r="C1440" s="190"/>
      <c r="D1440" s="190"/>
      <c r="E1440" s="190"/>
    </row>
    <row r="1441" hidden="1">
      <c r="A1441" s="189"/>
      <c r="B1441" s="189"/>
      <c r="C1441" s="190"/>
      <c r="D1441" s="190"/>
      <c r="E1441" s="190"/>
    </row>
    <row r="1442" hidden="1">
      <c r="A1442" s="189"/>
      <c r="B1442" s="189"/>
      <c r="C1442" s="190"/>
      <c r="D1442" s="190"/>
      <c r="E1442" s="190"/>
    </row>
    <row r="1443" hidden="1">
      <c r="A1443" s="189"/>
      <c r="B1443" s="189"/>
      <c r="C1443" s="190"/>
      <c r="D1443" s="190"/>
      <c r="E1443" s="190"/>
    </row>
    <row r="1444" hidden="1">
      <c r="A1444" s="189"/>
      <c r="B1444" s="189"/>
      <c r="C1444" s="190"/>
      <c r="D1444" s="190"/>
      <c r="E1444" s="190"/>
    </row>
    <row r="1445" hidden="1">
      <c r="A1445" s="189"/>
      <c r="B1445" s="189"/>
      <c r="C1445" s="190"/>
      <c r="D1445" s="190"/>
      <c r="E1445" s="190"/>
    </row>
    <row r="1446" hidden="1">
      <c r="A1446" s="189"/>
      <c r="B1446" s="189"/>
      <c r="C1446" s="190"/>
      <c r="D1446" s="190"/>
      <c r="E1446" s="190"/>
    </row>
    <row r="1447" hidden="1">
      <c r="A1447" s="189"/>
      <c r="B1447" s="189"/>
      <c r="C1447" s="190"/>
      <c r="D1447" s="190"/>
      <c r="E1447" s="190"/>
    </row>
    <row r="1448" hidden="1">
      <c r="A1448" s="189"/>
      <c r="B1448" s="189"/>
      <c r="C1448" s="190"/>
      <c r="D1448" s="190"/>
      <c r="E1448" s="190"/>
    </row>
    <row r="1449" hidden="1">
      <c r="A1449" s="189"/>
      <c r="B1449" s="189"/>
      <c r="C1449" s="190"/>
      <c r="D1449" s="190"/>
      <c r="E1449" s="190"/>
    </row>
    <row r="1450" hidden="1">
      <c r="A1450" s="189"/>
      <c r="B1450" s="189"/>
      <c r="C1450" s="190"/>
      <c r="D1450" s="190"/>
      <c r="E1450" s="190"/>
    </row>
    <row r="1451" hidden="1">
      <c r="A1451" s="189"/>
      <c r="B1451" s="189"/>
      <c r="C1451" s="190"/>
      <c r="D1451" s="190"/>
      <c r="E1451" s="190"/>
    </row>
    <row r="1452" hidden="1">
      <c r="A1452" s="189"/>
      <c r="B1452" s="189"/>
      <c r="C1452" s="190"/>
      <c r="D1452" s="190"/>
      <c r="E1452" s="190"/>
    </row>
    <row r="1453" hidden="1">
      <c r="A1453" s="189"/>
      <c r="B1453" s="189"/>
      <c r="C1453" s="190"/>
      <c r="D1453" s="190"/>
      <c r="E1453" s="190"/>
    </row>
    <row r="1454" hidden="1">
      <c r="A1454" s="189"/>
      <c r="B1454" s="189"/>
      <c r="C1454" s="190"/>
      <c r="D1454" s="190"/>
      <c r="E1454" s="190"/>
    </row>
    <row r="1455" hidden="1">
      <c r="A1455" s="189"/>
      <c r="B1455" s="189"/>
      <c r="C1455" s="190"/>
      <c r="D1455" s="190"/>
      <c r="E1455" s="190"/>
    </row>
    <row r="1456" hidden="1">
      <c r="A1456" s="189"/>
      <c r="B1456" s="189"/>
      <c r="C1456" s="190"/>
      <c r="D1456" s="190"/>
      <c r="E1456" s="190"/>
    </row>
    <row r="1457" hidden="1">
      <c r="A1457" s="189"/>
      <c r="B1457" s="189"/>
      <c r="C1457" s="190"/>
      <c r="D1457" s="190"/>
      <c r="E1457" s="190"/>
    </row>
    <row r="1458" hidden="1">
      <c r="A1458" s="189"/>
      <c r="B1458" s="189"/>
      <c r="C1458" s="190"/>
      <c r="D1458" s="190"/>
      <c r="E1458" s="190"/>
    </row>
    <row r="1459" hidden="1">
      <c r="A1459" s="189"/>
      <c r="B1459" s="189"/>
      <c r="C1459" s="190"/>
      <c r="D1459" s="190"/>
      <c r="E1459" s="190"/>
    </row>
    <row r="1460" hidden="1">
      <c r="A1460" s="189"/>
      <c r="B1460" s="189"/>
      <c r="C1460" s="190"/>
      <c r="D1460" s="190"/>
      <c r="E1460" s="190"/>
    </row>
    <row r="1461" hidden="1">
      <c r="A1461" s="189"/>
      <c r="B1461" s="189"/>
      <c r="C1461" s="190"/>
      <c r="D1461" s="190"/>
      <c r="E1461" s="190"/>
    </row>
    <row r="1462" hidden="1">
      <c r="A1462" s="189"/>
      <c r="B1462" s="189"/>
      <c r="C1462" s="190"/>
      <c r="D1462" s="190"/>
      <c r="E1462" s="190"/>
    </row>
    <row r="1463" hidden="1">
      <c r="A1463" s="189"/>
      <c r="B1463" s="189"/>
      <c r="C1463" s="190"/>
      <c r="D1463" s="190"/>
      <c r="E1463" s="190"/>
    </row>
    <row r="1464" hidden="1">
      <c r="A1464" s="189"/>
      <c r="B1464" s="189"/>
      <c r="C1464" s="190"/>
      <c r="D1464" s="190"/>
      <c r="E1464" s="190"/>
    </row>
    <row r="1465" hidden="1">
      <c r="A1465" s="189"/>
      <c r="B1465" s="189"/>
      <c r="C1465" s="190"/>
      <c r="D1465" s="190"/>
      <c r="E1465" s="190"/>
    </row>
    <row r="1466" hidden="1">
      <c r="A1466" s="189"/>
      <c r="B1466" s="189"/>
      <c r="C1466" s="190"/>
      <c r="D1466" s="190"/>
      <c r="E1466" s="190"/>
    </row>
    <row r="1467" hidden="1">
      <c r="A1467" s="189"/>
      <c r="B1467" s="189"/>
      <c r="C1467" s="190"/>
      <c r="D1467" s="190"/>
      <c r="E1467" s="190"/>
    </row>
    <row r="1468" hidden="1">
      <c r="A1468" s="189"/>
      <c r="B1468" s="189"/>
      <c r="C1468" s="190"/>
      <c r="D1468" s="190"/>
      <c r="E1468" s="190"/>
    </row>
    <row r="1469" hidden="1">
      <c r="A1469" s="189"/>
      <c r="B1469" s="189"/>
      <c r="C1469" s="190"/>
      <c r="D1469" s="190"/>
      <c r="E1469" s="190"/>
    </row>
    <row r="1470" hidden="1">
      <c r="A1470" s="189"/>
      <c r="B1470" s="189"/>
      <c r="C1470" s="190"/>
      <c r="D1470" s="190"/>
      <c r="E1470" s="190"/>
    </row>
    <row r="1471" hidden="1">
      <c r="A1471" s="189"/>
      <c r="B1471" s="189"/>
      <c r="C1471" s="190"/>
      <c r="D1471" s="190"/>
      <c r="E1471" s="190"/>
    </row>
    <row r="1472" hidden="1">
      <c r="A1472" s="189"/>
      <c r="B1472" s="189"/>
      <c r="C1472" s="190"/>
      <c r="D1472" s="190"/>
      <c r="E1472" s="190"/>
    </row>
    <row r="1473" hidden="1">
      <c r="A1473" s="189"/>
      <c r="B1473" s="189"/>
      <c r="C1473" s="190"/>
      <c r="D1473" s="190"/>
      <c r="E1473" s="190"/>
    </row>
    <row r="1474" hidden="1">
      <c r="A1474" s="189"/>
      <c r="B1474" s="189"/>
      <c r="C1474" s="190"/>
      <c r="D1474" s="190"/>
      <c r="E1474" s="190"/>
    </row>
    <row r="1475" hidden="1">
      <c r="A1475" s="189"/>
      <c r="B1475" s="189"/>
      <c r="C1475" s="190"/>
      <c r="D1475" s="190"/>
      <c r="E1475" s="190"/>
    </row>
    <row r="1476" hidden="1">
      <c r="A1476" s="189"/>
      <c r="B1476" s="189"/>
      <c r="C1476" s="190"/>
      <c r="D1476" s="190"/>
      <c r="E1476" s="190"/>
    </row>
    <row r="1477" hidden="1">
      <c r="A1477" s="189"/>
      <c r="B1477" s="189"/>
      <c r="C1477" s="190"/>
      <c r="D1477" s="190"/>
      <c r="E1477" s="190"/>
    </row>
    <row r="1478" hidden="1">
      <c r="A1478" s="189"/>
      <c r="B1478" s="189"/>
      <c r="C1478" s="190"/>
      <c r="D1478" s="190"/>
      <c r="E1478" s="190"/>
    </row>
    <row r="1479" hidden="1">
      <c r="A1479" s="189"/>
      <c r="B1479" s="189"/>
      <c r="C1479" s="190"/>
      <c r="D1479" s="190"/>
      <c r="E1479" s="190"/>
    </row>
    <row r="1480" hidden="1">
      <c r="A1480" s="189"/>
      <c r="B1480" s="189"/>
      <c r="C1480" s="190"/>
      <c r="D1480" s="190"/>
      <c r="E1480" s="190"/>
    </row>
    <row r="1481" hidden="1">
      <c r="A1481" s="189"/>
      <c r="B1481" s="189"/>
      <c r="C1481" s="190"/>
      <c r="D1481" s="190"/>
      <c r="E1481" s="190"/>
    </row>
    <row r="1482" hidden="1">
      <c r="A1482" s="189"/>
      <c r="B1482" s="189"/>
      <c r="C1482" s="190"/>
      <c r="D1482" s="190"/>
      <c r="E1482" s="190"/>
    </row>
    <row r="1483" hidden="1">
      <c r="A1483" s="189"/>
      <c r="B1483" s="189"/>
      <c r="C1483" s="190"/>
      <c r="D1483" s="190"/>
      <c r="E1483" s="190"/>
    </row>
    <row r="1484" hidden="1">
      <c r="A1484" s="189"/>
      <c r="B1484" s="189"/>
      <c r="C1484" s="190"/>
      <c r="D1484" s="190"/>
      <c r="E1484" s="190"/>
    </row>
    <row r="1485" hidden="1">
      <c r="A1485" s="189"/>
      <c r="B1485" s="189"/>
      <c r="C1485" s="190"/>
      <c r="D1485" s="190"/>
      <c r="E1485" s="190"/>
    </row>
    <row r="1486" hidden="1">
      <c r="A1486" s="189"/>
      <c r="B1486" s="189"/>
      <c r="C1486" s="190"/>
      <c r="D1486" s="190"/>
      <c r="E1486" s="190"/>
    </row>
    <row r="1487" hidden="1">
      <c r="A1487" s="189"/>
      <c r="B1487" s="189"/>
      <c r="C1487" s="190"/>
      <c r="D1487" s="190"/>
      <c r="E1487" s="190"/>
    </row>
    <row r="1488" hidden="1">
      <c r="A1488" s="189"/>
      <c r="B1488" s="189"/>
      <c r="C1488" s="190"/>
      <c r="D1488" s="190"/>
      <c r="E1488" s="190"/>
    </row>
    <row r="1489" hidden="1">
      <c r="A1489" s="189"/>
      <c r="B1489" s="189"/>
      <c r="C1489" s="190"/>
      <c r="D1489" s="190"/>
      <c r="E1489" s="190"/>
    </row>
    <row r="1490" hidden="1">
      <c r="A1490" s="189"/>
      <c r="B1490" s="189"/>
      <c r="C1490" s="190"/>
      <c r="D1490" s="190"/>
      <c r="E1490" s="190"/>
    </row>
    <row r="1491" hidden="1">
      <c r="A1491" s="189"/>
      <c r="B1491" s="189"/>
      <c r="C1491" s="190"/>
      <c r="D1491" s="190"/>
      <c r="E1491" s="190"/>
    </row>
    <row r="1492" hidden="1">
      <c r="A1492" s="189"/>
      <c r="B1492" s="189"/>
      <c r="C1492" s="190"/>
      <c r="D1492" s="190"/>
      <c r="E1492" s="190"/>
    </row>
    <row r="1493" hidden="1">
      <c r="A1493" s="189"/>
      <c r="B1493" s="189"/>
      <c r="C1493" s="190"/>
      <c r="D1493" s="190"/>
      <c r="E1493" s="190"/>
    </row>
    <row r="1494" hidden="1">
      <c r="A1494" s="189"/>
      <c r="B1494" s="189"/>
      <c r="C1494" s="190"/>
      <c r="D1494" s="190"/>
      <c r="E1494" s="190"/>
    </row>
    <row r="1495" hidden="1">
      <c r="A1495" s="189"/>
      <c r="B1495" s="189"/>
      <c r="C1495" s="190"/>
      <c r="D1495" s="190"/>
      <c r="E1495" s="190"/>
    </row>
    <row r="1496" hidden="1">
      <c r="A1496" s="189"/>
      <c r="B1496" s="189"/>
      <c r="C1496" s="190"/>
      <c r="D1496" s="190"/>
      <c r="E1496" s="190"/>
    </row>
    <row r="1497" hidden="1">
      <c r="A1497" s="189"/>
      <c r="B1497" s="189"/>
      <c r="C1497" s="190"/>
      <c r="D1497" s="190"/>
      <c r="E1497" s="190"/>
    </row>
    <row r="1498" hidden="1">
      <c r="A1498" s="189"/>
      <c r="B1498" s="189"/>
      <c r="C1498" s="190"/>
      <c r="D1498" s="190"/>
      <c r="E1498" s="190"/>
    </row>
    <row r="1499" hidden="1">
      <c r="A1499" s="189"/>
      <c r="B1499" s="189"/>
      <c r="C1499" s="190"/>
      <c r="D1499" s="190"/>
      <c r="E1499" s="190"/>
    </row>
    <row r="1500" hidden="1">
      <c r="A1500" s="189"/>
      <c r="B1500" s="189"/>
      <c r="C1500" s="190"/>
      <c r="D1500" s="190"/>
      <c r="E1500" s="190"/>
    </row>
    <row r="1501" hidden="1">
      <c r="A1501" s="189"/>
      <c r="B1501" s="189"/>
      <c r="C1501" s="190"/>
      <c r="D1501" s="190"/>
      <c r="E1501" s="190"/>
    </row>
    <row r="1502" hidden="1">
      <c r="A1502" s="189"/>
      <c r="B1502" s="189"/>
      <c r="C1502" s="190"/>
      <c r="D1502" s="190"/>
      <c r="E1502" s="190"/>
    </row>
    <row r="1503" hidden="1">
      <c r="A1503" s="189"/>
      <c r="B1503" s="189"/>
      <c r="C1503" s="190"/>
      <c r="D1503" s="190"/>
      <c r="E1503" s="190"/>
    </row>
    <row r="1504" hidden="1">
      <c r="A1504" s="189"/>
      <c r="B1504" s="189"/>
      <c r="C1504" s="190"/>
      <c r="D1504" s="190"/>
      <c r="E1504" s="190"/>
    </row>
    <row r="1505" hidden="1">
      <c r="A1505" s="189"/>
      <c r="B1505" s="189"/>
      <c r="C1505" s="190"/>
      <c r="D1505" s="190"/>
      <c r="E1505" s="190"/>
    </row>
    <row r="1506" hidden="1">
      <c r="A1506" s="189"/>
      <c r="B1506" s="189"/>
      <c r="C1506" s="190"/>
      <c r="D1506" s="190"/>
      <c r="E1506" s="190"/>
    </row>
    <row r="1507" hidden="1">
      <c r="A1507" s="189"/>
      <c r="B1507" s="189"/>
      <c r="C1507" s="190"/>
      <c r="D1507" s="190"/>
      <c r="E1507" s="190"/>
    </row>
    <row r="1508" hidden="1">
      <c r="A1508" s="189"/>
      <c r="B1508" s="189"/>
      <c r="C1508" s="190"/>
      <c r="D1508" s="190"/>
      <c r="E1508" s="190"/>
    </row>
    <row r="1509" hidden="1">
      <c r="A1509" s="189"/>
      <c r="B1509" s="189"/>
      <c r="C1509" s="190"/>
      <c r="D1509" s="190"/>
      <c r="E1509" s="190"/>
    </row>
    <row r="1510" hidden="1">
      <c r="A1510" s="189"/>
      <c r="B1510" s="189"/>
      <c r="C1510" s="190"/>
      <c r="D1510" s="190"/>
      <c r="E1510" s="190"/>
    </row>
    <row r="1511" hidden="1">
      <c r="A1511" s="189"/>
      <c r="B1511" s="189"/>
      <c r="C1511" s="190"/>
      <c r="D1511" s="190"/>
      <c r="E1511" s="190"/>
    </row>
    <row r="1512" hidden="1">
      <c r="A1512" s="189"/>
      <c r="B1512" s="189"/>
      <c r="C1512" s="190"/>
      <c r="D1512" s="190"/>
      <c r="E1512" s="190"/>
    </row>
    <row r="1513" hidden="1">
      <c r="A1513" s="189"/>
      <c r="B1513" s="189"/>
      <c r="C1513" s="190"/>
      <c r="D1513" s="190"/>
      <c r="E1513" s="190"/>
    </row>
    <row r="1514" hidden="1">
      <c r="A1514" s="189"/>
      <c r="B1514" s="189"/>
      <c r="C1514" s="190"/>
      <c r="D1514" s="190"/>
      <c r="E1514" s="190"/>
    </row>
    <row r="1515" hidden="1">
      <c r="A1515" s="189"/>
      <c r="B1515" s="189"/>
      <c r="C1515" s="190"/>
      <c r="D1515" s="190"/>
      <c r="E1515" s="190"/>
    </row>
    <row r="1516" hidden="1">
      <c r="A1516" s="189"/>
      <c r="B1516" s="189"/>
      <c r="C1516" s="190"/>
      <c r="D1516" s="190"/>
      <c r="E1516" s="190"/>
    </row>
    <row r="1517" hidden="1">
      <c r="A1517" s="189"/>
      <c r="B1517" s="189"/>
      <c r="C1517" s="190"/>
      <c r="D1517" s="190"/>
      <c r="E1517" s="190"/>
    </row>
    <row r="1518" hidden="1">
      <c r="A1518" s="189"/>
      <c r="B1518" s="189"/>
      <c r="C1518" s="190"/>
      <c r="D1518" s="190"/>
      <c r="E1518" s="190"/>
    </row>
    <row r="1519" hidden="1">
      <c r="A1519" s="189"/>
      <c r="B1519" s="189"/>
      <c r="C1519" s="190"/>
      <c r="D1519" s="190"/>
      <c r="E1519" s="190"/>
    </row>
    <row r="1520" hidden="1">
      <c r="A1520" s="189"/>
      <c r="B1520" s="189"/>
      <c r="C1520" s="190"/>
      <c r="D1520" s="190"/>
      <c r="E1520" s="190"/>
    </row>
    <row r="1521" hidden="1">
      <c r="A1521" s="189"/>
      <c r="B1521" s="189"/>
      <c r="C1521" s="190"/>
      <c r="D1521" s="190"/>
      <c r="E1521" s="190"/>
    </row>
    <row r="1522" hidden="1">
      <c r="A1522" s="189"/>
      <c r="B1522" s="189"/>
      <c r="C1522" s="190"/>
      <c r="D1522" s="190"/>
      <c r="E1522" s="190"/>
    </row>
    <row r="1523" hidden="1">
      <c r="A1523" s="189"/>
      <c r="B1523" s="189"/>
      <c r="C1523" s="190"/>
      <c r="D1523" s="190"/>
      <c r="E1523" s="190"/>
    </row>
    <row r="1524" hidden="1">
      <c r="A1524" s="189"/>
      <c r="B1524" s="189"/>
      <c r="C1524" s="190"/>
      <c r="D1524" s="190"/>
      <c r="E1524" s="190"/>
    </row>
    <row r="1525" hidden="1">
      <c r="A1525" s="189"/>
      <c r="B1525" s="189"/>
      <c r="C1525" s="190"/>
      <c r="D1525" s="190"/>
      <c r="E1525" s="190"/>
    </row>
    <row r="1526" hidden="1">
      <c r="A1526" s="189"/>
      <c r="B1526" s="189"/>
      <c r="C1526" s="190"/>
      <c r="D1526" s="190"/>
      <c r="E1526" s="190"/>
    </row>
    <row r="1527" hidden="1">
      <c r="A1527" s="189"/>
      <c r="B1527" s="189"/>
      <c r="C1527" s="190"/>
      <c r="D1527" s="190"/>
      <c r="E1527" s="190"/>
    </row>
    <row r="1528" hidden="1">
      <c r="A1528" s="189"/>
      <c r="B1528" s="189"/>
      <c r="C1528" s="190"/>
      <c r="D1528" s="190"/>
      <c r="E1528" s="190"/>
    </row>
    <row r="1529" hidden="1">
      <c r="A1529" s="189"/>
      <c r="B1529" s="189"/>
      <c r="C1529" s="190"/>
      <c r="D1529" s="190"/>
      <c r="E1529" s="190"/>
    </row>
    <row r="1530" hidden="1">
      <c r="A1530" s="189"/>
      <c r="B1530" s="189"/>
      <c r="C1530" s="190"/>
      <c r="D1530" s="190"/>
      <c r="E1530" s="190"/>
    </row>
    <row r="1531" hidden="1">
      <c r="A1531" s="189"/>
      <c r="B1531" s="189"/>
      <c r="C1531" s="190"/>
      <c r="D1531" s="190"/>
      <c r="E1531" s="190"/>
    </row>
    <row r="1532" hidden="1">
      <c r="A1532" s="189"/>
      <c r="B1532" s="189"/>
      <c r="C1532" s="190"/>
      <c r="D1532" s="190"/>
      <c r="E1532" s="190"/>
    </row>
    <row r="1533" hidden="1">
      <c r="A1533" s="189"/>
      <c r="B1533" s="189"/>
      <c r="C1533" s="190"/>
      <c r="D1533" s="190"/>
      <c r="E1533" s="190"/>
    </row>
    <row r="1534" hidden="1">
      <c r="A1534" s="189"/>
      <c r="B1534" s="189"/>
      <c r="C1534" s="190"/>
      <c r="D1534" s="190"/>
      <c r="E1534" s="190"/>
    </row>
    <row r="1535" hidden="1">
      <c r="A1535" s="189"/>
      <c r="B1535" s="189"/>
      <c r="C1535" s="190"/>
      <c r="D1535" s="190"/>
      <c r="E1535" s="190"/>
    </row>
    <row r="1536" hidden="1">
      <c r="A1536" s="189"/>
      <c r="B1536" s="189"/>
      <c r="C1536" s="190"/>
      <c r="D1536" s="190"/>
      <c r="E1536" s="190"/>
    </row>
    <row r="1537" hidden="1">
      <c r="A1537" s="189"/>
      <c r="B1537" s="189"/>
      <c r="C1537" s="190"/>
      <c r="D1537" s="190"/>
      <c r="E1537" s="190"/>
    </row>
    <row r="1538" hidden="1">
      <c r="A1538" s="189"/>
      <c r="B1538" s="189"/>
      <c r="C1538" s="190"/>
      <c r="D1538" s="190"/>
      <c r="E1538" s="190"/>
    </row>
    <row r="1539" hidden="1">
      <c r="A1539" s="189"/>
      <c r="B1539" s="189"/>
      <c r="C1539" s="190"/>
      <c r="D1539" s="190"/>
      <c r="E1539" s="190"/>
    </row>
    <row r="1540" hidden="1">
      <c r="A1540" s="189"/>
      <c r="B1540" s="189"/>
      <c r="C1540" s="190"/>
      <c r="D1540" s="190"/>
      <c r="E1540" s="190"/>
    </row>
    <row r="1541" hidden="1">
      <c r="A1541" s="189"/>
      <c r="B1541" s="189"/>
      <c r="C1541" s="190"/>
      <c r="D1541" s="190"/>
      <c r="E1541" s="190"/>
    </row>
    <row r="1542" hidden="1">
      <c r="A1542" s="189"/>
      <c r="B1542" s="189"/>
      <c r="C1542" s="190"/>
      <c r="D1542" s="190"/>
      <c r="E1542" s="190"/>
    </row>
    <row r="1543" hidden="1">
      <c r="A1543" s="189"/>
      <c r="B1543" s="189"/>
      <c r="C1543" s="190"/>
      <c r="D1543" s="190"/>
      <c r="E1543" s="190"/>
    </row>
    <row r="1544" hidden="1">
      <c r="A1544" s="189"/>
      <c r="B1544" s="189"/>
      <c r="C1544" s="190"/>
      <c r="D1544" s="190"/>
      <c r="E1544" s="190"/>
    </row>
    <row r="1545" hidden="1">
      <c r="A1545" s="189"/>
      <c r="B1545" s="189"/>
      <c r="C1545" s="190"/>
      <c r="D1545" s="190"/>
      <c r="E1545" s="190"/>
    </row>
    <row r="1546" hidden="1">
      <c r="A1546" s="189"/>
      <c r="B1546" s="189"/>
      <c r="C1546" s="190"/>
      <c r="D1546" s="190"/>
      <c r="E1546" s="190"/>
    </row>
    <row r="1547" hidden="1">
      <c r="A1547" s="189"/>
      <c r="B1547" s="189"/>
      <c r="C1547" s="190"/>
      <c r="D1547" s="190"/>
      <c r="E1547" s="190"/>
    </row>
    <row r="1548" hidden="1">
      <c r="A1548" s="189"/>
      <c r="B1548" s="189"/>
      <c r="C1548" s="190"/>
      <c r="D1548" s="190"/>
      <c r="E1548" s="190"/>
    </row>
    <row r="1549" hidden="1">
      <c r="A1549" s="189"/>
      <c r="B1549" s="189"/>
      <c r="C1549" s="190"/>
      <c r="D1549" s="190"/>
      <c r="E1549" s="190"/>
    </row>
    <row r="1550" hidden="1">
      <c r="A1550" s="189"/>
      <c r="B1550" s="189"/>
      <c r="C1550" s="190"/>
      <c r="D1550" s="190"/>
      <c r="E1550" s="190"/>
    </row>
    <row r="1551" hidden="1">
      <c r="A1551" s="189"/>
      <c r="B1551" s="189"/>
      <c r="C1551" s="190"/>
      <c r="D1551" s="190"/>
      <c r="E1551" s="190"/>
    </row>
    <row r="1552" hidden="1">
      <c r="A1552" s="189"/>
      <c r="B1552" s="189"/>
      <c r="C1552" s="190"/>
      <c r="D1552" s="190"/>
      <c r="E1552" s="190"/>
    </row>
    <row r="1553" hidden="1">
      <c r="A1553" s="189"/>
      <c r="B1553" s="189"/>
      <c r="C1553" s="190"/>
      <c r="D1553" s="190"/>
      <c r="E1553" s="190"/>
    </row>
    <row r="1554" hidden="1">
      <c r="A1554" s="189"/>
      <c r="B1554" s="189"/>
      <c r="C1554" s="190"/>
      <c r="D1554" s="190"/>
      <c r="E1554" s="190"/>
    </row>
    <row r="1555" hidden="1">
      <c r="A1555" s="189"/>
      <c r="B1555" s="189"/>
      <c r="C1555" s="190"/>
      <c r="D1555" s="190"/>
      <c r="E1555" s="190"/>
    </row>
    <row r="1556" hidden="1">
      <c r="A1556" s="189"/>
      <c r="B1556" s="189"/>
      <c r="C1556" s="190"/>
      <c r="D1556" s="190"/>
      <c r="E1556" s="190"/>
    </row>
    <row r="1557" hidden="1">
      <c r="A1557" s="189"/>
      <c r="B1557" s="189"/>
      <c r="C1557" s="190"/>
      <c r="D1557" s="190"/>
      <c r="E1557" s="190"/>
    </row>
    <row r="1558" hidden="1">
      <c r="A1558" s="189"/>
      <c r="B1558" s="189"/>
      <c r="C1558" s="190"/>
      <c r="D1558" s="190"/>
      <c r="E1558" s="190"/>
    </row>
    <row r="1559" hidden="1">
      <c r="A1559" s="189"/>
      <c r="B1559" s="189"/>
      <c r="C1559" s="190"/>
      <c r="D1559" s="190"/>
      <c r="E1559" s="190"/>
    </row>
    <row r="1560" hidden="1">
      <c r="A1560" s="189"/>
      <c r="B1560" s="189"/>
      <c r="C1560" s="190"/>
      <c r="D1560" s="190"/>
      <c r="E1560" s="190"/>
    </row>
    <row r="1561" hidden="1">
      <c r="A1561" s="189"/>
      <c r="B1561" s="189"/>
      <c r="C1561" s="190"/>
      <c r="D1561" s="190"/>
      <c r="E1561" s="190"/>
    </row>
    <row r="1562" hidden="1">
      <c r="A1562" s="189"/>
      <c r="B1562" s="189"/>
      <c r="C1562" s="190"/>
      <c r="D1562" s="190"/>
      <c r="E1562" s="190"/>
    </row>
    <row r="1563" hidden="1">
      <c r="A1563" s="189"/>
      <c r="B1563" s="189"/>
      <c r="C1563" s="190"/>
      <c r="D1563" s="190"/>
      <c r="E1563" s="190"/>
    </row>
    <row r="1564" hidden="1">
      <c r="A1564" s="189"/>
      <c r="B1564" s="189"/>
      <c r="C1564" s="190"/>
      <c r="D1564" s="190"/>
      <c r="E1564" s="190"/>
    </row>
    <row r="1565" hidden="1">
      <c r="A1565" s="189"/>
      <c r="B1565" s="189"/>
      <c r="C1565" s="190"/>
      <c r="D1565" s="190"/>
      <c r="E1565" s="190"/>
    </row>
    <row r="1566" hidden="1">
      <c r="A1566" s="189"/>
      <c r="B1566" s="189"/>
      <c r="C1566" s="190"/>
      <c r="D1566" s="190"/>
      <c r="E1566" s="190"/>
    </row>
    <row r="1567" hidden="1">
      <c r="A1567" s="189"/>
      <c r="B1567" s="189"/>
      <c r="C1567" s="190"/>
      <c r="D1567" s="190"/>
      <c r="E1567" s="190"/>
    </row>
    <row r="1568" hidden="1">
      <c r="A1568" s="189"/>
      <c r="B1568" s="189"/>
      <c r="C1568" s="190"/>
      <c r="D1568" s="190"/>
      <c r="E1568" s="190"/>
    </row>
    <row r="1569" hidden="1">
      <c r="A1569" s="189"/>
      <c r="B1569" s="189"/>
      <c r="C1569" s="190"/>
      <c r="D1569" s="190"/>
      <c r="E1569" s="190"/>
    </row>
    <row r="1570" hidden="1">
      <c r="A1570" s="189"/>
      <c r="B1570" s="189"/>
      <c r="C1570" s="190"/>
      <c r="D1570" s="190"/>
      <c r="E1570" s="190"/>
    </row>
    <row r="1571" hidden="1">
      <c r="A1571" s="189"/>
      <c r="B1571" s="189"/>
      <c r="C1571" s="190"/>
      <c r="D1571" s="190"/>
      <c r="E1571" s="190"/>
    </row>
    <row r="1572" hidden="1">
      <c r="A1572" s="189"/>
      <c r="B1572" s="189"/>
      <c r="C1572" s="190"/>
      <c r="D1572" s="190"/>
      <c r="E1572" s="190"/>
    </row>
    <row r="1573" hidden="1">
      <c r="A1573" s="189"/>
      <c r="B1573" s="189"/>
      <c r="C1573" s="190"/>
      <c r="D1573" s="190"/>
      <c r="E1573" s="190"/>
    </row>
    <row r="1574" hidden="1">
      <c r="A1574" s="189"/>
      <c r="B1574" s="189"/>
      <c r="C1574" s="190"/>
      <c r="D1574" s="190"/>
      <c r="E1574" s="190"/>
    </row>
    <row r="1575" hidden="1">
      <c r="A1575" s="189"/>
      <c r="B1575" s="189"/>
      <c r="C1575" s="190"/>
      <c r="D1575" s="190"/>
      <c r="E1575" s="190"/>
    </row>
    <row r="1576" hidden="1">
      <c r="A1576" s="189"/>
      <c r="B1576" s="189"/>
      <c r="C1576" s="190"/>
      <c r="D1576" s="190"/>
      <c r="E1576" s="190"/>
    </row>
    <row r="1577" hidden="1">
      <c r="A1577" s="189"/>
      <c r="B1577" s="189"/>
      <c r="C1577" s="190"/>
      <c r="D1577" s="190"/>
      <c r="E1577" s="190"/>
    </row>
    <row r="1578" hidden="1">
      <c r="A1578" s="189"/>
      <c r="B1578" s="189"/>
      <c r="C1578" s="190"/>
      <c r="D1578" s="190"/>
      <c r="E1578" s="190"/>
    </row>
    <row r="1579" hidden="1">
      <c r="A1579" s="189"/>
      <c r="B1579" s="189"/>
      <c r="C1579" s="190"/>
      <c r="D1579" s="190"/>
      <c r="E1579" s="190"/>
    </row>
    <row r="1580" hidden="1">
      <c r="A1580" s="189"/>
      <c r="B1580" s="189"/>
      <c r="C1580" s="190"/>
      <c r="D1580" s="190"/>
      <c r="E1580" s="190"/>
    </row>
    <row r="1581" hidden="1">
      <c r="A1581" s="189"/>
      <c r="B1581" s="189"/>
      <c r="C1581" s="190"/>
      <c r="D1581" s="190"/>
      <c r="E1581" s="190"/>
    </row>
    <row r="1582" hidden="1">
      <c r="A1582" s="189"/>
      <c r="B1582" s="189"/>
      <c r="C1582" s="190"/>
      <c r="D1582" s="190"/>
      <c r="E1582" s="190"/>
    </row>
    <row r="1583" hidden="1">
      <c r="A1583" s="189"/>
      <c r="B1583" s="189"/>
      <c r="C1583" s="190"/>
      <c r="D1583" s="190"/>
      <c r="E1583" s="190"/>
    </row>
    <row r="1584" hidden="1">
      <c r="A1584" s="189"/>
      <c r="B1584" s="189"/>
      <c r="C1584" s="190"/>
      <c r="D1584" s="190"/>
      <c r="E1584" s="190"/>
    </row>
    <row r="1585" hidden="1">
      <c r="A1585" s="189"/>
      <c r="B1585" s="189"/>
      <c r="C1585" s="190"/>
      <c r="D1585" s="190"/>
      <c r="E1585" s="190"/>
    </row>
    <row r="1586" hidden="1">
      <c r="A1586" s="189"/>
      <c r="B1586" s="189"/>
      <c r="C1586" s="190"/>
      <c r="D1586" s="190"/>
      <c r="E1586" s="190"/>
    </row>
    <row r="1587" hidden="1">
      <c r="A1587" s="189"/>
      <c r="B1587" s="189"/>
      <c r="C1587" s="190"/>
      <c r="D1587" s="190"/>
      <c r="E1587" s="190"/>
    </row>
    <row r="1588" hidden="1">
      <c r="A1588" s="189"/>
      <c r="B1588" s="189"/>
      <c r="C1588" s="190"/>
      <c r="D1588" s="190"/>
      <c r="E1588" s="190"/>
    </row>
    <row r="1589" hidden="1">
      <c r="A1589" s="189"/>
      <c r="B1589" s="189"/>
      <c r="C1589" s="190"/>
      <c r="D1589" s="190"/>
      <c r="E1589" s="190"/>
    </row>
    <row r="1590" hidden="1">
      <c r="A1590" s="189"/>
      <c r="B1590" s="189"/>
      <c r="C1590" s="190"/>
      <c r="D1590" s="190"/>
      <c r="E1590" s="190"/>
    </row>
    <row r="1591" hidden="1">
      <c r="A1591" s="189"/>
      <c r="B1591" s="189"/>
      <c r="C1591" s="190"/>
      <c r="D1591" s="190"/>
      <c r="E1591" s="190"/>
    </row>
    <row r="1592" hidden="1">
      <c r="A1592" s="189"/>
      <c r="B1592" s="189"/>
      <c r="C1592" s="190"/>
      <c r="D1592" s="190"/>
      <c r="E1592" s="190"/>
    </row>
    <row r="1593" hidden="1">
      <c r="A1593" s="189"/>
      <c r="B1593" s="189"/>
      <c r="C1593" s="190"/>
      <c r="D1593" s="190"/>
      <c r="E1593" s="190"/>
    </row>
    <row r="1594" hidden="1">
      <c r="A1594" s="189"/>
      <c r="B1594" s="189"/>
      <c r="C1594" s="190"/>
      <c r="D1594" s="190"/>
      <c r="E1594" s="190"/>
    </row>
    <row r="1595" hidden="1">
      <c r="A1595" s="189"/>
      <c r="B1595" s="189"/>
      <c r="C1595" s="190"/>
      <c r="D1595" s="190"/>
      <c r="E1595" s="190"/>
    </row>
    <row r="1596" hidden="1">
      <c r="A1596" s="189"/>
      <c r="B1596" s="189"/>
      <c r="C1596" s="190"/>
      <c r="D1596" s="190"/>
      <c r="E1596" s="190"/>
    </row>
    <row r="1597" hidden="1">
      <c r="A1597" s="189"/>
      <c r="B1597" s="189"/>
      <c r="C1597" s="190"/>
      <c r="D1597" s="190"/>
      <c r="E1597" s="190"/>
    </row>
    <row r="1598" hidden="1">
      <c r="A1598" s="189"/>
      <c r="B1598" s="189"/>
      <c r="C1598" s="190"/>
      <c r="D1598" s="190"/>
      <c r="E1598" s="190"/>
    </row>
    <row r="1599" hidden="1">
      <c r="A1599" s="189"/>
      <c r="B1599" s="189"/>
      <c r="C1599" s="190"/>
      <c r="D1599" s="190"/>
      <c r="E1599" s="190"/>
    </row>
    <row r="1600" hidden="1">
      <c r="A1600" s="189"/>
      <c r="B1600" s="189"/>
      <c r="C1600" s="190"/>
      <c r="D1600" s="190"/>
      <c r="E1600" s="190"/>
    </row>
    <row r="1601" hidden="1">
      <c r="A1601" s="189"/>
      <c r="B1601" s="189"/>
      <c r="C1601" s="190"/>
      <c r="D1601" s="190"/>
      <c r="E1601" s="190"/>
    </row>
    <row r="1602" hidden="1">
      <c r="A1602" s="189"/>
      <c r="B1602" s="189"/>
      <c r="C1602" s="190"/>
      <c r="D1602" s="190"/>
      <c r="E1602" s="190"/>
    </row>
    <row r="1603" hidden="1">
      <c r="A1603" s="189"/>
      <c r="B1603" s="189"/>
      <c r="C1603" s="190"/>
      <c r="D1603" s="190"/>
      <c r="E1603" s="190"/>
    </row>
    <row r="1604" hidden="1">
      <c r="A1604" s="189"/>
      <c r="B1604" s="189"/>
      <c r="C1604" s="190"/>
      <c r="D1604" s="190"/>
      <c r="E1604" s="190"/>
    </row>
    <row r="1605" hidden="1">
      <c r="A1605" s="189"/>
      <c r="B1605" s="189"/>
      <c r="C1605" s="190"/>
      <c r="D1605" s="190"/>
      <c r="E1605" s="190"/>
    </row>
    <row r="1606" hidden="1">
      <c r="A1606" s="189"/>
      <c r="B1606" s="189"/>
      <c r="C1606" s="190"/>
      <c r="D1606" s="190"/>
      <c r="E1606" s="190"/>
    </row>
    <row r="1607" hidden="1">
      <c r="A1607" s="189"/>
      <c r="B1607" s="189"/>
      <c r="C1607" s="190"/>
      <c r="D1607" s="190"/>
      <c r="E1607" s="190"/>
    </row>
    <row r="1608" hidden="1">
      <c r="A1608" s="189"/>
      <c r="B1608" s="189"/>
      <c r="C1608" s="190"/>
      <c r="D1608" s="190"/>
      <c r="E1608" s="190"/>
    </row>
    <row r="1609" hidden="1">
      <c r="A1609" s="189"/>
      <c r="B1609" s="189"/>
      <c r="C1609" s="190"/>
      <c r="D1609" s="190"/>
      <c r="E1609" s="190"/>
    </row>
    <row r="1610" hidden="1">
      <c r="A1610" s="189"/>
      <c r="B1610" s="189"/>
      <c r="C1610" s="190"/>
      <c r="D1610" s="190"/>
      <c r="E1610" s="190"/>
    </row>
    <row r="1611" hidden="1">
      <c r="A1611" s="189"/>
      <c r="B1611" s="189"/>
      <c r="C1611" s="190"/>
      <c r="D1611" s="190"/>
      <c r="E1611" s="190"/>
    </row>
    <row r="1612" hidden="1">
      <c r="A1612" s="189"/>
      <c r="B1612" s="189"/>
      <c r="C1612" s="190"/>
      <c r="D1612" s="190"/>
      <c r="E1612" s="190"/>
    </row>
    <row r="1613" hidden="1">
      <c r="A1613" s="189"/>
      <c r="B1613" s="189"/>
      <c r="C1613" s="190"/>
      <c r="D1613" s="190"/>
      <c r="E1613" s="190"/>
    </row>
    <row r="1614" hidden="1">
      <c r="A1614" s="189"/>
      <c r="B1614" s="189"/>
      <c r="C1614" s="190"/>
      <c r="D1614" s="190"/>
      <c r="E1614" s="190"/>
    </row>
    <row r="1615" hidden="1">
      <c r="A1615" s="189"/>
      <c r="B1615" s="189"/>
      <c r="C1615" s="190"/>
      <c r="D1615" s="190"/>
      <c r="E1615" s="190"/>
    </row>
    <row r="1616" hidden="1">
      <c r="A1616" s="189"/>
      <c r="B1616" s="189"/>
      <c r="C1616" s="190"/>
      <c r="D1616" s="190"/>
      <c r="E1616" s="190"/>
    </row>
    <row r="1617" hidden="1">
      <c r="A1617" s="189"/>
      <c r="B1617" s="189"/>
      <c r="C1617" s="190"/>
      <c r="D1617" s="190"/>
      <c r="E1617" s="190"/>
    </row>
    <row r="1618" hidden="1">
      <c r="A1618" s="189"/>
      <c r="B1618" s="189"/>
      <c r="C1618" s="190"/>
      <c r="D1618" s="190"/>
      <c r="E1618" s="190"/>
    </row>
    <row r="1619" hidden="1">
      <c r="A1619" s="189"/>
      <c r="B1619" s="189"/>
      <c r="C1619" s="190"/>
      <c r="D1619" s="190"/>
      <c r="E1619" s="190"/>
    </row>
    <row r="1620" hidden="1">
      <c r="A1620" s="189"/>
      <c r="B1620" s="189"/>
      <c r="C1620" s="190"/>
      <c r="D1620" s="190"/>
      <c r="E1620" s="190"/>
    </row>
    <row r="1621" hidden="1">
      <c r="A1621" s="189"/>
      <c r="B1621" s="189"/>
      <c r="C1621" s="190"/>
      <c r="D1621" s="190"/>
      <c r="E1621" s="190"/>
    </row>
    <row r="1622" hidden="1">
      <c r="A1622" s="189"/>
      <c r="B1622" s="189"/>
      <c r="C1622" s="190"/>
      <c r="D1622" s="190"/>
      <c r="E1622" s="190"/>
    </row>
    <row r="1623" hidden="1">
      <c r="A1623" s="189"/>
      <c r="B1623" s="189"/>
      <c r="C1623" s="190"/>
      <c r="D1623" s="190"/>
      <c r="E1623" s="190"/>
    </row>
    <row r="1624" hidden="1">
      <c r="A1624" s="189"/>
      <c r="B1624" s="189"/>
      <c r="C1624" s="190"/>
      <c r="D1624" s="190"/>
      <c r="E1624" s="190"/>
    </row>
    <row r="1625" hidden="1">
      <c r="A1625" s="189"/>
      <c r="B1625" s="189"/>
      <c r="C1625" s="190"/>
      <c r="D1625" s="190"/>
      <c r="E1625" s="190"/>
    </row>
    <row r="1626" hidden="1">
      <c r="A1626" s="189"/>
      <c r="B1626" s="189"/>
      <c r="C1626" s="190"/>
      <c r="D1626" s="190"/>
      <c r="E1626" s="190"/>
    </row>
    <row r="1627" hidden="1">
      <c r="A1627" s="189"/>
      <c r="B1627" s="189"/>
      <c r="C1627" s="190"/>
      <c r="D1627" s="190"/>
      <c r="E1627" s="190"/>
    </row>
    <row r="1628" hidden="1">
      <c r="A1628" s="189"/>
      <c r="B1628" s="189"/>
      <c r="C1628" s="190"/>
      <c r="D1628" s="190"/>
      <c r="E1628" s="190"/>
    </row>
    <row r="1629" hidden="1">
      <c r="A1629" s="189"/>
      <c r="B1629" s="189"/>
      <c r="C1629" s="190"/>
      <c r="D1629" s="190"/>
      <c r="E1629" s="190"/>
    </row>
    <row r="1630" hidden="1">
      <c r="A1630" s="189"/>
      <c r="B1630" s="189"/>
      <c r="C1630" s="190"/>
      <c r="D1630" s="190"/>
      <c r="E1630" s="190"/>
    </row>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row r="2000" hidden="1"/>
    <row r="2001" hidden="1">
      <c r="A2001" s="299"/>
      <c r="B2001" s="300"/>
      <c r="C2001" s="190"/>
      <c r="D2001" s="190"/>
      <c r="E2001" s="190"/>
      <c r="F2001" s="195">
        <v>320.0</v>
      </c>
      <c r="G2001" s="188" t="str">
        <f>IFERROR(__xludf.DUMMYFUNCTION("TRIM(REGEXREPLACE(C2001, ""[0-9]+[a-f]?\."", """"))"),"")</f>
        <v/>
      </c>
      <c r="H2001" s="188" t="str">
        <f>IFERROR(__xludf.DUMMYFUNCTION("TRIM(REGEXREPLACE(D2001, ""[0-9]+[a-f]?\."", """"))"),"")</f>
        <v/>
      </c>
      <c r="I2001" s="188" t="str">
        <f>IFERROR(__xludf.DUMMYFUNCTION("TRIM(REGEXREPLACE(E2001, ""[0-9]+[a-f]?\."", """"))"),"")</f>
        <v/>
      </c>
      <c r="J2001" s="188" t="str">
        <f t="shared" ref="J2001:L2001" si="116">$F2001 &amp; ". "&amp;G2001</f>
        <v>320. </v>
      </c>
      <c r="K2001" s="188" t="str">
        <f t="shared" si="116"/>
        <v>320. </v>
      </c>
      <c r="L2001" s="188" t="str">
        <f t="shared" si="116"/>
        <v>320. </v>
      </c>
    </row>
    <row r="2002" hidden="1">
      <c r="A2002" s="310"/>
      <c r="B2002" s="315"/>
      <c r="C2002" s="406"/>
      <c r="D2002" s="406"/>
      <c r="E2002" s="406"/>
    </row>
    <row r="2003" hidden="1">
      <c r="A2003" s="310"/>
      <c r="B2003" s="311"/>
      <c r="C2003" s="314"/>
      <c r="D2003" s="314"/>
      <c r="E2003" s="314"/>
    </row>
    <row r="2004" hidden="1">
      <c r="A2004" s="299"/>
      <c r="B2004" s="300"/>
      <c r="C2004" s="190"/>
      <c r="D2004" s="190"/>
      <c r="E2004" s="190"/>
      <c r="F2004" s="195">
        <v>321.0</v>
      </c>
      <c r="G2004" s="188" t="str">
        <f>IFERROR(__xludf.DUMMYFUNCTION("TRIM(REGEXREPLACE(C2004, ""[0-9]+[a-f]?\."", """"))"),"")</f>
        <v/>
      </c>
      <c r="H2004" s="188" t="str">
        <f>IFERROR(__xludf.DUMMYFUNCTION("TRIM(REGEXREPLACE(D2004, ""[0-9]+[a-f]?\."", """"))"),"")</f>
        <v/>
      </c>
      <c r="I2004" s="188" t="str">
        <f>IFERROR(__xludf.DUMMYFUNCTION("TRIM(REGEXREPLACE(E2004, ""[0-9]+[a-f]?\."", """"))"),"")</f>
        <v/>
      </c>
      <c r="J2004" s="188" t="str">
        <f t="shared" ref="J2004:L2004" si="117">$F2004 &amp; ". "&amp;G2004</f>
        <v>321. </v>
      </c>
      <c r="K2004" s="188" t="str">
        <f t="shared" si="117"/>
        <v>321. </v>
      </c>
      <c r="L2004" s="188" t="str">
        <f t="shared" si="117"/>
        <v>321. </v>
      </c>
    </row>
    <row r="2005" hidden="1">
      <c r="A2005" s="299"/>
      <c r="B2005" s="300"/>
      <c r="C2005" s="190"/>
      <c r="D2005" s="190"/>
      <c r="E2005" s="190"/>
      <c r="F2005" s="195">
        <v>322.0</v>
      </c>
      <c r="G2005" s="188" t="str">
        <f>IFERROR(__xludf.DUMMYFUNCTION("TRIM(REGEXREPLACE(C2005, ""[0-9]+[a-f]?\."", """"))"),"")</f>
        <v/>
      </c>
      <c r="H2005" s="188" t="str">
        <f>IFERROR(__xludf.DUMMYFUNCTION("TRIM(REGEXREPLACE(D2005, ""[0-9]+[a-f]?\."", """"))"),"")</f>
        <v/>
      </c>
      <c r="I2005" s="188" t="str">
        <f>IFERROR(__xludf.DUMMYFUNCTION("TRIM(REGEXREPLACE(E2005, ""[0-9]+[a-f]?\."", """"))"),"")</f>
        <v/>
      </c>
      <c r="J2005" s="188" t="str">
        <f t="shared" ref="J2005:L2005" si="118">$F2005 &amp; ". "&amp;G2005</f>
        <v>322. </v>
      </c>
      <c r="K2005" s="188" t="str">
        <f t="shared" si="118"/>
        <v>322. </v>
      </c>
      <c r="L2005" s="188" t="str">
        <f t="shared" si="118"/>
        <v>322. </v>
      </c>
    </row>
    <row r="2006" hidden="1">
      <c r="A2006" s="299"/>
      <c r="B2006" s="300"/>
      <c r="C2006" s="190"/>
      <c r="D2006" s="190"/>
      <c r="E2006" s="190"/>
      <c r="F2006" s="195">
        <v>323.0</v>
      </c>
      <c r="G2006" s="188" t="str">
        <f>IFERROR(__xludf.DUMMYFUNCTION("TRIM(REGEXREPLACE(C2006, ""[0-9]+[a-f]?\."", """"))"),"")</f>
        <v/>
      </c>
      <c r="H2006" s="188" t="str">
        <f>IFERROR(__xludf.DUMMYFUNCTION("TRIM(REGEXREPLACE(D2006, ""[0-9]+[a-f]?\."", """"))"),"")</f>
        <v/>
      </c>
      <c r="I2006" s="188" t="str">
        <f>IFERROR(__xludf.DUMMYFUNCTION("TRIM(REGEXREPLACE(E2006, ""[0-9]+[a-f]?\."", """"))"),"")</f>
        <v/>
      </c>
      <c r="J2006" s="188" t="str">
        <f t="shared" ref="J2006:L2006" si="119">$F2006 &amp; ". "&amp;G2006</f>
        <v>323. </v>
      </c>
      <c r="K2006" s="188" t="str">
        <f t="shared" si="119"/>
        <v>323. </v>
      </c>
      <c r="L2006" s="188" t="str">
        <f t="shared" si="119"/>
        <v>323. </v>
      </c>
    </row>
    <row r="2007" hidden="1">
      <c r="A2007" s="299"/>
      <c r="B2007" s="300"/>
      <c r="C2007" s="190"/>
      <c r="D2007" s="190"/>
      <c r="E2007" s="190"/>
      <c r="F2007" s="195">
        <v>324.0</v>
      </c>
      <c r="G2007" s="188" t="str">
        <f>IFERROR(__xludf.DUMMYFUNCTION("TRIM(REGEXREPLACE(C2007, ""[0-9]+[a-f]?\."", """"))"),"")</f>
        <v/>
      </c>
      <c r="H2007" s="188" t="str">
        <f>IFERROR(__xludf.DUMMYFUNCTION("TRIM(REGEXREPLACE(D2007, ""[0-9]+[a-f]?\."", """"))"),"")</f>
        <v/>
      </c>
      <c r="I2007" s="188" t="str">
        <f>IFERROR(__xludf.DUMMYFUNCTION("TRIM(REGEXREPLACE(E2007, ""[0-9]+[a-f]?\."", """"))"),"")</f>
        <v/>
      </c>
      <c r="J2007" s="188" t="str">
        <f t="shared" ref="J2007:L2007" si="120">$F2007 &amp; ". "&amp;G2007</f>
        <v>324. </v>
      </c>
      <c r="K2007" s="188" t="str">
        <f t="shared" si="120"/>
        <v>324. </v>
      </c>
      <c r="L2007" s="188" t="str">
        <f t="shared" si="120"/>
        <v>324. </v>
      </c>
    </row>
    <row r="2008" hidden="1">
      <c r="A2008" s="299"/>
      <c r="B2008" s="300"/>
      <c r="C2008" s="190"/>
      <c r="D2008" s="190"/>
      <c r="E2008" s="190"/>
      <c r="F2008" s="195">
        <v>325.0</v>
      </c>
      <c r="G2008" s="188" t="str">
        <f>IFERROR(__xludf.DUMMYFUNCTION("TRIM(REGEXREPLACE(C2008, ""[0-9]+[a-f]?\."", """"))"),"")</f>
        <v/>
      </c>
      <c r="H2008" s="188" t="str">
        <f>IFERROR(__xludf.DUMMYFUNCTION("TRIM(REGEXREPLACE(D2008, ""[0-9]+[a-f]?\."", """"))"),"")</f>
        <v/>
      </c>
      <c r="I2008" s="188" t="str">
        <f>IFERROR(__xludf.DUMMYFUNCTION("TRIM(REGEXREPLACE(E2008, ""[0-9]+[a-f]?\."", """"))"),"")</f>
        <v/>
      </c>
      <c r="J2008" s="188" t="str">
        <f t="shared" ref="J2008:L2008" si="121">$F2008 &amp; ". "&amp;G2008</f>
        <v>325. </v>
      </c>
      <c r="K2008" s="188" t="str">
        <f t="shared" si="121"/>
        <v>325. </v>
      </c>
      <c r="L2008" s="188" t="str">
        <f t="shared" si="121"/>
        <v>325. </v>
      </c>
    </row>
    <row r="2009" hidden="1">
      <c r="A2009" s="299"/>
      <c r="B2009" s="300"/>
      <c r="C2009" s="190"/>
      <c r="D2009" s="190"/>
      <c r="E2009" s="190"/>
      <c r="F2009" s="195">
        <v>326.0</v>
      </c>
      <c r="G2009" s="188" t="str">
        <f>IFERROR(__xludf.DUMMYFUNCTION("TRIM(REGEXREPLACE(C2009, ""[0-9]+[a-f]?\."", """"))"),"")</f>
        <v/>
      </c>
      <c r="H2009" s="188" t="str">
        <f>IFERROR(__xludf.DUMMYFUNCTION("TRIM(REGEXREPLACE(D2009, ""[0-9]+[a-f]?\."", """"))"),"")</f>
        <v/>
      </c>
      <c r="I2009" s="188" t="str">
        <f>IFERROR(__xludf.DUMMYFUNCTION("TRIM(REGEXREPLACE(E2009, ""[0-9]+[a-f]?\."", """"))"),"")</f>
        <v/>
      </c>
      <c r="J2009" s="188" t="str">
        <f t="shared" ref="J2009:L2009" si="122">$F2009 &amp; ". "&amp;G2009</f>
        <v>326. </v>
      </c>
      <c r="K2009" s="188" t="str">
        <f t="shared" si="122"/>
        <v>326. </v>
      </c>
      <c r="L2009" s="188" t="str">
        <f t="shared" si="122"/>
        <v>326. </v>
      </c>
    </row>
    <row r="2010" hidden="1">
      <c r="A2010" s="199"/>
      <c r="B2010" s="147"/>
      <c r="C2010" s="333"/>
      <c r="D2010" s="288"/>
      <c r="E2010" s="288"/>
      <c r="F2010" s="195">
        <v>327.0</v>
      </c>
      <c r="G2010" s="188" t="str">
        <f>IFERROR(__xludf.DUMMYFUNCTION("TRIM(REGEXREPLACE(C2010, ""[0-9]+[a-f]?\."", """"))"),"")</f>
        <v/>
      </c>
      <c r="H2010" s="188" t="str">
        <f>IFERROR(__xludf.DUMMYFUNCTION("TRIM(REGEXREPLACE(D2010, ""[0-9]+[a-f]?\."", """"))"),"")</f>
        <v/>
      </c>
      <c r="I2010" s="188" t="str">
        <f>IFERROR(__xludf.DUMMYFUNCTION("TRIM(REGEXREPLACE(E2010, ""[0-9]+[a-f]?\."", """"))"),"")</f>
        <v/>
      </c>
      <c r="J2010" s="188" t="str">
        <f t="shared" ref="J2010:L2010" si="123">$F2010 &amp; ". "&amp;G2010</f>
        <v>327. </v>
      </c>
      <c r="K2010" s="188" t="str">
        <f t="shared" si="123"/>
        <v>327. </v>
      </c>
      <c r="L2010" s="188" t="str">
        <f t="shared" si="123"/>
        <v>327. </v>
      </c>
    </row>
    <row r="2011" hidden="1">
      <c r="A2011" s="310"/>
      <c r="B2011" s="315"/>
      <c r="C2011" s="190"/>
      <c r="D2011" s="190"/>
      <c r="E2011" s="190"/>
      <c r="F2011" s="195">
        <v>328.0</v>
      </c>
      <c r="G2011" s="188" t="str">
        <f>IFERROR(__xludf.DUMMYFUNCTION("TRIM(REGEXREPLACE(C2011, ""[0-9]+[a-f]?\."", """"))"),"")</f>
        <v/>
      </c>
      <c r="H2011" s="188" t="str">
        <f>IFERROR(__xludf.DUMMYFUNCTION("TRIM(REGEXREPLACE(D2011, ""[0-9]+[a-f]?\."", """"))"),"")</f>
        <v/>
      </c>
      <c r="I2011" s="188" t="str">
        <f>IFERROR(__xludf.DUMMYFUNCTION("TRIM(REGEXREPLACE(E2011, ""[0-9]+[a-f]?\."", """"))"),"")</f>
        <v/>
      </c>
      <c r="J2011" s="188" t="str">
        <f t="shared" ref="J2011:L2011" si="124">$F2011 &amp; ". "&amp;G2011</f>
        <v>328. </v>
      </c>
      <c r="K2011" s="188" t="str">
        <f t="shared" si="124"/>
        <v>328. </v>
      </c>
      <c r="L2011" s="188" t="str">
        <f t="shared" si="124"/>
        <v>328. </v>
      </c>
    </row>
    <row r="2012" hidden="1">
      <c r="A2012" s="143"/>
      <c r="B2012" s="143"/>
      <c r="C2012" s="190"/>
      <c r="D2012" s="190"/>
      <c r="E2012" s="190"/>
      <c r="F2012" s="195">
        <v>329.0</v>
      </c>
      <c r="G2012" s="188" t="str">
        <f>IFERROR(__xludf.DUMMYFUNCTION("TRIM(REGEXREPLACE(C2012, ""[0-9]+[a-f]?\."", """"))"),"")</f>
        <v/>
      </c>
      <c r="H2012" s="188" t="str">
        <f>IFERROR(__xludf.DUMMYFUNCTION("TRIM(REGEXREPLACE(D2012, ""[0-9]+[a-f]?\."", """"))"),"")</f>
        <v/>
      </c>
      <c r="I2012" s="188" t="str">
        <f>IFERROR(__xludf.DUMMYFUNCTION("TRIM(REGEXREPLACE(E2012, ""[0-9]+[a-f]?\."", """"))"),"")</f>
        <v/>
      </c>
      <c r="J2012" s="188" t="str">
        <f t="shared" ref="J2012:L2012" si="125">$F2012 &amp; ". "&amp;G2012</f>
        <v>329. </v>
      </c>
      <c r="K2012" s="188" t="str">
        <f t="shared" si="125"/>
        <v>329. </v>
      </c>
      <c r="L2012" s="188" t="str">
        <f t="shared" si="125"/>
        <v>329. </v>
      </c>
    </row>
    <row r="2013" hidden="1">
      <c r="A2013" s="147"/>
      <c r="B2013" s="147"/>
      <c r="C2013" s="190"/>
      <c r="D2013" s="190"/>
      <c r="E2013" s="190"/>
      <c r="F2013" s="195">
        <v>330.0</v>
      </c>
      <c r="G2013" s="188" t="str">
        <f>IFERROR(__xludf.DUMMYFUNCTION("TRIM(REGEXREPLACE(C2013, ""[0-9]+[a-f]?\."", """"))"),"")</f>
        <v/>
      </c>
      <c r="H2013" s="188" t="str">
        <f>IFERROR(__xludf.DUMMYFUNCTION("TRIM(REGEXREPLACE(D2013, ""[0-9]+[a-f]?\."", """"))"),"")</f>
        <v/>
      </c>
      <c r="I2013" s="188" t="str">
        <f>IFERROR(__xludf.DUMMYFUNCTION("TRIM(REGEXREPLACE(E2013, ""[0-9]+[a-f]?\."", """"))"),"")</f>
        <v/>
      </c>
      <c r="J2013" s="188" t="str">
        <f t="shared" ref="J2013:L2013" si="126">$F2013 &amp; ". "&amp;G2013</f>
        <v>330. </v>
      </c>
      <c r="K2013" s="188" t="str">
        <f t="shared" si="126"/>
        <v>330. </v>
      </c>
      <c r="L2013" s="188" t="str">
        <f t="shared" si="126"/>
        <v>330. </v>
      </c>
    </row>
    <row r="2014" hidden="1">
      <c r="A2014" s="334"/>
      <c r="B2014" s="334"/>
      <c r="C2014" s="190"/>
      <c r="D2014" s="190"/>
      <c r="E2014" s="190"/>
      <c r="F2014" s="195">
        <v>331.0</v>
      </c>
      <c r="G2014" s="188" t="str">
        <f>IFERROR(__xludf.DUMMYFUNCTION("TRIM(REGEXREPLACE(C2014, ""[0-9]+[a-f]?\."", """"))"),"")</f>
        <v/>
      </c>
      <c r="H2014" s="188" t="str">
        <f>IFERROR(__xludf.DUMMYFUNCTION("TRIM(REGEXREPLACE(D2014, ""[0-9]+[a-f]?\."", """"))"),"")</f>
        <v/>
      </c>
      <c r="I2014" s="188" t="str">
        <f>IFERROR(__xludf.DUMMYFUNCTION("TRIM(REGEXREPLACE(E2014, ""[0-9]+[a-f]?\."", """"))"),"")</f>
        <v/>
      </c>
      <c r="J2014" s="188" t="str">
        <f t="shared" ref="J2014:L2014" si="127">$F2014 &amp; ". "&amp;G2014</f>
        <v>331. </v>
      </c>
      <c r="K2014" s="188" t="str">
        <f t="shared" si="127"/>
        <v>331. </v>
      </c>
      <c r="L2014" s="188" t="str">
        <f t="shared" si="127"/>
        <v>331. </v>
      </c>
    </row>
    <row r="2015" hidden="1">
      <c r="A2015" s="310"/>
      <c r="B2015" s="315"/>
      <c r="C2015" s="406"/>
      <c r="D2015" s="406"/>
      <c r="E2015" s="406"/>
    </row>
    <row r="2016" hidden="1">
      <c r="A2016" s="310"/>
      <c r="B2016" s="315"/>
      <c r="C2016" s="406"/>
      <c r="D2016" s="406"/>
      <c r="E2016" s="406"/>
    </row>
    <row r="2017" hidden="1">
      <c r="A2017" s="147"/>
      <c r="B2017" s="147"/>
      <c r="C2017" s="190"/>
      <c r="D2017" s="190"/>
      <c r="E2017" s="190"/>
      <c r="F2017" s="195">
        <v>332.0</v>
      </c>
      <c r="G2017" s="188" t="str">
        <f>IFERROR(__xludf.DUMMYFUNCTION("TRIM(REGEXREPLACE(C2017, ""[0-9]+[a-f]?\."", """"))"),"")</f>
        <v/>
      </c>
      <c r="H2017" s="188" t="str">
        <f>IFERROR(__xludf.DUMMYFUNCTION("TRIM(REGEXREPLACE(D2017, ""[0-9]+[a-f]?\."", """"))"),"")</f>
        <v/>
      </c>
      <c r="I2017" s="188" t="str">
        <f>IFERROR(__xludf.DUMMYFUNCTION("TRIM(REGEXREPLACE(E2017, ""[0-9]+[a-f]?\."", """"))"),"")</f>
        <v/>
      </c>
      <c r="J2017" s="188" t="str">
        <f t="shared" ref="J2017:L2017" si="128">$F2017 &amp; ". "&amp;G2017</f>
        <v>332. </v>
      </c>
      <c r="K2017" s="188" t="str">
        <f t="shared" si="128"/>
        <v>332. </v>
      </c>
      <c r="L2017" s="188" t="str">
        <f t="shared" si="128"/>
        <v>332. </v>
      </c>
    </row>
    <row r="2018" hidden="1">
      <c r="A2018" s="310"/>
      <c r="B2018" s="315"/>
      <c r="C2018" s="315"/>
      <c r="D2018" s="406"/>
      <c r="E2018" s="406"/>
    </row>
    <row r="2019" hidden="1">
      <c r="A2019" s="197"/>
      <c r="B2019" s="198"/>
      <c r="C2019" s="381"/>
      <c r="D2019" s="381"/>
      <c r="E2019" s="381"/>
    </row>
    <row r="2020" hidden="1">
      <c r="A2020" s="221"/>
      <c r="B2020" s="198"/>
      <c r="C2020" s="381"/>
      <c r="D2020" s="381"/>
      <c r="E2020" s="381"/>
    </row>
    <row r="2021" hidden="1">
      <c r="A2021" s="194"/>
      <c r="B2021" s="194"/>
      <c r="C2021" s="415"/>
      <c r="D2021" s="189"/>
      <c r="E2021" s="189"/>
    </row>
    <row r="2022" hidden="1">
      <c r="A2022" s="221"/>
      <c r="B2022" s="198"/>
      <c r="C2022" s="381"/>
      <c r="D2022" s="381"/>
      <c r="E2022" s="381"/>
    </row>
    <row r="2023" hidden="1">
      <c r="A2023" s="194"/>
      <c r="B2023" s="194"/>
      <c r="C2023" s="415"/>
      <c r="D2023" s="189"/>
      <c r="E2023" s="189"/>
    </row>
    <row r="2024" hidden="1">
      <c r="A2024" s="147"/>
      <c r="B2024" s="147"/>
      <c r="C2024" s="190"/>
      <c r="D2024" s="190"/>
      <c r="E2024" s="190"/>
      <c r="F2024" s="195">
        <v>333.0</v>
      </c>
      <c r="G2024" s="188" t="str">
        <f>IFERROR(__xludf.DUMMYFUNCTION("TRIM(REGEXREPLACE(C2024, ""[0-9]+[a-f]?\."", """"))"),"")</f>
        <v/>
      </c>
      <c r="H2024" s="188" t="str">
        <f>IFERROR(__xludf.DUMMYFUNCTION("TRIM(REGEXREPLACE(D2024, ""[0-9]+[a-f]?\."", """"))"),"")</f>
        <v/>
      </c>
      <c r="I2024" s="188" t="str">
        <f>IFERROR(__xludf.DUMMYFUNCTION("TRIM(REGEXREPLACE(E2024, ""[0-9]+[a-f]?\."", """"))"),"")</f>
        <v/>
      </c>
      <c r="J2024" s="188" t="str">
        <f t="shared" ref="J2024:L2024" si="129">$F2024 &amp; ". "&amp;G2024</f>
        <v>333. </v>
      </c>
      <c r="K2024" s="188" t="str">
        <f t="shared" si="129"/>
        <v>333. </v>
      </c>
      <c r="L2024" s="188" t="str">
        <f t="shared" si="129"/>
        <v>333. </v>
      </c>
    </row>
    <row r="2025" hidden="1">
      <c r="A2025" s="319"/>
      <c r="B2025" s="319"/>
      <c r="C2025" s="319"/>
      <c r="D2025" s="319"/>
      <c r="E2025" s="319"/>
    </row>
    <row r="2026" hidden="1">
      <c r="A2026" s="221"/>
      <c r="B2026" s="198"/>
      <c r="C2026" s="381"/>
      <c r="D2026" s="381"/>
      <c r="E2026" s="381"/>
    </row>
    <row r="2027" hidden="1">
      <c r="A2027" s="255"/>
      <c r="B2027" s="152"/>
      <c r="C2027" s="190"/>
      <c r="D2027" s="190"/>
      <c r="E2027" s="190"/>
      <c r="F2027" s="195">
        <v>334.0</v>
      </c>
      <c r="G2027" s="188" t="str">
        <f>IFERROR(__xludf.DUMMYFUNCTION("TRIM(REGEXREPLACE(C2027, ""[0-9]+[a-f]?\."", """"))"),"")</f>
        <v/>
      </c>
      <c r="H2027" s="188" t="str">
        <f>IFERROR(__xludf.DUMMYFUNCTION("TRIM(REGEXREPLACE(D2027, ""[0-9]+[a-f]?\."", """"))"),"")</f>
        <v/>
      </c>
      <c r="I2027" s="188" t="str">
        <f>IFERROR(__xludf.DUMMYFUNCTION("TRIM(REGEXREPLACE(E2027, ""[0-9]+[a-f]?\."", """"))"),"")</f>
        <v/>
      </c>
      <c r="J2027" s="188" t="str">
        <f t="shared" ref="J2027:L2027" si="130">$F2027 &amp; ". "&amp;G2027</f>
        <v>334. </v>
      </c>
      <c r="K2027" s="188" t="str">
        <f t="shared" si="130"/>
        <v>334. </v>
      </c>
      <c r="L2027" s="188" t="str">
        <f t="shared" si="130"/>
        <v>334. </v>
      </c>
    </row>
    <row r="2028" hidden="1">
      <c r="A2028" s="310"/>
      <c r="B2028" s="315"/>
      <c r="C2028" s="190"/>
      <c r="D2028" s="190"/>
      <c r="E2028" s="190"/>
      <c r="F2028" s="195">
        <v>335.0</v>
      </c>
      <c r="G2028" s="188" t="str">
        <f>IFERROR(__xludf.DUMMYFUNCTION("TRIM(REGEXREPLACE(C2028, ""[0-9]+[a-f]?\."", """"))"),"")</f>
        <v/>
      </c>
      <c r="H2028" s="188" t="str">
        <f>IFERROR(__xludf.DUMMYFUNCTION("TRIM(REGEXREPLACE(D2028, ""[0-9]+[a-f]?\."", """"))"),"")</f>
        <v/>
      </c>
      <c r="I2028" s="188" t="str">
        <f>IFERROR(__xludf.DUMMYFUNCTION("TRIM(REGEXREPLACE(E2028, ""[0-9]+[a-f]?\."", """"))"),"")</f>
        <v/>
      </c>
      <c r="J2028" s="188" t="str">
        <f t="shared" ref="J2028:L2028" si="131">$F2028 &amp; ". "&amp;G2028</f>
        <v>335. </v>
      </c>
      <c r="K2028" s="188" t="str">
        <f t="shared" si="131"/>
        <v>335. </v>
      </c>
      <c r="L2028" s="188" t="str">
        <f t="shared" si="131"/>
        <v>335. </v>
      </c>
    </row>
    <row r="2029" hidden="1">
      <c r="A2029" s="336"/>
      <c r="B2029" s="298"/>
      <c r="C2029" s="190"/>
      <c r="D2029" s="190"/>
      <c r="E2029" s="190"/>
      <c r="F2029" s="195">
        <v>336.0</v>
      </c>
      <c r="G2029" s="188" t="str">
        <f>IFERROR(__xludf.DUMMYFUNCTION("TRIM(REGEXREPLACE(C2029, ""[0-9]+[a-f]?\."", """"))"),"")</f>
        <v/>
      </c>
      <c r="H2029" s="188" t="str">
        <f>IFERROR(__xludf.DUMMYFUNCTION("TRIM(REGEXREPLACE(D2029, ""[0-9]+[a-f]?\."", """"))"),"")</f>
        <v/>
      </c>
      <c r="I2029" s="188" t="str">
        <f>IFERROR(__xludf.DUMMYFUNCTION("TRIM(REGEXREPLACE(E2029, ""[0-9]+[a-f]?\."", """"))"),"")</f>
        <v/>
      </c>
      <c r="J2029" s="188" t="str">
        <f t="shared" ref="J2029:L2029" si="132">$F2029 &amp; ". "&amp;G2029</f>
        <v>336. </v>
      </c>
      <c r="K2029" s="188" t="str">
        <f t="shared" si="132"/>
        <v>336. </v>
      </c>
      <c r="L2029" s="188" t="str">
        <f t="shared" si="132"/>
        <v>336. </v>
      </c>
    </row>
    <row r="2030" hidden="1">
      <c r="A2030" s="319"/>
      <c r="B2030" s="319"/>
      <c r="C2030" s="319"/>
      <c r="D2030" s="319"/>
      <c r="E2030" s="319"/>
    </row>
    <row r="2031" hidden="1">
      <c r="A2031" s="305"/>
      <c r="B2031" s="223"/>
      <c r="C2031" s="223"/>
      <c r="D2031" s="416"/>
      <c r="E2031" s="416"/>
    </row>
    <row r="2032" hidden="1">
      <c r="A2032" s="221"/>
      <c r="B2032" s="198"/>
      <c r="C2032" s="382"/>
      <c r="D2032" s="381"/>
      <c r="E2032" s="381"/>
    </row>
    <row r="2033" hidden="1">
      <c r="A2033" s="221"/>
      <c r="B2033" s="198"/>
      <c r="C2033" s="381"/>
      <c r="D2033" s="381"/>
      <c r="E2033" s="381"/>
    </row>
    <row r="2034" hidden="1">
      <c r="A2034" s="221"/>
      <c r="B2034" s="198"/>
      <c r="C2034" s="381"/>
      <c r="D2034" s="381"/>
      <c r="E2034" s="381"/>
    </row>
    <row r="2035" hidden="1">
      <c r="A2035" s="221"/>
      <c r="B2035" s="198"/>
      <c r="C2035" s="381"/>
      <c r="D2035" s="381"/>
      <c r="E2035" s="381"/>
    </row>
    <row r="2036" hidden="1">
      <c r="A2036" s="310"/>
      <c r="B2036" s="311"/>
      <c r="C2036" s="311"/>
      <c r="D2036" s="314"/>
      <c r="E2036" s="314"/>
    </row>
    <row r="2037" hidden="1">
      <c r="A2037" s="310"/>
      <c r="B2037" s="315"/>
      <c r="C2037" s="190"/>
      <c r="D2037" s="190"/>
      <c r="E2037" s="190"/>
      <c r="F2037" s="195">
        <v>337.0</v>
      </c>
      <c r="G2037" s="188" t="str">
        <f>IFERROR(__xludf.DUMMYFUNCTION("TRIM(REGEXREPLACE(C2037, ""[0-9]+[a-f]?\."", """"))"),"")</f>
        <v/>
      </c>
      <c r="H2037" s="188" t="str">
        <f>IFERROR(__xludf.DUMMYFUNCTION("TRIM(REGEXREPLACE(D2037, ""[0-9]+[a-f]?\."", """"))"),"")</f>
        <v/>
      </c>
      <c r="I2037" s="188" t="str">
        <f>IFERROR(__xludf.DUMMYFUNCTION("TRIM(REGEXREPLACE(E2037, ""[0-9]+[a-f]?\."", """"))"),"")</f>
        <v/>
      </c>
      <c r="J2037" s="188" t="str">
        <f t="shared" ref="J2037:L2037" si="133">$F2037 &amp; ". "&amp;G2037</f>
        <v>337. </v>
      </c>
      <c r="K2037" s="188" t="str">
        <f t="shared" si="133"/>
        <v>337. </v>
      </c>
      <c r="L2037" s="188" t="str">
        <f t="shared" si="133"/>
        <v>337. </v>
      </c>
    </row>
    <row r="2038" hidden="1">
      <c r="A2038" s="197"/>
      <c r="B2038" s="198"/>
      <c r="C2038" s="190"/>
      <c r="D2038" s="190"/>
      <c r="E2038" s="190"/>
      <c r="F2038" s="195">
        <v>338.0</v>
      </c>
      <c r="G2038" s="188" t="str">
        <f>IFERROR(__xludf.DUMMYFUNCTION("TRIM(REGEXREPLACE(C2038, ""[0-9]+[a-f]?\."", """"))"),"")</f>
        <v/>
      </c>
      <c r="H2038" s="188" t="str">
        <f>IFERROR(__xludf.DUMMYFUNCTION("TRIM(REGEXREPLACE(D2038, ""[0-9]+[a-f]?\."", """"))"),"")</f>
        <v/>
      </c>
      <c r="I2038" s="188" t="str">
        <f>IFERROR(__xludf.DUMMYFUNCTION("TRIM(REGEXREPLACE(E2038, ""[0-9]+[a-f]?\."", """"))"),"")</f>
        <v/>
      </c>
      <c r="J2038" s="188" t="str">
        <f t="shared" ref="J2038:L2038" si="134">$F2038 &amp; ". "&amp;G2038</f>
        <v>338. </v>
      </c>
      <c r="K2038" s="188" t="str">
        <f t="shared" si="134"/>
        <v>338. </v>
      </c>
      <c r="L2038" s="188" t="str">
        <f t="shared" si="134"/>
        <v>338. </v>
      </c>
    </row>
    <row r="2039" hidden="1">
      <c r="A2039" s="310"/>
      <c r="B2039" s="315"/>
      <c r="C2039" s="406"/>
      <c r="D2039" s="406"/>
      <c r="E2039" s="406"/>
    </row>
    <row r="2040" hidden="1">
      <c r="A2040" s="221"/>
      <c r="B2040" s="198"/>
      <c r="C2040" s="381"/>
      <c r="D2040" s="381"/>
      <c r="E2040" s="381"/>
    </row>
    <row r="2041" hidden="1">
      <c r="A2041" s="221"/>
      <c r="B2041" s="198"/>
      <c r="C2041" s="190"/>
      <c r="D2041" s="190"/>
      <c r="E2041" s="190"/>
      <c r="F2041" s="195">
        <v>339.0</v>
      </c>
      <c r="G2041" s="188" t="str">
        <f>IFERROR(__xludf.DUMMYFUNCTION("TRIM(REGEXREPLACE(C2041, ""[0-9]+[a-f]?\."", """"))"),"")</f>
        <v/>
      </c>
      <c r="H2041" s="188" t="str">
        <f>IFERROR(__xludf.DUMMYFUNCTION("TRIM(REGEXREPLACE(D2041, ""[0-9]+[a-f]?\."", """"))"),"")</f>
        <v/>
      </c>
      <c r="I2041" s="188" t="str">
        <f>IFERROR(__xludf.DUMMYFUNCTION("TRIM(REGEXREPLACE(E2041, ""[0-9]+[a-f]?\."", """"))"),"")</f>
        <v/>
      </c>
      <c r="J2041" s="188" t="str">
        <f t="shared" ref="J2041:L2041" si="135">$F2041 &amp; ". "&amp;G2041</f>
        <v>339. </v>
      </c>
      <c r="K2041" s="188" t="str">
        <f t="shared" si="135"/>
        <v>339. </v>
      </c>
      <c r="L2041" s="188" t="str">
        <f t="shared" si="135"/>
        <v>339. </v>
      </c>
    </row>
    <row r="2042" hidden="1">
      <c r="A2042" s="194"/>
      <c r="B2042" s="194"/>
      <c r="C2042" s="190"/>
      <c r="D2042" s="190"/>
      <c r="E2042" s="190"/>
      <c r="F2042" s="195">
        <v>340.0</v>
      </c>
      <c r="G2042" s="188" t="str">
        <f>IFERROR(__xludf.DUMMYFUNCTION("TRIM(REGEXREPLACE(C2042, ""[0-9]+[a-f]?\."", """"))"),"")</f>
        <v/>
      </c>
      <c r="H2042" s="188" t="str">
        <f>IFERROR(__xludf.DUMMYFUNCTION("TRIM(REGEXREPLACE(D2042, ""[0-9]+[a-f]?\."", """"))"),"")</f>
        <v/>
      </c>
      <c r="I2042" s="188" t="str">
        <f>IFERROR(__xludf.DUMMYFUNCTION("TRIM(REGEXREPLACE(E2042, ""[0-9]+[a-f]?\."", """"))"),"")</f>
        <v/>
      </c>
      <c r="J2042" s="188" t="str">
        <f t="shared" ref="J2042:L2042" si="136">$F2042 &amp; ". "&amp;G2042</f>
        <v>340. </v>
      </c>
      <c r="K2042" s="188" t="str">
        <f t="shared" si="136"/>
        <v>340. </v>
      </c>
      <c r="L2042" s="188" t="str">
        <f t="shared" si="136"/>
        <v>340. </v>
      </c>
    </row>
    <row r="2043" hidden="1">
      <c r="A2043" s="221"/>
      <c r="B2043" s="198"/>
      <c r="C2043" s="190"/>
      <c r="D2043" s="190"/>
      <c r="E2043" s="190"/>
      <c r="F2043" s="195">
        <v>341.0</v>
      </c>
      <c r="G2043" s="188" t="str">
        <f>IFERROR(__xludf.DUMMYFUNCTION("TRIM(REGEXREPLACE(C2043, ""[0-9]+[a-f]?\."", """"))"),"")</f>
        <v/>
      </c>
      <c r="H2043" s="188" t="str">
        <f>IFERROR(__xludf.DUMMYFUNCTION("TRIM(REGEXREPLACE(D2043, ""[0-9]+[a-f]?\."", """"))"),"")</f>
        <v/>
      </c>
      <c r="I2043" s="188" t="str">
        <f>IFERROR(__xludf.DUMMYFUNCTION("TRIM(REGEXREPLACE(E2043, ""[0-9]+[a-f]?\."", """"))"),"")</f>
        <v/>
      </c>
      <c r="J2043" s="188" t="str">
        <f t="shared" ref="J2043:L2043" si="137">$F2043 &amp; ". "&amp;G2043</f>
        <v>341. </v>
      </c>
      <c r="K2043" s="188" t="str">
        <f t="shared" si="137"/>
        <v>341. </v>
      </c>
      <c r="L2043" s="188" t="str">
        <f t="shared" si="137"/>
        <v>341. </v>
      </c>
    </row>
    <row r="2044" hidden="1">
      <c r="A2044" s="305"/>
      <c r="B2044" s="224"/>
      <c r="C2044" s="224"/>
      <c r="D2044" s="418"/>
      <c r="E2044" s="418"/>
    </row>
    <row r="2045" hidden="1">
      <c r="A2045" s="221"/>
      <c r="B2045" s="198"/>
      <c r="C2045" s="381"/>
      <c r="D2045" s="381"/>
      <c r="E2045" s="381"/>
    </row>
    <row r="2046" hidden="1">
      <c r="A2046" s="221"/>
      <c r="B2046" s="198"/>
      <c r="C2046" s="381"/>
      <c r="D2046" s="381"/>
      <c r="E2046" s="381"/>
    </row>
    <row r="2047" hidden="1">
      <c r="A2047" s="221"/>
      <c r="B2047" s="198"/>
      <c r="C2047" s="381"/>
      <c r="D2047" s="381"/>
      <c r="E2047" s="381"/>
    </row>
    <row r="2048" hidden="1">
      <c r="A2048" s="194"/>
      <c r="B2048" s="194"/>
      <c r="C2048" s="190"/>
      <c r="D2048" s="190"/>
      <c r="E2048" s="190"/>
      <c r="F2048" s="195">
        <v>342.0</v>
      </c>
      <c r="G2048" s="188" t="str">
        <f>IFERROR(__xludf.DUMMYFUNCTION("TRIM(REGEXREPLACE(C2048, ""[0-9]+[a-f]?\."", """"))"),"")</f>
        <v/>
      </c>
      <c r="H2048" s="188" t="str">
        <f>IFERROR(__xludf.DUMMYFUNCTION("TRIM(REGEXREPLACE(D2048, ""[0-9]+[a-f]?\."", """"))"),"")</f>
        <v/>
      </c>
      <c r="I2048" s="188" t="str">
        <f>IFERROR(__xludf.DUMMYFUNCTION("TRIM(REGEXREPLACE(E2048, ""[0-9]+[a-f]?\."", """"))"),"")</f>
        <v/>
      </c>
      <c r="J2048" s="188" t="str">
        <f t="shared" ref="J2048:L2048" si="138">$F2048 &amp; ". "&amp;G2048</f>
        <v>342. </v>
      </c>
      <c r="K2048" s="188" t="str">
        <f t="shared" si="138"/>
        <v>342. </v>
      </c>
      <c r="L2048" s="188" t="str">
        <f t="shared" si="138"/>
        <v>342. </v>
      </c>
    </row>
    <row r="2049" hidden="1">
      <c r="A2049" s="319"/>
      <c r="B2049" s="319"/>
      <c r="C2049" s="319"/>
      <c r="D2049" s="319"/>
      <c r="E2049" s="319"/>
    </row>
    <row r="2050" hidden="1">
      <c r="A2050" s="305"/>
      <c r="B2050" s="223"/>
      <c r="C2050" s="223"/>
      <c r="D2050" s="416"/>
      <c r="E2050" s="416"/>
    </row>
    <row r="2051" hidden="1">
      <c r="A2051" s="221"/>
      <c r="B2051" s="198"/>
      <c r="C2051" s="381"/>
      <c r="D2051" s="381"/>
      <c r="E2051" s="381"/>
    </row>
    <row r="2052" hidden="1">
      <c r="A2052" s="221"/>
      <c r="B2052" s="198"/>
      <c r="C2052" s="381"/>
      <c r="D2052" s="381"/>
      <c r="E2052" s="381"/>
    </row>
    <row r="2053" hidden="1">
      <c r="A2053" s="221"/>
      <c r="B2053" s="198"/>
      <c r="C2053" s="382"/>
      <c r="D2053" s="381"/>
      <c r="E2053" s="381"/>
    </row>
    <row r="2054" hidden="1">
      <c r="A2054" s="221"/>
      <c r="B2054" s="198"/>
      <c r="C2054" s="382"/>
      <c r="D2054" s="381"/>
      <c r="E2054" s="381"/>
    </row>
    <row r="2055" hidden="1">
      <c r="A2055" s="221"/>
      <c r="B2055" s="198"/>
      <c r="C2055" s="382"/>
      <c r="D2055" s="381"/>
      <c r="E2055" s="381"/>
    </row>
    <row r="2056" hidden="1">
      <c r="A2056" s="221"/>
      <c r="B2056" s="198"/>
      <c r="C2056" s="381"/>
      <c r="D2056" s="381"/>
      <c r="E2056" s="381"/>
    </row>
    <row r="2057" hidden="1">
      <c r="A2057" s="221"/>
      <c r="B2057" s="198"/>
      <c r="C2057" s="382"/>
      <c r="D2057" s="381"/>
      <c r="E2057" s="381"/>
    </row>
    <row r="2058" hidden="1">
      <c r="A2058" s="221"/>
      <c r="B2058" s="198"/>
      <c r="C2058" s="382"/>
      <c r="D2058" s="381"/>
      <c r="E2058" s="381"/>
    </row>
    <row r="2059" hidden="1">
      <c r="A2059" s="221"/>
      <c r="B2059" s="198"/>
      <c r="C2059" s="382"/>
      <c r="D2059" s="381"/>
      <c r="E2059" s="381"/>
    </row>
    <row r="2060" hidden="1">
      <c r="A2060" s="221"/>
      <c r="B2060" s="198"/>
      <c r="C2060" s="381"/>
      <c r="D2060" s="381"/>
      <c r="E2060" s="381"/>
    </row>
    <row r="2061" hidden="1">
      <c r="A2061" s="221"/>
      <c r="B2061" s="198"/>
      <c r="C2061" s="381"/>
      <c r="D2061" s="381"/>
      <c r="E2061" s="381"/>
    </row>
    <row r="2062" hidden="1">
      <c r="A2062" s="221"/>
      <c r="B2062" s="198"/>
      <c r="C2062" s="381"/>
      <c r="D2062" s="381"/>
      <c r="E2062" s="381"/>
    </row>
    <row r="2063" hidden="1">
      <c r="A2063" s="297"/>
      <c r="B2063" s="298"/>
      <c r="C2063" s="190"/>
      <c r="D2063" s="190"/>
      <c r="E2063" s="190"/>
      <c r="F2063" s="195">
        <v>343.0</v>
      </c>
      <c r="G2063" s="188" t="str">
        <f>IFERROR(__xludf.DUMMYFUNCTION("TRIM(REGEXREPLACE(C2063, ""[0-9]+[a-f]?\."", """"))"),"")</f>
        <v/>
      </c>
      <c r="H2063" s="188" t="str">
        <f>IFERROR(__xludf.DUMMYFUNCTION("TRIM(REGEXREPLACE(D2063, ""[0-9]+[a-f]?\."", """"))"),"")</f>
        <v/>
      </c>
      <c r="I2063" s="188" t="str">
        <f>IFERROR(__xludf.DUMMYFUNCTION("TRIM(REGEXREPLACE(E2063, ""[0-9]+[a-f]?\."", """"))"),"")</f>
        <v/>
      </c>
      <c r="J2063" s="188" t="str">
        <f t="shared" ref="J2063:L2063" si="139">$F2063 &amp; ". "&amp;G2063</f>
        <v>343. </v>
      </c>
      <c r="K2063" s="188" t="str">
        <f t="shared" si="139"/>
        <v>343. </v>
      </c>
      <c r="L2063" s="188" t="str">
        <f t="shared" si="139"/>
        <v>343. </v>
      </c>
    </row>
    <row r="2064" hidden="1">
      <c r="A2064" s="319"/>
      <c r="B2064" s="319"/>
      <c r="C2064" s="190"/>
      <c r="D2064" s="190"/>
      <c r="E2064" s="190"/>
      <c r="F2064" s="195">
        <v>344.0</v>
      </c>
      <c r="G2064" s="188" t="str">
        <f>IFERROR(__xludf.DUMMYFUNCTION("TRIM(REGEXREPLACE(C2064, ""[0-9]+[a-f]?\."", """"))"),"")</f>
        <v/>
      </c>
      <c r="H2064" s="188" t="str">
        <f>IFERROR(__xludf.DUMMYFUNCTION("TRIM(REGEXREPLACE(D2064, ""[0-9]+[a-f]?\."", """"))"),"")</f>
        <v/>
      </c>
      <c r="I2064" s="188" t="str">
        <f>IFERROR(__xludf.DUMMYFUNCTION("TRIM(REGEXREPLACE(E2064, ""[0-9]+[a-f]?\."", """"))"),"")</f>
        <v/>
      </c>
      <c r="J2064" s="188" t="str">
        <f t="shared" ref="J2064:L2064" si="140">$F2064 &amp; ". "&amp;G2064</f>
        <v>344. </v>
      </c>
      <c r="K2064" s="188" t="str">
        <f t="shared" si="140"/>
        <v>344. </v>
      </c>
      <c r="L2064" s="188" t="str">
        <f t="shared" si="140"/>
        <v>344. </v>
      </c>
    </row>
    <row r="2065" hidden="1">
      <c r="A2065" s="221"/>
      <c r="B2065" s="198"/>
      <c r="C2065" s="190"/>
      <c r="D2065" s="190"/>
      <c r="E2065" s="190"/>
      <c r="F2065" s="195">
        <v>345.0</v>
      </c>
      <c r="G2065" s="188" t="str">
        <f>IFERROR(__xludf.DUMMYFUNCTION("TRIM(REGEXREPLACE(C2065, ""[0-9]+[a-f]?\."", """"))"),"")</f>
        <v/>
      </c>
      <c r="H2065" s="188" t="str">
        <f>IFERROR(__xludf.DUMMYFUNCTION("TRIM(REGEXREPLACE(D2065, ""[0-9]+[a-f]?\."", """"))"),"")</f>
        <v/>
      </c>
      <c r="I2065" s="188" t="str">
        <f>IFERROR(__xludf.DUMMYFUNCTION("TRIM(REGEXREPLACE(E2065, ""[0-9]+[a-f]?\."", """"))"),"")</f>
        <v/>
      </c>
      <c r="J2065" s="188" t="str">
        <f t="shared" ref="J2065:L2065" si="141">$F2065 &amp; ". "&amp;G2065</f>
        <v>345. </v>
      </c>
      <c r="K2065" s="188" t="str">
        <f t="shared" si="141"/>
        <v>345. </v>
      </c>
      <c r="L2065" s="188" t="str">
        <f t="shared" si="141"/>
        <v>345. </v>
      </c>
    </row>
    <row r="2066" hidden="1">
      <c r="A2066" s="297"/>
      <c r="B2066" s="298"/>
      <c r="C2066" s="190"/>
      <c r="D2066" s="190"/>
      <c r="E2066" s="190"/>
      <c r="F2066" s="195">
        <v>346.0</v>
      </c>
      <c r="G2066" s="188" t="str">
        <f>IFERROR(__xludf.DUMMYFUNCTION("TRIM(REGEXREPLACE(C2066, ""[0-9]+[a-f]?\."", """"))"),"")</f>
        <v/>
      </c>
      <c r="H2066" s="188" t="str">
        <f>IFERROR(__xludf.DUMMYFUNCTION("TRIM(REGEXREPLACE(D2066, ""[0-9]+[a-f]?\."", """"))"),"")</f>
        <v/>
      </c>
      <c r="I2066" s="188" t="str">
        <f>IFERROR(__xludf.DUMMYFUNCTION("TRIM(REGEXREPLACE(E2066, ""[0-9]+[a-f]?\."", """"))"),"")</f>
        <v/>
      </c>
      <c r="J2066" s="188" t="str">
        <f t="shared" ref="J2066:L2066" si="142">$F2066 &amp; ". "&amp;G2066</f>
        <v>346. </v>
      </c>
      <c r="K2066" s="188" t="str">
        <f t="shared" si="142"/>
        <v>346. </v>
      </c>
      <c r="L2066" s="188" t="str">
        <f t="shared" si="142"/>
        <v>346. </v>
      </c>
    </row>
    <row r="2067" hidden="1">
      <c r="A2067" s="299"/>
      <c r="B2067" s="300"/>
      <c r="C2067" s="190"/>
      <c r="D2067" s="190"/>
      <c r="E2067" s="190"/>
      <c r="F2067" s="195">
        <v>347.0</v>
      </c>
      <c r="G2067" s="188" t="str">
        <f>IFERROR(__xludf.DUMMYFUNCTION("TRIM(REGEXREPLACE(C2067, ""[0-9]+[a-f]?\."", """"))"),"")</f>
        <v/>
      </c>
      <c r="H2067" s="188" t="str">
        <f>IFERROR(__xludf.DUMMYFUNCTION("TRIM(REGEXREPLACE(D2067, ""[0-9]+[a-f]?\."", """"))"),"")</f>
        <v/>
      </c>
      <c r="I2067" s="188" t="str">
        <f>IFERROR(__xludf.DUMMYFUNCTION("TRIM(REGEXREPLACE(E2067, ""[0-9]+[a-f]?\."", """"))"),"")</f>
        <v/>
      </c>
      <c r="J2067" s="188" t="str">
        <f t="shared" ref="J2067:L2067" si="143">$F2067 &amp; ". "&amp;G2067</f>
        <v>347. </v>
      </c>
      <c r="K2067" s="188" t="str">
        <f t="shared" si="143"/>
        <v>347. </v>
      </c>
      <c r="L2067" s="188" t="str">
        <f t="shared" si="143"/>
        <v>347. </v>
      </c>
    </row>
    <row r="2068" hidden="1">
      <c r="A2068" s="306"/>
      <c r="B2068" s="307"/>
      <c r="C2068" s="190"/>
      <c r="D2068" s="190"/>
      <c r="E2068" s="190"/>
      <c r="F2068" s="195">
        <v>348.0</v>
      </c>
      <c r="G2068" s="188" t="str">
        <f>IFERROR(__xludf.DUMMYFUNCTION("TRIM(REGEXREPLACE(C2068, ""[0-9]+[a-f]?\."", """"))"),"")</f>
        <v/>
      </c>
      <c r="H2068" s="188" t="str">
        <f>IFERROR(__xludf.DUMMYFUNCTION("TRIM(REGEXREPLACE(D2068, ""[0-9]+[a-f]?\."", """"))"),"")</f>
        <v/>
      </c>
      <c r="I2068" s="188" t="str">
        <f>IFERROR(__xludf.DUMMYFUNCTION("TRIM(REGEXREPLACE(E2068, ""[0-9]+[a-f]?\."", """"))"),"")</f>
        <v/>
      </c>
      <c r="J2068" s="188" t="str">
        <f t="shared" ref="J2068:L2068" si="144">$F2068 &amp; ". "&amp;G2068</f>
        <v>348. </v>
      </c>
      <c r="K2068" s="188" t="str">
        <f t="shared" si="144"/>
        <v>348. </v>
      </c>
      <c r="L2068" s="188" t="str">
        <f t="shared" si="144"/>
        <v>348. </v>
      </c>
    </row>
    <row r="2069" hidden="1">
      <c r="A2069" s="319"/>
      <c r="B2069" s="319"/>
      <c r="C2069" s="190"/>
      <c r="D2069" s="190"/>
      <c r="E2069" s="190"/>
      <c r="F2069" s="195">
        <v>349.0</v>
      </c>
      <c r="G2069" s="188" t="str">
        <f>IFERROR(__xludf.DUMMYFUNCTION("TRIM(REGEXREPLACE(C2069, ""[0-9]+[a-f]?\."", """"))"),"")</f>
        <v/>
      </c>
      <c r="H2069" s="188" t="str">
        <f>IFERROR(__xludf.DUMMYFUNCTION("TRIM(REGEXREPLACE(D2069, ""[0-9]+[a-f]?\."", """"))"),"")</f>
        <v/>
      </c>
      <c r="I2069" s="188" t="str">
        <f>IFERROR(__xludf.DUMMYFUNCTION("TRIM(REGEXREPLACE(E2069, ""[0-9]+[a-f]?\."", """"))"),"")</f>
        <v/>
      </c>
      <c r="J2069" s="188" t="str">
        <f t="shared" ref="J2069:L2069" si="145">$F2069 &amp; ". "&amp;G2069</f>
        <v>349. </v>
      </c>
      <c r="K2069" s="188" t="str">
        <f t="shared" si="145"/>
        <v>349. </v>
      </c>
      <c r="L2069" s="188" t="str">
        <f t="shared" si="145"/>
        <v>349. </v>
      </c>
    </row>
    <row r="2070" hidden="1">
      <c r="A2070" s="305"/>
      <c r="B2070" s="223"/>
      <c r="C2070" s="190"/>
      <c r="D2070" s="190"/>
      <c r="E2070" s="190"/>
      <c r="F2070" s="195">
        <v>350.0</v>
      </c>
      <c r="G2070" s="188" t="str">
        <f>IFERROR(__xludf.DUMMYFUNCTION("TRIM(REGEXREPLACE(C2070, ""[0-9]+[a-f]?\."", """"))"),"")</f>
        <v/>
      </c>
      <c r="H2070" s="188" t="str">
        <f>IFERROR(__xludf.DUMMYFUNCTION("TRIM(REGEXREPLACE(D2070, ""[0-9]+[a-f]?\."", """"))"),"")</f>
        <v/>
      </c>
      <c r="I2070" s="188" t="str">
        <f>IFERROR(__xludf.DUMMYFUNCTION("TRIM(REGEXREPLACE(E2070, ""[0-9]+[a-f]?\."", """"))"),"")</f>
        <v/>
      </c>
      <c r="J2070" s="188" t="str">
        <f t="shared" ref="J2070:L2070" si="146">$F2070 &amp; ". "&amp;G2070</f>
        <v>350. </v>
      </c>
      <c r="K2070" s="188" t="str">
        <f t="shared" si="146"/>
        <v>350. </v>
      </c>
      <c r="L2070" s="188" t="str">
        <f t="shared" si="146"/>
        <v>350. </v>
      </c>
    </row>
    <row r="2071" hidden="1">
      <c r="A2071" s="221"/>
      <c r="B2071" s="198"/>
      <c r="C2071" s="190"/>
      <c r="D2071" s="190"/>
      <c r="E2071" s="190"/>
      <c r="F2071" s="195">
        <v>351.0</v>
      </c>
      <c r="G2071" s="188" t="str">
        <f>IFERROR(__xludf.DUMMYFUNCTION("TRIM(REGEXREPLACE(C2071, ""[0-9]+[a-f]?\."", """"))"),"")</f>
        <v/>
      </c>
      <c r="H2071" s="188" t="str">
        <f>IFERROR(__xludf.DUMMYFUNCTION("TRIM(REGEXREPLACE(D2071, ""[0-9]+[a-f]?\."", """"))"),"")</f>
        <v/>
      </c>
      <c r="I2071" s="188" t="str">
        <f>IFERROR(__xludf.DUMMYFUNCTION("TRIM(REGEXREPLACE(E2071, ""[0-9]+[a-f]?\."", """"))"),"")</f>
        <v/>
      </c>
      <c r="J2071" s="188" t="str">
        <f t="shared" ref="J2071:L2071" si="147">$F2071 &amp; ". "&amp;G2071</f>
        <v>351. </v>
      </c>
      <c r="K2071" s="188" t="str">
        <f t="shared" si="147"/>
        <v>351. </v>
      </c>
      <c r="L2071" s="188" t="str">
        <f t="shared" si="147"/>
        <v>351. </v>
      </c>
    </row>
    <row r="2072" hidden="1">
      <c r="A2072" s="221"/>
      <c r="B2072" s="198"/>
      <c r="C2072" s="190"/>
      <c r="D2072" s="190"/>
      <c r="E2072" s="190"/>
      <c r="F2072" s="195">
        <v>352.0</v>
      </c>
      <c r="G2072" s="188" t="str">
        <f>IFERROR(__xludf.DUMMYFUNCTION("TRIM(REGEXREPLACE(C2072, ""[0-9]+[a-f]?\."", """"))"),"")</f>
        <v/>
      </c>
      <c r="H2072" s="188" t="str">
        <f>IFERROR(__xludf.DUMMYFUNCTION("TRIM(REGEXREPLACE(D2072, ""[0-9]+[a-f]?\."", """"))"),"")</f>
        <v/>
      </c>
      <c r="I2072" s="188" t="str">
        <f>IFERROR(__xludf.DUMMYFUNCTION("TRIM(REGEXREPLACE(E2072, ""[0-9]+[a-f]?\."", """"))"),"")</f>
        <v/>
      </c>
      <c r="J2072" s="188" t="str">
        <f t="shared" ref="J2072:L2072" si="148">$F2072 &amp; ". "&amp;G2072</f>
        <v>352. </v>
      </c>
      <c r="K2072" s="188" t="str">
        <f t="shared" si="148"/>
        <v>352. </v>
      </c>
      <c r="L2072" s="188" t="str">
        <f t="shared" si="148"/>
        <v>352. </v>
      </c>
    </row>
    <row r="2073" hidden="1">
      <c r="A2073" s="221"/>
      <c r="B2073" s="198"/>
      <c r="C2073" s="190"/>
      <c r="D2073" s="190"/>
      <c r="E2073" s="190"/>
      <c r="F2073" s="195">
        <v>353.0</v>
      </c>
      <c r="G2073" s="188" t="str">
        <f>IFERROR(__xludf.DUMMYFUNCTION("TRIM(REGEXREPLACE(C2073, ""[0-9]+[a-f]?\."", """"))"),"")</f>
        <v/>
      </c>
      <c r="H2073" s="188" t="str">
        <f>IFERROR(__xludf.DUMMYFUNCTION("TRIM(REGEXREPLACE(D2073, ""[0-9]+[a-f]?\."", """"))"),"")</f>
        <v/>
      </c>
      <c r="I2073" s="188" t="str">
        <f>IFERROR(__xludf.DUMMYFUNCTION("TRIM(REGEXREPLACE(E2073, ""[0-9]+[a-f]?\."", """"))"),"")</f>
        <v/>
      </c>
      <c r="J2073" s="188" t="str">
        <f t="shared" ref="J2073:L2073" si="149">$F2073 &amp; ". "&amp;G2073</f>
        <v>353. </v>
      </c>
      <c r="K2073" s="188" t="str">
        <f t="shared" si="149"/>
        <v>353. </v>
      </c>
      <c r="L2073" s="188" t="str">
        <f t="shared" si="149"/>
        <v>353. </v>
      </c>
    </row>
    <row r="2074" hidden="1">
      <c r="A2074" s="221"/>
      <c r="B2074" s="198"/>
      <c r="C2074" s="190"/>
      <c r="D2074" s="190"/>
      <c r="E2074" s="190"/>
      <c r="F2074" s="195">
        <v>354.0</v>
      </c>
      <c r="G2074" s="188" t="str">
        <f>IFERROR(__xludf.DUMMYFUNCTION("TRIM(REGEXREPLACE(C2074, ""[0-9]+[a-f]?\."", """"))"),"")</f>
        <v/>
      </c>
      <c r="H2074" s="188" t="str">
        <f>IFERROR(__xludf.DUMMYFUNCTION("TRIM(REGEXREPLACE(D2074, ""[0-9]+[a-f]?\."", """"))"),"")</f>
        <v/>
      </c>
      <c r="I2074" s="188" t="str">
        <f>IFERROR(__xludf.DUMMYFUNCTION("TRIM(REGEXREPLACE(E2074, ""[0-9]+[a-f]?\."", """"))"),"")</f>
        <v/>
      </c>
      <c r="J2074" s="188" t="str">
        <f t="shared" ref="J2074:L2074" si="150">$F2074 &amp; ". "&amp;G2074</f>
        <v>354. </v>
      </c>
      <c r="K2074" s="188" t="str">
        <f t="shared" si="150"/>
        <v>354. </v>
      </c>
      <c r="L2074" s="188" t="str">
        <f t="shared" si="150"/>
        <v>354. </v>
      </c>
    </row>
    <row r="2075" hidden="1">
      <c r="A2075" s="310"/>
      <c r="B2075" s="311"/>
      <c r="C2075" s="190"/>
      <c r="D2075" s="190"/>
      <c r="E2075" s="190"/>
      <c r="F2075" s="195">
        <v>355.0</v>
      </c>
      <c r="G2075" s="188" t="str">
        <f>IFERROR(__xludf.DUMMYFUNCTION("TRIM(REGEXREPLACE(C2075, ""[0-9]+[a-f]?\."", """"))"),"")</f>
        <v/>
      </c>
      <c r="H2075" s="188" t="str">
        <f>IFERROR(__xludf.DUMMYFUNCTION("TRIM(REGEXREPLACE(D2075, ""[0-9]+[a-f]?\."", """"))"),"")</f>
        <v/>
      </c>
      <c r="I2075" s="188" t="str">
        <f>IFERROR(__xludf.DUMMYFUNCTION("TRIM(REGEXREPLACE(E2075, ""[0-9]+[a-f]?\."", """"))"),"")</f>
        <v/>
      </c>
      <c r="J2075" s="188" t="str">
        <f t="shared" ref="J2075:L2075" si="151">$F2075 &amp; ". "&amp;G2075</f>
        <v>355. </v>
      </c>
      <c r="K2075" s="188" t="str">
        <f t="shared" si="151"/>
        <v>355. </v>
      </c>
      <c r="L2075" s="188" t="str">
        <f t="shared" si="151"/>
        <v>355. </v>
      </c>
    </row>
    <row r="2076" hidden="1">
      <c r="A2076" s="301"/>
      <c r="B2076" s="302"/>
      <c r="C2076" s="190"/>
      <c r="D2076" s="190"/>
      <c r="E2076" s="190"/>
      <c r="F2076" s="195">
        <v>356.0</v>
      </c>
      <c r="G2076" s="188" t="str">
        <f>IFERROR(__xludf.DUMMYFUNCTION("TRIM(REGEXREPLACE(C2076, ""[0-9]+[a-f]?\."", """"))"),"")</f>
        <v/>
      </c>
      <c r="H2076" s="188" t="str">
        <f>IFERROR(__xludf.DUMMYFUNCTION("TRIM(REGEXREPLACE(D2076, ""[0-9]+[a-f]?\."", """"))"),"")</f>
        <v/>
      </c>
      <c r="I2076" s="188" t="str">
        <f>IFERROR(__xludf.DUMMYFUNCTION("TRIM(REGEXREPLACE(E2076, ""[0-9]+[a-f]?\."", """"))"),"")</f>
        <v/>
      </c>
      <c r="J2076" s="188" t="str">
        <f t="shared" ref="J2076:L2076" si="152">$F2076 &amp; ". "&amp;G2076</f>
        <v>356. </v>
      </c>
      <c r="K2076" s="188" t="str">
        <f t="shared" si="152"/>
        <v>356. </v>
      </c>
      <c r="L2076" s="188" t="str">
        <f t="shared" si="152"/>
        <v>356. </v>
      </c>
    </row>
    <row r="2077" hidden="1">
      <c r="A2077" s="301"/>
      <c r="B2077" s="302"/>
      <c r="C2077" s="190"/>
      <c r="D2077" s="190"/>
      <c r="E2077" s="190"/>
      <c r="F2077" s="195">
        <v>357.0</v>
      </c>
      <c r="G2077" s="188" t="str">
        <f>IFERROR(__xludf.DUMMYFUNCTION("TRIM(REGEXREPLACE(C2077, ""[0-9]+[a-f]?\."", """"))"),"")</f>
        <v/>
      </c>
      <c r="H2077" s="188" t="str">
        <f>IFERROR(__xludf.DUMMYFUNCTION("TRIM(REGEXREPLACE(D2077, ""[0-9]+[a-f]?\."", """"))"),"")</f>
        <v/>
      </c>
      <c r="I2077" s="188" t="str">
        <f>IFERROR(__xludf.DUMMYFUNCTION("TRIM(REGEXREPLACE(E2077, ""[0-9]+[a-f]?\."", """"))"),"")</f>
        <v/>
      </c>
      <c r="J2077" s="188" t="str">
        <f t="shared" ref="J2077:L2077" si="153">$F2077 &amp; ". "&amp;G2077</f>
        <v>357. </v>
      </c>
      <c r="K2077" s="188" t="str">
        <f t="shared" si="153"/>
        <v>357. </v>
      </c>
      <c r="L2077" s="188" t="str">
        <f t="shared" si="153"/>
        <v>357. </v>
      </c>
    </row>
    <row r="2078" hidden="1">
      <c r="A2078" s="310"/>
      <c r="B2078" s="311"/>
      <c r="C2078" s="314"/>
      <c r="D2078" s="314"/>
      <c r="E2078" s="314"/>
    </row>
    <row r="2079" hidden="1">
      <c r="A2079" s="310"/>
      <c r="B2079" s="315"/>
      <c r="C2079" s="190"/>
      <c r="D2079" s="190"/>
      <c r="E2079" s="190"/>
      <c r="F2079" s="195">
        <v>358.0</v>
      </c>
      <c r="G2079" s="188" t="str">
        <f>IFERROR(__xludf.DUMMYFUNCTION("TRIM(REGEXREPLACE(C2079, ""[0-9]+[a-f]?\."", """"))"),"")</f>
        <v/>
      </c>
      <c r="H2079" s="188" t="str">
        <f>IFERROR(__xludf.DUMMYFUNCTION("TRIM(REGEXREPLACE(D2079, ""[0-9]+[a-f]?\."", """"))"),"")</f>
        <v/>
      </c>
      <c r="I2079" s="188" t="str">
        <f>IFERROR(__xludf.DUMMYFUNCTION("TRIM(REGEXREPLACE(E2079, ""[0-9]+[a-f]?\."", """"))"),"")</f>
        <v/>
      </c>
      <c r="J2079" s="188" t="str">
        <f t="shared" ref="J2079:L2079" si="154">$F2079 &amp; ". "&amp;G2079</f>
        <v>358. </v>
      </c>
      <c r="K2079" s="188" t="str">
        <f t="shared" si="154"/>
        <v>358. </v>
      </c>
      <c r="L2079" s="188" t="str">
        <f t="shared" si="154"/>
        <v>358. </v>
      </c>
    </row>
    <row r="2080" hidden="1">
      <c r="A2080" s="221"/>
      <c r="B2080" s="198"/>
      <c r="C2080" s="190"/>
      <c r="D2080" s="190"/>
      <c r="E2080" s="190"/>
      <c r="F2080" s="195">
        <v>359.0</v>
      </c>
      <c r="G2080" s="188" t="str">
        <f>IFERROR(__xludf.DUMMYFUNCTION("TRIM(REGEXREPLACE(C2080, ""[0-9]+[a-f]?\."", """"))"),"")</f>
        <v/>
      </c>
      <c r="H2080" s="188" t="str">
        <f>IFERROR(__xludf.DUMMYFUNCTION("TRIM(REGEXREPLACE(D2080, ""[0-9]+[a-f]?\."", """"))"),"")</f>
        <v/>
      </c>
      <c r="I2080" s="188" t="str">
        <f>IFERROR(__xludf.DUMMYFUNCTION("TRIM(REGEXREPLACE(E2080, ""[0-9]+[a-f]?\."", """"))"),"")</f>
        <v/>
      </c>
      <c r="J2080" s="188" t="str">
        <f t="shared" ref="J2080:L2080" si="155">$F2080 &amp; ". "&amp;G2080</f>
        <v>359. </v>
      </c>
      <c r="K2080" s="188" t="str">
        <f t="shared" si="155"/>
        <v>359. </v>
      </c>
      <c r="L2080" s="188" t="str">
        <f t="shared" si="155"/>
        <v>359. </v>
      </c>
    </row>
    <row r="2081" hidden="1">
      <c r="A2081" s="299"/>
      <c r="B2081" s="300"/>
      <c r="C2081" s="190"/>
      <c r="D2081" s="190"/>
      <c r="E2081" s="190"/>
      <c r="F2081" s="195">
        <v>360.0</v>
      </c>
      <c r="G2081" s="188" t="str">
        <f>IFERROR(__xludf.DUMMYFUNCTION("TRIM(REGEXREPLACE(C2081, ""[0-9]+[a-f]?\."", """"))"),"")</f>
        <v/>
      </c>
      <c r="H2081" s="188" t="str">
        <f>IFERROR(__xludf.DUMMYFUNCTION("TRIM(REGEXREPLACE(D2081, ""[0-9]+[a-f]?\."", """"))"),"")</f>
        <v/>
      </c>
      <c r="I2081" s="188" t="str">
        <f>IFERROR(__xludf.DUMMYFUNCTION("TRIM(REGEXREPLACE(E2081, ""[0-9]+[a-f]?\."", """"))"),"")</f>
        <v/>
      </c>
      <c r="J2081" s="188" t="str">
        <f t="shared" ref="J2081:L2081" si="156">$F2081 &amp; ". "&amp;G2081</f>
        <v>360. </v>
      </c>
      <c r="K2081" s="188" t="str">
        <f t="shared" si="156"/>
        <v>360. </v>
      </c>
      <c r="L2081" s="188" t="str">
        <f t="shared" si="156"/>
        <v>360. </v>
      </c>
    </row>
    <row r="2082" hidden="1">
      <c r="A2082" s="299"/>
      <c r="B2082" s="300"/>
      <c r="C2082" s="190"/>
      <c r="D2082" s="190"/>
      <c r="E2082" s="190"/>
      <c r="F2082" s="195">
        <v>361.0</v>
      </c>
      <c r="G2082" s="188" t="str">
        <f>IFERROR(__xludf.DUMMYFUNCTION("TRIM(REGEXREPLACE(C2082, ""[0-9]+[a-f]?\."", """"))"),"")</f>
        <v/>
      </c>
      <c r="H2082" s="188" t="str">
        <f>IFERROR(__xludf.DUMMYFUNCTION("TRIM(REGEXREPLACE(D2082, ""[0-9]+[a-f]?\."", """"))"),"")</f>
        <v/>
      </c>
      <c r="I2082" s="188" t="str">
        <f>IFERROR(__xludf.DUMMYFUNCTION("TRIM(REGEXREPLACE(E2082, ""[0-9]+[a-f]?\."", """"))"),"")</f>
        <v/>
      </c>
      <c r="J2082" s="188" t="str">
        <f t="shared" ref="J2082:L2082" si="157">$F2082 &amp; ". "&amp;G2082</f>
        <v>361. </v>
      </c>
      <c r="K2082" s="188" t="str">
        <f t="shared" si="157"/>
        <v>361. </v>
      </c>
      <c r="L2082" s="188" t="str">
        <f t="shared" si="157"/>
        <v>361. </v>
      </c>
    </row>
    <row r="2083" hidden="1">
      <c r="A2083" s="306"/>
      <c r="B2083" s="307"/>
      <c r="C2083" s="190"/>
      <c r="D2083" s="190"/>
      <c r="E2083" s="190"/>
      <c r="F2083" s="195">
        <v>362.0</v>
      </c>
      <c r="G2083" s="188" t="str">
        <f>IFERROR(__xludf.DUMMYFUNCTION("TRIM(REGEXREPLACE(C2083, ""[0-9]+[a-f]?\."", """"))"),"")</f>
        <v/>
      </c>
      <c r="H2083" s="188" t="str">
        <f>IFERROR(__xludf.DUMMYFUNCTION("TRIM(REGEXREPLACE(D2083, ""[0-9]+[a-f]?\."", """"))"),"")</f>
        <v/>
      </c>
      <c r="I2083" s="188" t="str">
        <f>IFERROR(__xludf.DUMMYFUNCTION("TRIM(REGEXREPLACE(E2083, ""[0-9]+[a-f]?\."", """"))"),"")</f>
        <v/>
      </c>
      <c r="J2083" s="188" t="str">
        <f t="shared" ref="J2083:L2083" si="158">$F2083 &amp; ". "&amp;G2083</f>
        <v>362. </v>
      </c>
      <c r="K2083" s="188" t="str">
        <f t="shared" si="158"/>
        <v>362. </v>
      </c>
      <c r="L2083" s="188" t="str">
        <f t="shared" si="158"/>
        <v>362. </v>
      </c>
    </row>
    <row r="2084" hidden="1">
      <c r="A2084" s="305"/>
      <c r="B2084" s="224"/>
      <c r="C2084" s="190"/>
      <c r="D2084" s="190"/>
      <c r="E2084" s="190"/>
      <c r="F2084" s="195">
        <v>363.0</v>
      </c>
      <c r="G2084" s="188" t="str">
        <f>IFERROR(__xludf.DUMMYFUNCTION("TRIM(REGEXREPLACE(C2084, ""[0-9]+[a-f]?\."", """"))"),"")</f>
        <v/>
      </c>
      <c r="H2084" s="188" t="str">
        <f>IFERROR(__xludf.DUMMYFUNCTION("TRIM(REGEXREPLACE(D2084, ""[0-9]+[a-f]?\."", """"))"),"")</f>
        <v/>
      </c>
      <c r="I2084" s="188" t="str">
        <f>IFERROR(__xludf.DUMMYFUNCTION("TRIM(REGEXREPLACE(E2084, ""[0-9]+[a-f]?\."", """"))"),"")</f>
        <v/>
      </c>
      <c r="J2084" s="188" t="str">
        <f t="shared" ref="J2084:L2084" si="159">$F2084 &amp; ". "&amp;G2084</f>
        <v>363. </v>
      </c>
      <c r="K2084" s="188" t="str">
        <f t="shared" si="159"/>
        <v>363. </v>
      </c>
      <c r="L2084" s="188" t="str">
        <f t="shared" si="159"/>
        <v>363. </v>
      </c>
    </row>
    <row r="2085" hidden="1">
      <c r="A2085" s="221"/>
      <c r="B2085" s="198"/>
      <c r="C2085" s="190"/>
      <c r="D2085" s="190"/>
      <c r="E2085" s="190"/>
      <c r="F2085" s="195">
        <v>364.0</v>
      </c>
      <c r="G2085" s="188" t="str">
        <f>IFERROR(__xludf.DUMMYFUNCTION("TRIM(REGEXREPLACE(C2085, ""[0-9]+[a-f]?\."", """"))"),"")</f>
        <v/>
      </c>
      <c r="H2085" s="188" t="str">
        <f>IFERROR(__xludf.DUMMYFUNCTION("TRIM(REGEXREPLACE(D2085, ""[0-9]+[a-f]?\."", """"))"),"")</f>
        <v/>
      </c>
      <c r="I2085" s="188" t="str">
        <f>IFERROR(__xludf.DUMMYFUNCTION("TRIM(REGEXREPLACE(E2085, ""[0-9]+[a-f]?\."", """"))"),"")</f>
        <v/>
      </c>
      <c r="J2085" s="188" t="str">
        <f t="shared" ref="J2085:L2085" si="160">$F2085 &amp; ". "&amp;G2085</f>
        <v>364. </v>
      </c>
      <c r="K2085" s="188" t="str">
        <f t="shared" si="160"/>
        <v>364. </v>
      </c>
      <c r="L2085" s="188" t="str">
        <f t="shared" si="160"/>
        <v>364. </v>
      </c>
    </row>
    <row r="2086" hidden="1">
      <c r="A2086" s="221"/>
      <c r="B2086" s="198"/>
      <c r="C2086" s="190"/>
      <c r="D2086" s="190"/>
      <c r="E2086" s="190"/>
      <c r="F2086" s="195">
        <v>365.0</v>
      </c>
      <c r="G2086" s="188" t="str">
        <f>IFERROR(__xludf.DUMMYFUNCTION("TRIM(REGEXREPLACE(C2086, ""[0-9]+[a-f]?\."", """"))"),"")</f>
        <v/>
      </c>
      <c r="H2086" s="188" t="str">
        <f>IFERROR(__xludf.DUMMYFUNCTION("TRIM(REGEXREPLACE(D2086, ""[0-9]+[a-f]?\."", """"))"),"")</f>
        <v/>
      </c>
      <c r="I2086" s="188" t="str">
        <f>IFERROR(__xludf.DUMMYFUNCTION("TRIM(REGEXREPLACE(E2086, ""[0-9]+[a-f]?\."", """"))"),"")</f>
        <v/>
      </c>
      <c r="J2086" s="188" t="str">
        <f t="shared" ref="J2086:L2086" si="161">$F2086 &amp; ". "&amp;G2086</f>
        <v>365. </v>
      </c>
      <c r="K2086" s="188" t="str">
        <f t="shared" si="161"/>
        <v>365. </v>
      </c>
      <c r="L2086" s="188" t="str">
        <f t="shared" si="161"/>
        <v>365. </v>
      </c>
    </row>
    <row r="2087" hidden="1">
      <c r="A2087" s="221"/>
      <c r="B2087" s="198"/>
      <c r="C2087" s="190"/>
      <c r="D2087" s="190"/>
      <c r="E2087" s="190"/>
      <c r="F2087" s="195">
        <v>366.0</v>
      </c>
      <c r="G2087" s="188" t="str">
        <f>IFERROR(__xludf.DUMMYFUNCTION("TRIM(REGEXREPLACE(C2087, ""[0-9]+[a-f]?\."", """"))"),"")</f>
        <v/>
      </c>
      <c r="H2087" s="188" t="str">
        <f>IFERROR(__xludf.DUMMYFUNCTION("TRIM(REGEXREPLACE(D2087, ""[0-9]+[a-f]?\."", """"))"),"")</f>
        <v/>
      </c>
      <c r="I2087" s="188" t="str">
        <f>IFERROR(__xludf.DUMMYFUNCTION("TRIM(REGEXREPLACE(E2087, ""[0-9]+[a-f]?\."", """"))"),"")</f>
        <v/>
      </c>
      <c r="J2087" s="188" t="str">
        <f t="shared" ref="J2087:L2087" si="162">$F2087 &amp; ". "&amp;G2087</f>
        <v>366. </v>
      </c>
      <c r="K2087" s="188" t="str">
        <f t="shared" si="162"/>
        <v>366. </v>
      </c>
      <c r="L2087" s="188" t="str">
        <f t="shared" si="162"/>
        <v>366. </v>
      </c>
    </row>
    <row r="2088" hidden="1">
      <c r="A2088" s="297"/>
      <c r="B2088" s="298"/>
      <c r="C2088" s="190"/>
      <c r="D2088" s="190"/>
      <c r="E2088" s="190"/>
      <c r="F2088" s="195">
        <v>367.0</v>
      </c>
      <c r="G2088" s="188" t="str">
        <f>IFERROR(__xludf.DUMMYFUNCTION("TRIM(REGEXREPLACE(C2088, ""[0-9]+[a-f]?\."", """"))"),"")</f>
        <v/>
      </c>
      <c r="H2088" s="188" t="str">
        <f>IFERROR(__xludf.DUMMYFUNCTION("TRIM(REGEXREPLACE(D2088, ""[0-9]+[a-f]?\."", """"))"),"")</f>
        <v/>
      </c>
      <c r="I2088" s="188" t="str">
        <f>IFERROR(__xludf.DUMMYFUNCTION("TRIM(REGEXREPLACE(E2088, ""[0-9]+[a-f]?\."", """"))"),"")</f>
        <v/>
      </c>
      <c r="J2088" s="188" t="str">
        <f t="shared" ref="J2088:L2088" si="163">$F2088 &amp; ". "&amp;G2088</f>
        <v>367. </v>
      </c>
      <c r="K2088" s="188" t="str">
        <f t="shared" si="163"/>
        <v>367. </v>
      </c>
      <c r="L2088" s="188" t="str">
        <f t="shared" si="163"/>
        <v>367. </v>
      </c>
    </row>
    <row r="2089" hidden="1">
      <c r="A2089" s="319"/>
      <c r="B2089" s="319"/>
      <c r="C2089" s="190"/>
      <c r="D2089" s="190"/>
      <c r="E2089" s="190"/>
      <c r="F2089" s="195">
        <v>368.0</v>
      </c>
      <c r="G2089" s="188" t="str">
        <f>IFERROR(__xludf.DUMMYFUNCTION("TRIM(REGEXREPLACE(C2089, ""[0-9]+[a-f]?\."", """"))"),"")</f>
        <v/>
      </c>
      <c r="H2089" s="188" t="str">
        <f>IFERROR(__xludf.DUMMYFUNCTION("TRIM(REGEXREPLACE(D2089, ""[0-9]+[a-f]?\."", """"))"),"")</f>
        <v/>
      </c>
      <c r="I2089" s="188" t="str">
        <f>IFERROR(__xludf.DUMMYFUNCTION("TRIM(REGEXREPLACE(E2089, ""[0-9]+[a-f]?\."", """"))"),"")</f>
        <v/>
      </c>
      <c r="J2089" s="188" t="str">
        <f t="shared" ref="J2089:L2089" si="164">$F2089 &amp; ". "&amp;G2089</f>
        <v>368. </v>
      </c>
      <c r="K2089" s="188" t="str">
        <f t="shared" si="164"/>
        <v>368. </v>
      </c>
      <c r="L2089" s="188" t="str">
        <f t="shared" si="164"/>
        <v>368. </v>
      </c>
    </row>
    <row r="2090" hidden="1">
      <c r="A2090" s="305"/>
      <c r="B2090" s="223"/>
      <c r="C2090" s="190"/>
      <c r="D2090" s="190"/>
      <c r="E2090" s="190"/>
      <c r="F2090" s="195">
        <v>369.0</v>
      </c>
      <c r="G2090" s="188" t="str">
        <f>IFERROR(__xludf.DUMMYFUNCTION("TRIM(REGEXREPLACE(C2090, ""[0-9]+[a-f]?\."", """"))"),"")</f>
        <v/>
      </c>
      <c r="H2090" s="188" t="str">
        <f>IFERROR(__xludf.DUMMYFUNCTION("TRIM(REGEXREPLACE(D2090, ""[0-9]+[a-f]?\."", """"))"),"")</f>
        <v/>
      </c>
      <c r="I2090" s="188" t="str">
        <f>IFERROR(__xludf.DUMMYFUNCTION("TRIM(REGEXREPLACE(E2090, ""[0-9]+[a-f]?\."", """"))"),"")</f>
        <v/>
      </c>
      <c r="J2090" s="188" t="str">
        <f t="shared" ref="J2090:L2090" si="165">$F2090 &amp; ". "&amp;G2090</f>
        <v>369. </v>
      </c>
      <c r="K2090" s="188" t="str">
        <f t="shared" si="165"/>
        <v>369. </v>
      </c>
      <c r="L2090" s="188" t="str">
        <f t="shared" si="165"/>
        <v>369. </v>
      </c>
    </row>
    <row r="2091" hidden="1">
      <c r="A2091" s="221"/>
      <c r="B2091" s="198"/>
      <c r="C2091" s="190"/>
      <c r="D2091" s="190"/>
      <c r="E2091" s="190"/>
      <c r="F2091" s="195">
        <v>370.0</v>
      </c>
      <c r="G2091" s="188" t="str">
        <f>IFERROR(__xludf.DUMMYFUNCTION("TRIM(REGEXREPLACE(C2091, ""[0-9]+[a-f]?\."", """"))"),"")</f>
        <v/>
      </c>
      <c r="H2091" s="188" t="str">
        <f>IFERROR(__xludf.DUMMYFUNCTION("TRIM(REGEXREPLACE(D2091, ""[0-9]+[a-f]?\."", """"))"),"")</f>
        <v/>
      </c>
      <c r="I2091" s="188" t="str">
        <f>IFERROR(__xludf.DUMMYFUNCTION("TRIM(REGEXREPLACE(E2091, ""[0-9]+[a-f]?\."", """"))"),"")</f>
        <v/>
      </c>
      <c r="J2091" s="188" t="str">
        <f t="shared" ref="J2091:L2091" si="166">$F2091 &amp; ". "&amp;G2091</f>
        <v>370. </v>
      </c>
      <c r="K2091" s="188" t="str">
        <f t="shared" si="166"/>
        <v>370. </v>
      </c>
      <c r="L2091" s="188" t="str">
        <f t="shared" si="166"/>
        <v>370. </v>
      </c>
    </row>
    <row r="2092" hidden="1">
      <c r="A2092" s="310"/>
      <c r="B2092" s="315"/>
      <c r="C2092" s="406"/>
      <c r="D2092" s="406"/>
      <c r="E2092" s="406"/>
    </row>
    <row r="2093" hidden="1">
      <c r="A2093" s="320"/>
      <c r="B2093" s="321"/>
      <c r="C2093" s="321"/>
      <c r="D2093" s="321"/>
      <c r="E2093" s="321"/>
    </row>
    <row r="2094" hidden="1">
      <c r="A2094" s="310"/>
      <c r="B2094" s="311"/>
      <c r="C2094" s="311"/>
      <c r="D2094" s="314"/>
      <c r="E2094" s="314"/>
    </row>
    <row r="2095" hidden="1">
      <c r="A2095" s="221"/>
      <c r="B2095" s="198"/>
      <c r="C2095" s="190"/>
      <c r="D2095" s="190"/>
      <c r="E2095" s="190"/>
      <c r="F2095" s="195">
        <v>371.0</v>
      </c>
      <c r="G2095" s="188" t="str">
        <f>IFERROR(__xludf.DUMMYFUNCTION("TRIM(REGEXREPLACE(C2095, ""[0-9]+[a-f]?\."", """"))"),"")</f>
        <v/>
      </c>
      <c r="H2095" s="188" t="str">
        <f>IFERROR(__xludf.DUMMYFUNCTION("TRIM(REGEXREPLACE(D2095, ""[0-9]+[a-f]?\."", """"))"),"")</f>
        <v/>
      </c>
      <c r="I2095" s="188" t="str">
        <f>IFERROR(__xludf.DUMMYFUNCTION("TRIM(REGEXREPLACE(E2095, ""[0-9]+[a-f]?\."", """"))"),"")</f>
        <v/>
      </c>
      <c r="J2095" s="188" t="str">
        <f t="shared" ref="J2095:L2095" si="167">$F2095 &amp; ". "&amp;G2095</f>
        <v>371. </v>
      </c>
      <c r="K2095" s="188" t="str">
        <f t="shared" si="167"/>
        <v>371. </v>
      </c>
      <c r="L2095" s="188" t="str">
        <f t="shared" si="167"/>
        <v>371. </v>
      </c>
    </row>
    <row r="2096" hidden="1">
      <c r="A2096" s="221"/>
      <c r="B2096" s="198"/>
      <c r="C2096" s="190"/>
      <c r="D2096" s="190"/>
      <c r="E2096" s="190"/>
      <c r="F2096" s="195">
        <v>372.0</v>
      </c>
      <c r="G2096" s="188" t="str">
        <f>IFERROR(__xludf.DUMMYFUNCTION("TRIM(REGEXREPLACE(C2096, ""[0-9]+[a-f]?\."", """"))"),"")</f>
        <v/>
      </c>
      <c r="H2096" s="188" t="str">
        <f>IFERROR(__xludf.DUMMYFUNCTION("TRIM(REGEXREPLACE(D2096, ""[0-9]+[a-f]?\."", """"))"),"")</f>
        <v/>
      </c>
      <c r="I2096" s="188" t="str">
        <f>IFERROR(__xludf.DUMMYFUNCTION("TRIM(REGEXREPLACE(E2096, ""[0-9]+[a-f]?\."", """"))"),"")</f>
        <v/>
      </c>
      <c r="J2096" s="188" t="str">
        <f t="shared" ref="J2096:L2096" si="168">$F2096 &amp; ". "&amp;G2096</f>
        <v>372. </v>
      </c>
      <c r="K2096" s="188" t="str">
        <f t="shared" si="168"/>
        <v>372. </v>
      </c>
      <c r="L2096" s="188" t="str">
        <f t="shared" si="168"/>
        <v>372. </v>
      </c>
    </row>
    <row r="2097" hidden="1">
      <c r="A2097" s="221"/>
      <c r="B2097" s="198"/>
      <c r="C2097" s="190"/>
      <c r="D2097" s="190"/>
      <c r="E2097" s="190"/>
      <c r="F2097" s="195">
        <v>373.0</v>
      </c>
      <c r="G2097" s="188" t="str">
        <f>IFERROR(__xludf.DUMMYFUNCTION("TRIM(REGEXREPLACE(C2097, ""[0-9]+[a-f]?\."", """"))"),"")</f>
        <v/>
      </c>
      <c r="H2097" s="188" t="str">
        <f>IFERROR(__xludf.DUMMYFUNCTION("TRIM(REGEXREPLACE(D2097, ""[0-9]+[a-f]?\."", """"))"),"")</f>
        <v/>
      </c>
      <c r="I2097" s="188" t="str">
        <f>IFERROR(__xludf.DUMMYFUNCTION("TRIM(REGEXREPLACE(E2097, ""[0-9]+[a-f]?\."", """"))"),"")</f>
        <v/>
      </c>
      <c r="J2097" s="188" t="str">
        <f t="shared" ref="J2097:L2097" si="169">$F2097 &amp; ". "&amp;G2097</f>
        <v>373. </v>
      </c>
      <c r="K2097" s="188" t="str">
        <f t="shared" si="169"/>
        <v>373. </v>
      </c>
      <c r="L2097" s="188" t="str">
        <f t="shared" si="169"/>
        <v>373. </v>
      </c>
    </row>
    <row r="2098" hidden="1">
      <c r="A2098" s="221"/>
      <c r="B2098" s="198"/>
      <c r="C2098" s="190"/>
      <c r="D2098" s="190"/>
      <c r="E2098" s="190"/>
      <c r="F2098" s="195">
        <v>374.0</v>
      </c>
      <c r="G2098" s="188" t="str">
        <f>IFERROR(__xludf.DUMMYFUNCTION("TRIM(REGEXREPLACE(C2098, ""[0-9]+[a-f]?\."", """"))"),"")</f>
        <v/>
      </c>
      <c r="H2098" s="188" t="str">
        <f>IFERROR(__xludf.DUMMYFUNCTION("TRIM(REGEXREPLACE(D2098, ""[0-9]+[a-f]?\."", """"))"),"")</f>
        <v/>
      </c>
      <c r="I2098" s="188" t="str">
        <f>IFERROR(__xludf.DUMMYFUNCTION("TRIM(REGEXREPLACE(E2098, ""[0-9]+[a-f]?\."", """"))"),"")</f>
        <v/>
      </c>
      <c r="J2098" s="188" t="str">
        <f t="shared" ref="J2098:L2098" si="170">$F2098 &amp; ". "&amp;G2098</f>
        <v>374. </v>
      </c>
      <c r="K2098" s="188" t="str">
        <f t="shared" si="170"/>
        <v>374. </v>
      </c>
      <c r="L2098" s="188" t="str">
        <f t="shared" si="170"/>
        <v>374. </v>
      </c>
    </row>
    <row r="2099" hidden="1">
      <c r="A2099" s="221"/>
      <c r="B2099" s="198"/>
      <c r="C2099" s="381"/>
      <c r="D2099" s="381"/>
      <c r="E2099" s="381"/>
    </row>
    <row r="2100" hidden="1">
      <c r="A2100" s="221"/>
      <c r="B2100" s="198"/>
      <c r="C2100" s="381"/>
      <c r="D2100" s="381"/>
      <c r="E2100" s="381"/>
    </row>
    <row r="2101" hidden="1">
      <c r="A2101" s="221"/>
      <c r="B2101" s="198"/>
      <c r="C2101" s="382"/>
      <c r="D2101" s="381"/>
      <c r="E2101" s="381"/>
    </row>
    <row r="2102" hidden="1">
      <c r="A2102" s="221"/>
      <c r="B2102" s="198"/>
      <c r="C2102" s="381"/>
      <c r="D2102" s="381"/>
      <c r="E2102" s="381"/>
    </row>
    <row r="2103" hidden="1">
      <c r="A2103" s="221"/>
      <c r="B2103" s="198"/>
      <c r="C2103" s="381"/>
      <c r="D2103" s="381"/>
      <c r="E2103" s="381"/>
    </row>
    <row r="2104" hidden="1">
      <c r="A2104" s="305"/>
      <c r="B2104" s="223"/>
      <c r="C2104" s="223"/>
      <c r="D2104" s="416"/>
      <c r="E2104" s="416"/>
    </row>
    <row r="2105" hidden="1">
      <c r="A2105" s="221"/>
      <c r="B2105" s="198"/>
      <c r="C2105" s="382"/>
      <c r="D2105" s="381"/>
      <c r="E2105" s="381"/>
    </row>
    <row r="2106" hidden="1">
      <c r="A2106" s="221"/>
      <c r="B2106" s="198"/>
      <c r="C2106" s="382"/>
      <c r="D2106" s="381"/>
      <c r="E2106" s="381"/>
    </row>
    <row r="2107" hidden="1">
      <c r="A2107" s="221"/>
      <c r="B2107" s="198"/>
      <c r="C2107" s="382"/>
      <c r="D2107" s="381"/>
      <c r="E2107" s="381"/>
    </row>
    <row r="2108" hidden="1">
      <c r="A2108" s="221"/>
      <c r="B2108" s="198"/>
      <c r="C2108" s="190"/>
      <c r="D2108" s="190"/>
      <c r="E2108" s="190"/>
      <c r="F2108" s="195">
        <v>375.0</v>
      </c>
      <c r="G2108" s="188" t="str">
        <f>IFERROR(__xludf.DUMMYFUNCTION("TRIM(REGEXREPLACE(C2108, ""[0-9]+[a-f]?\."", """"))"),"")</f>
        <v/>
      </c>
      <c r="H2108" s="188" t="str">
        <f>IFERROR(__xludf.DUMMYFUNCTION("TRIM(REGEXREPLACE(D2108, ""[0-9]+[a-f]?\."", """"))"),"")</f>
        <v/>
      </c>
      <c r="I2108" s="188" t="str">
        <f>IFERROR(__xludf.DUMMYFUNCTION("TRIM(REGEXREPLACE(E2108, ""[0-9]+[a-f]?\."", """"))"),"")</f>
        <v/>
      </c>
      <c r="J2108" s="188" t="str">
        <f t="shared" ref="J2108:L2108" si="171">$F2108 &amp; ". "&amp;G2108</f>
        <v>375. </v>
      </c>
      <c r="K2108" s="188" t="str">
        <f t="shared" si="171"/>
        <v>375. </v>
      </c>
      <c r="L2108" s="188" t="str">
        <f t="shared" si="171"/>
        <v>375. </v>
      </c>
    </row>
    <row r="2109" hidden="1">
      <c r="A2109" s="221"/>
      <c r="B2109" s="198"/>
      <c r="C2109" s="190"/>
      <c r="D2109" s="190"/>
      <c r="E2109" s="190"/>
      <c r="F2109" s="195">
        <v>376.0</v>
      </c>
      <c r="G2109" s="188" t="str">
        <f>IFERROR(__xludf.DUMMYFUNCTION("TRIM(REGEXREPLACE(C2109, ""[0-9]+[a-f]?\."", """"))"),"")</f>
        <v/>
      </c>
      <c r="H2109" s="188" t="str">
        <f>IFERROR(__xludf.DUMMYFUNCTION("TRIM(REGEXREPLACE(D2109, ""[0-9]+[a-f]?\."", """"))"),"")</f>
        <v/>
      </c>
      <c r="I2109" s="188" t="str">
        <f>IFERROR(__xludf.DUMMYFUNCTION("TRIM(REGEXREPLACE(E2109, ""[0-9]+[a-f]?\."", """"))"),"")</f>
        <v/>
      </c>
      <c r="J2109" s="188" t="str">
        <f t="shared" ref="J2109:L2109" si="172">$F2109 &amp; ". "&amp;G2109</f>
        <v>376. </v>
      </c>
      <c r="K2109" s="188" t="str">
        <f t="shared" si="172"/>
        <v>376. </v>
      </c>
      <c r="L2109" s="188" t="str">
        <f t="shared" si="172"/>
        <v>376. </v>
      </c>
    </row>
    <row r="2110" hidden="1">
      <c r="A2110" s="221"/>
      <c r="B2110" s="198"/>
      <c r="C2110" s="190"/>
      <c r="D2110" s="190"/>
      <c r="E2110" s="190"/>
      <c r="F2110" s="195">
        <v>377.0</v>
      </c>
      <c r="G2110" s="188" t="str">
        <f>IFERROR(__xludf.DUMMYFUNCTION("TRIM(REGEXREPLACE(C2110, ""[0-9]+[a-f]?\."", """"))"),"")</f>
        <v/>
      </c>
      <c r="H2110" s="188" t="str">
        <f>IFERROR(__xludf.DUMMYFUNCTION("TRIM(REGEXREPLACE(D2110, ""[0-9]+[a-f]?\."", """"))"),"")</f>
        <v/>
      </c>
      <c r="I2110" s="188" t="str">
        <f>IFERROR(__xludf.DUMMYFUNCTION("TRIM(REGEXREPLACE(E2110, ""[0-9]+[a-f]?\."", """"))"),"")</f>
        <v/>
      </c>
      <c r="J2110" s="188" t="str">
        <f t="shared" ref="J2110:L2110" si="173">$F2110 &amp; ". "&amp;G2110</f>
        <v>377. </v>
      </c>
      <c r="K2110" s="188" t="str">
        <f t="shared" si="173"/>
        <v>377. </v>
      </c>
      <c r="L2110" s="188" t="str">
        <f t="shared" si="173"/>
        <v>377. </v>
      </c>
    </row>
    <row r="2111" hidden="1">
      <c r="A2111" s="221"/>
      <c r="B2111" s="198"/>
      <c r="C2111" s="190"/>
      <c r="D2111" s="190"/>
      <c r="E2111" s="190"/>
      <c r="F2111" s="195">
        <v>378.0</v>
      </c>
      <c r="G2111" s="188" t="str">
        <f>IFERROR(__xludf.DUMMYFUNCTION("TRIM(REGEXREPLACE(C2111, ""[0-9]+[a-f]?\."", """"))"),"")</f>
        <v/>
      </c>
      <c r="H2111" s="188" t="str">
        <f>IFERROR(__xludf.DUMMYFUNCTION("TRIM(REGEXREPLACE(D2111, ""[0-9]+[a-f]?\."", """"))"),"")</f>
        <v/>
      </c>
      <c r="I2111" s="188" t="str">
        <f>IFERROR(__xludf.DUMMYFUNCTION("TRIM(REGEXREPLACE(E2111, ""[0-9]+[a-f]?\."", """"))"),"")</f>
        <v/>
      </c>
      <c r="J2111" s="188" t="str">
        <f t="shared" ref="J2111:L2111" si="174">$F2111 &amp; ". "&amp;G2111</f>
        <v>378. </v>
      </c>
      <c r="K2111" s="188" t="str">
        <f t="shared" si="174"/>
        <v>378. </v>
      </c>
      <c r="L2111" s="188" t="str">
        <f t="shared" si="174"/>
        <v>378. </v>
      </c>
    </row>
    <row r="2112" hidden="1">
      <c r="A2112" s="221"/>
      <c r="B2112" s="198"/>
      <c r="C2112" s="190"/>
      <c r="D2112" s="190"/>
      <c r="E2112" s="190"/>
      <c r="F2112" s="195">
        <v>379.0</v>
      </c>
      <c r="G2112" s="188" t="str">
        <f>IFERROR(__xludf.DUMMYFUNCTION("TRIM(REGEXREPLACE(C2112, ""[0-9]+[a-f]?\."", """"))"),"")</f>
        <v/>
      </c>
      <c r="H2112" s="188" t="str">
        <f>IFERROR(__xludf.DUMMYFUNCTION("TRIM(REGEXREPLACE(D2112, ""[0-9]+[a-f]?\."", """"))"),"")</f>
        <v/>
      </c>
      <c r="I2112" s="188" t="str">
        <f>IFERROR(__xludf.DUMMYFUNCTION("TRIM(REGEXREPLACE(E2112, ""[0-9]+[a-f]?\."", """"))"),"")</f>
        <v/>
      </c>
      <c r="J2112" s="188" t="str">
        <f t="shared" ref="J2112:L2112" si="175">$F2112 &amp; ". "&amp;G2112</f>
        <v>379. </v>
      </c>
      <c r="K2112" s="188" t="str">
        <f t="shared" si="175"/>
        <v>379. </v>
      </c>
      <c r="L2112" s="188" t="str">
        <f t="shared" si="175"/>
        <v>379. </v>
      </c>
    </row>
    <row r="2113" hidden="1">
      <c r="A2113" s="305"/>
      <c r="B2113" s="305"/>
      <c r="C2113" s="224"/>
      <c r="D2113" s="418"/>
      <c r="E2113" s="418"/>
    </row>
    <row r="2114" hidden="1">
      <c r="A2114" s="221"/>
      <c r="B2114" s="198"/>
      <c r="C2114" s="381"/>
      <c r="D2114" s="381"/>
      <c r="E2114" s="381"/>
    </row>
    <row r="2115" hidden="1">
      <c r="A2115" s="221"/>
      <c r="B2115" s="198"/>
      <c r="C2115" s="381"/>
      <c r="D2115" s="381"/>
      <c r="E2115" s="381"/>
    </row>
    <row r="2116" hidden="1">
      <c r="A2116" s="221"/>
      <c r="B2116" s="198"/>
      <c r="C2116" s="190"/>
      <c r="D2116" s="190"/>
      <c r="E2116" s="190"/>
      <c r="F2116" s="195">
        <v>380.0</v>
      </c>
      <c r="G2116" s="188" t="str">
        <f>IFERROR(__xludf.DUMMYFUNCTION("TRIM(REGEXREPLACE(C2116, ""[0-9]+[a-f]?\."", """"))"),"")</f>
        <v/>
      </c>
      <c r="H2116" s="188" t="str">
        <f>IFERROR(__xludf.DUMMYFUNCTION("TRIM(REGEXREPLACE(D2116, ""[0-9]+[a-f]?\."", """"))"),"")</f>
        <v/>
      </c>
      <c r="I2116" s="188" t="str">
        <f>IFERROR(__xludf.DUMMYFUNCTION("TRIM(REGEXREPLACE(E2116, ""[0-9]+[a-f]?\."", """"))"),"")</f>
        <v/>
      </c>
      <c r="J2116" s="188" t="str">
        <f t="shared" ref="J2116:L2116" si="176">$F2116 &amp; ". "&amp;G2116</f>
        <v>380. </v>
      </c>
      <c r="K2116" s="188" t="str">
        <f t="shared" si="176"/>
        <v>380. </v>
      </c>
      <c r="L2116" s="188" t="str">
        <f t="shared" si="176"/>
        <v>380. </v>
      </c>
    </row>
    <row r="2117" hidden="1">
      <c r="A2117" s="221"/>
      <c r="B2117" s="198"/>
      <c r="C2117" s="190"/>
      <c r="D2117" s="190"/>
      <c r="E2117" s="190"/>
      <c r="F2117" s="195">
        <v>381.0</v>
      </c>
      <c r="G2117" s="188" t="str">
        <f>IFERROR(__xludf.DUMMYFUNCTION("TRIM(REGEXREPLACE(C2117, ""[0-9]+[a-f]?\."", """"))"),"")</f>
        <v/>
      </c>
      <c r="H2117" s="188" t="str">
        <f>IFERROR(__xludf.DUMMYFUNCTION("TRIM(REGEXREPLACE(D2117, ""[0-9]+[a-f]?\."", """"))"),"")</f>
        <v/>
      </c>
      <c r="I2117" s="188" t="str">
        <f>IFERROR(__xludf.DUMMYFUNCTION("TRIM(REGEXREPLACE(E2117, ""[0-9]+[a-f]?\."", """"))"),"")</f>
        <v/>
      </c>
      <c r="J2117" s="188" t="str">
        <f t="shared" ref="J2117:L2117" si="177">$F2117 &amp; ". "&amp;G2117</f>
        <v>381. </v>
      </c>
      <c r="K2117" s="188" t="str">
        <f t="shared" si="177"/>
        <v>381. </v>
      </c>
      <c r="L2117" s="188" t="str">
        <f t="shared" si="177"/>
        <v>381. </v>
      </c>
    </row>
    <row r="2118" hidden="1">
      <c r="A2118" s="297"/>
      <c r="B2118" s="298"/>
      <c r="C2118" s="190"/>
      <c r="D2118" s="190"/>
      <c r="E2118" s="190"/>
      <c r="F2118" s="195">
        <v>382.0</v>
      </c>
      <c r="G2118" s="188" t="str">
        <f>IFERROR(__xludf.DUMMYFUNCTION("TRIM(REGEXREPLACE(C2118, ""[0-9]+[a-f]?\."", """"))"),"")</f>
        <v/>
      </c>
      <c r="H2118" s="188" t="str">
        <f>IFERROR(__xludf.DUMMYFUNCTION("TRIM(REGEXREPLACE(D2118, ""[0-9]+[a-f]?\."", """"))"),"")</f>
        <v/>
      </c>
      <c r="I2118" s="188" t="str">
        <f>IFERROR(__xludf.DUMMYFUNCTION("TRIM(REGEXREPLACE(E2118, ""[0-9]+[a-f]?\."", """"))"),"")</f>
        <v/>
      </c>
      <c r="J2118" s="188" t="str">
        <f t="shared" ref="J2118:L2118" si="178">$F2118 &amp; ". "&amp;G2118</f>
        <v>382. </v>
      </c>
      <c r="K2118" s="188" t="str">
        <f t="shared" si="178"/>
        <v>382. </v>
      </c>
      <c r="L2118" s="188" t="str">
        <f t="shared" si="178"/>
        <v>382. </v>
      </c>
    </row>
    <row r="2119" hidden="1">
      <c r="A2119" s="305"/>
      <c r="B2119" s="223"/>
      <c r="C2119" s="223"/>
      <c r="D2119" s="416"/>
      <c r="E2119" s="416"/>
    </row>
    <row r="2120" hidden="1">
      <c r="A2120" s="221"/>
      <c r="B2120" s="198"/>
      <c r="C2120" s="381"/>
      <c r="D2120" s="381"/>
      <c r="E2120" s="381"/>
    </row>
    <row r="2121" hidden="1">
      <c r="A2121" s="221"/>
      <c r="B2121" s="198"/>
      <c r="C2121" s="381"/>
      <c r="D2121" s="381"/>
      <c r="E2121" s="381"/>
    </row>
    <row r="2122" hidden="1">
      <c r="A2122" s="221"/>
      <c r="B2122" s="250"/>
      <c r="C2122" s="382"/>
      <c r="D2122" s="381"/>
      <c r="E2122" s="381"/>
    </row>
    <row r="2123" hidden="1">
      <c r="A2123" s="299"/>
      <c r="B2123" s="300"/>
      <c r="C2123" s="190"/>
      <c r="D2123" s="190"/>
      <c r="E2123" s="190"/>
      <c r="F2123" s="195">
        <v>383.0</v>
      </c>
      <c r="G2123" s="188" t="str">
        <f>IFERROR(__xludf.DUMMYFUNCTION("TRIM(REGEXREPLACE(C2123, ""[0-9]+[a-f]?\."", """"))"),"")</f>
        <v/>
      </c>
      <c r="H2123" s="188" t="str">
        <f>IFERROR(__xludf.DUMMYFUNCTION("TRIM(REGEXREPLACE(D2123, ""[0-9]+[a-f]?\."", """"))"),"")</f>
        <v/>
      </c>
      <c r="I2123" s="188" t="str">
        <f>IFERROR(__xludf.DUMMYFUNCTION("TRIM(REGEXREPLACE(E2123, ""[0-9]+[a-f]?\."", """"))"),"")</f>
        <v/>
      </c>
      <c r="J2123" s="188" t="str">
        <f t="shared" ref="J2123:L2123" si="179">$F2123 &amp; ". "&amp;G2123</f>
        <v>383. </v>
      </c>
      <c r="K2123" s="188" t="str">
        <f t="shared" si="179"/>
        <v>383. </v>
      </c>
      <c r="L2123" s="188" t="str">
        <f t="shared" si="179"/>
        <v>383. </v>
      </c>
    </row>
    <row r="2124" hidden="1">
      <c r="A2124" s="299"/>
      <c r="B2124" s="300"/>
      <c r="C2124" s="190"/>
      <c r="D2124" s="190"/>
      <c r="E2124" s="190"/>
      <c r="F2124" s="195">
        <v>384.0</v>
      </c>
      <c r="G2124" s="188" t="str">
        <f>IFERROR(__xludf.DUMMYFUNCTION("TRIM(REGEXREPLACE(C2124, ""[0-9]+[a-f]?\."", """"))"),"")</f>
        <v/>
      </c>
      <c r="H2124" s="188" t="str">
        <f>IFERROR(__xludf.DUMMYFUNCTION("TRIM(REGEXREPLACE(D2124, ""[0-9]+[a-f]?\."", """"))"),"")</f>
        <v/>
      </c>
      <c r="I2124" s="188" t="str">
        <f>IFERROR(__xludf.DUMMYFUNCTION("TRIM(REGEXREPLACE(E2124, ""[0-9]+[a-f]?\."", """"))"),"")</f>
        <v/>
      </c>
      <c r="J2124" s="188" t="str">
        <f t="shared" ref="J2124:L2124" si="180">$F2124 &amp; ". "&amp;G2124</f>
        <v>384. </v>
      </c>
      <c r="K2124" s="188" t="str">
        <f t="shared" si="180"/>
        <v>384. </v>
      </c>
      <c r="L2124" s="188" t="str">
        <f t="shared" si="180"/>
        <v>384. </v>
      </c>
    </row>
    <row r="2125" hidden="1">
      <c r="A2125" s="301"/>
      <c r="B2125" s="302"/>
      <c r="C2125" s="190"/>
      <c r="D2125" s="190"/>
      <c r="E2125" s="190"/>
      <c r="F2125" s="195">
        <v>385.0</v>
      </c>
      <c r="G2125" s="188" t="str">
        <f>IFERROR(__xludf.DUMMYFUNCTION("TRIM(REGEXREPLACE(C2125, ""[0-9]+[a-f]?\."", """"))"),"")</f>
        <v/>
      </c>
      <c r="H2125" s="188" t="str">
        <f>IFERROR(__xludf.DUMMYFUNCTION("TRIM(REGEXREPLACE(D2125, ""[0-9]+[a-f]?\."", """"))"),"")</f>
        <v/>
      </c>
      <c r="I2125" s="188" t="str">
        <f>IFERROR(__xludf.DUMMYFUNCTION("TRIM(REGEXREPLACE(E2125, ""[0-9]+[a-f]?\."", """"))"),"")</f>
        <v/>
      </c>
      <c r="J2125" s="188" t="str">
        <f t="shared" ref="J2125:L2125" si="181">$F2125 &amp; ". "&amp;G2125</f>
        <v>385. </v>
      </c>
      <c r="K2125" s="188" t="str">
        <f t="shared" si="181"/>
        <v>385. </v>
      </c>
      <c r="L2125" s="188" t="str">
        <f t="shared" si="181"/>
        <v>385. </v>
      </c>
    </row>
    <row r="2126" hidden="1">
      <c r="A2126" s="299"/>
      <c r="B2126" s="300"/>
      <c r="C2126" s="190"/>
      <c r="D2126" s="190"/>
      <c r="E2126" s="190"/>
      <c r="F2126" s="195">
        <v>386.0</v>
      </c>
      <c r="G2126" s="188" t="str">
        <f>IFERROR(__xludf.DUMMYFUNCTION("TRIM(REGEXREPLACE(C2126, ""[0-9]+[a-f]?\."", """"))"),"")</f>
        <v/>
      </c>
      <c r="H2126" s="188" t="str">
        <f>IFERROR(__xludf.DUMMYFUNCTION("TRIM(REGEXREPLACE(D2126, ""[0-9]+[a-f]?\."", """"))"),"")</f>
        <v/>
      </c>
      <c r="I2126" s="188" t="str">
        <f>IFERROR(__xludf.DUMMYFUNCTION("TRIM(REGEXREPLACE(E2126, ""[0-9]+[a-f]?\."", """"))"),"")</f>
        <v/>
      </c>
      <c r="J2126" s="188" t="str">
        <f t="shared" ref="J2126:L2126" si="182">$F2126 &amp; ". "&amp;G2126</f>
        <v>386. </v>
      </c>
      <c r="K2126" s="188" t="str">
        <f t="shared" si="182"/>
        <v>386. </v>
      </c>
      <c r="L2126" s="188" t="str">
        <f t="shared" si="182"/>
        <v>386. </v>
      </c>
    </row>
    <row r="2127" hidden="1">
      <c r="A2127" s="299"/>
      <c r="B2127" s="300"/>
      <c r="C2127" s="190"/>
      <c r="D2127" s="190"/>
      <c r="E2127" s="190"/>
      <c r="F2127" s="195">
        <v>387.0</v>
      </c>
      <c r="G2127" s="188" t="str">
        <f>IFERROR(__xludf.DUMMYFUNCTION("TRIM(REGEXREPLACE(C2127, ""[0-9]+[a-f]?\."", """"))"),"")</f>
        <v/>
      </c>
      <c r="H2127" s="188" t="str">
        <f>IFERROR(__xludf.DUMMYFUNCTION("TRIM(REGEXREPLACE(D2127, ""[0-9]+[a-f]?\."", """"))"),"")</f>
        <v/>
      </c>
      <c r="I2127" s="188" t="str">
        <f>IFERROR(__xludf.DUMMYFUNCTION("TRIM(REGEXREPLACE(E2127, ""[0-9]+[a-f]?\."", """"))"),"")</f>
        <v/>
      </c>
      <c r="J2127" s="188" t="str">
        <f t="shared" ref="J2127:L2127" si="183">$F2127 &amp; ". "&amp;G2127</f>
        <v>387. </v>
      </c>
      <c r="K2127" s="188" t="str">
        <f t="shared" si="183"/>
        <v>387. </v>
      </c>
      <c r="L2127" s="188" t="str">
        <f t="shared" si="183"/>
        <v>387. </v>
      </c>
    </row>
    <row r="2128" hidden="1">
      <c r="A2128" s="301"/>
      <c r="B2128" s="302"/>
      <c r="C2128" s="190"/>
      <c r="D2128" s="190"/>
      <c r="E2128" s="190"/>
      <c r="F2128" s="195">
        <v>388.0</v>
      </c>
      <c r="G2128" s="188" t="str">
        <f>IFERROR(__xludf.DUMMYFUNCTION("TRIM(REGEXREPLACE(C2128, ""[0-9]+[a-f]?\."", """"))"),"")</f>
        <v/>
      </c>
      <c r="H2128" s="188" t="str">
        <f>IFERROR(__xludf.DUMMYFUNCTION("TRIM(REGEXREPLACE(D2128, ""[0-9]+[a-f]?\."", """"))"),"")</f>
        <v/>
      </c>
      <c r="I2128" s="188" t="str">
        <f>IFERROR(__xludf.DUMMYFUNCTION("TRIM(REGEXREPLACE(E2128, ""[0-9]+[a-f]?\."", """"))"),"")</f>
        <v/>
      </c>
      <c r="J2128" s="188" t="str">
        <f t="shared" ref="J2128:L2128" si="184">$F2128 &amp; ". "&amp;G2128</f>
        <v>388. </v>
      </c>
      <c r="K2128" s="188" t="str">
        <f t="shared" si="184"/>
        <v>388. </v>
      </c>
      <c r="L2128" s="188" t="str">
        <f t="shared" si="184"/>
        <v>388. </v>
      </c>
    </row>
    <row r="2129" hidden="1">
      <c r="A2129" s="342"/>
      <c r="B2129" s="343"/>
      <c r="C2129" s="190"/>
      <c r="D2129" s="190"/>
      <c r="E2129" s="190"/>
      <c r="F2129" s="195">
        <v>389.0</v>
      </c>
      <c r="G2129" s="188" t="str">
        <f>IFERROR(__xludf.DUMMYFUNCTION("TRIM(REGEXREPLACE(C2129, ""[0-9]+[a-f]?\."", """"))"),"")</f>
        <v/>
      </c>
      <c r="H2129" s="188" t="str">
        <f>IFERROR(__xludf.DUMMYFUNCTION("TRIM(REGEXREPLACE(D2129, ""[0-9]+[a-f]?\."", """"))"),"")</f>
        <v/>
      </c>
      <c r="I2129" s="188" t="str">
        <f>IFERROR(__xludf.DUMMYFUNCTION("TRIM(REGEXREPLACE(E2129, ""[0-9]+[a-f]?\."", """"))"),"")</f>
        <v/>
      </c>
      <c r="J2129" s="188" t="str">
        <f t="shared" ref="J2129:L2129" si="185">$F2129 &amp; ". "&amp;G2129</f>
        <v>389. </v>
      </c>
      <c r="K2129" s="188" t="str">
        <f t="shared" si="185"/>
        <v>389. </v>
      </c>
      <c r="L2129" s="188" t="str">
        <f t="shared" si="185"/>
        <v>389. </v>
      </c>
    </row>
    <row r="2130" hidden="1">
      <c r="A2130" s="305"/>
      <c r="B2130" s="224"/>
      <c r="C2130" s="418"/>
      <c r="D2130" s="418"/>
      <c r="E2130" s="418"/>
    </row>
    <row r="2131" hidden="1">
      <c r="A2131" s="310"/>
      <c r="B2131" s="315"/>
      <c r="C2131" s="315"/>
      <c r="D2131" s="406"/>
      <c r="E2131" s="406"/>
    </row>
    <row r="2132" hidden="1">
      <c r="A2132" s="221"/>
      <c r="B2132" s="198"/>
      <c r="C2132" s="381"/>
      <c r="D2132" s="381"/>
      <c r="E2132" s="381"/>
    </row>
    <row r="2133" hidden="1">
      <c r="A2133" s="221"/>
      <c r="B2133" s="198"/>
      <c r="C2133" s="381"/>
      <c r="D2133" s="381"/>
      <c r="E2133" s="381"/>
    </row>
    <row r="2134" hidden="1">
      <c r="A2134" s="305"/>
      <c r="B2134" s="224"/>
      <c r="C2134" s="224"/>
      <c r="D2134" s="418"/>
      <c r="E2134" s="418"/>
    </row>
    <row r="2135" hidden="1">
      <c r="A2135" s="319"/>
      <c r="B2135" s="319"/>
      <c r="C2135" s="319"/>
      <c r="D2135" s="319"/>
      <c r="E2135" s="319"/>
    </row>
    <row r="2136" hidden="1">
      <c r="A2136" s="221"/>
      <c r="B2136" s="198"/>
      <c r="C2136" s="382"/>
      <c r="D2136" s="382"/>
      <c r="E2136" s="382"/>
    </row>
    <row r="2137" hidden="1">
      <c r="A2137" s="221"/>
      <c r="B2137" s="198"/>
      <c r="C2137" s="382"/>
      <c r="D2137" s="381"/>
      <c r="E2137" s="381"/>
    </row>
    <row r="2138" hidden="1">
      <c r="A2138" s="221"/>
      <c r="B2138" s="198"/>
      <c r="C2138" s="381"/>
      <c r="D2138" s="381"/>
      <c r="E2138" s="381"/>
    </row>
    <row r="2139" hidden="1">
      <c r="A2139" s="221"/>
      <c r="B2139" s="198"/>
      <c r="C2139" s="381"/>
      <c r="D2139" s="381"/>
      <c r="E2139" s="381"/>
    </row>
    <row r="2140" hidden="1">
      <c r="A2140" s="221"/>
      <c r="B2140" s="198"/>
      <c r="C2140" s="381"/>
      <c r="D2140" s="381"/>
      <c r="E2140" s="381"/>
    </row>
    <row r="2141" hidden="1">
      <c r="A2141" s="221"/>
      <c r="B2141" s="198"/>
      <c r="C2141" s="381"/>
      <c r="D2141" s="381"/>
      <c r="E2141" s="381"/>
    </row>
    <row r="2142" hidden="1">
      <c r="A2142" s="221"/>
      <c r="B2142" s="198"/>
      <c r="C2142" s="381"/>
      <c r="D2142" s="381"/>
      <c r="E2142" s="381"/>
    </row>
    <row r="2143" hidden="1">
      <c r="A2143" s="320"/>
      <c r="B2143" s="321"/>
      <c r="C2143" s="321"/>
      <c r="D2143" s="321"/>
      <c r="E2143" s="321"/>
    </row>
    <row r="2144" hidden="1">
      <c r="A2144" s="310"/>
      <c r="B2144" s="311"/>
      <c r="C2144" s="311"/>
      <c r="D2144" s="314"/>
      <c r="E2144" s="314"/>
    </row>
    <row r="2145" hidden="1">
      <c r="A2145" s="301"/>
      <c r="B2145" s="302"/>
      <c r="C2145" s="190"/>
      <c r="D2145" s="190"/>
      <c r="E2145" s="190"/>
      <c r="F2145" s="195">
        <v>390.0</v>
      </c>
      <c r="G2145" s="188" t="str">
        <f>IFERROR(__xludf.DUMMYFUNCTION("TRIM(REGEXREPLACE(C2145, ""[0-9]+[a-f]?\."", """"))"),"")</f>
        <v/>
      </c>
      <c r="H2145" s="188" t="str">
        <f>IFERROR(__xludf.DUMMYFUNCTION("TRIM(REGEXREPLACE(D2145, ""[0-9]+[a-f]?\."", """"))"),"")</f>
        <v/>
      </c>
      <c r="I2145" s="188" t="str">
        <f>IFERROR(__xludf.DUMMYFUNCTION("TRIM(REGEXREPLACE(E2145, ""[0-9]+[a-f]?\."", """"))"),"")</f>
        <v/>
      </c>
      <c r="J2145" s="188" t="str">
        <f t="shared" ref="J2145:L2145" si="186">$F2145 &amp; ". "&amp;G2145</f>
        <v>390. </v>
      </c>
      <c r="K2145" s="188" t="str">
        <f t="shared" si="186"/>
        <v>390. </v>
      </c>
      <c r="L2145" s="188" t="str">
        <f t="shared" si="186"/>
        <v>390. </v>
      </c>
    </row>
    <row r="2146" hidden="1">
      <c r="A2146" s="299"/>
      <c r="B2146" s="300"/>
      <c r="C2146" s="190"/>
      <c r="D2146" s="190"/>
      <c r="E2146" s="190"/>
      <c r="F2146" s="195">
        <v>391.0</v>
      </c>
      <c r="G2146" s="188" t="str">
        <f>IFERROR(__xludf.DUMMYFUNCTION("TRIM(REGEXREPLACE(C2146, ""[0-9]+[a-f]?\."", """"))"),"")</f>
        <v/>
      </c>
      <c r="H2146" s="188" t="str">
        <f>IFERROR(__xludf.DUMMYFUNCTION("TRIM(REGEXREPLACE(D2146, ""[0-9]+[a-f]?\."", """"))"),"")</f>
        <v/>
      </c>
      <c r="I2146" s="188" t="str">
        <f>IFERROR(__xludf.DUMMYFUNCTION("TRIM(REGEXREPLACE(E2146, ""[0-9]+[a-f]?\."", """"))"),"")</f>
        <v/>
      </c>
      <c r="J2146" s="188" t="str">
        <f t="shared" ref="J2146:L2146" si="187">$F2146 &amp; ". "&amp;G2146</f>
        <v>391. </v>
      </c>
      <c r="K2146" s="188" t="str">
        <f t="shared" si="187"/>
        <v>391. </v>
      </c>
      <c r="L2146" s="188" t="str">
        <f t="shared" si="187"/>
        <v>391. </v>
      </c>
    </row>
    <row r="2147" hidden="1">
      <c r="A2147" s="299"/>
      <c r="B2147" s="300"/>
      <c r="C2147" s="190"/>
      <c r="D2147" s="190"/>
      <c r="E2147" s="190"/>
      <c r="F2147" s="195">
        <v>392.0</v>
      </c>
      <c r="G2147" s="188" t="str">
        <f>IFERROR(__xludf.DUMMYFUNCTION("TRIM(REGEXREPLACE(C2147, ""[0-9]+[a-f]?\."", """"))"),"")</f>
        <v/>
      </c>
      <c r="H2147" s="188" t="str">
        <f>IFERROR(__xludf.DUMMYFUNCTION("TRIM(REGEXREPLACE(D2147, ""[0-9]+[a-f]?\."", """"))"),"")</f>
        <v/>
      </c>
      <c r="I2147" s="188" t="str">
        <f>IFERROR(__xludf.DUMMYFUNCTION("TRIM(REGEXREPLACE(E2147, ""[0-9]+[a-f]?\."", """"))"),"")</f>
        <v/>
      </c>
      <c r="J2147" s="188" t="str">
        <f t="shared" ref="J2147:L2147" si="188">$F2147 &amp; ". "&amp;G2147</f>
        <v>392. </v>
      </c>
      <c r="K2147" s="188" t="str">
        <f t="shared" si="188"/>
        <v>392. </v>
      </c>
      <c r="L2147" s="188" t="str">
        <f t="shared" si="188"/>
        <v>392. </v>
      </c>
    </row>
    <row r="2148" hidden="1">
      <c r="A2148" s="299"/>
      <c r="B2148" s="300"/>
      <c r="C2148" s="190"/>
      <c r="D2148" s="190"/>
      <c r="E2148" s="190"/>
      <c r="F2148" s="195">
        <v>393.0</v>
      </c>
      <c r="G2148" s="188" t="str">
        <f>IFERROR(__xludf.DUMMYFUNCTION("TRIM(REGEXREPLACE(C2148, ""[0-9]+[a-f]?\."", """"))"),"")</f>
        <v/>
      </c>
      <c r="H2148" s="188" t="str">
        <f>IFERROR(__xludf.DUMMYFUNCTION("TRIM(REGEXREPLACE(D2148, ""[0-9]+[a-f]?\."", """"))"),"")</f>
        <v/>
      </c>
      <c r="I2148" s="188" t="str">
        <f>IFERROR(__xludf.DUMMYFUNCTION("TRIM(REGEXREPLACE(E2148, ""[0-9]+[a-f]?\."", """"))"),"")</f>
        <v/>
      </c>
      <c r="J2148" s="188" t="str">
        <f t="shared" ref="J2148:L2148" si="189">$F2148 &amp; ". "&amp;G2148</f>
        <v>393. </v>
      </c>
      <c r="K2148" s="188" t="str">
        <f t="shared" si="189"/>
        <v>393. </v>
      </c>
      <c r="L2148" s="188" t="str">
        <f t="shared" si="189"/>
        <v>393. </v>
      </c>
    </row>
    <row r="2149" hidden="1">
      <c r="A2149" s="299"/>
      <c r="B2149" s="300"/>
      <c r="C2149" s="190"/>
      <c r="D2149" s="190"/>
      <c r="E2149" s="190"/>
      <c r="F2149" s="195">
        <v>394.0</v>
      </c>
      <c r="G2149" s="188" t="str">
        <f>IFERROR(__xludf.DUMMYFUNCTION("TRIM(REGEXREPLACE(C2149, ""[0-9]+[a-f]?\."", """"))"),"")</f>
        <v/>
      </c>
      <c r="H2149" s="188" t="str">
        <f>IFERROR(__xludf.DUMMYFUNCTION("TRIM(REGEXREPLACE(D2149, ""[0-9]+[a-f]?\."", """"))"),"")</f>
        <v/>
      </c>
      <c r="I2149" s="188" t="str">
        <f>IFERROR(__xludf.DUMMYFUNCTION("TRIM(REGEXREPLACE(E2149, ""[0-9]+[a-f]?\."", """"))"),"")</f>
        <v/>
      </c>
      <c r="J2149" s="188" t="str">
        <f t="shared" ref="J2149:L2149" si="190">$F2149 &amp; ". "&amp;G2149</f>
        <v>394. </v>
      </c>
      <c r="K2149" s="188" t="str">
        <f t="shared" si="190"/>
        <v>394. </v>
      </c>
      <c r="L2149" s="188" t="str">
        <f t="shared" si="190"/>
        <v>394. </v>
      </c>
    </row>
    <row r="2150" hidden="1">
      <c r="A2150" s="221"/>
      <c r="B2150" s="198"/>
      <c r="C2150" s="381"/>
      <c r="D2150" s="381"/>
      <c r="E2150" s="381"/>
    </row>
    <row r="2151" hidden="1">
      <c r="A2151" s="305"/>
      <c r="B2151" s="223"/>
      <c r="C2151" s="223"/>
      <c r="D2151" s="223"/>
      <c r="E2151" s="223"/>
    </row>
    <row r="2152" hidden="1">
      <c r="A2152" s="221"/>
      <c r="B2152" s="198"/>
      <c r="C2152" s="382"/>
      <c r="D2152" s="382"/>
      <c r="E2152" s="382"/>
    </row>
    <row r="2153" hidden="1">
      <c r="A2153" s="301"/>
      <c r="B2153" s="302"/>
      <c r="C2153" s="190"/>
      <c r="D2153" s="190"/>
      <c r="E2153" s="190"/>
      <c r="F2153" s="195">
        <v>395.0</v>
      </c>
      <c r="G2153" s="188" t="str">
        <f>IFERROR(__xludf.DUMMYFUNCTION("TRIM(REGEXREPLACE(C2153, ""[0-9]+[a-f]?\."", """"))"),"")</f>
        <v/>
      </c>
      <c r="H2153" s="188" t="str">
        <f>IFERROR(__xludf.DUMMYFUNCTION("TRIM(REGEXREPLACE(D2153, ""[0-9]+[a-f]?\."", """"))"),"")</f>
        <v/>
      </c>
      <c r="I2153" s="188" t="str">
        <f>IFERROR(__xludf.DUMMYFUNCTION("TRIM(REGEXREPLACE(E2153, ""[0-9]+[a-f]?\."", """"))"),"")</f>
        <v/>
      </c>
      <c r="J2153" s="188" t="str">
        <f t="shared" ref="J2153:L2153" si="191">$F2153 &amp; ". "&amp;G2153</f>
        <v>395. </v>
      </c>
      <c r="K2153" s="188" t="str">
        <f t="shared" si="191"/>
        <v>395. </v>
      </c>
      <c r="L2153" s="188" t="str">
        <f t="shared" si="191"/>
        <v>395. </v>
      </c>
    </row>
    <row r="2154" hidden="1">
      <c r="A2154" s="299"/>
      <c r="B2154" s="300"/>
      <c r="C2154" s="190"/>
      <c r="D2154" s="190"/>
      <c r="E2154" s="190"/>
      <c r="F2154" s="195">
        <v>396.0</v>
      </c>
      <c r="G2154" s="188" t="str">
        <f>IFERROR(__xludf.DUMMYFUNCTION("TRIM(REGEXREPLACE(C2154, ""[0-9]+[a-f]?\."", """"))"),"")</f>
        <v/>
      </c>
      <c r="H2154" s="188" t="str">
        <f>IFERROR(__xludf.DUMMYFUNCTION("TRIM(REGEXREPLACE(D2154, ""[0-9]+[a-f]?\."", """"))"),"")</f>
        <v/>
      </c>
      <c r="I2154" s="188" t="str">
        <f>IFERROR(__xludf.DUMMYFUNCTION("TRIM(REGEXREPLACE(E2154, ""[0-9]+[a-f]?\."", """"))"),"")</f>
        <v/>
      </c>
      <c r="J2154" s="188" t="str">
        <f t="shared" ref="J2154:L2154" si="192">$F2154 &amp; ". "&amp;G2154</f>
        <v>396. </v>
      </c>
      <c r="K2154" s="188" t="str">
        <f t="shared" si="192"/>
        <v>396. </v>
      </c>
      <c r="L2154" s="188" t="str">
        <f t="shared" si="192"/>
        <v>396. </v>
      </c>
    </row>
    <row r="2155" hidden="1">
      <c r="A2155" s="305"/>
      <c r="B2155" s="224"/>
      <c r="C2155" s="224"/>
      <c r="D2155" s="224"/>
      <c r="E2155" s="224"/>
    </row>
    <row r="2156" hidden="1">
      <c r="A2156" s="221"/>
      <c r="B2156" s="198"/>
      <c r="C2156" s="381"/>
      <c r="D2156" s="381"/>
      <c r="E2156" s="381"/>
    </row>
    <row r="2157" hidden="1">
      <c r="A2157" s="221"/>
      <c r="B2157" s="198"/>
      <c r="C2157" s="381"/>
      <c r="D2157" s="381"/>
      <c r="E2157" s="381"/>
    </row>
    <row r="2158" hidden="1">
      <c r="A2158" s="221"/>
      <c r="B2158" s="198"/>
      <c r="C2158" s="381"/>
      <c r="D2158" s="381"/>
      <c r="E2158" s="381"/>
    </row>
    <row r="2159" hidden="1">
      <c r="A2159" s="301"/>
      <c r="B2159" s="302"/>
      <c r="C2159" s="190"/>
      <c r="D2159" s="190"/>
      <c r="E2159" s="190"/>
      <c r="F2159" s="195">
        <v>397.0</v>
      </c>
      <c r="G2159" s="188" t="str">
        <f>IFERROR(__xludf.DUMMYFUNCTION("TRIM(REGEXREPLACE(C2159, ""[0-9]+[a-f]?\."", """"))"),"")</f>
        <v/>
      </c>
      <c r="H2159" s="188" t="str">
        <f>IFERROR(__xludf.DUMMYFUNCTION("TRIM(REGEXREPLACE(D2159, ""[0-9]+[a-f]?\."", """"))"),"")</f>
        <v/>
      </c>
      <c r="I2159" s="188" t="str">
        <f>IFERROR(__xludf.DUMMYFUNCTION("TRIM(REGEXREPLACE(E2159, ""[0-9]+[a-f]?\."", """"))"),"")</f>
        <v/>
      </c>
      <c r="J2159" s="188" t="str">
        <f t="shared" ref="J2159:L2159" si="193">$F2159 &amp; ". "&amp;G2159</f>
        <v>397. </v>
      </c>
      <c r="K2159" s="188" t="str">
        <f t="shared" si="193"/>
        <v>397. </v>
      </c>
      <c r="L2159" s="188" t="str">
        <f t="shared" si="193"/>
        <v>397. </v>
      </c>
    </row>
    <row r="2160" hidden="1">
      <c r="A2160" s="310"/>
      <c r="B2160" s="311"/>
      <c r="C2160" s="190"/>
      <c r="D2160" s="190"/>
      <c r="E2160" s="190"/>
      <c r="F2160" s="195">
        <v>398.0</v>
      </c>
      <c r="G2160" s="188" t="str">
        <f>IFERROR(__xludf.DUMMYFUNCTION("TRIM(REGEXREPLACE(C2160, ""[0-9]+[a-f]?\."", """"))"),"")</f>
        <v/>
      </c>
      <c r="H2160" s="188" t="str">
        <f>IFERROR(__xludf.DUMMYFUNCTION("TRIM(REGEXREPLACE(D2160, ""[0-9]+[a-f]?\."", """"))"),"")</f>
        <v/>
      </c>
      <c r="I2160" s="188" t="str">
        <f>IFERROR(__xludf.DUMMYFUNCTION("TRIM(REGEXREPLACE(E2160, ""[0-9]+[a-f]?\."", """"))"),"")</f>
        <v/>
      </c>
      <c r="J2160" s="188" t="str">
        <f t="shared" ref="J2160:L2160" si="194">$F2160 &amp; ". "&amp;G2160</f>
        <v>398. </v>
      </c>
      <c r="K2160" s="188" t="str">
        <f t="shared" si="194"/>
        <v>398. </v>
      </c>
      <c r="L2160" s="188" t="str">
        <f t="shared" si="194"/>
        <v>398. </v>
      </c>
    </row>
    <row r="2161" hidden="1">
      <c r="A2161" s="299"/>
      <c r="B2161" s="300"/>
      <c r="C2161" s="190"/>
      <c r="D2161" s="190"/>
      <c r="E2161" s="190"/>
      <c r="F2161" s="195">
        <v>399.0</v>
      </c>
      <c r="G2161" s="188" t="str">
        <f>IFERROR(__xludf.DUMMYFUNCTION("TRIM(REGEXREPLACE(C2161, ""[0-9]+[a-f]?\."", """"))"),"")</f>
        <v/>
      </c>
      <c r="H2161" s="188" t="str">
        <f>IFERROR(__xludf.DUMMYFUNCTION("TRIM(REGEXREPLACE(D2161, ""[0-9]+[a-f]?\."", """"))"),"")</f>
        <v/>
      </c>
      <c r="I2161" s="188" t="str">
        <f>IFERROR(__xludf.DUMMYFUNCTION("TRIM(REGEXREPLACE(E2161, ""[0-9]+[a-f]?\."", """"))"),"")</f>
        <v/>
      </c>
      <c r="J2161" s="188" t="str">
        <f t="shared" ref="J2161:L2161" si="195">$F2161 &amp; ". "&amp;G2161</f>
        <v>399. </v>
      </c>
      <c r="K2161" s="188" t="str">
        <f t="shared" si="195"/>
        <v>399. </v>
      </c>
      <c r="L2161" s="188" t="str">
        <f t="shared" si="195"/>
        <v>399. </v>
      </c>
    </row>
    <row r="2162" hidden="1">
      <c r="A2162" s="299"/>
      <c r="B2162" s="300"/>
      <c r="C2162" s="190"/>
      <c r="D2162" s="190"/>
      <c r="E2162" s="190"/>
      <c r="F2162" s="195">
        <v>400.0</v>
      </c>
      <c r="G2162" s="188" t="str">
        <f>IFERROR(__xludf.DUMMYFUNCTION("TRIM(REGEXREPLACE(C2162, ""[0-9]+[a-f]?\."", """"))"),"")</f>
        <v/>
      </c>
      <c r="H2162" s="188" t="str">
        <f>IFERROR(__xludf.DUMMYFUNCTION("TRIM(REGEXREPLACE(D2162, ""[0-9]+[a-f]?\."", """"))"),"")</f>
        <v/>
      </c>
      <c r="I2162" s="188" t="str">
        <f>IFERROR(__xludf.DUMMYFUNCTION("TRIM(REGEXREPLACE(E2162, ""[0-9]+[a-f]?\."", """"))"),"")</f>
        <v/>
      </c>
      <c r="J2162" s="188" t="str">
        <f t="shared" ref="J2162:L2162" si="196">$F2162 &amp; ". "&amp;G2162</f>
        <v>400. </v>
      </c>
      <c r="K2162" s="188" t="str">
        <f t="shared" si="196"/>
        <v>400. </v>
      </c>
      <c r="L2162" s="188" t="str">
        <f t="shared" si="196"/>
        <v>400. </v>
      </c>
    </row>
    <row r="2163" hidden="1">
      <c r="A2163" s="301"/>
      <c r="B2163" s="302"/>
      <c r="C2163" s="190"/>
      <c r="D2163" s="190"/>
      <c r="E2163" s="190"/>
      <c r="F2163" s="195">
        <v>401.0</v>
      </c>
      <c r="G2163" s="188" t="str">
        <f>IFERROR(__xludf.DUMMYFUNCTION("TRIM(REGEXREPLACE(C2163, ""[0-9]+[a-f]?\."", """"))"),"")</f>
        <v/>
      </c>
      <c r="H2163" s="188" t="str">
        <f>IFERROR(__xludf.DUMMYFUNCTION("TRIM(REGEXREPLACE(D2163, ""[0-9]+[a-f]?\."", """"))"),"")</f>
        <v/>
      </c>
      <c r="I2163" s="188" t="str">
        <f>IFERROR(__xludf.DUMMYFUNCTION("TRIM(REGEXREPLACE(E2163, ""[0-9]+[a-f]?\."", """"))"),"")</f>
        <v/>
      </c>
      <c r="J2163" s="188" t="str">
        <f t="shared" ref="J2163:L2163" si="197">$F2163 &amp; ". "&amp;G2163</f>
        <v>401. </v>
      </c>
      <c r="K2163" s="188" t="str">
        <f t="shared" si="197"/>
        <v>401. </v>
      </c>
      <c r="L2163" s="188" t="str">
        <f t="shared" si="197"/>
        <v>401. </v>
      </c>
    </row>
    <row r="2164" hidden="1">
      <c r="A2164" s="299"/>
      <c r="B2164" s="300"/>
      <c r="C2164" s="190"/>
      <c r="D2164" s="190"/>
      <c r="E2164" s="190"/>
      <c r="F2164" s="195">
        <v>402.0</v>
      </c>
      <c r="G2164" s="188" t="str">
        <f>IFERROR(__xludf.DUMMYFUNCTION("TRIM(REGEXREPLACE(C2164, ""[0-9]+[a-f]?\."", """"))"),"")</f>
        <v/>
      </c>
      <c r="H2164" s="188" t="str">
        <f>IFERROR(__xludf.DUMMYFUNCTION("TRIM(REGEXREPLACE(D2164, ""[0-9]+[a-f]?\."", """"))"),"")</f>
        <v/>
      </c>
      <c r="I2164" s="188" t="str">
        <f>IFERROR(__xludf.DUMMYFUNCTION("TRIM(REGEXREPLACE(E2164, ""[0-9]+[a-f]?\."", """"))"),"")</f>
        <v/>
      </c>
      <c r="J2164" s="188" t="str">
        <f t="shared" ref="J2164:L2164" si="198">$F2164 &amp; ". "&amp;G2164</f>
        <v>402. </v>
      </c>
      <c r="K2164" s="188" t="str">
        <f t="shared" si="198"/>
        <v>402. </v>
      </c>
      <c r="L2164" s="188" t="str">
        <f t="shared" si="198"/>
        <v>402. </v>
      </c>
    </row>
    <row r="2165" hidden="1">
      <c r="A2165" s="306"/>
      <c r="B2165" s="307"/>
      <c r="C2165" s="190"/>
      <c r="D2165" s="190"/>
      <c r="E2165" s="190"/>
      <c r="F2165" s="195">
        <v>403.0</v>
      </c>
      <c r="G2165" s="188" t="str">
        <f>IFERROR(__xludf.DUMMYFUNCTION("TRIM(REGEXREPLACE(C2165, ""[0-9]+[a-f]?\."", """"))"),"")</f>
        <v/>
      </c>
      <c r="H2165" s="188" t="str">
        <f>IFERROR(__xludf.DUMMYFUNCTION("TRIM(REGEXREPLACE(D2165, ""[0-9]+[a-f]?\."", """"))"),"")</f>
        <v/>
      </c>
      <c r="I2165" s="188" t="str">
        <f>IFERROR(__xludf.DUMMYFUNCTION("TRIM(REGEXREPLACE(E2165, ""[0-9]+[a-f]?\."", """"))"),"")</f>
        <v/>
      </c>
      <c r="J2165" s="188" t="str">
        <f t="shared" ref="J2165:L2165" si="199">$F2165 &amp; ". "&amp;G2165</f>
        <v>403. </v>
      </c>
      <c r="K2165" s="188" t="str">
        <f t="shared" si="199"/>
        <v>403. </v>
      </c>
      <c r="L2165" s="188" t="str">
        <f t="shared" si="199"/>
        <v>403. </v>
      </c>
    </row>
    <row r="2166" hidden="1">
      <c r="A2166" s="221"/>
      <c r="B2166" s="198"/>
      <c r="C2166" s="381"/>
      <c r="D2166" s="381"/>
      <c r="E2166" s="381"/>
    </row>
    <row r="2167" hidden="1">
      <c r="A2167" s="221"/>
      <c r="B2167" s="198"/>
      <c r="C2167" s="381"/>
      <c r="D2167" s="381"/>
      <c r="E2167" s="381"/>
    </row>
    <row r="2168" hidden="1">
      <c r="A2168" s="299"/>
      <c r="B2168" s="300"/>
      <c r="C2168" s="190"/>
      <c r="D2168" s="190"/>
      <c r="E2168" s="190"/>
      <c r="F2168" s="195">
        <v>404.0</v>
      </c>
      <c r="G2168" s="188" t="str">
        <f>IFERROR(__xludf.DUMMYFUNCTION("TRIM(REGEXREPLACE(C2168, ""[0-9]+[a-f]?\."", """"))"),"")</f>
        <v/>
      </c>
      <c r="H2168" s="188" t="str">
        <f>IFERROR(__xludf.DUMMYFUNCTION("TRIM(REGEXREPLACE(D2168, ""[0-9]+[a-f]?\."", """"))"),"")</f>
        <v/>
      </c>
      <c r="I2168" s="188" t="str">
        <f>IFERROR(__xludf.DUMMYFUNCTION("TRIM(REGEXREPLACE(E2168, ""[0-9]+[a-f]?\."", """"))"),"")</f>
        <v/>
      </c>
      <c r="J2168" s="188" t="str">
        <f t="shared" ref="J2168:L2168" si="200">$F2168 &amp; ". "&amp;G2168</f>
        <v>404. </v>
      </c>
      <c r="K2168" s="188" t="str">
        <f t="shared" si="200"/>
        <v>404. </v>
      </c>
      <c r="L2168" s="188" t="str">
        <f t="shared" si="200"/>
        <v>404. </v>
      </c>
    </row>
    <row r="2169" hidden="1">
      <c r="A2169" s="299"/>
      <c r="B2169" s="300"/>
      <c r="C2169" s="190"/>
      <c r="D2169" s="190"/>
      <c r="E2169" s="190"/>
      <c r="F2169" s="195">
        <v>405.0</v>
      </c>
      <c r="G2169" s="188" t="str">
        <f>IFERROR(__xludf.DUMMYFUNCTION("TRIM(REGEXREPLACE(C2169, ""[0-9]+[a-f]?\."", """"))"),"")</f>
        <v/>
      </c>
      <c r="H2169" s="188" t="str">
        <f>IFERROR(__xludf.DUMMYFUNCTION("TRIM(REGEXREPLACE(D2169, ""[0-9]+[a-f]?\."", """"))"),"")</f>
        <v/>
      </c>
      <c r="I2169" s="188" t="str">
        <f>IFERROR(__xludf.DUMMYFUNCTION("TRIM(REGEXREPLACE(E2169, ""[0-9]+[a-f]?\."", """"))"),"")</f>
        <v/>
      </c>
      <c r="J2169" s="188" t="str">
        <f t="shared" ref="J2169:L2169" si="201">$F2169 &amp; ". "&amp;G2169</f>
        <v>405. </v>
      </c>
      <c r="K2169" s="188" t="str">
        <f t="shared" si="201"/>
        <v>405. </v>
      </c>
      <c r="L2169" s="188" t="str">
        <f t="shared" si="201"/>
        <v>405. </v>
      </c>
    </row>
    <row r="2170" hidden="1">
      <c r="A2170" s="299"/>
      <c r="B2170" s="300"/>
      <c r="C2170" s="190"/>
      <c r="D2170" s="190"/>
      <c r="E2170" s="190"/>
      <c r="F2170" s="195">
        <v>406.0</v>
      </c>
      <c r="G2170" s="188" t="str">
        <f>IFERROR(__xludf.DUMMYFUNCTION("TRIM(REGEXREPLACE(C2170, ""[0-9]+[a-f]?\."", """"))"),"")</f>
        <v/>
      </c>
      <c r="H2170" s="188" t="str">
        <f>IFERROR(__xludf.DUMMYFUNCTION("TRIM(REGEXREPLACE(D2170, ""[0-9]+[a-f]?\."", """"))"),"")</f>
        <v/>
      </c>
      <c r="I2170" s="188" t="str">
        <f>IFERROR(__xludf.DUMMYFUNCTION("TRIM(REGEXREPLACE(E2170, ""[0-9]+[a-f]?\."", """"))"),"")</f>
        <v/>
      </c>
      <c r="J2170" s="188" t="str">
        <f t="shared" ref="J2170:L2170" si="202">$F2170 &amp; ". "&amp;G2170</f>
        <v>406. </v>
      </c>
      <c r="K2170" s="188" t="str">
        <f t="shared" si="202"/>
        <v>406. </v>
      </c>
      <c r="L2170" s="188" t="str">
        <f t="shared" si="202"/>
        <v>406. </v>
      </c>
    </row>
    <row r="2171" hidden="1">
      <c r="A2171" s="221"/>
      <c r="B2171" s="198"/>
      <c r="C2171" s="381"/>
      <c r="D2171" s="381"/>
      <c r="E2171" s="381"/>
    </row>
    <row r="2172" hidden="1">
      <c r="A2172" s="305"/>
      <c r="B2172" s="223"/>
      <c r="C2172" s="223"/>
      <c r="D2172" s="223"/>
      <c r="E2172" s="223"/>
    </row>
    <row r="2173" hidden="1">
      <c r="A2173" s="221"/>
      <c r="B2173" s="198"/>
      <c r="C2173" s="382"/>
      <c r="D2173" s="382"/>
      <c r="E2173" s="382"/>
    </row>
    <row r="2174" hidden="1">
      <c r="A2174" s="310"/>
      <c r="B2174" s="311"/>
      <c r="C2174" s="314"/>
      <c r="D2174" s="314"/>
      <c r="E2174" s="314"/>
    </row>
    <row r="2175" hidden="1">
      <c r="A2175" s="306"/>
      <c r="B2175" s="307"/>
      <c r="C2175" s="190"/>
      <c r="D2175" s="190"/>
      <c r="E2175" s="190"/>
      <c r="F2175" s="195">
        <v>407.0</v>
      </c>
      <c r="G2175" s="188" t="str">
        <f>IFERROR(__xludf.DUMMYFUNCTION("TRIM(REGEXREPLACE(C2175, ""[0-9]+[a-f]?\."", """"))"),"")</f>
        <v/>
      </c>
      <c r="H2175" s="188" t="str">
        <f>IFERROR(__xludf.DUMMYFUNCTION("TRIM(REGEXREPLACE(D2175, ""[0-9]+[a-f]?\."", """"))"),"")</f>
        <v/>
      </c>
      <c r="I2175" s="188" t="str">
        <f>IFERROR(__xludf.DUMMYFUNCTION("TRIM(REGEXREPLACE(E2175, ""[0-9]+[a-f]?\."", """"))"),"")</f>
        <v/>
      </c>
      <c r="J2175" s="188" t="str">
        <f t="shared" ref="J2175:L2175" si="203">$F2175 &amp; ". "&amp;G2175</f>
        <v>407. </v>
      </c>
      <c r="K2175" s="188" t="str">
        <f t="shared" si="203"/>
        <v>407. </v>
      </c>
      <c r="L2175" s="188" t="str">
        <f t="shared" si="203"/>
        <v>407. </v>
      </c>
    </row>
    <row r="2176" hidden="1">
      <c r="A2176" s="306"/>
      <c r="B2176" s="307"/>
      <c r="C2176" s="190"/>
      <c r="D2176" s="190"/>
      <c r="E2176" s="190"/>
      <c r="F2176" s="195">
        <v>408.0</v>
      </c>
      <c r="G2176" s="188" t="str">
        <f>IFERROR(__xludf.DUMMYFUNCTION("TRIM(REGEXREPLACE(C2176, ""[0-9]+[a-f]?\."", """"))"),"")</f>
        <v/>
      </c>
      <c r="H2176" s="188" t="str">
        <f>IFERROR(__xludf.DUMMYFUNCTION("TRIM(REGEXREPLACE(D2176, ""[0-9]+[a-f]?\."", """"))"),"")</f>
        <v/>
      </c>
      <c r="I2176" s="188" t="str">
        <f>IFERROR(__xludf.DUMMYFUNCTION("TRIM(REGEXREPLACE(E2176, ""[0-9]+[a-f]?\."", """"))"),"")</f>
        <v/>
      </c>
      <c r="J2176" s="188" t="str">
        <f t="shared" ref="J2176:L2176" si="204">$F2176 &amp; ". "&amp;G2176</f>
        <v>408. </v>
      </c>
      <c r="K2176" s="188" t="str">
        <f t="shared" si="204"/>
        <v>408. </v>
      </c>
      <c r="L2176" s="188" t="str">
        <f t="shared" si="204"/>
        <v>408. </v>
      </c>
    </row>
    <row r="2177" hidden="1">
      <c r="A2177" s="310"/>
      <c r="B2177" s="315"/>
      <c r="C2177" s="406"/>
      <c r="D2177" s="406"/>
      <c r="E2177" s="406"/>
    </row>
    <row r="2178" hidden="1">
      <c r="A2178" s="306"/>
      <c r="B2178" s="307"/>
      <c r="C2178" s="190"/>
      <c r="D2178" s="190"/>
      <c r="E2178" s="190"/>
      <c r="F2178" s="195">
        <v>409.0</v>
      </c>
      <c r="G2178" s="188" t="str">
        <f>IFERROR(__xludf.DUMMYFUNCTION("TRIM(REGEXREPLACE(C2178, ""[0-9]+[a-f]?\."", """"))"),"")</f>
        <v/>
      </c>
      <c r="H2178" s="188" t="str">
        <f>IFERROR(__xludf.DUMMYFUNCTION("TRIM(REGEXREPLACE(D2178, ""[0-9]+[a-f]?\."", """"))"),"")</f>
        <v/>
      </c>
      <c r="I2178" s="188" t="str">
        <f>IFERROR(__xludf.DUMMYFUNCTION("TRIM(REGEXREPLACE(E2178, ""[0-9]+[a-f]?\."", """"))"),"")</f>
        <v/>
      </c>
      <c r="J2178" s="188" t="str">
        <f t="shared" ref="J2178:L2178" si="205">$F2178 &amp; ". "&amp;G2178</f>
        <v>409. </v>
      </c>
      <c r="K2178" s="188" t="str">
        <f t="shared" si="205"/>
        <v>409. </v>
      </c>
      <c r="L2178" s="188" t="str">
        <f t="shared" si="205"/>
        <v>409. </v>
      </c>
    </row>
    <row r="2179" hidden="1">
      <c r="A2179" s="221"/>
      <c r="B2179" s="198"/>
      <c r="C2179" s="382"/>
      <c r="D2179" s="381"/>
      <c r="E2179" s="381"/>
    </row>
    <row r="2180" hidden="1">
      <c r="A2180" s="299"/>
      <c r="B2180" s="300"/>
      <c r="C2180" s="190"/>
      <c r="D2180" s="190"/>
      <c r="E2180" s="190"/>
      <c r="F2180" s="195">
        <v>410.0</v>
      </c>
      <c r="G2180" s="188" t="str">
        <f>IFERROR(__xludf.DUMMYFUNCTION("TRIM(REGEXREPLACE(C2180, ""[0-9]+[a-f]?\."", """"))"),"")</f>
        <v/>
      </c>
      <c r="H2180" s="188" t="str">
        <f>IFERROR(__xludf.DUMMYFUNCTION("TRIM(REGEXREPLACE(D2180, ""[0-9]+[a-f]?\."", """"))"),"")</f>
        <v/>
      </c>
      <c r="I2180" s="188" t="str">
        <f>IFERROR(__xludf.DUMMYFUNCTION("TRIM(REGEXREPLACE(E2180, ""[0-9]+[a-f]?\."", """"))"),"")</f>
        <v/>
      </c>
      <c r="J2180" s="188" t="str">
        <f t="shared" ref="J2180:L2180" si="206">$F2180 &amp; ". "&amp;G2180</f>
        <v>410. </v>
      </c>
      <c r="K2180" s="188" t="str">
        <f t="shared" si="206"/>
        <v>410. </v>
      </c>
      <c r="L2180" s="188" t="str">
        <f t="shared" si="206"/>
        <v>410. </v>
      </c>
    </row>
    <row r="2181" hidden="1">
      <c r="A2181" s="306"/>
      <c r="B2181" s="307"/>
      <c r="C2181" s="190"/>
      <c r="D2181" s="190"/>
      <c r="E2181" s="190"/>
      <c r="F2181" s="195">
        <v>411.0</v>
      </c>
      <c r="G2181" s="188" t="str">
        <f>IFERROR(__xludf.DUMMYFUNCTION("TRIM(REGEXREPLACE(C2181, ""[0-9]+[a-f]?\."", """"))"),"")</f>
        <v/>
      </c>
      <c r="H2181" s="188" t="str">
        <f>IFERROR(__xludf.DUMMYFUNCTION("TRIM(REGEXREPLACE(D2181, ""[0-9]+[a-f]?\."", """"))"),"")</f>
        <v/>
      </c>
      <c r="I2181" s="188" t="str">
        <f>IFERROR(__xludf.DUMMYFUNCTION("TRIM(REGEXREPLACE(E2181, ""[0-9]+[a-f]?\."", """"))"),"")</f>
        <v/>
      </c>
      <c r="J2181" s="188" t="str">
        <f t="shared" ref="J2181:L2181" si="207">$F2181 &amp; ". "&amp;G2181</f>
        <v>411. </v>
      </c>
      <c r="K2181" s="188" t="str">
        <f t="shared" si="207"/>
        <v>411. </v>
      </c>
      <c r="L2181" s="188" t="str">
        <f t="shared" si="207"/>
        <v>411. </v>
      </c>
    </row>
    <row r="2182" hidden="1">
      <c r="A2182" s="310"/>
      <c r="B2182" s="315"/>
      <c r="C2182" s="190"/>
      <c r="D2182" s="190"/>
      <c r="E2182" s="190"/>
      <c r="F2182" s="195">
        <v>412.0</v>
      </c>
      <c r="G2182" s="188" t="str">
        <f>IFERROR(__xludf.DUMMYFUNCTION("TRIM(REGEXREPLACE(C2182, ""[0-9]+[a-f]?\."", """"))"),"")</f>
        <v/>
      </c>
      <c r="H2182" s="188" t="str">
        <f>IFERROR(__xludf.DUMMYFUNCTION("TRIM(REGEXREPLACE(D2182, ""[0-9]+[a-f]?\."", """"))"),"")</f>
        <v/>
      </c>
      <c r="I2182" s="188" t="str">
        <f>IFERROR(__xludf.DUMMYFUNCTION("TRIM(REGEXREPLACE(E2182, ""[0-9]+[a-f]?\."", """"))"),"")</f>
        <v/>
      </c>
      <c r="J2182" s="188" t="str">
        <f t="shared" ref="J2182:L2182" si="208">$F2182 &amp; ". "&amp;G2182</f>
        <v>412. </v>
      </c>
      <c r="K2182" s="188" t="str">
        <f t="shared" si="208"/>
        <v>412. </v>
      </c>
      <c r="L2182" s="188" t="str">
        <f t="shared" si="208"/>
        <v>412. </v>
      </c>
    </row>
    <row r="2183" hidden="1">
      <c r="A2183" s="320"/>
      <c r="B2183" s="321"/>
      <c r="C2183" s="190"/>
      <c r="D2183" s="190"/>
      <c r="E2183" s="190"/>
      <c r="F2183" s="195">
        <v>413.0</v>
      </c>
      <c r="G2183" s="188" t="str">
        <f>IFERROR(__xludf.DUMMYFUNCTION("TRIM(REGEXREPLACE(C2183, ""[0-9]+[a-f]?\."", """"))"),"")</f>
        <v/>
      </c>
      <c r="H2183" s="188" t="str">
        <f>IFERROR(__xludf.DUMMYFUNCTION("TRIM(REGEXREPLACE(D2183, ""[0-9]+[a-f]?\."", """"))"),"")</f>
        <v/>
      </c>
      <c r="I2183" s="188" t="str">
        <f>IFERROR(__xludf.DUMMYFUNCTION("TRIM(REGEXREPLACE(E2183, ""[0-9]+[a-f]?\."", """"))"),"")</f>
        <v/>
      </c>
      <c r="J2183" s="188" t="str">
        <f t="shared" ref="J2183:L2183" si="209">$F2183 &amp; ". "&amp;G2183</f>
        <v>413. </v>
      </c>
      <c r="K2183" s="188" t="str">
        <f t="shared" si="209"/>
        <v>413. </v>
      </c>
      <c r="L2183" s="188" t="str">
        <f t="shared" si="209"/>
        <v>413. </v>
      </c>
    </row>
    <row r="2184" hidden="1">
      <c r="A2184" s="221"/>
      <c r="B2184" s="198"/>
      <c r="C2184" s="381"/>
      <c r="D2184" s="381"/>
      <c r="E2184" s="381"/>
    </row>
    <row r="2185" hidden="1">
      <c r="A2185" s="310"/>
      <c r="B2185" s="311"/>
      <c r="C2185" s="190"/>
      <c r="D2185" s="190"/>
      <c r="E2185" s="190"/>
      <c r="F2185" s="195">
        <v>414.0</v>
      </c>
      <c r="G2185" s="188" t="str">
        <f>IFERROR(__xludf.DUMMYFUNCTION("TRIM(REGEXREPLACE(C2185, ""[0-9]+[a-f]?\."", """"))"),"")</f>
        <v/>
      </c>
      <c r="H2185" s="188" t="str">
        <f>IFERROR(__xludf.DUMMYFUNCTION("TRIM(REGEXREPLACE(D2185, ""[0-9]+[a-f]?\."", """"))"),"")</f>
        <v/>
      </c>
      <c r="I2185" s="188" t="str">
        <f>IFERROR(__xludf.DUMMYFUNCTION("TRIM(REGEXREPLACE(E2185, ""[0-9]+[a-f]?\."", """"))"),"")</f>
        <v/>
      </c>
      <c r="J2185" s="188" t="str">
        <f t="shared" ref="J2185:L2185" si="210">$F2185 &amp; ". "&amp;G2185</f>
        <v>414. </v>
      </c>
      <c r="K2185" s="188" t="str">
        <f t="shared" si="210"/>
        <v>414. </v>
      </c>
      <c r="L2185" s="188" t="str">
        <f t="shared" si="210"/>
        <v>414. </v>
      </c>
    </row>
    <row r="2186" hidden="1">
      <c r="A2186" s="297"/>
      <c r="B2186" s="298"/>
      <c r="C2186" s="190"/>
      <c r="D2186" s="190"/>
      <c r="E2186" s="190"/>
      <c r="F2186" s="195">
        <v>415.0</v>
      </c>
      <c r="G2186" s="188" t="str">
        <f>IFERROR(__xludf.DUMMYFUNCTION("TRIM(REGEXREPLACE(C2186, ""[0-9]+[a-f]?\."", """"))"),"")</f>
        <v/>
      </c>
      <c r="H2186" s="188" t="str">
        <f>IFERROR(__xludf.DUMMYFUNCTION("TRIM(REGEXREPLACE(D2186, ""[0-9]+[a-f]?\."", """"))"),"")</f>
        <v/>
      </c>
      <c r="I2186" s="188" t="str">
        <f>IFERROR(__xludf.DUMMYFUNCTION("TRIM(REGEXREPLACE(E2186, ""[0-9]+[a-f]?\."", """"))"),"")</f>
        <v/>
      </c>
      <c r="J2186" s="188" t="str">
        <f t="shared" ref="J2186:L2186" si="211">$F2186 &amp; ". "&amp;G2186</f>
        <v>415. </v>
      </c>
      <c r="K2186" s="188" t="str">
        <f t="shared" si="211"/>
        <v>415. </v>
      </c>
      <c r="L2186" s="188" t="str">
        <f t="shared" si="211"/>
        <v>415. </v>
      </c>
    </row>
    <row r="2187" hidden="1">
      <c r="A2187" s="221"/>
      <c r="B2187" s="198"/>
      <c r="C2187" s="381"/>
      <c r="D2187" s="381"/>
      <c r="E2187" s="381"/>
    </row>
    <row r="2188" hidden="1">
      <c r="A2188" s="373"/>
      <c r="B2188" s="224"/>
      <c r="C2188" s="224"/>
      <c r="D2188" s="224"/>
      <c r="E2188" s="224"/>
    </row>
    <row r="2189" hidden="1">
      <c r="A2189" s="320"/>
      <c r="B2189" s="321"/>
      <c r="C2189" s="321"/>
      <c r="D2189" s="321"/>
      <c r="E2189" s="321"/>
    </row>
    <row r="2190" hidden="1">
      <c r="A2190" s="310"/>
      <c r="B2190" s="311"/>
      <c r="C2190" s="311"/>
      <c r="D2190" s="311"/>
      <c r="E2190" s="311"/>
    </row>
    <row r="2191" hidden="1">
      <c r="A2191" s="299"/>
      <c r="B2191" s="300"/>
      <c r="C2191" s="190"/>
      <c r="D2191" s="190"/>
      <c r="E2191" s="190"/>
      <c r="F2191" s="195">
        <v>416.0</v>
      </c>
      <c r="G2191" s="188" t="str">
        <f>IFERROR(__xludf.DUMMYFUNCTION("TRIM(REGEXREPLACE(C2191, ""[0-9]+[a-f]?\."", """"))"),"")</f>
        <v/>
      </c>
      <c r="H2191" s="188" t="str">
        <f>IFERROR(__xludf.DUMMYFUNCTION("TRIM(REGEXREPLACE(D2191, ""[0-9]+[a-f]?\."", """"))"),"")</f>
        <v/>
      </c>
      <c r="I2191" s="188" t="str">
        <f>IFERROR(__xludf.DUMMYFUNCTION("TRIM(REGEXREPLACE(E2191, ""[0-9]+[a-f]?\."", """"))"),"")</f>
        <v/>
      </c>
      <c r="J2191" s="188" t="str">
        <f t="shared" ref="J2191:L2191" si="212">$F2191 &amp; ". "&amp;G2191</f>
        <v>416. </v>
      </c>
      <c r="K2191" s="188" t="str">
        <f t="shared" si="212"/>
        <v>416. </v>
      </c>
      <c r="L2191" s="188" t="str">
        <f t="shared" si="212"/>
        <v>416. </v>
      </c>
    </row>
    <row r="2192" hidden="1">
      <c r="A2192" s="299"/>
      <c r="B2192" s="300"/>
      <c r="C2192" s="190"/>
      <c r="D2192" s="190"/>
      <c r="E2192" s="190"/>
      <c r="F2192" s="195">
        <v>417.0</v>
      </c>
      <c r="G2192" s="188" t="str">
        <f>IFERROR(__xludf.DUMMYFUNCTION("TRIM(REGEXREPLACE(C2192, ""[0-9]+[a-f]?\."", """"))"),"")</f>
        <v/>
      </c>
      <c r="H2192" s="188" t="str">
        <f>IFERROR(__xludf.DUMMYFUNCTION("TRIM(REGEXREPLACE(D2192, ""[0-9]+[a-f]?\."", """"))"),"")</f>
        <v/>
      </c>
      <c r="I2192" s="188" t="str">
        <f>IFERROR(__xludf.DUMMYFUNCTION("TRIM(REGEXREPLACE(E2192, ""[0-9]+[a-f]?\."", """"))"),"")</f>
        <v/>
      </c>
      <c r="J2192" s="188" t="str">
        <f t="shared" ref="J2192:L2192" si="213">$F2192 &amp; ". "&amp;G2192</f>
        <v>417. </v>
      </c>
      <c r="K2192" s="188" t="str">
        <f t="shared" si="213"/>
        <v>417. </v>
      </c>
      <c r="L2192" s="188" t="str">
        <f t="shared" si="213"/>
        <v>417. </v>
      </c>
    </row>
    <row r="2193" hidden="1">
      <c r="A2193" s="301"/>
      <c r="B2193" s="302"/>
      <c r="C2193" s="190"/>
      <c r="D2193" s="190"/>
      <c r="E2193" s="190"/>
      <c r="F2193" s="195">
        <v>418.0</v>
      </c>
      <c r="G2193" s="188" t="str">
        <f>IFERROR(__xludf.DUMMYFUNCTION("TRIM(REGEXREPLACE(C2193, ""[0-9]+[a-f]?\."", """"))"),"")</f>
        <v/>
      </c>
      <c r="H2193" s="188" t="str">
        <f>IFERROR(__xludf.DUMMYFUNCTION("TRIM(REGEXREPLACE(D2193, ""[0-9]+[a-f]?\."", """"))"),"")</f>
        <v/>
      </c>
      <c r="I2193" s="188" t="str">
        <f>IFERROR(__xludf.DUMMYFUNCTION("TRIM(REGEXREPLACE(E2193, ""[0-9]+[a-f]?\."", """"))"),"")</f>
        <v/>
      </c>
      <c r="J2193" s="188" t="str">
        <f t="shared" ref="J2193:L2193" si="214">$F2193 &amp; ". "&amp;G2193</f>
        <v>418. </v>
      </c>
      <c r="K2193" s="188" t="str">
        <f t="shared" si="214"/>
        <v>418. </v>
      </c>
      <c r="L2193" s="188" t="str">
        <f t="shared" si="214"/>
        <v>418. </v>
      </c>
    </row>
    <row r="2194" hidden="1">
      <c r="A2194" s="221"/>
      <c r="B2194" s="198"/>
      <c r="C2194" s="190"/>
      <c r="D2194" s="190"/>
      <c r="E2194" s="190"/>
      <c r="F2194" s="195">
        <v>419.0</v>
      </c>
      <c r="G2194" s="188" t="str">
        <f>IFERROR(__xludf.DUMMYFUNCTION("TRIM(REGEXREPLACE(C2194, ""[0-9]+[a-f]?\."", """"))"),"")</f>
        <v/>
      </c>
      <c r="H2194" s="188" t="str">
        <f>IFERROR(__xludf.DUMMYFUNCTION("TRIM(REGEXREPLACE(D2194, ""[0-9]+[a-f]?\."", """"))"),"")</f>
        <v/>
      </c>
      <c r="I2194" s="188" t="str">
        <f>IFERROR(__xludf.DUMMYFUNCTION("TRIM(REGEXREPLACE(E2194, ""[0-9]+[a-f]?\."", """"))"),"")</f>
        <v/>
      </c>
      <c r="J2194" s="188" t="str">
        <f t="shared" ref="J2194:L2194" si="215">$F2194 &amp; ". "&amp;G2194</f>
        <v>419. </v>
      </c>
      <c r="K2194" s="188" t="str">
        <f t="shared" si="215"/>
        <v>419. </v>
      </c>
      <c r="L2194" s="188" t="str">
        <f t="shared" si="215"/>
        <v>419. </v>
      </c>
    </row>
    <row r="2195" hidden="1">
      <c r="A2195" s="221"/>
      <c r="B2195" s="198"/>
      <c r="C2195" s="190"/>
      <c r="D2195" s="190"/>
      <c r="E2195" s="190"/>
      <c r="F2195" s="195">
        <v>420.0</v>
      </c>
      <c r="G2195" s="188" t="str">
        <f>IFERROR(__xludf.DUMMYFUNCTION("TRIM(REGEXREPLACE(C2195, ""[0-9]+[a-f]?\."", """"))"),"")</f>
        <v/>
      </c>
      <c r="H2195" s="188" t="str">
        <f>IFERROR(__xludf.DUMMYFUNCTION("TRIM(REGEXREPLACE(D2195, ""[0-9]+[a-f]?\."", """"))"),"")</f>
        <v/>
      </c>
      <c r="I2195" s="188" t="str">
        <f>IFERROR(__xludf.DUMMYFUNCTION("TRIM(REGEXREPLACE(E2195, ""[0-9]+[a-f]?\."", """"))"),"")</f>
        <v/>
      </c>
      <c r="J2195" s="188" t="str">
        <f t="shared" ref="J2195:L2195" si="216">$F2195 &amp; ". "&amp;G2195</f>
        <v>420. </v>
      </c>
      <c r="K2195" s="188" t="str">
        <f t="shared" si="216"/>
        <v>420. </v>
      </c>
      <c r="L2195" s="188" t="str">
        <f t="shared" si="216"/>
        <v>420. </v>
      </c>
    </row>
    <row r="2196" hidden="1">
      <c r="A2196" s="310"/>
      <c r="B2196" s="315"/>
      <c r="C2196" s="315"/>
      <c r="D2196" s="315"/>
      <c r="E2196" s="315"/>
    </row>
    <row r="2197" hidden="1">
      <c r="A2197" s="221"/>
      <c r="B2197" s="198"/>
      <c r="C2197" s="381"/>
      <c r="D2197" s="381"/>
      <c r="E2197" s="381"/>
    </row>
    <row r="2198" hidden="1">
      <c r="A2198" s="221"/>
      <c r="B2198" s="198"/>
      <c r="C2198" s="381"/>
      <c r="D2198" s="381"/>
      <c r="E2198" s="381"/>
    </row>
    <row r="2199" hidden="1">
      <c r="A2199" s="320"/>
      <c r="B2199" s="321"/>
      <c r="C2199" s="321"/>
      <c r="D2199" s="321"/>
      <c r="E2199" s="321"/>
    </row>
    <row r="2200" hidden="1">
      <c r="A2200" s="221"/>
      <c r="B2200" s="198"/>
      <c r="C2200" s="381"/>
      <c r="D2200" s="381"/>
      <c r="E2200" s="381"/>
    </row>
    <row r="2201" hidden="1">
      <c r="A2201" s="221"/>
      <c r="B2201" s="198"/>
      <c r="C2201" s="190"/>
      <c r="D2201" s="190"/>
      <c r="E2201" s="190"/>
      <c r="F2201" s="195">
        <v>421.0</v>
      </c>
      <c r="G2201" s="188" t="str">
        <f>IFERROR(__xludf.DUMMYFUNCTION("TRIM(REGEXREPLACE(C2201, ""[0-9]+[a-f]?\."", """"))"),"")</f>
        <v/>
      </c>
      <c r="H2201" s="188" t="str">
        <f>IFERROR(__xludf.DUMMYFUNCTION("TRIM(REGEXREPLACE(D2201, ""[0-9]+[a-f]?\."", """"))"),"")</f>
        <v/>
      </c>
      <c r="I2201" s="188" t="str">
        <f>IFERROR(__xludf.DUMMYFUNCTION("TRIM(REGEXREPLACE(E2201, ""[0-9]+[a-f]?\."", """"))"),"")</f>
        <v/>
      </c>
      <c r="J2201" s="188" t="str">
        <f t="shared" ref="J2201:L2201" si="217">$F2201 &amp; ". "&amp;G2201</f>
        <v>421. </v>
      </c>
      <c r="K2201" s="188" t="str">
        <f t="shared" si="217"/>
        <v>421. </v>
      </c>
      <c r="L2201" s="188" t="str">
        <f t="shared" si="217"/>
        <v>421. </v>
      </c>
    </row>
    <row r="2202" hidden="1">
      <c r="A2202" s="221"/>
      <c r="B2202" s="198"/>
      <c r="C2202" s="190"/>
      <c r="D2202" s="190"/>
      <c r="E2202" s="190"/>
      <c r="F2202" s="195">
        <v>422.0</v>
      </c>
      <c r="G2202" s="188" t="str">
        <f>IFERROR(__xludf.DUMMYFUNCTION("TRIM(REGEXREPLACE(C2202, ""[0-9]+[a-f]?\."", """"))"),"")</f>
        <v/>
      </c>
      <c r="H2202" s="188" t="str">
        <f>IFERROR(__xludf.DUMMYFUNCTION("TRIM(REGEXREPLACE(D2202, ""[0-9]+[a-f]?\."", """"))"),"")</f>
        <v/>
      </c>
      <c r="I2202" s="188" t="str">
        <f>IFERROR(__xludf.DUMMYFUNCTION("TRIM(REGEXREPLACE(E2202, ""[0-9]+[a-f]?\."", """"))"),"")</f>
        <v/>
      </c>
      <c r="J2202" s="188" t="str">
        <f t="shared" ref="J2202:L2202" si="218">$F2202 &amp; ". "&amp;G2202</f>
        <v>422. </v>
      </c>
      <c r="K2202" s="188" t="str">
        <f t="shared" si="218"/>
        <v>422. </v>
      </c>
      <c r="L2202" s="188" t="str">
        <f t="shared" si="218"/>
        <v>422. </v>
      </c>
    </row>
    <row r="2203" hidden="1">
      <c r="A2203" s="221"/>
      <c r="B2203" s="198"/>
      <c r="C2203" s="190"/>
      <c r="D2203" s="190"/>
      <c r="E2203" s="190"/>
      <c r="F2203" s="195">
        <v>423.0</v>
      </c>
      <c r="G2203" s="188" t="str">
        <f>IFERROR(__xludf.DUMMYFUNCTION("TRIM(REGEXREPLACE(C2203, ""[0-9]+[a-f]?\."", """"))"),"")</f>
        <v/>
      </c>
      <c r="H2203" s="188" t="str">
        <f>IFERROR(__xludf.DUMMYFUNCTION("TRIM(REGEXREPLACE(D2203, ""[0-9]+[a-f]?\."", """"))"),"")</f>
        <v/>
      </c>
      <c r="I2203" s="188" t="str">
        <f>IFERROR(__xludf.DUMMYFUNCTION("TRIM(REGEXREPLACE(E2203, ""[0-9]+[a-f]?\."", """"))"),"")</f>
        <v/>
      </c>
      <c r="J2203" s="188" t="str">
        <f t="shared" ref="J2203:L2203" si="219">$F2203 &amp; ". "&amp;G2203</f>
        <v>423. </v>
      </c>
      <c r="K2203" s="188" t="str">
        <f t="shared" si="219"/>
        <v>423. </v>
      </c>
      <c r="L2203" s="188" t="str">
        <f t="shared" si="219"/>
        <v>423. </v>
      </c>
    </row>
    <row r="2204" hidden="1">
      <c r="A2204" s="320"/>
      <c r="B2204" s="321"/>
      <c r="C2204" s="321"/>
      <c r="D2204" s="321"/>
      <c r="E2204" s="321"/>
    </row>
    <row r="2205" hidden="1">
      <c r="A2205" s="305"/>
      <c r="B2205" s="223"/>
      <c r="C2205" s="223"/>
      <c r="D2205" s="223"/>
      <c r="E2205" s="223"/>
    </row>
    <row r="2206" hidden="1">
      <c r="A2206" s="221"/>
      <c r="B2206" s="198"/>
      <c r="C2206" s="381"/>
      <c r="D2206" s="381"/>
      <c r="E2206" s="381"/>
    </row>
    <row r="2207" hidden="1">
      <c r="A2207" s="221"/>
      <c r="B2207" s="198"/>
      <c r="C2207" s="382"/>
      <c r="D2207" s="382"/>
      <c r="E2207" s="382"/>
    </row>
    <row r="2208" hidden="1">
      <c r="A2208" s="305"/>
      <c r="B2208" s="223"/>
      <c r="C2208" s="190"/>
      <c r="D2208" s="190"/>
      <c r="E2208" s="190"/>
      <c r="F2208" s="195">
        <v>424.0</v>
      </c>
      <c r="G2208" s="188" t="str">
        <f>IFERROR(__xludf.DUMMYFUNCTION("TRIM(REGEXREPLACE(C2208, ""[0-9]+[a-f]?\."", """"))"),"")</f>
        <v/>
      </c>
      <c r="H2208" s="188" t="str">
        <f>IFERROR(__xludf.DUMMYFUNCTION("TRIM(REGEXREPLACE(D2208, ""[0-9]+[a-f]?\."", """"))"),"")</f>
        <v/>
      </c>
      <c r="I2208" s="188" t="str">
        <f>IFERROR(__xludf.DUMMYFUNCTION("TRIM(REGEXREPLACE(E2208, ""[0-9]+[a-f]?\."", """"))"),"")</f>
        <v/>
      </c>
      <c r="J2208" s="188" t="str">
        <f t="shared" ref="J2208:L2208" si="220">$F2208 &amp; ". "&amp;G2208</f>
        <v>424. </v>
      </c>
      <c r="K2208" s="188" t="str">
        <f t="shared" si="220"/>
        <v>424. </v>
      </c>
      <c r="L2208" s="188" t="str">
        <f t="shared" si="220"/>
        <v>424. </v>
      </c>
    </row>
    <row r="2209" hidden="1">
      <c r="A2209" s="305"/>
      <c r="B2209" s="224"/>
      <c r="C2209" s="224"/>
      <c r="D2209" s="224"/>
      <c r="E2209" s="224"/>
    </row>
    <row r="2210" hidden="1">
      <c r="A2210" s="221"/>
      <c r="B2210" s="198"/>
      <c r="C2210" s="190"/>
      <c r="D2210" s="190"/>
      <c r="E2210" s="190"/>
      <c r="F2210" s="195">
        <v>425.0</v>
      </c>
      <c r="G2210" s="188" t="str">
        <f>IFERROR(__xludf.DUMMYFUNCTION("TRIM(REGEXREPLACE(C2210, ""[0-9]+[a-f]?\."", """"))"),"")</f>
        <v/>
      </c>
      <c r="H2210" s="188" t="str">
        <f>IFERROR(__xludf.DUMMYFUNCTION("TRIM(REGEXREPLACE(D2210, ""[0-9]+[a-f]?\."", """"))"),"")</f>
        <v/>
      </c>
      <c r="I2210" s="188" t="str">
        <f>IFERROR(__xludf.DUMMYFUNCTION("TRIM(REGEXREPLACE(E2210, ""[0-9]+[a-f]?\."", """"))"),"")</f>
        <v/>
      </c>
      <c r="J2210" s="188" t="str">
        <f t="shared" ref="J2210:L2210" si="221">$F2210 &amp; ". "&amp;G2210</f>
        <v>425. </v>
      </c>
      <c r="K2210" s="188" t="str">
        <f t="shared" si="221"/>
        <v>425. </v>
      </c>
      <c r="L2210" s="188" t="str">
        <f t="shared" si="221"/>
        <v>425. </v>
      </c>
    </row>
    <row r="2211" hidden="1">
      <c r="A2211" s="221"/>
      <c r="B2211" s="198"/>
      <c r="C2211" s="190"/>
      <c r="D2211" s="190"/>
      <c r="E2211" s="190"/>
      <c r="F2211" s="195">
        <v>426.0</v>
      </c>
      <c r="G2211" s="188" t="str">
        <f>IFERROR(__xludf.DUMMYFUNCTION("TRIM(REGEXREPLACE(C2211, ""[0-9]+[a-f]?\."", """"))"),"")</f>
        <v/>
      </c>
      <c r="H2211" s="188" t="str">
        <f>IFERROR(__xludf.DUMMYFUNCTION("TRIM(REGEXREPLACE(D2211, ""[0-9]+[a-f]?\."", """"))"),"")</f>
        <v/>
      </c>
      <c r="I2211" s="188" t="str">
        <f>IFERROR(__xludf.DUMMYFUNCTION("TRIM(REGEXREPLACE(E2211, ""[0-9]+[a-f]?\."", """"))"),"")</f>
        <v/>
      </c>
      <c r="J2211" s="188" t="str">
        <f t="shared" ref="J2211:L2211" si="222">$F2211 &amp; ". "&amp;G2211</f>
        <v>426. </v>
      </c>
      <c r="K2211" s="188" t="str">
        <f t="shared" si="222"/>
        <v>426. </v>
      </c>
      <c r="L2211" s="188" t="str">
        <f t="shared" si="222"/>
        <v>426. </v>
      </c>
    </row>
    <row r="2212" hidden="1">
      <c r="A2212" s="221"/>
      <c r="B2212" s="198"/>
      <c r="C2212" s="190"/>
      <c r="D2212" s="190"/>
      <c r="E2212" s="190"/>
      <c r="F2212" s="195">
        <v>427.0</v>
      </c>
      <c r="G2212" s="188" t="str">
        <f>IFERROR(__xludf.DUMMYFUNCTION("TRIM(REGEXREPLACE(C2212, ""[0-9]+[a-f]?\."", """"))"),"")</f>
        <v/>
      </c>
      <c r="H2212" s="188" t="str">
        <f>IFERROR(__xludf.DUMMYFUNCTION("TRIM(REGEXREPLACE(D2212, ""[0-9]+[a-f]?\."", """"))"),"")</f>
        <v/>
      </c>
      <c r="I2212" s="188" t="str">
        <f>IFERROR(__xludf.DUMMYFUNCTION("TRIM(REGEXREPLACE(E2212, ""[0-9]+[a-f]?\."", """"))"),"")</f>
        <v/>
      </c>
      <c r="J2212" s="188" t="str">
        <f t="shared" ref="J2212:L2212" si="223">$F2212 &amp; ". "&amp;G2212</f>
        <v>427. </v>
      </c>
      <c r="K2212" s="188" t="str">
        <f t="shared" si="223"/>
        <v>427. </v>
      </c>
      <c r="L2212" s="188" t="str">
        <f t="shared" si="223"/>
        <v>427. </v>
      </c>
    </row>
    <row r="2213" hidden="1">
      <c r="A2213" s="299"/>
      <c r="B2213" s="300"/>
      <c r="C2213" s="190"/>
      <c r="D2213" s="190"/>
      <c r="E2213" s="190"/>
      <c r="F2213" s="195">
        <v>428.0</v>
      </c>
      <c r="G2213" s="188" t="str">
        <f>IFERROR(__xludf.DUMMYFUNCTION("TRIM(REGEXREPLACE(C2213, ""[0-9]+[a-f]?\."", """"))"),"")</f>
        <v/>
      </c>
      <c r="H2213" s="188" t="str">
        <f>IFERROR(__xludf.DUMMYFUNCTION("TRIM(REGEXREPLACE(D2213, ""[0-9]+[a-f]?\."", """"))"),"")</f>
        <v/>
      </c>
      <c r="I2213" s="188" t="str">
        <f>IFERROR(__xludf.DUMMYFUNCTION("TRIM(REGEXREPLACE(E2213, ""[0-9]+[a-f]?\."", """"))"),"")</f>
        <v/>
      </c>
      <c r="J2213" s="188" t="str">
        <f t="shared" ref="J2213:L2213" si="224">$F2213 &amp; ". "&amp;G2213</f>
        <v>428. </v>
      </c>
      <c r="K2213" s="188" t="str">
        <f t="shared" si="224"/>
        <v>428. </v>
      </c>
      <c r="L2213" s="188" t="str">
        <f t="shared" si="224"/>
        <v>428. </v>
      </c>
    </row>
    <row r="2214" hidden="1">
      <c r="A2214" s="301"/>
      <c r="B2214" s="302"/>
      <c r="C2214" s="190"/>
      <c r="D2214" s="190"/>
      <c r="E2214" s="190"/>
      <c r="F2214" s="195">
        <v>429.0</v>
      </c>
      <c r="G2214" s="188" t="str">
        <f>IFERROR(__xludf.DUMMYFUNCTION("TRIM(REGEXREPLACE(C2214, ""[0-9]+[a-f]?\."", """"))"),"")</f>
        <v/>
      </c>
      <c r="H2214" s="188" t="str">
        <f>IFERROR(__xludf.DUMMYFUNCTION("TRIM(REGEXREPLACE(D2214, ""[0-9]+[a-f]?\."", """"))"),"")</f>
        <v/>
      </c>
      <c r="I2214" s="188" t="str">
        <f>IFERROR(__xludf.DUMMYFUNCTION("TRIM(REGEXREPLACE(E2214, ""[0-9]+[a-f]?\."", """"))"),"")</f>
        <v/>
      </c>
      <c r="J2214" s="188" t="str">
        <f t="shared" ref="J2214:L2214" si="225">$F2214 &amp; ". "&amp;G2214</f>
        <v>429. </v>
      </c>
      <c r="K2214" s="188" t="str">
        <f t="shared" si="225"/>
        <v>429. </v>
      </c>
      <c r="L2214" s="188" t="str">
        <f t="shared" si="225"/>
        <v>429. </v>
      </c>
    </row>
    <row r="2215" hidden="1">
      <c r="A2215" s="221"/>
      <c r="B2215" s="198"/>
      <c r="C2215" s="382"/>
      <c r="D2215" s="382"/>
      <c r="E2215" s="382"/>
    </row>
    <row r="2216" hidden="1">
      <c r="A2216" s="299"/>
      <c r="B2216" s="300"/>
      <c r="C2216" s="190"/>
      <c r="D2216" s="190"/>
      <c r="E2216" s="190"/>
      <c r="F2216" s="195">
        <v>430.0</v>
      </c>
      <c r="G2216" s="188" t="str">
        <f>IFERROR(__xludf.DUMMYFUNCTION("TRIM(REGEXREPLACE(C2216, ""[0-9]+[a-f]?\."", """"))"),"")</f>
        <v/>
      </c>
      <c r="H2216" s="188" t="str">
        <f>IFERROR(__xludf.DUMMYFUNCTION("TRIM(REGEXREPLACE(D2216, ""[0-9]+[a-f]?\."", """"))"),"")</f>
        <v/>
      </c>
      <c r="I2216" s="188" t="str">
        <f>IFERROR(__xludf.DUMMYFUNCTION("TRIM(REGEXREPLACE(E2216, ""[0-9]+[a-f]?\."", """"))"),"")</f>
        <v/>
      </c>
      <c r="J2216" s="188" t="str">
        <f t="shared" ref="J2216:L2216" si="226">$F2216 &amp; ". "&amp;G2216</f>
        <v>430. </v>
      </c>
      <c r="K2216" s="188" t="str">
        <f t="shared" si="226"/>
        <v>430. </v>
      </c>
      <c r="L2216" s="188" t="str">
        <f t="shared" si="226"/>
        <v>430. </v>
      </c>
    </row>
    <row r="2217" hidden="1">
      <c r="A2217" s="301"/>
      <c r="B2217" s="302"/>
      <c r="C2217" s="190"/>
      <c r="D2217" s="190"/>
      <c r="E2217" s="190"/>
      <c r="F2217" s="195">
        <v>431.0</v>
      </c>
      <c r="G2217" s="188" t="str">
        <f>IFERROR(__xludf.DUMMYFUNCTION("TRIM(REGEXREPLACE(C2217, ""[0-9]+[a-f]?\."", """"))"),"")</f>
        <v/>
      </c>
      <c r="H2217" s="188" t="str">
        <f>IFERROR(__xludf.DUMMYFUNCTION("TRIM(REGEXREPLACE(D2217, ""[0-9]+[a-f]?\."", """"))"),"")</f>
        <v/>
      </c>
      <c r="I2217" s="188" t="str">
        <f>IFERROR(__xludf.DUMMYFUNCTION("TRIM(REGEXREPLACE(E2217, ""[0-9]+[a-f]?\."", """"))"),"")</f>
        <v/>
      </c>
      <c r="J2217" s="188" t="str">
        <f t="shared" ref="J2217:L2217" si="227">$F2217 &amp; ". "&amp;G2217</f>
        <v>431. </v>
      </c>
      <c r="K2217" s="188" t="str">
        <f t="shared" si="227"/>
        <v>431. </v>
      </c>
      <c r="L2217" s="188" t="str">
        <f t="shared" si="227"/>
        <v>431. </v>
      </c>
    </row>
    <row r="2218" hidden="1">
      <c r="A2218" s="306"/>
      <c r="B2218" s="307"/>
      <c r="C2218" s="190"/>
      <c r="D2218" s="190"/>
      <c r="E2218" s="190"/>
      <c r="F2218" s="195">
        <v>432.0</v>
      </c>
      <c r="G2218" s="188" t="str">
        <f>IFERROR(__xludf.DUMMYFUNCTION("TRIM(REGEXREPLACE(C2218, ""[0-9]+[a-f]?\."", """"))"),"")</f>
        <v/>
      </c>
      <c r="H2218" s="188" t="str">
        <f>IFERROR(__xludf.DUMMYFUNCTION("TRIM(REGEXREPLACE(D2218, ""[0-9]+[a-f]?\."", """"))"),"")</f>
        <v/>
      </c>
      <c r="I2218" s="188" t="str">
        <f>IFERROR(__xludf.DUMMYFUNCTION("TRIM(REGEXREPLACE(E2218, ""[0-9]+[a-f]?\."", """"))"),"")</f>
        <v/>
      </c>
      <c r="J2218" s="188" t="str">
        <f t="shared" ref="J2218:L2218" si="228">$F2218 &amp; ". "&amp;G2218</f>
        <v>432. </v>
      </c>
      <c r="K2218" s="188" t="str">
        <f t="shared" si="228"/>
        <v>432. </v>
      </c>
      <c r="L2218" s="188" t="str">
        <f t="shared" si="228"/>
        <v>432. </v>
      </c>
    </row>
    <row r="2219" hidden="1">
      <c r="A2219" s="221"/>
      <c r="B2219" s="198"/>
      <c r="C2219" s="381"/>
      <c r="D2219" s="381"/>
      <c r="E2219" s="381"/>
    </row>
    <row r="2220" hidden="1">
      <c r="A2220" s="221"/>
      <c r="B2220" s="198"/>
      <c r="C2220" s="381"/>
      <c r="D2220" s="381"/>
      <c r="E2220" s="381"/>
    </row>
    <row r="2221" hidden="1">
      <c r="A2221" s="221"/>
      <c r="B2221" s="198"/>
      <c r="C2221" s="381"/>
      <c r="D2221" s="381"/>
      <c r="E2221" s="381"/>
    </row>
    <row r="2222" hidden="1">
      <c r="A2222" s="305"/>
      <c r="B2222" s="223"/>
      <c r="C2222" s="223"/>
      <c r="D2222" s="223"/>
      <c r="E2222" s="223"/>
    </row>
    <row r="2223" hidden="1">
      <c r="A2223" s="221"/>
      <c r="B2223" s="198"/>
      <c r="C2223" s="381"/>
      <c r="D2223" s="381"/>
      <c r="E2223" s="381"/>
    </row>
    <row r="2224" hidden="1">
      <c r="A2224" s="221"/>
      <c r="B2224" s="198"/>
      <c r="C2224" s="381"/>
      <c r="D2224" s="381"/>
      <c r="E2224" s="381"/>
    </row>
    <row r="2225" hidden="1">
      <c r="A2225" s="305"/>
      <c r="B2225" s="305"/>
      <c r="C2225" s="190"/>
      <c r="D2225" s="190"/>
      <c r="E2225" s="190"/>
      <c r="F2225" s="195">
        <v>433.0</v>
      </c>
      <c r="G2225" s="188" t="str">
        <f>IFERROR(__xludf.DUMMYFUNCTION("TRIM(REGEXREPLACE(C2225, ""[0-9]+[a-f]?\."", """"))"),"")</f>
        <v/>
      </c>
      <c r="H2225" s="188" t="str">
        <f>IFERROR(__xludf.DUMMYFUNCTION("TRIM(REGEXREPLACE(D2225, ""[0-9]+[a-f]?\."", """"))"),"")</f>
        <v/>
      </c>
      <c r="I2225" s="188" t="str">
        <f>IFERROR(__xludf.DUMMYFUNCTION("TRIM(REGEXREPLACE(E2225, ""[0-9]+[a-f]?\."", """"))"),"")</f>
        <v/>
      </c>
      <c r="J2225" s="188" t="str">
        <f t="shared" ref="J2225:L2225" si="229">$F2225 &amp; ". "&amp;G2225</f>
        <v>433. </v>
      </c>
      <c r="K2225" s="188" t="str">
        <f t="shared" si="229"/>
        <v>433. </v>
      </c>
      <c r="L2225" s="188" t="str">
        <f t="shared" si="229"/>
        <v>433. </v>
      </c>
    </row>
    <row r="2226" hidden="1">
      <c r="A2226" s="221"/>
      <c r="B2226" s="198"/>
      <c r="C2226" s="190"/>
      <c r="D2226" s="190"/>
      <c r="E2226" s="190"/>
      <c r="F2226" s="195">
        <v>434.0</v>
      </c>
      <c r="G2226" s="188" t="str">
        <f>IFERROR(__xludf.DUMMYFUNCTION("TRIM(REGEXREPLACE(C2226, ""[0-9]+[a-f]?\."", """"))"),"")</f>
        <v/>
      </c>
      <c r="H2226" s="188" t="str">
        <f>IFERROR(__xludf.DUMMYFUNCTION("TRIM(REGEXREPLACE(D2226, ""[0-9]+[a-f]?\."", """"))"),"")</f>
        <v/>
      </c>
      <c r="I2226" s="188" t="str">
        <f>IFERROR(__xludf.DUMMYFUNCTION("TRIM(REGEXREPLACE(E2226, ""[0-9]+[a-f]?\."", """"))"),"")</f>
        <v/>
      </c>
      <c r="J2226" s="188" t="str">
        <f t="shared" ref="J2226:L2226" si="230">$F2226 &amp; ". "&amp;G2226</f>
        <v>434. </v>
      </c>
      <c r="K2226" s="188" t="str">
        <f t="shared" si="230"/>
        <v>434. </v>
      </c>
      <c r="L2226" s="188" t="str">
        <f t="shared" si="230"/>
        <v>434. </v>
      </c>
    </row>
    <row r="2227" hidden="1">
      <c r="A2227" s="221"/>
      <c r="B2227" s="198"/>
      <c r="C2227" s="382"/>
      <c r="D2227" s="382"/>
      <c r="E2227" s="382"/>
    </row>
    <row r="2228" hidden="1">
      <c r="A2228" s="305"/>
      <c r="B2228" s="224"/>
      <c r="C2228" s="418"/>
      <c r="D2228" s="418"/>
      <c r="E2228" s="418"/>
    </row>
    <row r="2229" hidden="1">
      <c r="A2229" s="221"/>
      <c r="B2229" s="198"/>
      <c r="C2229" s="381"/>
      <c r="D2229" s="381"/>
      <c r="E2229" s="381"/>
    </row>
    <row r="2230" hidden="1">
      <c r="A2230" s="221"/>
      <c r="B2230" s="198"/>
      <c r="C2230" s="381"/>
      <c r="D2230" s="381"/>
      <c r="E2230" s="381"/>
    </row>
    <row r="2231" hidden="1">
      <c r="A2231" s="221"/>
      <c r="B2231" s="198"/>
      <c r="C2231" s="190"/>
      <c r="D2231" s="190"/>
      <c r="E2231" s="190"/>
      <c r="F2231" s="195">
        <v>435.0</v>
      </c>
      <c r="G2231" s="188" t="str">
        <f>IFERROR(__xludf.DUMMYFUNCTION("TRIM(REGEXREPLACE(C2231, ""[0-9]+[a-f]?\."", """"))"),"")</f>
        <v/>
      </c>
      <c r="H2231" s="188" t="str">
        <f>IFERROR(__xludf.DUMMYFUNCTION("TRIM(REGEXREPLACE(D2231, ""[0-9]+[a-f]?\."", """"))"),"")</f>
        <v/>
      </c>
      <c r="I2231" s="188" t="str">
        <f>IFERROR(__xludf.DUMMYFUNCTION("TRIM(REGEXREPLACE(E2231, ""[0-9]+[a-f]?\."", """"))"),"")</f>
        <v/>
      </c>
      <c r="J2231" s="188" t="str">
        <f t="shared" ref="J2231:L2231" si="231">$F2231 &amp; ". "&amp;G2231</f>
        <v>435. </v>
      </c>
      <c r="K2231" s="188" t="str">
        <f t="shared" si="231"/>
        <v>435. </v>
      </c>
      <c r="L2231" s="188" t="str">
        <f t="shared" si="231"/>
        <v>435. </v>
      </c>
    </row>
    <row r="2232" hidden="1">
      <c r="A2232" s="299"/>
      <c r="B2232" s="300"/>
      <c r="C2232" s="190"/>
      <c r="D2232" s="190"/>
      <c r="E2232" s="190"/>
      <c r="F2232" s="195">
        <v>436.0</v>
      </c>
      <c r="G2232" s="188" t="str">
        <f>IFERROR(__xludf.DUMMYFUNCTION("TRIM(REGEXREPLACE(C2232, ""[0-9]+[a-f]?\."", """"))"),"")</f>
        <v/>
      </c>
      <c r="H2232" s="188" t="str">
        <f>IFERROR(__xludf.DUMMYFUNCTION("TRIM(REGEXREPLACE(D2232, ""[0-9]+[a-f]?\."", """"))"),"")</f>
        <v/>
      </c>
      <c r="I2232" s="188" t="str">
        <f>IFERROR(__xludf.DUMMYFUNCTION("TRIM(REGEXREPLACE(E2232, ""[0-9]+[a-f]?\."", """"))"),"")</f>
        <v/>
      </c>
      <c r="J2232" s="188" t="str">
        <f t="shared" ref="J2232:L2232" si="232">$F2232 &amp; ". "&amp;G2232</f>
        <v>436. </v>
      </c>
      <c r="K2232" s="188" t="str">
        <f t="shared" si="232"/>
        <v>436. </v>
      </c>
      <c r="L2232" s="188" t="str">
        <f t="shared" si="232"/>
        <v>436. </v>
      </c>
    </row>
    <row r="2233" hidden="1">
      <c r="A2233" s="299"/>
      <c r="B2233" s="300"/>
      <c r="C2233" s="190"/>
      <c r="D2233" s="190"/>
      <c r="E2233" s="190"/>
      <c r="F2233" s="195">
        <v>437.0</v>
      </c>
      <c r="G2233" s="188" t="str">
        <f>IFERROR(__xludf.DUMMYFUNCTION("TRIM(REGEXREPLACE(C2233, ""[0-9]+[a-f]?\."", """"))"),"")</f>
        <v/>
      </c>
      <c r="H2233" s="188" t="str">
        <f>IFERROR(__xludf.DUMMYFUNCTION("TRIM(REGEXREPLACE(D2233, ""[0-9]+[a-f]?\."", """"))"),"")</f>
        <v/>
      </c>
      <c r="I2233" s="188" t="str">
        <f>IFERROR(__xludf.DUMMYFUNCTION("TRIM(REGEXREPLACE(E2233, ""[0-9]+[a-f]?\."", """"))"),"")</f>
        <v/>
      </c>
      <c r="J2233" s="188" t="str">
        <f t="shared" ref="J2233:L2233" si="233">$F2233 &amp; ". "&amp;G2233</f>
        <v>437. </v>
      </c>
      <c r="K2233" s="188" t="str">
        <f t="shared" si="233"/>
        <v>437. </v>
      </c>
      <c r="L2233" s="188" t="str">
        <f t="shared" si="233"/>
        <v>437. </v>
      </c>
    </row>
    <row r="2234" hidden="1">
      <c r="A2234" s="221"/>
      <c r="B2234" s="198"/>
      <c r="C2234" s="382"/>
      <c r="D2234" s="381"/>
      <c r="E2234" s="381"/>
    </row>
    <row r="2235" hidden="1">
      <c r="A2235" s="221"/>
      <c r="B2235" s="198"/>
      <c r="C2235" s="382"/>
      <c r="D2235" s="381"/>
      <c r="E2235" s="381"/>
    </row>
    <row r="2236" hidden="1">
      <c r="A2236" s="221"/>
      <c r="B2236" s="198"/>
      <c r="C2236" s="382"/>
      <c r="D2236" s="381"/>
      <c r="E2236" s="381"/>
    </row>
    <row r="2237" hidden="1">
      <c r="A2237" s="221"/>
      <c r="B2237" s="198"/>
      <c r="C2237" s="382"/>
      <c r="D2237" s="381"/>
      <c r="E2237" s="381"/>
    </row>
    <row r="2238" hidden="1">
      <c r="A2238" s="221"/>
      <c r="B2238" s="198"/>
      <c r="C2238" s="382"/>
      <c r="D2238" s="381"/>
      <c r="E2238" s="381"/>
    </row>
    <row r="2239" hidden="1">
      <c r="A2239" s="221"/>
      <c r="B2239" s="198"/>
      <c r="C2239" s="382"/>
      <c r="D2239" s="381"/>
      <c r="E2239" s="381"/>
    </row>
    <row r="2240" hidden="1">
      <c r="A2240" s="221"/>
      <c r="B2240" s="198"/>
      <c r="C2240" s="382"/>
      <c r="D2240" s="381"/>
      <c r="E2240" s="381"/>
    </row>
    <row r="2241" hidden="1">
      <c r="A2241" s="221"/>
      <c r="B2241" s="198"/>
      <c r="C2241" s="382"/>
      <c r="D2241" s="381"/>
      <c r="E2241" s="381"/>
    </row>
    <row r="2242" hidden="1">
      <c r="A2242" s="221"/>
      <c r="B2242" s="198"/>
      <c r="C2242" s="381"/>
      <c r="D2242" s="381"/>
      <c r="E2242" s="381"/>
    </row>
    <row r="2243" hidden="1">
      <c r="A2243" s="301"/>
      <c r="B2243" s="302"/>
      <c r="C2243" s="190"/>
      <c r="D2243" s="190"/>
      <c r="E2243" s="190"/>
      <c r="F2243" s="195">
        <v>438.0</v>
      </c>
      <c r="G2243" s="188" t="str">
        <f>IFERROR(__xludf.DUMMYFUNCTION("TRIM(REGEXREPLACE(C2243, ""[0-9]+[a-f]?\."", """"))"),"")</f>
        <v/>
      </c>
      <c r="H2243" s="188" t="str">
        <f>IFERROR(__xludf.DUMMYFUNCTION("TRIM(REGEXREPLACE(D2243, ""[0-9]+[a-f]?\."", """"))"),"")</f>
        <v/>
      </c>
      <c r="I2243" s="188" t="str">
        <f>IFERROR(__xludf.DUMMYFUNCTION("TRIM(REGEXREPLACE(E2243, ""[0-9]+[a-f]?\."", """"))"),"")</f>
        <v/>
      </c>
      <c r="J2243" s="188" t="str">
        <f t="shared" ref="J2243:L2243" si="234">$F2243 &amp; ". "&amp;G2243</f>
        <v>438. </v>
      </c>
      <c r="K2243" s="188" t="str">
        <f t="shared" si="234"/>
        <v>438. </v>
      </c>
      <c r="L2243" s="188" t="str">
        <f t="shared" si="234"/>
        <v>438. </v>
      </c>
    </row>
    <row r="2244" hidden="1">
      <c r="A2244" s="305"/>
      <c r="B2244" s="223"/>
      <c r="C2244" s="190"/>
      <c r="D2244" s="190"/>
      <c r="E2244" s="190"/>
      <c r="F2244" s="195">
        <v>439.0</v>
      </c>
      <c r="G2244" s="188" t="str">
        <f>IFERROR(__xludf.DUMMYFUNCTION("TRIM(REGEXREPLACE(C2244, ""[0-9]+[a-f]?\."", """"))"),"")</f>
        <v/>
      </c>
      <c r="H2244" s="188" t="str">
        <f>IFERROR(__xludf.DUMMYFUNCTION("TRIM(REGEXREPLACE(D2244, ""[0-9]+[a-f]?\."", """"))"),"")</f>
        <v/>
      </c>
      <c r="I2244" s="188" t="str">
        <f>IFERROR(__xludf.DUMMYFUNCTION("TRIM(REGEXREPLACE(E2244, ""[0-9]+[a-f]?\."", """"))"),"")</f>
        <v/>
      </c>
      <c r="J2244" s="188" t="str">
        <f t="shared" ref="J2244:L2244" si="235">$F2244 &amp; ". "&amp;G2244</f>
        <v>439. </v>
      </c>
      <c r="K2244" s="188" t="str">
        <f t="shared" si="235"/>
        <v>439. </v>
      </c>
      <c r="L2244" s="188" t="str">
        <f t="shared" si="235"/>
        <v>439. </v>
      </c>
    </row>
    <row r="2245" hidden="1">
      <c r="A2245" s="221"/>
      <c r="B2245" s="198"/>
      <c r="C2245" s="381"/>
      <c r="D2245" s="381"/>
      <c r="E2245" s="381"/>
    </row>
    <row r="2246" hidden="1">
      <c r="A2246" s="271"/>
      <c r="B2246" s="165"/>
      <c r="C2246" s="165"/>
      <c r="D2246" s="165"/>
      <c r="E2246" s="165"/>
    </row>
    <row r="2247" hidden="1">
      <c r="A2247" s="201"/>
      <c r="B2247" s="202"/>
      <c r="C2247" s="431"/>
      <c r="D2247" s="68"/>
      <c r="E2247" s="68"/>
    </row>
    <row r="2248" hidden="1">
      <c r="A2248" s="221"/>
      <c r="B2248" s="198"/>
      <c r="C2248" s="190"/>
      <c r="D2248" s="190"/>
      <c r="E2248" s="190"/>
      <c r="F2248" s="195">
        <v>440.0</v>
      </c>
      <c r="G2248" s="188" t="str">
        <f>IFERROR(__xludf.DUMMYFUNCTION("TRIM(REGEXREPLACE(C2248, ""[0-9]+[a-f]?\."", """"))"),"")</f>
        <v/>
      </c>
      <c r="H2248" s="188" t="str">
        <f>IFERROR(__xludf.DUMMYFUNCTION("TRIM(REGEXREPLACE(D2248, ""[0-9]+[a-f]?\."", """"))"),"")</f>
        <v/>
      </c>
      <c r="I2248" s="188" t="str">
        <f>IFERROR(__xludf.DUMMYFUNCTION("TRIM(REGEXREPLACE(E2248, ""[0-9]+[a-f]?\."", """"))"),"")</f>
        <v/>
      </c>
      <c r="J2248" s="188" t="str">
        <f t="shared" ref="J2248:L2248" si="236">$F2248 &amp; ". "&amp;G2248</f>
        <v>440. </v>
      </c>
      <c r="K2248" s="188" t="str">
        <f t="shared" si="236"/>
        <v>440. </v>
      </c>
      <c r="L2248" s="188" t="str">
        <f t="shared" si="236"/>
        <v>440. </v>
      </c>
    </row>
    <row r="2249" hidden="1">
      <c r="A2249" s="221"/>
      <c r="B2249" s="198"/>
      <c r="C2249" s="190"/>
      <c r="D2249" s="190"/>
      <c r="E2249" s="190"/>
      <c r="F2249" s="195">
        <v>441.0</v>
      </c>
      <c r="G2249" s="188" t="str">
        <f>IFERROR(__xludf.DUMMYFUNCTION("TRIM(REGEXREPLACE(C2249, ""[0-9]+[a-f]?\."", """"))"),"")</f>
        <v/>
      </c>
      <c r="H2249" s="188" t="str">
        <f>IFERROR(__xludf.DUMMYFUNCTION("TRIM(REGEXREPLACE(D2249, ""[0-9]+[a-f]?\."", """"))"),"")</f>
        <v/>
      </c>
      <c r="I2249" s="188" t="str">
        <f>IFERROR(__xludf.DUMMYFUNCTION("TRIM(REGEXREPLACE(E2249, ""[0-9]+[a-f]?\."", """"))"),"")</f>
        <v/>
      </c>
      <c r="J2249" s="188" t="str">
        <f t="shared" ref="J2249:L2249" si="237">$F2249 &amp; ". "&amp;G2249</f>
        <v>441. </v>
      </c>
      <c r="K2249" s="188" t="str">
        <f t="shared" si="237"/>
        <v>441. </v>
      </c>
      <c r="L2249" s="188" t="str">
        <f t="shared" si="237"/>
        <v>441. </v>
      </c>
    </row>
    <row r="2250" hidden="1">
      <c r="A2250" s="221"/>
      <c r="B2250" s="250"/>
      <c r="C2250" s="190"/>
      <c r="D2250" s="190"/>
      <c r="E2250" s="190"/>
      <c r="F2250" s="195">
        <v>442.0</v>
      </c>
      <c r="G2250" s="188" t="str">
        <f>IFERROR(__xludf.DUMMYFUNCTION("TRIM(REGEXREPLACE(C2250, ""[0-9]+[a-f]?\."", """"))"),"")</f>
        <v/>
      </c>
      <c r="H2250" s="188" t="str">
        <f>IFERROR(__xludf.DUMMYFUNCTION("TRIM(REGEXREPLACE(D2250, ""[0-9]+[a-f]?\."", """"))"),"")</f>
        <v/>
      </c>
      <c r="I2250" s="188" t="str">
        <f>IFERROR(__xludf.DUMMYFUNCTION("TRIM(REGEXREPLACE(E2250, ""[0-9]+[a-f]?\."", """"))"),"")</f>
        <v/>
      </c>
      <c r="J2250" s="188" t="str">
        <f t="shared" ref="J2250:L2250" si="238">$F2250 &amp; ". "&amp;G2250</f>
        <v>442. </v>
      </c>
      <c r="K2250" s="188" t="str">
        <f t="shared" si="238"/>
        <v>442. </v>
      </c>
      <c r="L2250" s="188" t="str">
        <f t="shared" si="238"/>
        <v>442. </v>
      </c>
    </row>
    <row r="2251" hidden="1">
      <c r="A2251" s="299"/>
      <c r="B2251" s="347"/>
      <c r="C2251" s="190"/>
      <c r="D2251" s="190"/>
      <c r="E2251" s="190"/>
      <c r="F2251" s="195">
        <v>443.0</v>
      </c>
      <c r="G2251" s="188" t="str">
        <f>IFERROR(__xludf.DUMMYFUNCTION("TRIM(REGEXREPLACE(C2251, ""[0-9]+[a-f]?\."", """"))"),"")</f>
        <v/>
      </c>
      <c r="H2251" s="188" t="str">
        <f>IFERROR(__xludf.DUMMYFUNCTION("TRIM(REGEXREPLACE(D2251, ""[0-9]+[a-f]?\."", """"))"),"")</f>
        <v/>
      </c>
      <c r="I2251" s="188" t="str">
        <f>IFERROR(__xludf.DUMMYFUNCTION("TRIM(REGEXREPLACE(E2251, ""[0-9]+[a-f]?\."", """"))"),"")</f>
        <v/>
      </c>
      <c r="J2251" s="188" t="str">
        <f t="shared" ref="J2251:L2251" si="239">$F2251 &amp; ". "&amp;G2251</f>
        <v>443. </v>
      </c>
      <c r="K2251" s="188" t="str">
        <f t="shared" si="239"/>
        <v>443. </v>
      </c>
      <c r="L2251" s="188" t="str">
        <f t="shared" si="239"/>
        <v>443. </v>
      </c>
    </row>
    <row r="2252" hidden="1">
      <c r="A2252" s="301"/>
      <c r="B2252" s="302"/>
      <c r="C2252" s="190"/>
      <c r="D2252" s="190"/>
      <c r="E2252" s="190"/>
      <c r="F2252" s="195">
        <v>444.0</v>
      </c>
      <c r="G2252" s="188" t="str">
        <f>IFERROR(__xludf.DUMMYFUNCTION("TRIM(REGEXREPLACE(C2252, ""[0-9]+[a-f]?\."", """"))"),"")</f>
        <v/>
      </c>
      <c r="H2252" s="188" t="str">
        <f>IFERROR(__xludf.DUMMYFUNCTION("TRIM(REGEXREPLACE(D2252, ""[0-9]+[a-f]?\."", """"))"),"")</f>
        <v/>
      </c>
      <c r="I2252" s="188" t="str">
        <f>IFERROR(__xludf.DUMMYFUNCTION("TRIM(REGEXREPLACE(E2252, ""[0-9]+[a-f]?\."", """"))"),"")</f>
        <v/>
      </c>
      <c r="J2252" s="188" t="str">
        <f t="shared" ref="J2252:L2252" si="240">$F2252 &amp; ". "&amp;G2252</f>
        <v>444. </v>
      </c>
      <c r="K2252" s="188" t="str">
        <f t="shared" si="240"/>
        <v>444. </v>
      </c>
      <c r="L2252" s="188" t="str">
        <f t="shared" si="240"/>
        <v>444. </v>
      </c>
    </row>
    <row r="2253" hidden="1">
      <c r="A2253" s="299"/>
      <c r="B2253" s="300"/>
      <c r="C2253" s="190"/>
      <c r="D2253" s="190"/>
      <c r="E2253" s="190"/>
      <c r="F2253" s="195">
        <v>445.0</v>
      </c>
      <c r="G2253" s="188" t="str">
        <f>IFERROR(__xludf.DUMMYFUNCTION("TRIM(REGEXREPLACE(C2253, ""[0-9]+[a-f]?\."", """"))"),"")</f>
        <v/>
      </c>
      <c r="H2253" s="188" t="str">
        <f>IFERROR(__xludf.DUMMYFUNCTION("TRIM(REGEXREPLACE(D2253, ""[0-9]+[a-f]?\."", """"))"),"")</f>
        <v/>
      </c>
      <c r="I2253" s="188" t="str">
        <f>IFERROR(__xludf.DUMMYFUNCTION("TRIM(REGEXREPLACE(E2253, ""[0-9]+[a-f]?\."", """"))"),"")</f>
        <v/>
      </c>
      <c r="J2253" s="188" t="str">
        <f t="shared" ref="J2253:L2253" si="241">$F2253 &amp; ". "&amp;G2253</f>
        <v>445. </v>
      </c>
      <c r="K2253" s="188" t="str">
        <f t="shared" si="241"/>
        <v>445. </v>
      </c>
      <c r="L2253" s="188" t="str">
        <f t="shared" si="241"/>
        <v>445. </v>
      </c>
    </row>
    <row r="2254" hidden="1">
      <c r="A2254" s="305"/>
      <c r="B2254" s="224"/>
      <c r="C2254" s="224"/>
      <c r="D2254" s="224"/>
      <c r="E2254" s="224"/>
    </row>
    <row r="2255" hidden="1">
      <c r="A2255" s="320"/>
      <c r="B2255" s="321"/>
      <c r="C2255" s="321"/>
      <c r="D2255" s="321"/>
      <c r="E2255" s="321"/>
    </row>
    <row r="2256" hidden="1">
      <c r="A2256" s="320"/>
      <c r="B2256" s="321"/>
      <c r="C2256" s="321"/>
      <c r="D2256" s="321"/>
      <c r="E2256" s="321"/>
    </row>
    <row r="2257" hidden="1">
      <c r="A2257" s="301"/>
      <c r="B2257" s="302"/>
      <c r="C2257" s="190"/>
      <c r="D2257" s="190"/>
      <c r="E2257" s="190"/>
      <c r="F2257" s="195">
        <v>446.0</v>
      </c>
      <c r="G2257" s="188" t="str">
        <f>IFERROR(__xludf.DUMMYFUNCTION("TRIM(REGEXREPLACE(C2257, ""[0-9]+[a-f]?\."", """"))"),"")</f>
        <v/>
      </c>
      <c r="H2257" s="188" t="str">
        <f>IFERROR(__xludf.DUMMYFUNCTION("TRIM(REGEXREPLACE(D2257, ""[0-9]+[a-f]?\."", """"))"),"")</f>
        <v/>
      </c>
      <c r="I2257" s="188" t="str">
        <f>IFERROR(__xludf.DUMMYFUNCTION("TRIM(REGEXREPLACE(E2257, ""[0-9]+[a-f]?\."", """"))"),"")</f>
        <v/>
      </c>
      <c r="J2257" s="188" t="str">
        <f t="shared" ref="J2257:L2257" si="242">$F2257 &amp; ". "&amp;G2257</f>
        <v>446. </v>
      </c>
      <c r="K2257" s="188" t="str">
        <f t="shared" si="242"/>
        <v>446. </v>
      </c>
      <c r="L2257" s="188" t="str">
        <f t="shared" si="242"/>
        <v>446. </v>
      </c>
    </row>
    <row r="2258" hidden="1">
      <c r="A2258" s="306"/>
      <c r="B2258" s="307"/>
      <c r="C2258" s="190"/>
      <c r="D2258" s="190"/>
      <c r="E2258" s="190"/>
      <c r="F2258" s="195">
        <v>447.0</v>
      </c>
      <c r="G2258" s="188" t="str">
        <f>IFERROR(__xludf.DUMMYFUNCTION("TRIM(REGEXREPLACE(C2258, ""[0-9]+[a-f]?\."", """"))"),"")</f>
        <v/>
      </c>
      <c r="H2258" s="188" t="str">
        <f>IFERROR(__xludf.DUMMYFUNCTION("TRIM(REGEXREPLACE(D2258, ""[0-9]+[a-f]?\."", """"))"),"")</f>
        <v/>
      </c>
      <c r="I2258" s="188" t="str">
        <f>IFERROR(__xludf.DUMMYFUNCTION("TRIM(REGEXREPLACE(E2258, ""[0-9]+[a-f]?\."", """"))"),"")</f>
        <v/>
      </c>
      <c r="J2258" s="188" t="str">
        <f t="shared" ref="J2258:L2258" si="243">$F2258 &amp; ". "&amp;G2258</f>
        <v>447. </v>
      </c>
      <c r="K2258" s="188" t="str">
        <f t="shared" si="243"/>
        <v>447. </v>
      </c>
      <c r="L2258" s="188" t="str">
        <f t="shared" si="243"/>
        <v>447. </v>
      </c>
    </row>
    <row r="2259" hidden="1">
      <c r="A2259" s="299"/>
      <c r="B2259" s="300"/>
      <c r="C2259" s="190"/>
      <c r="D2259" s="190"/>
      <c r="E2259" s="190"/>
      <c r="F2259" s="195">
        <v>448.0</v>
      </c>
      <c r="G2259" s="188" t="str">
        <f>IFERROR(__xludf.DUMMYFUNCTION("TRIM(REGEXREPLACE(C2259, ""[0-9]+[a-f]?\."", """"))"),"")</f>
        <v/>
      </c>
      <c r="H2259" s="188" t="str">
        <f>IFERROR(__xludf.DUMMYFUNCTION("TRIM(REGEXREPLACE(D2259, ""[0-9]+[a-f]?\."", """"))"),"")</f>
        <v/>
      </c>
      <c r="I2259" s="188" t="str">
        <f>IFERROR(__xludf.DUMMYFUNCTION("TRIM(REGEXREPLACE(E2259, ""[0-9]+[a-f]?\."", """"))"),"")</f>
        <v/>
      </c>
      <c r="J2259" s="188" t="str">
        <f t="shared" ref="J2259:L2259" si="244">$F2259 &amp; ". "&amp;G2259</f>
        <v>448. </v>
      </c>
      <c r="K2259" s="188" t="str">
        <f t="shared" si="244"/>
        <v>448. </v>
      </c>
      <c r="L2259" s="188" t="str">
        <f t="shared" si="244"/>
        <v>448. </v>
      </c>
    </row>
    <row r="2260" hidden="1">
      <c r="A2260" s="301"/>
      <c r="B2260" s="302"/>
      <c r="C2260" s="190"/>
      <c r="D2260" s="190"/>
      <c r="E2260" s="190"/>
      <c r="F2260" s="195">
        <v>449.0</v>
      </c>
      <c r="G2260" s="188" t="str">
        <f>IFERROR(__xludf.DUMMYFUNCTION("TRIM(REGEXREPLACE(C2260, ""[0-9]+[a-f]?\."", """"))"),"")</f>
        <v/>
      </c>
      <c r="H2260" s="188" t="str">
        <f>IFERROR(__xludf.DUMMYFUNCTION("TRIM(REGEXREPLACE(D2260, ""[0-9]+[a-f]?\."", """"))"),"")</f>
        <v/>
      </c>
      <c r="I2260" s="188" t="str">
        <f>IFERROR(__xludf.DUMMYFUNCTION("TRIM(REGEXREPLACE(E2260, ""[0-9]+[a-f]?\."", """"))"),"")</f>
        <v/>
      </c>
      <c r="J2260" s="188" t="str">
        <f t="shared" ref="J2260:L2260" si="245">$F2260 &amp; ". "&amp;G2260</f>
        <v>449. </v>
      </c>
      <c r="K2260" s="188" t="str">
        <f t="shared" si="245"/>
        <v>449. </v>
      </c>
      <c r="L2260" s="188" t="str">
        <f t="shared" si="245"/>
        <v>449. </v>
      </c>
    </row>
    <row r="2261" hidden="1">
      <c r="A2261" s="305"/>
      <c r="B2261" s="224"/>
      <c r="C2261" s="190"/>
      <c r="D2261" s="190"/>
      <c r="E2261" s="190"/>
      <c r="F2261" s="195">
        <v>450.0</v>
      </c>
      <c r="G2261" s="188" t="str">
        <f>IFERROR(__xludf.DUMMYFUNCTION("TRIM(REGEXREPLACE(C2261, ""[0-9]+[a-f]?\."", """"))"),"")</f>
        <v/>
      </c>
      <c r="H2261" s="188" t="str">
        <f>IFERROR(__xludf.DUMMYFUNCTION("TRIM(REGEXREPLACE(D2261, ""[0-9]+[a-f]?\."", """"))"),"")</f>
        <v/>
      </c>
      <c r="I2261" s="188" t="str">
        <f>IFERROR(__xludf.DUMMYFUNCTION("TRIM(REGEXREPLACE(E2261, ""[0-9]+[a-f]?\."", """"))"),"")</f>
        <v/>
      </c>
      <c r="J2261" s="188" t="str">
        <f t="shared" ref="J2261:L2261" si="246">$F2261 &amp; ". "&amp;G2261</f>
        <v>450. </v>
      </c>
      <c r="K2261" s="188" t="str">
        <f t="shared" si="246"/>
        <v>450. </v>
      </c>
      <c r="L2261" s="188" t="str">
        <f t="shared" si="246"/>
        <v>450. </v>
      </c>
    </row>
    <row r="2262" hidden="1">
      <c r="A2262" s="310"/>
      <c r="B2262" s="315"/>
      <c r="C2262" s="190"/>
      <c r="D2262" s="190"/>
      <c r="E2262" s="190"/>
      <c r="F2262" s="195">
        <v>451.0</v>
      </c>
      <c r="G2262" s="188" t="str">
        <f>IFERROR(__xludf.DUMMYFUNCTION("TRIM(REGEXREPLACE(C2262, ""[0-9]+[a-f]?\."", """"))"),"")</f>
        <v/>
      </c>
      <c r="H2262" s="188" t="str">
        <f>IFERROR(__xludf.DUMMYFUNCTION("TRIM(REGEXREPLACE(D2262, ""[0-9]+[a-f]?\."", """"))"),"")</f>
        <v/>
      </c>
      <c r="I2262" s="188" t="str">
        <f>IFERROR(__xludf.DUMMYFUNCTION("TRIM(REGEXREPLACE(E2262, ""[0-9]+[a-f]?\."", """"))"),"")</f>
        <v/>
      </c>
      <c r="J2262" s="188" t="str">
        <f t="shared" ref="J2262:L2262" si="247">$F2262 &amp; ". "&amp;G2262</f>
        <v>451. </v>
      </c>
      <c r="K2262" s="188" t="str">
        <f t="shared" si="247"/>
        <v>451. </v>
      </c>
      <c r="L2262" s="188" t="str">
        <f t="shared" si="247"/>
        <v>451. </v>
      </c>
    </row>
    <row r="2263" hidden="1">
      <c r="A2263" s="221"/>
      <c r="B2263" s="198"/>
      <c r="C2263" s="381"/>
      <c r="D2263" s="381"/>
      <c r="E2263" s="381"/>
    </row>
    <row r="2264" hidden="1">
      <c r="A2264" s="221"/>
      <c r="B2264" s="198"/>
      <c r="C2264" s="190"/>
      <c r="D2264" s="190"/>
      <c r="E2264" s="190"/>
      <c r="F2264" s="195">
        <v>452.0</v>
      </c>
      <c r="G2264" s="188" t="str">
        <f>IFERROR(__xludf.DUMMYFUNCTION("TRIM(REGEXREPLACE(C2264, ""[0-9]+[a-f]?\."", """"))"),"")</f>
        <v/>
      </c>
      <c r="H2264" s="188" t="str">
        <f>IFERROR(__xludf.DUMMYFUNCTION("TRIM(REGEXREPLACE(D2264, ""[0-9]+[a-f]?\."", """"))"),"")</f>
        <v/>
      </c>
      <c r="I2264" s="188" t="str">
        <f>IFERROR(__xludf.DUMMYFUNCTION("TRIM(REGEXREPLACE(E2264, ""[0-9]+[a-f]?\."", """"))"),"")</f>
        <v/>
      </c>
      <c r="J2264" s="188" t="str">
        <f t="shared" ref="J2264:L2264" si="248">$F2264 &amp; ". "&amp;G2264</f>
        <v>452. </v>
      </c>
      <c r="K2264" s="188" t="str">
        <f t="shared" si="248"/>
        <v>452. </v>
      </c>
      <c r="L2264" s="188" t="str">
        <f t="shared" si="248"/>
        <v>452. </v>
      </c>
    </row>
    <row r="2265" hidden="1">
      <c r="A2265" s="221"/>
      <c r="B2265" s="198"/>
      <c r="C2265" s="190"/>
      <c r="D2265" s="190"/>
      <c r="E2265" s="190"/>
      <c r="F2265" s="195">
        <v>453.0</v>
      </c>
      <c r="G2265" s="188" t="str">
        <f>IFERROR(__xludf.DUMMYFUNCTION("TRIM(REGEXREPLACE(C2265, ""[0-9]+[a-f]?\."", """"))"),"")</f>
        <v/>
      </c>
      <c r="H2265" s="188" t="str">
        <f>IFERROR(__xludf.DUMMYFUNCTION("TRIM(REGEXREPLACE(D2265, ""[0-9]+[a-f]?\."", """"))"),"")</f>
        <v/>
      </c>
      <c r="I2265" s="188" t="str">
        <f>IFERROR(__xludf.DUMMYFUNCTION("TRIM(REGEXREPLACE(E2265, ""[0-9]+[a-f]?\."", """"))"),"")</f>
        <v/>
      </c>
      <c r="J2265" s="188" t="str">
        <f t="shared" ref="J2265:L2265" si="249">$F2265 &amp; ". "&amp;G2265</f>
        <v>453. </v>
      </c>
      <c r="K2265" s="188" t="str">
        <f t="shared" si="249"/>
        <v>453. </v>
      </c>
      <c r="L2265" s="188" t="str">
        <f t="shared" si="249"/>
        <v>453. </v>
      </c>
    </row>
    <row r="2266" hidden="1">
      <c r="A2266" s="305"/>
      <c r="B2266" s="224"/>
      <c r="C2266" s="190"/>
      <c r="D2266" s="190"/>
      <c r="E2266" s="190"/>
      <c r="F2266" s="195">
        <v>454.0</v>
      </c>
      <c r="G2266" s="188" t="str">
        <f>IFERROR(__xludf.DUMMYFUNCTION("TRIM(REGEXREPLACE(C2266, ""[0-9]+[a-f]?\."", """"))"),"")</f>
        <v/>
      </c>
      <c r="H2266" s="188" t="str">
        <f>IFERROR(__xludf.DUMMYFUNCTION("TRIM(REGEXREPLACE(D2266, ""[0-9]+[a-f]?\."", """"))"),"")</f>
        <v/>
      </c>
      <c r="I2266" s="188" t="str">
        <f>IFERROR(__xludf.DUMMYFUNCTION("TRIM(REGEXREPLACE(E2266, ""[0-9]+[a-f]?\."", """"))"),"")</f>
        <v/>
      </c>
      <c r="J2266" s="188" t="str">
        <f t="shared" ref="J2266:L2266" si="250">$F2266 &amp; ". "&amp;G2266</f>
        <v>454. </v>
      </c>
      <c r="K2266" s="188" t="str">
        <f t="shared" si="250"/>
        <v>454. </v>
      </c>
      <c r="L2266" s="188" t="str">
        <f t="shared" si="250"/>
        <v>454. </v>
      </c>
    </row>
    <row r="2267" hidden="1">
      <c r="A2267" s="319"/>
      <c r="B2267" s="319"/>
      <c r="C2267" s="190"/>
      <c r="D2267" s="190"/>
      <c r="E2267" s="190"/>
      <c r="F2267" s="195">
        <v>455.0</v>
      </c>
      <c r="G2267" s="188" t="str">
        <f>IFERROR(__xludf.DUMMYFUNCTION("TRIM(REGEXREPLACE(C2267, ""[0-9]+[a-f]?\."", """"))"),"")</f>
        <v/>
      </c>
      <c r="H2267" s="188" t="str">
        <f>IFERROR(__xludf.DUMMYFUNCTION("TRIM(REGEXREPLACE(D2267, ""[0-9]+[a-f]?\."", """"))"),"")</f>
        <v/>
      </c>
      <c r="I2267" s="188" t="str">
        <f>IFERROR(__xludf.DUMMYFUNCTION("TRIM(REGEXREPLACE(E2267, ""[0-9]+[a-f]?\."", """"))"),"")</f>
        <v/>
      </c>
      <c r="J2267" s="188" t="str">
        <f t="shared" ref="J2267:L2267" si="251">$F2267 &amp; ". "&amp;G2267</f>
        <v>455. </v>
      </c>
      <c r="K2267" s="188" t="str">
        <f t="shared" si="251"/>
        <v>455. </v>
      </c>
      <c r="L2267" s="188" t="str">
        <f t="shared" si="251"/>
        <v>455. </v>
      </c>
    </row>
    <row r="2268" hidden="1">
      <c r="A2268" s="221"/>
      <c r="B2268" s="198"/>
      <c r="C2268" s="190"/>
      <c r="D2268" s="190"/>
      <c r="E2268" s="190"/>
      <c r="F2268" s="195">
        <v>456.0</v>
      </c>
      <c r="G2268" s="188" t="str">
        <f>IFERROR(__xludf.DUMMYFUNCTION("TRIM(REGEXREPLACE(C2268, ""[0-9]+[a-f]?\."", """"))"),"")</f>
        <v/>
      </c>
      <c r="H2268" s="188" t="str">
        <f>IFERROR(__xludf.DUMMYFUNCTION("TRIM(REGEXREPLACE(D2268, ""[0-9]+[a-f]?\."", """"))"),"")</f>
        <v/>
      </c>
      <c r="I2268" s="188" t="str">
        <f>IFERROR(__xludf.DUMMYFUNCTION("TRIM(REGEXREPLACE(E2268, ""[0-9]+[a-f]?\."", """"))"),"")</f>
        <v/>
      </c>
      <c r="J2268" s="188" t="str">
        <f t="shared" ref="J2268:L2268" si="252">$F2268 &amp; ". "&amp;G2268</f>
        <v>456. </v>
      </c>
      <c r="K2268" s="188" t="str">
        <f t="shared" si="252"/>
        <v>456. </v>
      </c>
      <c r="L2268" s="188" t="str">
        <f t="shared" si="252"/>
        <v>456. </v>
      </c>
    </row>
    <row r="2269" hidden="1">
      <c r="A2269" s="221"/>
      <c r="B2269" s="198"/>
      <c r="C2269" s="190"/>
      <c r="D2269" s="190"/>
      <c r="E2269" s="190"/>
      <c r="F2269" s="195">
        <v>457.0</v>
      </c>
      <c r="G2269" s="188" t="str">
        <f>IFERROR(__xludf.DUMMYFUNCTION("TRIM(REGEXREPLACE(C2269, ""[0-9]+[a-f]?\."", """"))"),"")</f>
        <v/>
      </c>
      <c r="H2269" s="188" t="str">
        <f>IFERROR(__xludf.DUMMYFUNCTION("TRIM(REGEXREPLACE(D2269, ""[0-9]+[a-f]?\."", """"))"),"")</f>
        <v/>
      </c>
      <c r="I2269" s="188" t="str">
        <f>IFERROR(__xludf.DUMMYFUNCTION("TRIM(REGEXREPLACE(E2269, ""[0-9]+[a-f]?\."", """"))"),"")</f>
        <v/>
      </c>
      <c r="J2269" s="188" t="str">
        <f t="shared" ref="J2269:L2269" si="253">$F2269 &amp; ". "&amp;G2269</f>
        <v>457. </v>
      </c>
      <c r="K2269" s="188" t="str">
        <f t="shared" si="253"/>
        <v>457. </v>
      </c>
      <c r="L2269" s="188" t="str">
        <f t="shared" si="253"/>
        <v>457. </v>
      </c>
    </row>
    <row r="2270" hidden="1">
      <c r="A2270" s="221"/>
      <c r="B2270" s="198"/>
      <c r="C2270" s="190"/>
      <c r="D2270" s="190"/>
      <c r="E2270" s="190"/>
      <c r="F2270" s="195">
        <v>458.0</v>
      </c>
      <c r="G2270" s="188" t="str">
        <f>IFERROR(__xludf.DUMMYFUNCTION("TRIM(REGEXREPLACE(C2270, ""[0-9]+[a-f]?\."", """"))"),"")</f>
        <v/>
      </c>
      <c r="H2270" s="188" t="str">
        <f>IFERROR(__xludf.DUMMYFUNCTION("TRIM(REGEXREPLACE(D2270, ""[0-9]+[a-f]?\."", """"))"),"")</f>
        <v/>
      </c>
      <c r="I2270" s="188" t="str">
        <f>IFERROR(__xludf.DUMMYFUNCTION("TRIM(REGEXREPLACE(E2270, ""[0-9]+[a-f]?\."", """"))"),"")</f>
        <v/>
      </c>
      <c r="J2270" s="188" t="str">
        <f t="shared" ref="J2270:L2270" si="254">$F2270 &amp; ". "&amp;G2270</f>
        <v>458. </v>
      </c>
      <c r="K2270" s="188" t="str">
        <f t="shared" si="254"/>
        <v>458. </v>
      </c>
      <c r="L2270" s="188" t="str">
        <f t="shared" si="254"/>
        <v>458. </v>
      </c>
    </row>
    <row r="2271" hidden="1">
      <c r="A2271" s="221"/>
      <c r="B2271" s="198"/>
      <c r="C2271" s="190"/>
      <c r="D2271" s="190"/>
      <c r="E2271" s="190"/>
      <c r="F2271" s="195">
        <v>459.0</v>
      </c>
      <c r="G2271" s="188" t="str">
        <f>IFERROR(__xludf.DUMMYFUNCTION("TRIM(REGEXREPLACE(C2271, ""[0-9]+[a-f]?\."", """"))"),"")</f>
        <v/>
      </c>
      <c r="H2271" s="188" t="str">
        <f>IFERROR(__xludf.DUMMYFUNCTION("TRIM(REGEXREPLACE(D2271, ""[0-9]+[a-f]?\."", """"))"),"")</f>
        <v/>
      </c>
      <c r="I2271" s="188" t="str">
        <f>IFERROR(__xludf.DUMMYFUNCTION("TRIM(REGEXREPLACE(E2271, ""[0-9]+[a-f]?\."", """"))"),"")</f>
        <v/>
      </c>
      <c r="J2271" s="188" t="str">
        <f t="shared" ref="J2271:L2271" si="255">$F2271 &amp; ". "&amp;G2271</f>
        <v>459. </v>
      </c>
      <c r="K2271" s="188" t="str">
        <f t="shared" si="255"/>
        <v>459. </v>
      </c>
      <c r="L2271" s="188" t="str">
        <f t="shared" si="255"/>
        <v>459. </v>
      </c>
    </row>
    <row r="2272" hidden="1">
      <c r="A2272" s="221"/>
      <c r="B2272" s="198"/>
      <c r="C2272" s="381"/>
      <c r="D2272" s="381"/>
      <c r="E2272" s="381"/>
    </row>
    <row r="2273" hidden="1">
      <c r="A2273" s="221"/>
      <c r="B2273" s="198"/>
      <c r="C2273" s="381"/>
      <c r="D2273" s="381"/>
      <c r="E2273" s="381"/>
    </row>
    <row r="2274" hidden="1">
      <c r="A2274" s="320"/>
      <c r="B2274" s="321"/>
      <c r="C2274" s="321"/>
      <c r="D2274" s="321"/>
      <c r="E2274" s="321"/>
    </row>
    <row r="2275" hidden="1">
      <c r="A2275" s="221"/>
      <c r="B2275" s="198"/>
      <c r="C2275" s="381"/>
      <c r="D2275" s="381"/>
      <c r="E2275" s="381"/>
    </row>
    <row r="2276" hidden="1">
      <c r="A2276" s="221"/>
      <c r="B2276" s="198"/>
      <c r="C2276" s="190"/>
      <c r="D2276" s="190"/>
      <c r="E2276" s="190"/>
      <c r="F2276" s="195">
        <v>460.0</v>
      </c>
      <c r="G2276" s="188" t="str">
        <f>IFERROR(__xludf.DUMMYFUNCTION("TRIM(REGEXREPLACE(C2276, ""[0-9]+[a-f]?\."", """"))"),"")</f>
        <v/>
      </c>
      <c r="H2276" s="188" t="str">
        <f>IFERROR(__xludf.DUMMYFUNCTION("TRIM(REGEXREPLACE(D2276, ""[0-9]+[a-f]?\."", """"))"),"")</f>
        <v/>
      </c>
      <c r="I2276" s="188" t="str">
        <f>IFERROR(__xludf.DUMMYFUNCTION("TRIM(REGEXREPLACE(E2276, ""[0-9]+[a-f]?\."", """"))"),"")</f>
        <v/>
      </c>
      <c r="J2276" s="188" t="str">
        <f t="shared" ref="J2276:L2276" si="256">$F2276 &amp; ". "&amp;G2276</f>
        <v>460. </v>
      </c>
      <c r="K2276" s="188" t="str">
        <f t="shared" si="256"/>
        <v>460. </v>
      </c>
      <c r="L2276" s="188" t="str">
        <f t="shared" si="256"/>
        <v>460. </v>
      </c>
    </row>
    <row r="2277" hidden="1">
      <c r="A2277" s="221"/>
      <c r="B2277" s="198"/>
      <c r="C2277" s="190"/>
      <c r="D2277" s="190"/>
      <c r="E2277" s="190"/>
      <c r="F2277" s="195">
        <v>461.0</v>
      </c>
      <c r="G2277" s="188" t="str">
        <f>IFERROR(__xludf.DUMMYFUNCTION("TRIM(REGEXREPLACE(C2277, ""[0-9]+[a-f]?\."", """"))"),"")</f>
        <v/>
      </c>
      <c r="H2277" s="188" t="str">
        <f>IFERROR(__xludf.DUMMYFUNCTION("TRIM(REGEXREPLACE(D2277, ""[0-9]+[a-f]?\."", """"))"),"")</f>
        <v/>
      </c>
      <c r="I2277" s="188" t="str">
        <f>IFERROR(__xludf.DUMMYFUNCTION("TRIM(REGEXREPLACE(E2277, ""[0-9]+[a-f]?\."", """"))"),"")</f>
        <v/>
      </c>
      <c r="J2277" s="188" t="str">
        <f t="shared" ref="J2277:L2277" si="257">$F2277 &amp; ". "&amp;G2277</f>
        <v>461. </v>
      </c>
      <c r="K2277" s="188" t="str">
        <f t="shared" si="257"/>
        <v>461. </v>
      </c>
      <c r="L2277" s="188" t="str">
        <f t="shared" si="257"/>
        <v>461. </v>
      </c>
    </row>
    <row r="2278" hidden="1">
      <c r="A2278" s="221"/>
      <c r="B2278" s="198"/>
      <c r="C2278" s="190"/>
      <c r="D2278" s="190"/>
      <c r="E2278" s="190"/>
      <c r="F2278" s="195">
        <v>462.0</v>
      </c>
      <c r="G2278" s="188" t="str">
        <f>IFERROR(__xludf.DUMMYFUNCTION("TRIM(REGEXREPLACE(C2278, ""[0-9]+[a-f]?\."", """"))"),"")</f>
        <v/>
      </c>
      <c r="H2278" s="188" t="str">
        <f>IFERROR(__xludf.DUMMYFUNCTION("TRIM(REGEXREPLACE(D2278, ""[0-9]+[a-f]?\."", """"))"),"")</f>
        <v/>
      </c>
      <c r="I2278" s="188" t="str">
        <f>IFERROR(__xludf.DUMMYFUNCTION("TRIM(REGEXREPLACE(E2278, ""[0-9]+[a-f]?\."", """"))"),"")</f>
        <v/>
      </c>
      <c r="J2278" s="188" t="str">
        <f t="shared" ref="J2278:L2278" si="258">$F2278 &amp; ". "&amp;G2278</f>
        <v>462. </v>
      </c>
      <c r="K2278" s="188" t="str">
        <f t="shared" si="258"/>
        <v>462. </v>
      </c>
      <c r="L2278" s="188" t="str">
        <f t="shared" si="258"/>
        <v>462. </v>
      </c>
    </row>
    <row r="2279" hidden="1">
      <c r="A2279" s="221"/>
      <c r="B2279" s="198"/>
      <c r="C2279" s="381"/>
      <c r="D2279" s="381"/>
      <c r="E2279" s="381"/>
    </row>
    <row r="2280" hidden="1">
      <c r="A2280" s="320"/>
      <c r="B2280" s="321"/>
      <c r="C2280" s="190"/>
      <c r="D2280" s="190"/>
      <c r="E2280" s="190"/>
      <c r="F2280" s="195">
        <v>463.0</v>
      </c>
      <c r="G2280" s="188" t="str">
        <f>IFERROR(__xludf.DUMMYFUNCTION("TRIM(REGEXREPLACE(C2280, ""[0-9]+[a-f]?\."", """"))"),"")</f>
        <v/>
      </c>
      <c r="H2280" s="188" t="str">
        <f>IFERROR(__xludf.DUMMYFUNCTION("TRIM(REGEXREPLACE(D2280, ""[0-9]+[a-f]?\."", """"))"),"")</f>
        <v/>
      </c>
      <c r="I2280" s="188" t="str">
        <f>IFERROR(__xludf.DUMMYFUNCTION("TRIM(REGEXREPLACE(E2280, ""[0-9]+[a-f]?\."", """"))"),"")</f>
        <v/>
      </c>
      <c r="J2280" s="188" t="str">
        <f t="shared" ref="J2280:L2280" si="259">$F2280 &amp; ". "&amp;G2280</f>
        <v>463. </v>
      </c>
      <c r="K2280" s="188" t="str">
        <f t="shared" si="259"/>
        <v>463. </v>
      </c>
      <c r="L2280" s="188" t="str">
        <f t="shared" si="259"/>
        <v>463. </v>
      </c>
    </row>
    <row r="2281" hidden="1">
      <c r="A2281" s="310"/>
      <c r="B2281" s="311"/>
      <c r="C2281" s="190"/>
      <c r="D2281" s="190"/>
      <c r="E2281" s="190"/>
      <c r="F2281" s="195">
        <v>464.0</v>
      </c>
      <c r="G2281" s="188" t="str">
        <f>IFERROR(__xludf.DUMMYFUNCTION("TRIM(REGEXREPLACE(C2281, ""[0-9]+[a-f]?\."", """"))"),"")</f>
        <v/>
      </c>
      <c r="H2281" s="188" t="str">
        <f>IFERROR(__xludf.DUMMYFUNCTION("TRIM(REGEXREPLACE(D2281, ""[0-9]+[a-f]?\."", """"))"),"")</f>
        <v/>
      </c>
      <c r="I2281" s="188" t="str">
        <f>IFERROR(__xludf.DUMMYFUNCTION("TRIM(REGEXREPLACE(E2281, ""[0-9]+[a-f]?\."", """"))"),"")</f>
        <v/>
      </c>
      <c r="J2281" s="188" t="str">
        <f t="shared" ref="J2281:L2281" si="260">$F2281 &amp; ". "&amp;G2281</f>
        <v>464. </v>
      </c>
      <c r="K2281" s="188" t="str">
        <f t="shared" si="260"/>
        <v>464. </v>
      </c>
      <c r="L2281" s="188" t="str">
        <f t="shared" si="260"/>
        <v>464. </v>
      </c>
    </row>
    <row r="2282" hidden="1">
      <c r="A2282" s="297"/>
      <c r="B2282" s="298"/>
      <c r="C2282" s="190"/>
      <c r="D2282" s="190"/>
      <c r="E2282" s="190"/>
      <c r="F2282" s="195">
        <v>465.0</v>
      </c>
      <c r="G2282" s="188" t="str">
        <f>IFERROR(__xludf.DUMMYFUNCTION("TRIM(REGEXREPLACE(C2282, ""[0-9]+[a-f]?\."", """"))"),"")</f>
        <v/>
      </c>
      <c r="H2282" s="188" t="str">
        <f>IFERROR(__xludf.DUMMYFUNCTION("TRIM(REGEXREPLACE(D2282, ""[0-9]+[a-f]?\."", """"))"),"")</f>
        <v/>
      </c>
      <c r="I2282" s="188" t="str">
        <f>IFERROR(__xludf.DUMMYFUNCTION("TRIM(REGEXREPLACE(E2282, ""[0-9]+[a-f]?\."", """"))"),"")</f>
        <v/>
      </c>
      <c r="J2282" s="188" t="str">
        <f t="shared" ref="J2282:L2282" si="261">$F2282 &amp; ". "&amp;G2282</f>
        <v>465. </v>
      </c>
      <c r="K2282" s="188" t="str">
        <f t="shared" si="261"/>
        <v>465. </v>
      </c>
      <c r="L2282" s="188" t="str">
        <f t="shared" si="261"/>
        <v>465. </v>
      </c>
    </row>
    <row r="2283" hidden="1">
      <c r="A2283" s="320"/>
      <c r="B2283" s="321"/>
      <c r="C2283" s="321"/>
      <c r="D2283" s="321"/>
      <c r="E2283" s="321"/>
    </row>
    <row r="2284" hidden="1">
      <c r="A2284" s="305"/>
      <c r="B2284" s="223"/>
      <c r="C2284" s="223"/>
      <c r="D2284" s="416"/>
      <c r="E2284" s="416"/>
    </row>
    <row r="2285" hidden="1">
      <c r="A2285" s="221"/>
      <c r="B2285" s="198"/>
      <c r="C2285" s="381"/>
      <c r="D2285" s="381"/>
      <c r="E2285" s="381"/>
    </row>
    <row r="2286" hidden="1">
      <c r="A2286" s="221"/>
      <c r="B2286" s="198"/>
      <c r="C2286" s="309"/>
      <c r="D2286" s="381"/>
      <c r="E2286" s="381"/>
    </row>
    <row r="2287" hidden="1">
      <c r="A2287" s="221"/>
      <c r="B2287" s="198"/>
      <c r="C2287" s="381"/>
      <c r="D2287" s="381"/>
      <c r="E2287" s="381"/>
    </row>
    <row r="2288" hidden="1">
      <c r="A2288" s="299"/>
      <c r="B2288" s="300"/>
      <c r="C2288" s="190"/>
      <c r="D2288" s="190"/>
      <c r="E2288" s="190"/>
      <c r="F2288" s="195">
        <v>466.0</v>
      </c>
      <c r="G2288" s="188" t="str">
        <f>IFERROR(__xludf.DUMMYFUNCTION("TRIM(REGEXREPLACE(C2288, ""[0-9]+[a-f]?\."", """"))"),"")</f>
        <v/>
      </c>
      <c r="H2288" s="188" t="str">
        <f>IFERROR(__xludf.DUMMYFUNCTION("TRIM(REGEXREPLACE(D2288, ""[0-9]+[a-f]?\."", """"))"),"")</f>
        <v/>
      </c>
      <c r="I2288" s="188" t="str">
        <f>IFERROR(__xludf.DUMMYFUNCTION("TRIM(REGEXREPLACE(E2288, ""[0-9]+[a-f]?\."", """"))"),"")</f>
        <v/>
      </c>
      <c r="J2288" s="188" t="str">
        <f t="shared" ref="J2288:L2288" si="262">$F2288 &amp; ". "&amp;G2288</f>
        <v>466. </v>
      </c>
      <c r="K2288" s="188" t="str">
        <f t="shared" si="262"/>
        <v>466. </v>
      </c>
      <c r="L2288" s="188" t="str">
        <f t="shared" si="262"/>
        <v>466. </v>
      </c>
    </row>
    <row r="2289" hidden="1">
      <c r="A2289" s="305"/>
      <c r="B2289" s="224"/>
      <c r="C2289" s="224"/>
      <c r="D2289" s="418"/>
      <c r="E2289" s="418"/>
    </row>
    <row r="2290" hidden="1">
      <c r="A2290" s="221"/>
      <c r="B2290" s="198"/>
      <c r="C2290" s="381"/>
      <c r="D2290" s="381"/>
      <c r="E2290" s="381"/>
    </row>
    <row r="2291" hidden="1">
      <c r="A2291" s="221"/>
      <c r="B2291" s="198"/>
      <c r="C2291" s="381"/>
      <c r="D2291" s="381"/>
      <c r="E2291" s="381"/>
    </row>
    <row r="2292" hidden="1">
      <c r="A2292" s="306"/>
      <c r="B2292" s="307"/>
      <c r="C2292" s="190"/>
      <c r="D2292" s="190"/>
      <c r="E2292" s="190"/>
      <c r="F2292" s="195">
        <v>467.0</v>
      </c>
      <c r="G2292" s="188" t="str">
        <f>IFERROR(__xludf.DUMMYFUNCTION("TRIM(REGEXREPLACE(C2292, ""[0-9]+[a-f]?\."", """"))"),"")</f>
        <v/>
      </c>
      <c r="H2292" s="188" t="str">
        <f>IFERROR(__xludf.DUMMYFUNCTION("TRIM(REGEXREPLACE(D2292, ""[0-9]+[a-f]?\."", """"))"),"")</f>
        <v/>
      </c>
      <c r="I2292" s="188" t="str">
        <f>IFERROR(__xludf.DUMMYFUNCTION("TRIM(REGEXREPLACE(E2292, ""[0-9]+[a-f]?\."", """"))"),"")</f>
        <v/>
      </c>
      <c r="J2292" s="188" t="str">
        <f t="shared" ref="J2292:L2292" si="263">$F2292 &amp; ". "&amp;G2292</f>
        <v>467. </v>
      </c>
      <c r="K2292" s="188" t="str">
        <f t="shared" si="263"/>
        <v>467. </v>
      </c>
      <c r="L2292" s="188" t="str">
        <f t="shared" si="263"/>
        <v>467. </v>
      </c>
    </row>
    <row r="2293" hidden="1">
      <c r="A2293" s="299"/>
      <c r="B2293" s="300"/>
      <c r="C2293" s="190"/>
      <c r="D2293" s="190"/>
      <c r="E2293" s="190"/>
      <c r="F2293" s="195">
        <v>468.0</v>
      </c>
      <c r="G2293" s="188" t="str">
        <f>IFERROR(__xludf.DUMMYFUNCTION("TRIM(REGEXREPLACE(C2293, ""[0-9]+[a-f]?\."", """"))"),"")</f>
        <v/>
      </c>
      <c r="H2293" s="188" t="str">
        <f>IFERROR(__xludf.DUMMYFUNCTION("TRIM(REGEXREPLACE(D2293, ""[0-9]+[a-f]?\."", """"))"),"")</f>
        <v/>
      </c>
      <c r="I2293" s="188" t="str">
        <f>IFERROR(__xludf.DUMMYFUNCTION("TRIM(REGEXREPLACE(E2293, ""[0-9]+[a-f]?\."", """"))"),"")</f>
        <v/>
      </c>
      <c r="J2293" s="188" t="str">
        <f t="shared" ref="J2293:L2293" si="264">$F2293 &amp; ". "&amp;G2293</f>
        <v>468. </v>
      </c>
      <c r="K2293" s="188" t="str">
        <f t="shared" si="264"/>
        <v>468. </v>
      </c>
      <c r="L2293" s="188" t="str">
        <f t="shared" si="264"/>
        <v>468. </v>
      </c>
    </row>
    <row r="2294" hidden="1">
      <c r="A2294" s="221"/>
      <c r="B2294" s="198"/>
      <c r="C2294" s="381"/>
      <c r="D2294" s="381"/>
      <c r="E2294" s="381"/>
    </row>
    <row r="2295" hidden="1">
      <c r="A2295" s="299"/>
      <c r="B2295" s="300"/>
      <c r="C2295" s="190"/>
      <c r="D2295" s="190"/>
      <c r="E2295" s="190"/>
      <c r="F2295" s="195">
        <v>469.0</v>
      </c>
      <c r="G2295" s="188" t="str">
        <f>IFERROR(__xludf.DUMMYFUNCTION("TRIM(REGEXREPLACE(C2295, ""[0-9]+[a-f]?\."", """"))"),"")</f>
        <v/>
      </c>
      <c r="H2295" s="188" t="str">
        <f>IFERROR(__xludf.DUMMYFUNCTION("TRIM(REGEXREPLACE(D2295, ""[0-9]+[a-f]?\."", """"))"),"")</f>
        <v/>
      </c>
      <c r="I2295" s="188" t="str">
        <f>IFERROR(__xludf.DUMMYFUNCTION("TRIM(REGEXREPLACE(E2295, ""[0-9]+[a-f]?\."", """"))"),"")</f>
        <v/>
      </c>
      <c r="J2295" s="188" t="str">
        <f t="shared" ref="J2295:L2295" si="265">$F2295 &amp; ". "&amp;G2295</f>
        <v>469. </v>
      </c>
      <c r="K2295" s="188" t="str">
        <f t="shared" si="265"/>
        <v>469. </v>
      </c>
      <c r="L2295" s="188" t="str">
        <f t="shared" si="265"/>
        <v>469. </v>
      </c>
    </row>
    <row r="2296" hidden="1">
      <c r="A2296" s="221"/>
      <c r="B2296" s="198"/>
      <c r="C2296" s="190"/>
      <c r="D2296" s="190"/>
      <c r="E2296" s="190"/>
      <c r="F2296" s="195">
        <v>470.0</v>
      </c>
      <c r="G2296" s="188" t="str">
        <f>IFERROR(__xludf.DUMMYFUNCTION("TRIM(REGEXREPLACE(C2296, ""[0-9]+[a-f]?\."", """"))"),"")</f>
        <v/>
      </c>
      <c r="H2296" s="188" t="str">
        <f>IFERROR(__xludf.DUMMYFUNCTION("TRIM(REGEXREPLACE(D2296, ""[0-9]+[a-f]?\."", """"))"),"")</f>
        <v/>
      </c>
      <c r="I2296" s="188" t="str">
        <f>IFERROR(__xludf.DUMMYFUNCTION("TRIM(REGEXREPLACE(E2296, ""[0-9]+[a-f]?\."", """"))"),"")</f>
        <v/>
      </c>
      <c r="J2296" s="188" t="str">
        <f t="shared" ref="J2296:L2296" si="266">$F2296 &amp; ". "&amp;G2296</f>
        <v>470. </v>
      </c>
      <c r="K2296" s="188" t="str">
        <f t="shared" si="266"/>
        <v>470. </v>
      </c>
      <c r="L2296" s="188" t="str">
        <f t="shared" si="266"/>
        <v>470. </v>
      </c>
    </row>
    <row r="2297" hidden="1">
      <c r="A2297" s="221"/>
      <c r="B2297" s="198"/>
      <c r="C2297" s="381"/>
      <c r="D2297" s="381"/>
      <c r="E2297" s="381"/>
    </row>
    <row r="2298" hidden="1">
      <c r="A2298" s="305"/>
      <c r="B2298" s="223"/>
      <c r="C2298" s="223"/>
      <c r="D2298" s="223"/>
      <c r="E2298" s="223"/>
    </row>
    <row r="2299" hidden="1">
      <c r="A2299" s="221"/>
      <c r="B2299" s="198"/>
      <c r="C2299" s="381"/>
      <c r="D2299" s="381"/>
      <c r="E2299" s="381"/>
    </row>
    <row r="2300" hidden="1">
      <c r="A2300" s="221"/>
      <c r="B2300" s="198"/>
      <c r="C2300" s="381"/>
      <c r="D2300" s="381"/>
      <c r="E2300" s="381"/>
    </row>
    <row r="2301" hidden="1">
      <c r="A2301" s="305"/>
      <c r="B2301" s="223"/>
      <c r="C2301" s="190"/>
      <c r="D2301" s="190"/>
      <c r="E2301" s="190"/>
      <c r="F2301" s="195">
        <v>471.0</v>
      </c>
      <c r="G2301" s="188" t="str">
        <f>IFERROR(__xludf.DUMMYFUNCTION("TRIM(REGEXREPLACE(C2301, ""[0-9]+[a-f]?\."", """"))"),"")</f>
        <v/>
      </c>
      <c r="H2301" s="188" t="str">
        <f>IFERROR(__xludf.DUMMYFUNCTION("TRIM(REGEXREPLACE(D2301, ""[0-9]+[a-f]?\."", """"))"),"")</f>
        <v/>
      </c>
      <c r="I2301" s="188" t="str">
        <f>IFERROR(__xludf.DUMMYFUNCTION("TRIM(REGEXREPLACE(E2301, ""[0-9]+[a-f]?\."", """"))"),"")</f>
        <v/>
      </c>
      <c r="J2301" s="188" t="str">
        <f t="shared" ref="J2301:L2301" si="267">$F2301 &amp; ". "&amp;G2301</f>
        <v>471. </v>
      </c>
      <c r="K2301" s="188" t="str">
        <f t="shared" si="267"/>
        <v>471. </v>
      </c>
      <c r="L2301" s="188" t="str">
        <f t="shared" si="267"/>
        <v>471. </v>
      </c>
    </row>
    <row r="2302" hidden="1">
      <c r="A2302" s="221"/>
      <c r="B2302" s="198"/>
      <c r="C2302" s="190"/>
      <c r="D2302" s="190"/>
      <c r="E2302" s="190"/>
      <c r="F2302" s="195">
        <v>472.0</v>
      </c>
      <c r="G2302" s="188" t="str">
        <f>IFERROR(__xludf.DUMMYFUNCTION("TRIM(REGEXREPLACE(C2302, ""[0-9]+[a-f]?\."", """"))"),"")</f>
        <v/>
      </c>
      <c r="H2302" s="188" t="str">
        <f>IFERROR(__xludf.DUMMYFUNCTION("TRIM(REGEXREPLACE(D2302, ""[0-9]+[a-f]?\."", """"))"),"")</f>
        <v/>
      </c>
      <c r="I2302" s="188" t="str">
        <f>IFERROR(__xludf.DUMMYFUNCTION("TRIM(REGEXREPLACE(E2302, ""[0-9]+[a-f]?\."", """"))"),"")</f>
        <v/>
      </c>
      <c r="J2302" s="188" t="str">
        <f t="shared" ref="J2302:L2302" si="268">$F2302 &amp; ". "&amp;G2302</f>
        <v>472. </v>
      </c>
      <c r="K2302" s="188" t="str">
        <f t="shared" si="268"/>
        <v>472. </v>
      </c>
      <c r="L2302" s="188" t="str">
        <f t="shared" si="268"/>
        <v>472. </v>
      </c>
    </row>
    <row r="2303" hidden="1">
      <c r="A2303" s="306"/>
      <c r="B2303" s="307"/>
      <c r="C2303" s="190"/>
      <c r="D2303" s="190"/>
      <c r="E2303" s="190"/>
      <c r="F2303" s="195">
        <v>473.0</v>
      </c>
      <c r="G2303" s="188" t="str">
        <f>IFERROR(__xludf.DUMMYFUNCTION("TRIM(REGEXREPLACE(C2303, ""[0-9]+[a-f]?\."", """"))"),"")</f>
        <v/>
      </c>
      <c r="H2303" s="188" t="str">
        <f>IFERROR(__xludf.DUMMYFUNCTION("TRIM(REGEXREPLACE(D2303, ""[0-9]+[a-f]?\."", """"))"),"")</f>
        <v/>
      </c>
      <c r="I2303" s="188" t="str">
        <f>IFERROR(__xludf.DUMMYFUNCTION("TRIM(REGEXREPLACE(E2303, ""[0-9]+[a-f]?\."", """"))"),"")</f>
        <v/>
      </c>
      <c r="J2303" s="188" t="str">
        <f t="shared" ref="J2303:L2303" si="269">$F2303 &amp; ". "&amp;G2303</f>
        <v>473. </v>
      </c>
      <c r="K2303" s="188" t="str">
        <f t="shared" si="269"/>
        <v>473. </v>
      </c>
      <c r="L2303" s="188" t="str">
        <f t="shared" si="269"/>
        <v>473. </v>
      </c>
    </row>
    <row r="2304" hidden="1">
      <c r="A2304" s="221"/>
      <c r="B2304" s="198"/>
      <c r="C2304" s="381"/>
      <c r="D2304" s="381"/>
      <c r="E2304" s="381"/>
    </row>
    <row r="2305" hidden="1">
      <c r="A2305" s="306"/>
      <c r="B2305" s="307"/>
      <c r="C2305" s="190"/>
      <c r="D2305" s="190"/>
      <c r="E2305" s="190"/>
      <c r="F2305" s="195">
        <v>474.0</v>
      </c>
      <c r="G2305" s="188" t="str">
        <f>IFERROR(__xludf.DUMMYFUNCTION("TRIM(REGEXREPLACE(C2305, ""[0-9]+[a-f]?\."", """"))"),"")</f>
        <v/>
      </c>
      <c r="H2305" s="188" t="str">
        <f>IFERROR(__xludf.DUMMYFUNCTION("TRIM(REGEXREPLACE(D2305, ""[0-9]+[a-f]?\."", """"))"),"")</f>
        <v/>
      </c>
      <c r="I2305" s="188" t="str">
        <f>IFERROR(__xludf.DUMMYFUNCTION("TRIM(REGEXREPLACE(E2305, ""[0-9]+[a-f]?\."", """"))"),"")</f>
        <v/>
      </c>
      <c r="J2305" s="188" t="str">
        <f t="shared" ref="J2305:L2305" si="270">$F2305 &amp; ". "&amp;G2305</f>
        <v>474. </v>
      </c>
      <c r="K2305" s="188" t="str">
        <f t="shared" si="270"/>
        <v>474. </v>
      </c>
      <c r="L2305" s="188" t="str">
        <f t="shared" si="270"/>
        <v>474. </v>
      </c>
    </row>
    <row r="2306" hidden="1">
      <c r="A2306" s="305"/>
      <c r="B2306" s="224"/>
      <c r="C2306" s="190"/>
      <c r="D2306" s="190"/>
      <c r="E2306" s="190"/>
      <c r="F2306" s="195">
        <v>475.0</v>
      </c>
      <c r="G2306" s="188" t="str">
        <f>IFERROR(__xludf.DUMMYFUNCTION("TRIM(REGEXREPLACE(C2306, ""[0-9]+[a-f]?\."", """"))"),"")</f>
        <v/>
      </c>
      <c r="H2306" s="188" t="str">
        <f>IFERROR(__xludf.DUMMYFUNCTION("TRIM(REGEXREPLACE(D2306, ""[0-9]+[a-f]?\."", """"))"),"")</f>
        <v/>
      </c>
      <c r="I2306" s="188" t="str">
        <f>IFERROR(__xludf.DUMMYFUNCTION("TRIM(REGEXREPLACE(E2306, ""[0-9]+[a-f]?\."", """"))"),"")</f>
        <v/>
      </c>
      <c r="J2306" s="188" t="str">
        <f t="shared" ref="J2306:L2306" si="271">$F2306 &amp; ". "&amp;G2306</f>
        <v>475. </v>
      </c>
      <c r="K2306" s="188" t="str">
        <f t="shared" si="271"/>
        <v>475. </v>
      </c>
      <c r="L2306" s="188" t="str">
        <f t="shared" si="271"/>
        <v>475. </v>
      </c>
    </row>
    <row r="2307" hidden="1">
      <c r="A2307" s="221"/>
      <c r="B2307" s="198"/>
      <c r="C2307" s="190"/>
      <c r="D2307" s="190"/>
      <c r="E2307" s="190"/>
      <c r="F2307" s="195">
        <v>476.0</v>
      </c>
      <c r="G2307" s="188" t="str">
        <f>IFERROR(__xludf.DUMMYFUNCTION("TRIM(REGEXREPLACE(C2307, ""[0-9]+[a-f]?\."", """"))"),"")</f>
        <v/>
      </c>
      <c r="H2307" s="188" t="str">
        <f>IFERROR(__xludf.DUMMYFUNCTION("TRIM(REGEXREPLACE(D2307, ""[0-9]+[a-f]?\."", """"))"),"")</f>
        <v/>
      </c>
      <c r="I2307" s="188" t="str">
        <f>IFERROR(__xludf.DUMMYFUNCTION("TRIM(REGEXREPLACE(E2307, ""[0-9]+[a-f]?\."", """"))"),"")</f>
        <v/>
      </c>
      <c r="J2307" s="188" t="str">
        <f t="shared" ref="J2307:L2307" si="272">$F2307 &amp; ". "&amp;G2307</f>
        <v>476. </v>
      </c>
      <c r="K2307" s="188" t="str">
        <f t="shared" si="272"/>
        <v>476. </v>
      </c>
      <c r="L2307" s="188" t="str">
        <f t="shared" si="272"/>
        <v>476. </v>
      </c>
    </row>
    <row r="2308" hidden="1">
      <c r="A2308" s="305"/>
      <c r="B2308" s="224"/>
      <c r="C2308" s="224"/>
      <c r="D2308" s="224"/>
      <c r="E2308" s="224"/>
    </row>
    <row r="2309" hidden="1">
      <c r="A2309" s="221"/>
      <c r="B2309" s="198"/>
      <c r="C2309" s="381"/>
      <c r="D2309" s="381"/>
      <c r="E2309" s="381"/>
    </row>
    <row r="2310" hidden="1">
      <c r="A2310" s="221"/>
      <c r="B2310" s="198"/>
      <c r="C2310" s="381"/>
      <c r="D2310" s="381"/>
      <c r="E2310" s="381"/>
    </row>
    <row r="2311" hidden="1">
      <c r="A2311" s="320"/>
      <c r="B2311" s="321"/>
      <c r="C2311" s="321"/>
      <c r="D2311" s="321"/>
      <c r="E2311" s="321"/>
    </row>
    <row r="2312" hidden="1">
      <c r="A2312" s="310"/>
      <c r="B2312" s="311"/>
      <c r="C2312" s="311"/>
      <c r="D2312" s="314"/>
      <c r="E2312" s="314"/>
    </row>
    <row r="2313" hidden="1">
      <c r="A2313" s="221"/>
      <c r="B2313" s="198"/>
      <c r="C2313" s="381"/>
      <c r="D2313" s="381"/>
      <c r="E2313" s="381"/>
    </row>
    <row r="2314" hidden="1">
      <c r="A2314" s="221"/>
      <c r="B2314" s="198"/>
      <c r="C2314" s="190"/>
      <c r="D2314" s="190"/>
      <c r="E2314" s="190"/>
      <c r="F2314" s="195">
        <v>477.0</v>
      </c>
      <c r="G2314" s="188" t="str">
        <f>IFERROR(__xludf.DUMMYFUNCTION("TRIM(REGEXREPLACE(C2314, ""[0-9]+[a-f]?\."", """"))"),"")</f>
        <v/>
      </c>
      <c r="H2314" s="188" t="str">
        <f>IFERROR(__xludf.DUMMYFUNCTION("TRIM(REGEXREPLACE(D2314, ""[0-9]+[a-f]?\."", """"))"),"")</f>
        <v/>
      </c>
      <c r="I2314" s="188" t="str">
        <f>IFERROR(__xludf.DUMMYFUNCTION("TRIM(REGEXREPLACE(E2314, ""[0-9]+[a-f]?\."", """"))"),"")</f>
        <v/>
      </c>
      <c r="J2314" s="188" t="str">
        <f t="shared" ref="J2314:L2314" si="273">$F2314 &amp; ". "&amp;G2314</f>
        <v>477. </v>
      </c>
      <c r="K2314" s="188" t="str">
        <f t="shared" si="273"/>
        <v>477. </v>
      </c>
      <c r="L2314" s="188" t="str">
        <f t="shared" si="273"/>
        <v>477. </v>
      </c>
    </row>
    <row r="2315" hidden="1">
      <c r="A2315" s="221"/>
      <c r="B2315" s="198"/>
      <c r="C2315" s="190"/>
      <c r="D2315" s="190"/>
      <c r="E2315" s="190"/>
      <c r="F2315" s="195">
        <v>478.0</v>
      </c>
      <c r="G2315" s="188" t="str">
        <f>IFERROR(__xludf.DUMMYFUNCTION("TRIM(REGEXREPLACE(C2315, ""[0-9]+[a-f]?\."", """"))"),"")</f>
        <v/>
      </c>
      <c r="H2315" s="188" t="str">
        <f>IFERROR(__xludf.DUMMYFUNCTION("TRIM(REGEXREPLACE(D2315, ""[0-9]+[a-f]?\."", """"))"),"")</f>
        <v/>
      </c>
      <c r="I2315" s="188" t="str">
        <f>IFERROR(__xludf.DUMMYFUNCTION("TRIM(REGEXREPLACE(E2315, ""[0-9]+[a-f]?\."", """"))"),"")</f>
        <v/>
      </c>
      <c r="J2315" s="188" t="str">
        <f t="shared" ref="J2315:L2315" si="274">$F2315 &amp; ". "&amp;G2315</f>
        <v>478. </v>
      </c>
      <c r="K2315" s="188" t="str">
        <f t="shared" si="274"/>
        <v>478. </v>
      </c>
      <c r="L2315" s="188" t="str">
        <f t="shared" si="274"/>
        <v>478. </v>
      </c>
    </row>
    <row r="2316" hidden="1">
      <c r="A2316" s="297"/>
      <c r="B2316" s="298"/>
      <c r="C2316" s="190"/>
      <c r="D2316" s="190"/>
      <c r="E2316" s="190"/>
      <c r="F2316" s="195">
        <v>479.0</v>
      </c>
      <c r="G2316" s="188" t="str">
        <f>IFERROR(__xludf.DUMMYFUNCTION("TRIM(REGEXREPLACE(C2316, ""[0-9]+[a-f]?\."", """"))"),"")</f>
        <v/>
      </c>
      <c r="H2316" s="188" t="str">
        <f>IFERROR(__xludf.DUMMYFUNCTION("TRIM(REGEXREPLACE(D2316, ""[0-9]+[a-f]?\."", """"))"),"")</f>
        <v/>
      </c>
      <c r="I2316" s="188" t="str">
        <f>IFERROR(__xludf.DUMMYFUNCTION("TRIM(REGEXREPLACE(E2316, ""[0-9]+[a-f]?\."", """"))"),"")</f>
        <v/>
      </c>
      <c r="J2316" s="188" t="str">
        <f t="shared" ref="J2316:L2316" si="275">$F2316 &amp; ". "&amp;G2316</f>
        <v>479. </v>
      </c>
      <c r="K2316" s="188" t="str">
        <f t="shared" si="275"/>
        <v>479. </v>
      </c>
      <c r="L2316" s="188" t="str">
        <f t="shared" si="275"/>
        <v>479. </v>
      </c>
    </row>
    <row r="2317" hidden="1">
      <c r="A2317" s="357"/>
      <c r="B2317" s="358"/>
      <c r="C2317" s="190"/>
      <c r="D2317" s="190"/>
      <c r="E2317" s="190"/>
      <c r="F2317" s="195">
        <v>480.0</v>
      </c>
      <c r="G2317" s="188" t="str">
        <f>IFERROR(__xludf.DUMMYFUNCTION("TRIM(REGEXREPLACE(C2317, ""[0-9]+[a-f]?\."", """"))"),"")</f>
        <v/>
      </c>
      <c r="H2317" s="188" t="str">
        <f>IFERROR(__xludf.DUMMYFUNCTION("TRIM(REGEXREPLACE(D2317, ""[0-9]+[a-f]?\."", """"))"),"")</f>
        <v/>
      </c>
      <c r="I2317" s="188" t="str">
        <f>IFERROR(__xludf.DUMMYFUNCTION("TRIM(REGEXREPLACE(E2317, ""[0-9]+[a-f]?\."", """"))"),"")</f>
        <v/>
      </c>
      <c r="J2317" s="188" t="str">
        <f t="shared" ref="J2317:L2317" si="276">$F2317 &amp; ". "&amp;G2317</f>
        <v>480. </v>
      </c>
      <c r="K2317" s="188" t="str">
        <f t="shared" si="276"/>
        <v>480. </v>
      </c>
      <c r="L2317" s="188" t="str">
        <f t="shared" si="276"/>
        <v>480. </v>
      </c>
    </row>
    <row r="2318" hidden="1">
      <c r="A2318" s="357"/>
      <c r="B2318" s="358"/>
      <c r="C2318" s="190"/>
      <c r="D2318" s="190"/>
      <c r="E2318" s="190"/>
      <c r="F2318" s="195">
        <v>481.0</v>
      </c>
      <c r="G2318" s="188" t="str">
        <f>IFERROR(__xludf.DUMMYFUNCTION("TRIM(REGEXREPLACE(C2318, ""[0-9]+[a-f]?\."", """"))"),"")</f>
        <v/>
      </c>
      <c r="H2318" s="188" t="str">
        <f>IFERROR(__xludf.DUMMYFUNCTION("TRIM(REGEXREPLACE(D2318, ""[0-9]+[a-f]?\."", """"))"),"")</f>
        <v/>
      </c>
      <c r="I2318" s="188" t="str">
        <f>IFERROR(__xludf.DUMMYFUNCTION("TRIM(REGEXREPLACE(E2318, ""[0-9]+[a-f]?\."", """"))"),"")</f>
        <v/>
      </c>
      <c r="J2318" s="188" t="str">
        <f t="shared" ref="J2318:L2318" si="277">$F2318 &amp; ". "&amp;G2318</f>
        <v>481. </v>
      </c>
      <c r="K2318" s="188" t="str">
        <f t="shared" si="277"/>
        <v>481. </v>
      </c>
      <c r="L2318" s="188" t="str">
        <f t="shared" si="277"/>
        <v>481. </v>
      </c>
    </row>
    <row r="2319" hidden="1">
      <c r="A2319" s="357"/>
      <c r="B2319" s="358"/>
      <c r="C2319" s="190"/>
      <c r="D2319" s="190"/>
      <c r="E2319" s="190"/>
      <c r="F2319" s="195">
        <v>482.0</v>
      </c>
      <c r="G2319" s="188" t="str">
        <f>IFERROR(__xludf.DUMMYFUNCTION("TRIM(REGEXREPLACE(C2319, ""[0-9]+[a-f]?\."", """"))"),"")</f>
        <v/>
      </c>
      <c r="H2319" s="188" t="str">
        <f>IFERROR(__xludf.DUMMYFUNCTION("TRIM(REGEXREPLACE(D2319, ""[0-9]+[a-f]?\."", """"))"),"")</f>
        <v/>
      </c>
      <c r="I2319" s="188" t="str">
        <f>IFERROR(__xludf.DUMMYFUNCTION("TRIM(REGEXREPLACE(E2319, ""[0-9]+[a-f]?\."", """"))"),"")</f>
        <v/>
      </c>
      <c r="J2319" s="188" t="str">
        <f t="shared" ref="J2319:L2319" si="278">$F2319 &amp; ". "&amp;G2319</f>
        <v>482. </v>
      </c>
      <c r="K2319" s="188" t="str">
        <f t="shared" si="278"/>
        <v>482. </v>
      </c>
      <c r="L2319" s="188" t="str">
        <f t="shared" si="278"/>
        <v>482. </v>
      </c>
    </row>
    <row r="2320" hidden="1">
      <c r="A2320" s="357"/>
      <c r="B2320" s="358"/>
      <c r="C2320" s="190"/>
      <c r="D2320" s="190"/>
      <c r="E2320" s="190"/>
      <c r="F2320" s="195">
        <v>483.0</v>
      </c>
      <c r="G2320" s="188" t="str">
        <f>IFERROR(__xludf.DUMMYFUNCTION("TRIM(REGEXREPLACE(C2320, ""[0-9]+[a-f]?\."", """"))"),"")</f>
        <v/>
      </c>
      <c r="H2320" s="188" t="str">
        <f>IFERROR(__xludf.DUMMYFUNCTION("TRIM(REGEXREPLACE(D2320, ""[0-9]+[a-f]?\."", """"))"),"")</f>
        <v/>
      </c>
      <c r="I2320" s="188" t="str">
        <f>IFERROR(__xludf.DUMMYFUNCTION("TRIM(REGEXREPLACE(E2320, ""[0-9]+[a-f]?\."", """"))"),"")</f>
        <v/>
      </c>
      <c r="J2320" s="188" t="str">
        <f t="shared" ref="J2320:L2320" si="279">$F2320 &amp; ". "&amp;G2320</f>
        <v>483. </v>
      </c>
      <c r="K2320" s="188" t="str">
        <f t="shared" si="279"/>
        <v>483. </v>
      </c>
      <c r="L2320" s="188" t="str">
        <f t="shared" si="279"/>
        <v>483. </v>
      </c>
    </row>
    <row r="2321" hidden="1">
      <c r="A2321" s="357"/>
      <c r="B2321" s="358"/>
      <c r="C2321" s="190"/>
      <c r="D2321" s="190"/>
      <c r="E2321" s="190"/>
      <c r="F2321" s="195">
        <v>484.0</v>
      </c>
      <c r="G2321" s="188" t="str">
        <f>IFERROR(__xludf.DUMMYFUNCTION("TRIM(REGEXREPLACE(C2321, ""[0-9]+[a-f]?\."", """"))"),"")</f>
        <v/>
      </c>
      <c r="H2321" s="188" t="str">
        <f>IFERROR(__xludf.DUMMYFUNCTION("TRIM(REGEXREPLACE(D2321, ""[0-9]+[a-f]?\."", """"))"),"")</f>
        <v/>
      </c>
      <c r="I2321" s="188" t="str">
        <f>IFERROR(__xludf.DUMMYFUNCTION("TRIM(REGEXREPLACE(E2321, ""[0-9]+[a-f]?\."", """"))"),"")</f>
        <v/>
      </c>
      <c r="J2321" s="188" t="str">
        <f t="shared" ref="J2321:L2321" si="280">$F2321 &amp; ". "&amp;G2321</f>
        <v>484. </v>
      </c>
      <c r="K2321" s="188" t="str">
        <f t="shared" si="280"/>
        <v>484. </v>
      </c>
      <c r="L2321" s="188" t="str">
        <f t="shared" si="280"/>
        <v>484. </v>
      </c>
    </row>
    <row r="2322" hidden="1">
      <c r="A2322" s="306"/>
      <c r="B2322" s="307"/>
      <c r="C2322" s="190"/>
      <c r="D2322" s="190"/>
      <c r="E2322" s="190"/>
      <c r="F2322" s="195">
        <v>485.0</v>
      </c>
      <c r="G2322" s="188" t="str">
        <f>IFERROR(__xludf.DUMMYFUNCTION("TRIM(REGEXREPLACE(C2322, ""[0-9]+[a-f]?\."", """"))"),"")</f>
        <v/>
      </c>
      <c r="H2322" s="188" t="str">
        <f>IFERROR(__xludf.DUMMYFUNCTION("TRIM(REGEXREPLACE(D2322, ""[0-9]+[a-f]?\."", """"))"),"")</f>
        <v/>
      </c>
      <c r="I2322" s="188" t="str">
        <f>IFERROR(__xludf.DUMMYFUNCTION("TRIM(REGEXREPLACE(E2322, ""[0-9]+[a-f]?\."", """"))"),"")</f>
        <v/>
      </c>
      <c r="J2322" s="188" t="str">
        <f t="shared" ref="J2322:L2322" si="281">$F2322 &amp; ". "&amp;G2322</f>
        <v>485. </v>
      </c>
      <c r="K2322" s="188" t="str">
        <f t="shared" si="281"/>
        <v>485. </v>
      </c>
      <c r="L2322" s="188" t="str">
        <f t="shared" si="281"/>
        <v>485. </v>
      </c>
    </row>
    <row r="2323" hidden="1">
      <c r="A2323" s="221"/>
      <c r="B2323" s="198"/>
      <c r="C2323" s="190"/>
      <c r="D2323" s="190"/>
      <c r="E2323" s="190"/>
      <c r="F2323" s="195">
        <v>486.0</v>
      </c>
      <c r="G2323" s="188" t="str">
        <f>IFERROR(__xludf.DUMMYFUNCTION("TRIM(REGEXREPLACE(C2323, ""[0-9]+[a-f]?\."", """"))"),"")</f>
        <v/>
      </c>
      <c r="H2323" s="188" t="str">
        <f>IFERROR(__xludf.DUMMYFUNCTION("TRIM(REGEXREPLACE(D2323, ""[0-9]+[a-f]?\."", """"))"),"")</f>
        <v/>
      </c>
      <c r="I2323" s="188" t="str">
        <f>IFERROR(__xludf.DUMMYFUNCTION("TRIM(REGEXREPLACE(E2323, ""[0-9]+[a-f]?\."", """"))"),"")</f>
        <v/>
      </c>
      <c r="J2323" s="188" t="str">
        <f t="shared" ref="J2323:L2323" si="282">$F2323 &amp; ". "&amp;G2323</f>
        <v>486. </v>
      </c>
      <c r="K2323" s="188" t="str">
        <f t="shared" si="282"/>
        <v>486. </v>
      </c>
      <c r="L2323" s="188" t="str">
        <f t="shared" si="282"/>
        <v>486. </v>
      </c>
    </row>
    <row r="2324" hidden="1">
      <c r="A2324" s="221"/>
      <c r="B2324" s="198"/>
      <c r="C2324" s="190"/>
      <c r="D2324" s="190"/>
      <c r="E2324" s="190"/>
      <c r="F2324" s="195">
        <v>487.0</v>
      </c>
      <c r="G2324" s="188" t="str">
        <f>IFERROR(__xludf.DUMMYFUNCTION("TRIM(REGEXREPLACE(C2324, ""[0-9]+[a-f]?\."", """"))"),"")</f>
        <v/>
      </c>
      <c r="H2324" s="188" t="str">
        <f>IFERROR(__xludf.DUMMYFUNCTION("TRIM(REGEXREPLACE(D2324, ""[0-9]+[a-f]?\."", """"))"),"")</f>
        <v/>
      </c>
      <c r="I2324" s="188" t="str">
        <f>IFERROR(__xludf.DUMMYFUNCTION("TRIM(REGEXREPLACE(E2324, ""[0-9]+[a-f]?\."", """"))"),"")</f>
        <v/>
      </c>
      <c r="J2324" s="188" t="str">
        <f t="shared" ref="J2324:L2324" si="283">$F2324 &amp; ". "&amp;G2324</f>
        <v>487. </v>
      </c>
      <c r="K2324" s="188" t="str">
        <f t="shared" si="283"/>
        <v>487. </v>
      </c>
      <c r="L2324" s="188" t="str">
        <f t="shared" si="283"/>
        <v>487. </v>
      </c>
    </row>
    <row r="2325" hidden="1">
      <c r="A2325" s="297"/>
      <c r="B2325" s="298"/>
      <c r="C2325" s="190"/>
      <c r="D2325" s="190"/>
      <c r="E2325" s="190"/>
      <c r="F2325" s="195">
        <v>488.0</v>
      </c>
      <c r="G2325" s="188" t="str">
        <f>IFERROR(__xludf.DUMMYFUNCTION("TRIM(REGEXREPLACE(C2325, ""[0-9]+[a-f]?\."", """"))"),"")</f>
        <v/>
      </c>
      <c r="H2325" s="188" t="str">
        <f>IFERROR(__xludf.DUMMYFUNCTION("TRIM(REGEXREPLACE(D2325, ""[0-9]+[a-f]?\."", """"))"),"")</f>
        <v/>
      </c>
      <c r="I2325" s="188" t="str">
        <f>IFERROR(__xludf.DUMMYFUNCTION("TRIM(REGEXREPLACE(E2325, ""[0-9]+[a-f]?\."", """"))"),"")</f>
        <v/>
      </c>
      <c r="J2325" s="188" t="str">
        <f t="shared" ref="J2325:L2325" si="284">$F2325 &amp; ". "&amp;G2325</f>
        <v>488. </v>
      </c>
      <c r="K2325" s="188" t="str">
        <f t="shared" si="284"/>
        <v>488. </v>
      </c>
      <c r="L2325" s="188" t="str">
        <f t="shared" si="284"/>
        <v>488. </v>
      </c>
    </row>
    <row r="2326" hidden="1">
      <c r="A2326" s="299"/>
      <c r="B2326" s="300"/>
      <c r="C2326" s="190"/>
      <c r="D2326" s="190"/>
      <c r="E2326" s="190"/>
      <c r="F2326" s="195">
        <v>489.0</v>
      </c>
      <c r="G2326" s="188" t="str">
        <f>IFERROR(__xludf.DUMMYFUNCTION("TRIM(REGEXREPLACE(C2326, ""[0-9]+[a-f]?\."", """"))"),"")</f>
        <v/>
      </c>
      <c r="H2326" s="188" t="str">
        <f>IFERROR(__xludf.DUMMYFUNCTION("TRIM(REGEXREPLACE(D2326, ""[0-9]+[a-f]?\."", """"))"),"")</f>
        <v/>
      </c>
      <c r="I2326" s="188" t="str">
        <f>IFERROR(__xludf.DUMMYFUNCTION("TRIM(REGEXREPLACE(E2326, ""[0-9]+[a-f]?\."", """"))"),"")</f>
        <v/>
      </c>
      <c r="J2326" s="188" t="str">
        <f t="shared" ref="J2326:L2326" si="285">$F2326 &amp; ". "&amp;G2326</f>
        <v>489. </v>
      </c>
      <c r="K2326" s="188" t="str">
        <f t="shared" si="285"/>
        <v>489. </v>
      </c>
      <c r="L2326" s="188" t="str">
        <f t="shared" si="285"/>
        <v>489. </v>
      </c>
    </row>
    <row r="2327" hidden="1">
      <c r="A2327" s="301"/>
      <c r="B2327" s="302"/>
      <c r="C2327" s="190"/>
      <c r="D2327" s="190"/>
      <c r="E2327" s="190"/>
      <c r="F2327" s="195">
        <v>490.0</v>
      </c>
      <c r="G2327" s="188" t="str">
        <f>IFERROR(__xludf.DUMMYFUNCTION("TRIM(REGEXREPLACE(C2327, ""[0-9]+[a-f]?\."", """"))"),"")</f>
        <v/>
      </c>
      <c r="H2327" s="188" t="str">
        <f>IFERROR(__xludf.DUMMYFUNCTION("TRIM(REGEXREPLACE(D2327, ""[0-9]+[a-f]?\."", """"))"),"")</f>
        <v/>
      </c>
      <c r="I2327" s="188" t="str">
        <f>IFERROR(__xludf.DUMMYFUNCTION("TRIM(REGEXREPLACE(E2327, ""[0-9]+[a-f]?\."", """"))"),"")</f>
        <v/>
      </c>
      <c r="J2327" s="188" t="str">
        <f t="shared" ref="J2327:L2327" si="286">$F2327 &amp; ". "&amp;G2327</f>
        <v>490. </v>
      </c>
      <c r="K2327" s="188" t="str">
        <f t="shared" si="286"/>
        <v>490. </v>
      </c>
      <c r="L2327" s="188" t="str">
        <f t="shared" si="286"/>
        <v>490. </v>
      </c>
    </row>
    <row r="2328" hidden="1">
      <c r="A2328" s="221"/>
      <c r="B2328" s="198"/>
      <c r="C2328" s="190"/>
      <c r="D2328" s="190"/>
      <c r="E2328" s="190"/>
      <c r="F2328" s="195">
        <v>491.0</v>
      </c>
      <c r="G2328" s="188" t="str">
        <f>IFERROR(__xludf.DUMMYFUNCTION("TRIM(REGEXREPLACE(C2328, ""[0-9]+[a-f]?\."", """"))"),"")</f>
        <v/>
      </c>
      <c r="H2328" s="188" t="str">
        <f>IFERROR(__xludf.DUMMYFUNCTION("TRIM(REGEXREPLACE(D2328, ""[0-9]+[a-f]?\."", """"))"),"")</f>
        <v/>
      </c>
      <c r="I2328" s="188" t="str">
        <f>IFERROR(__xludf.DUMMYFUNCTION("TRIM(REGEXREPLACE(E2328, ""[0-9]+[a-f]?\."", """"))"),"")</f>
        <v/>
      </c>
      <c r="J2328" s="188" t="str">
        <f t="shared" ref="J2328:L2328" si="287">$F2328 &amp; ". "&amp;G2328</f>
        <v>491. </v>
      </c>
      <c r="K2328" s="188" t="str">
        <f t="shared" si="287"/>
        <v>491. </v>
      </c>
      <c r="L2328" s="188" t="str">
        <f t="shared" si="287"/>
        <v>491. </v>
      </c>
    </row>
    <row r="2329" hidden="1">
      <c r="A2329" s="305"/>
      <c r="B2329" s="223"/>
      <c r="C2329" s="190"/>
      <c r="D2329" s="190"/>
      <c r="E2329" s="190"/>
      <c r="F2329" s="195">
        <v>492.0</v>
      </c>
      <c r="G2329" s="188" t="str">
        <f>IFERROR(__xludf.DUMMYFUNCTION("TRIM(REGEXREPLACE(C2329, ""[0-9]+[a-f]?\."", """"))"),"")</f>
        <v/>
      </c>
      <c r="H2329" s="188" t="str">
        <f>IFERROR(__xludf.DUMMYFUNCTION("TRIM(REGEXREPLACE(D2329, ""[0-9]+[a-f]?\."", """"))"),"")</f>
        <v/>
      </c>
      <c r="I2329" s="188" t="str">
        <f>IFERROR(__xludf.DUMMYFUNCTION("TRIM(REGEXREPLACE(E2329, ""[0-9]+[a-f]?\."", """"))"),"")</f>
        <v/>
      </c>
      <c r="J2329" s="188" t="str">
        <f t="shared" ref="J2329:L2329" si="288">$F2329 &amp; ". "&amp;G2329</f>
        <v>492. </v>
      </c>
      <c r="K2329" s="188" t="str">
        <f t="shared" si="288"/>
        <v>492. </v>
      </c>
      <c r="L2329" s="188" t="str">
        <f t="shared" si="288"/>
        <v>492. </v>
      </c>
    </row>
    <row r="2330" hidden="1">
      <c r="A2330" s="221"/>
      <c r="B2330" s="198"/>
      <c r="C2330" s="190"/>
      <c r="D2330" s="190"/>
      <c r="E2330" s="190"/>
      <c r="F2330" s="195">
        <v>493.0</v>
      </c>
      <c r="G2330" s="188" t="str">
        <f>IFERROR(__xludf.DUMMYFUNCTION("TRIM(REGEXREPLACE(C2330, ""[0-9]+[a-f]?\."", """"))"),"")</f>
        <v/>
      </c>
      <c r="H2330" s="188" t="str">
        <f>IFERROR(__xludf.DUMMYFUNCTION("TRIM(REGEXREPLACE(D2330, ""[0-9]+[a-f]?\."", """"))"),"")</f>
        <v/>
      </c>
      <c r="I2330" s="188" t="str">
        <f>IFERROR(__xludf.DUMMYFUNCTION("TRIM(REGEXREPLACE(E2330, ""[0-9]+[a-f]?\."", """"))"),"")</f>
        <v/>
      </c>
      <c r="J2330" s="188" t="str">
        <f t="shared" ref="J2330:L2330" si="289">$F2330 &amp; ". "&amp;G2330</f>
        <v>493. </v>
      </c>
      <c r="K2330" s="188" t="str">
        <f t="shared" si="289"/>
        <v>493. </v>
      </c>
      <c r="L2330" s="188" t="str">
        <f t="shared" si="289"/>
        <v>493. </v>
      </c>
    </row>
    <row r="2331" hidden="1">
      <c r="A2331" s="310"/>
      <c r="B2331" s="311"/>
      <c r="C2331" s="190"/>
      <c r="D2331" s="190"/>
      <c r="E2331" s="190"/>
      <c r="F2331" s="195">
        <v>494.0</v>
      </c>
      <c r="G2331" s="188" t="str">
        <f>IFERROR(__xludf.DUMMYFUNCTION("TRIM(REGEXREPLACE(C2331, ""[0-9]+[a-f]?\."", """"))"),"")</f>
        <v/>
      </c>
      <c r="H2331" s="188" t="str">
        <f>IFERROR(__xludf.DUMMYFUNCTION("TRIM(REGEXREPLACE(D2331, ""[0-9]+[a-f]?\."", """"))"),"")</f>
        <v/>
      </c>
      <c r="I2331" s="188" t="str">
        <f>IFERROR(__xludf.DUMMYFUNCTION("TRIM(REGEXREPLACE(E2331, ""[0-9]+[a-f]?\."", """"))"),"")</f>
        <v/>
      </c>
      <c r="J2331" s="188" t="str">
        <f t="shared" ref="J2331:L2331" si="290">$F2331 &amp; ". "&amp;G2331</f>
        <v>494. </v>
      </c>
      <c r="K2331" s="188" t="str">
        <f t="shared" si="290"/>
        <v>494. </v>
      </c>
      <c r="L2331" s="188" t="str">
        <f t="shared" si="290"/>
        <v>494. </v>
      </c>
    </row>
    <row r="2332" hidden="1">
      <c r="A2332" s="357"/>
      <c r="B2332" s="358"/>
      <c r="C2332" s="190"/>
      <c r="D2332" s="190"/>
      <c r="E2332" s="190"/>
      <c r="F2332" s="195">
        <v>495.0</v>
      </c>
      <c r="G2332" s="188" t="str">
        <f>IFERROR(__xludf.DUMMYFUNCTION("TRIM(REGEXREPLACE(C2332, ""[0-9]+[a-f]?\."", """"))"),"")</f>
        <v/>
      </c>
      <c r="H2332" s="188" t="str">
        <f>IFERROR(__xludf.DUMMYFUNCTION("TRIM(REGEXREPLACE(D2332, ""[0-9]+[a-f]?\."", """"))"),"")</f>
        <v/>
      </c>
      <c r="I2332" s="188" t="str">
        <f>IFERROR(__xludf.DUMMYFUNCTION("TRIM(REGEXREPLACE(E2332, ""[0-9]+[a-f]?\."", """"))"),"")</f>
        <v/>
      </c>
      <c r="J2332" s="188" t="str">
        <f t="shared" ref="J2332:L2332" si="291">$F2332 &amp; ". "&amp;G2332</f>
        <v>495. </v>
      </c>
      <c r="K2332" s="188" t="str">
        <f t="shared" si="291"/>
        <v>495. </v>
      </c>
      <c r="L2332" s="188" t="str">
        <f t="shared" si="291"/>
        <v>495. </v>
      </c>
    </row>
    <row r="2333" hidden="1">
      <c r="A2333" s="299"/>
      <c r="B2333" s="300"/>
      <c r="C2333" s="190"/>
      <c r="D2333" s="190"/>
      <c r="E2333" s="190"/>
      <c r="F2333" s="195">
        <v>496.0</v>
      </c>
      <c r="G2333" s="188" t="str">
        <f>IFERROR(__xludf.DUMMYFUNCTION("TRIM(REGEXREPLACE(C2333, ""[0-9]+[a-f]?\."", """"))"),"")</f>
        <v/>
      </c>
      <c r="H2333" s="188" t="str">
        <f>IFERROR(__xludf.DUMMYFUNCTION("TRIM(REGEXREPLACE(D2333, ""[0-9]+[a-f]?\."", """"))"),"")</f>
        <v/>
      </c>
      <c r="I2333" s="188" t="str">
        <f>IFERROR(__xludf.DUMMYFUNCTION("TRIM(REGEXREPLACE(E2333, ""[0-9]+[a-f]?\."", """"))"),"")</f>
        <v/>
      </c>
      <c r="J2333" s="188" t="str">
        <f t="shared" ref="J2333:L2333" si="292">$F2333 &amp; ". "&amp;G2333</f>
        <v>496. </v>
      </c>
      <c r="K2333" s="188" t="str">
        <f t="shared" si="292"/>
        <v>496. </v>
      </c>
      <c r="L2333" s="188" t="str">
        <f t="shared" si="292"/>
        <v>496. </v>
      </c>
    </row>
    <row r="2334" hidden="1">
      <c r="A2334" s="310"/>
      <c r="B2334" s="315"/>
      <c r="C2334" s="190"/>
      <c r="D2334" s="190"/>
      <c r="E2334" s="190"/>
      <c r="F2334" s="195">
        <v>497.0</v>
      </c>
      <c r="G2334" s="188" t="str">
        <f>IFERROR(__xludf.DUMMYFUNCTION("TRIM(REGEXREPLACE(C2334, ""[0-9]+[a-f]?\."", """"))"),"")</f>
        <v/>
      </c>
      <c r="H2334" s="188" t="str">
        <f>IFERROR(__xludf.DUMMYFUNCTION("TRIM(REGEXREPLACE(D2334, ""[0-9]+[a-f]?\."", """"))"),"")</f>
        <v/>
      </c>
      <c r="I2334" s="188" t="str">
        <f>IFERROR(__xludf.DUMMYFUNCTION("TRIM(REGEXREPLACE(E2334, ""[0-9]+[a-f]?\."", """"))"),"")</f>
        <v/>
      </c>
      <c r="J2334" s="188" t="str">
        <f t="shared" ref="J2334:L2334" si="293">$F2334 &amp; ". "&amp;G2334</f>
        <v>497. </v>
      </c>
      <c r="K2334" s="188" t="str">
        <f t="shared" si="293"/>
        <v>497. </v>
      </c>
      <c r="L2334" s="188" t="str">
        <f t="shared" si="293"/>
        <v>497. </v>
      </c>
    </row>
    <row r="2335" hidden="1">
      <c r="A2335" s="301"/>
      <c r="B2335" s="302"/>
      <c r="C2335" s="190"/>
      <c r="D2335" s="190"/>
      <c r="E2335" s="190"/>
      <c r="F2335" s="195">
        <v>498.0</v>
      </c>
      <c r="G2335" s="188" t="str">
        <f>IFERROR(__xludf.DUMMYFUNCTION("TRIM(REGEXREPLACE(C2335, ""[0-9]+[a-f]?\."", """"))"),"")</f>
        <v/>
      </c>
      <c r="H2335" s="188" t="str">
        <f>IFERROR(__xludf.DUMMYFUNCTION("TRIM(REGEXREPLACE(D2335, ""[0-9]+[a-f]?\."", """"))"),"")</f>
        <v/>
      </c>
      <c r="I2335" s="188" t="str">
        <f>IFERROR(__xludf.DUMMYFUNCTION("TRIM(REGEXREPLACE(E2335, ""[0-9]+[a-f]?\."", """"))"),"")</f>
        <v/>
      </c>
      <c r="J2335" s="188" t="str">
        <f t="shared" ref="J2335:L2335" si="294">$F2335 &amp; ". "&amp;G2335</f>
        <v>498. </v>
      </c>
      <c r="K2335" s="188" t="str">
        <f t="shared" si="294"/>
        <v>498. </v>
      </c>
      <c r="L2335" s="188" t="str">
        <f t="shared" si="294"/>
        <v>498. </v>
      </c>
    </row>
    <row r="2336" hidden="1">
      <c r="A2336" s="221"/>
      <c r="B2336" s="198"/>
      <c r="C2336" s="190"/>
      <c r="D2336" s="190"/>
      <c r="E2336" s="190"/>
      <c r="F2336" s="195">
        <v>499.0</v>
      </c>
      <c r="G2336" s="188" t="str">
        <f>IFERROR(__xludf.DUMMYFUNCTION("TRIM(REGEXREPLACE(C2336, ""[0-9]+[a-f]?\."", """"))"),"")</f>
        <v/>
      </c>
      <c r="H2336" s="188" t="str">
        <f>IFERROR(__xludf.DUMMYFUNCTION("TRIM(REGEXREPLACE(D2336, ""[0-9]+[a-f]?\."", """"))"),"")</f>
        <v/>
      </c>
      <c r="I2336" s="188" t="str">
        <f>IFERROR(__xludf.DUMMYFUNCTION("TRIM(REGEXREPLACE(E2336, ""[0-9]+[a-f]?\."", """"))"),"")</f>
        <v/>
      </c>
      <c r="J2336" s="188" t="str">
        <f t="shared" ref="J2336:L2336" si="295">$F2336 &amp; ". "&amp;G2336</f>
        <v>499. </v>
      </c>
      <c r="K2336" s="188" t="str">
        <f t="shared" si="295"/>
        <v>499. </v>
      </c>
      <c r="L2336" s="188" t="str">
        <f t="shared" si="295"/>
        <v>499. </v>
      </c>
    </row>
    <row r="2337" hidden="1">
      <c r="A2337" s="357"/>
      <c r="B2337" s="358"/>
      <c r="C2337" s="190"/>
      <c r="D2337" s="190"/>
      <c r="E2337" s="190"/>
      <c r="F2337" s="195">
        <v>500.0</v>
      </c>
      <c r="G2337" s="188" t="str">
        <f>IFERROR(__xludf.DUMMYFUNCTION("TRIM(REGEXREPLACE(C2337, ""[0-9]+[a-f]?\."", """"))"),"")</f>
        <v/>
      </c>
      <c r="H2337" s="188" t="str">
        <f>IFERROR(__xludf.DUMMYFUNCTION("TRIM(REGEXREPLACE(D2337, ""[0-9]+[a-f]?\."", """"))"),"")</f>
        <v/>
      </c>
      <c r="I2337" s="188" t="str">
        <f>IFERROR(__xludf.DUMMYFUNCTION("TRIM(REGEXREPLACE(E2337, ""[0-9]+[a-f]?\."", """"))"),"")</f>
        <v/>
      </c>
      <c r="J2337" s="188" t="str">
        <f t="shared" ref="J2337:L2337" si="296">$F2337 &amp; ". "&amp;G2337</f>
        <v>500. </v>
      </c>
      <c r="K2337" s="188" t="str">
        <f t="shared" si="296"/>
        <v>500. </v>
      </c>
      <c r="L2337" s="188" t="str">
        <f t="shared" si="296"/>
        <v>500. </v>
      </c>
    </row>
    <row r="2338" hidden="1">
      <c r="A2338" s="306"/>
      <c r="B2338" s="307"/>
      <c r="C2338" s="190"/>
      <c r="D2338" s="190"/>
      <c r="E2338" s="190"/>
      <c r="F2338" s="195">
        <v>501.0</v>
      </c>
      <c r="G2338" s="188" t="str">
        <f>IFERROR(__xludf.DUMMYFUNCTION("TRIM(REGEXREPLACE(C2338, ""[0-9]+[a-f]?\."", """"))"),"")</f>
        <v/>
      </c>
      <c r="H2338" s="188" t="str">
        <f>IFERROR(__xludf.DUMMYFUNCTION("TRIM(REGEXREPLACE(D2338, ""[0-9]+[a-f]?\."", """"))"),"")</f>
        <v/>
      </c>
      <c r="I2338" s="188" t="str">
        <f>IFERROR(__xludf.DUMMYFUNCTION("TRIM(REGEXREPLACE(E2338, ""[0-9]+[a-f]?\."", """"))"),"")</f>
        <v/>
      </c>
      <c r="J2338" s="188" t="str">
        <f t="shared" ref="J2338:L2338" si="297">$F2338 &amp; ". "&amp;G2338</f>
        <v>501. </v>
      </c>
      <c r="K2338" s="188" t="str">
        <f t="shared" si="297"/>
        <v>501. </v>
      </c>
      <c r="L2338" s="188" t="str">
        <f t="shared" si="297"/>
        <v>501. </v>
      </c>
    </row>
    <row r="2339" hidden="1">
      <c r="A2339" s="357"/>
      <c r="B2339" s="358"/>
      <c r="C2339" s="190"/>
      <c r="D2339" s="190"/>
      <c r="E2339" s="190"/>
      <c r="F2339" s="195">
        <v>502.0</v>
      </c>
      <c r="G2339" s="188" t="str">
        <f>IFERROR(__xludf.DUMMYFUNCTION("TRIM(REGEXREPLACE(C2339, ""[0-9]+[a-f]?\."", """"))"),"")</f>
        <v/>
      </c>
      <c r="H2339" s="188" t="str">
        <f>IFERROR(__xludf.DUMMYFUNCTION("TRIM(REGEXREPLACE(D2339, ""[0-9]+[a-f]?\."", """"))"),"")</f>
        <v/>
      </c>
      <c r="I2339" s="188" t="str">
        <f>IFERROR(__xludf.DUMMYFUNCTION("TRIM(REGEXREPLACE(E2339, ""[0-9]+[a-f]?\."", """"))"),"")</f>
        <v/>
      </c>
      <c r="J2339" s="188" t="str">
        <f t="shared" ref="J2339:L2339" si="298">$F2339 &amp; ". "&amp;G2339</f>
        <v>502. </v>
      </c>
      <c r="K2339" s="188" t="str">
        <f t="shared" si="298"/>
        <v>502. </v>
      </c>
      <c r="L2339" s="188" t="str">
        <f t="shared" si="298"/>
        <v>502. </v>
      </c>
    </row>
    <row r="2340" hidden="1">
      <c r="A2340" s="258"/>
      <c r="B2340" s="259"/>
      <c r="C2340" s="190"/>
      <c r="D2340" s="190"/>
      <c r="E2340" s="190"/>
      <c r="F2340" s="195">
        <v>503.0</v>
      </c>
      <c r="G2340" s="188" t="str">
        <f>IFERROR(__xludf.DUMMYFUNCTION("TRIM(REGEXREPLACE(C2340, ""[0-9]+[a-f]?\."", """"))"),"")</f>
        <v/>
      </c>
      <c r="H2340" s="188" t="str">
        <f>IFERROR(__xludf.DUMMYFUNCTION("TRIM(REGEXREPLACE(D2340, ""[0-9]+[a-f]?\."", """"))"),"")</f>
        <v/>
      </c>
      <c r="I2340" s="188" t="str">
        <f>IFERROR(__xludf.DUMMYFUNCTION("TRIM(REGEXREPLACE(E2340, ""[0-9]+[a-f]?\."", """"))"),"")</f>
        <v/>
      </c>
      <c r="J2340" s="188" t="str">
        <f t="shared" ref="J2340:L2340" si="299">$F2340 &amp; ". "&amp;G2340</f>
        <v>503. </v>
      </c>
      <c r="K2340" s="188" t="str">
        <f t="shared" si="299"/>
        <v>503. </v>
      </c>
      <c r="L2340" s="188" t="str">
        <f t="shared" si="299"/>
        <v>503. </v>
      </c>
    </row>
    <row r="2341" hidden="1">
      <c r="A2341" s="221"/>
      <c r="B2341" s="198"/>
      <c r="C2341" s="190"/>
      <c r="D2341" s="190"/>
      <c r="E2341" s="190"/>
      <c r="F2341" s="195">
        <v>504.0</v>
      </c>
      <c r="G2341" s="188" t="str">
        <f>IFERROR(__xludf.DUMMYFUNCTION("TRIM(REGEXREPLACE(C2341, ""[0-9]+[a-f]?\."", """"))"),"")</f>
        <v/>
      </c>
      <c r="H2341" s="188" t="str">
        <f>IFERROR(__xludf.DUMMYFUNCTION("TRIM(REGEXREPLACE(D2341, ""[0-9]+[a-f]?\."", """"))"),"")</f>
        <v/>
      </c>
      <c r="I2341" s="188" t="str">
        <f>IFERROR(__xludf.DUMMYFUNCTION("TRIM(REGEXREPLACE(E2341, ""[0-9]+[a-f]?\."", """"))"),"")</f>
        <v/>
      </c>
      <c r="J2341" s="188" t="str">
        <f t="shared" ref="J2341:L2341" si="300">$F2341 &amp; ". "&amp;G2341</f>
        <v>504. </v>
      </c>
      <c r="K2341" s="188" t="str">
        <f t="shared" si="300"/>
        <v>504. </v>
      </c>
      <c r="L2341" s="188" t="str">
        <f t="shared" si="300"/>
        <v>504. </v>
      </c>
    </row>
    <row r="2342" hidden="1">
      <c r="A2342" s="297"/>
      <c r="B2342" s="298"/>
      <c r="C2342" s="190"/>
      <c r="D2342" s="190"/>
      <c r="E2342" s="190"/>
      <c r="F2342" s="195">
        <v>505.0</v>
      </c>
      <c r="G2342" s="188" t="str">
        <f>IFERROR(__xludf.DUMMYFUNCTION("TRIM(REGEXREPLACE(C2342, ""[0-9]+[a-f]?\."", """"))"),"")</f>
        <v/>
      </c>
      <c r="H2342" s="188" t="str">
        <f>IFERROR(__xludf.DUMMYFUNCTION("TRIM(REGEXREPLACE(D2342, ""[0-9]+[a-f]?\."", """"))"),"")</f>
        <v/>
      </c>
      <c r="I2342" s="188" t="str">
        <f>IFERROR(__xludf.DUMMYFUNCTION("TRIM(REGEXREPLACE(E2342, ""[0-9]+[a-f]?\."", """"))"),"")</f>
        <v/>
      </c>
      <c r="J2342" s="188" t="str">
        <f t="shared" ref="J2342:L2342" si="301">$F2342 &amp; ". "&amp;G2342</f>
        <v>505. </v>
      </c>
      <c r="K2342" s="188" t="str">
        <f t="shared" si="301"/>
        <v>505. </v>
      </c>
      <c r="L2342" s="188" t="str">
        <f t="shared" si="301"/>
        <v>505. </v>
      </c>
    </row>
    <row r="2343" hidden="1">
      <c r="A2343" s="299"/>
      <c r="B2343" s="300"/>
      <c r="C2343" s="190"/>
      <c r="D2343" s="190"/>
      <c r="E2343" s="190"/>
      <c r="F2343" s="195">
        <v>506.0</v>
      </c>
      <c r="G2343" s="188" t="str">
        <f>IFERROR(__xludf.DUMMYFUNCTION("TRIM(REGEXREPLACE(C2343, ""[0-9]+[a-f]?\."", """"))"),"")</f>
        <v/>
      </c>
      <c r="H2343" s="188" t="str">
        <f>IFERROR(__xludf.DUMMYFUNCTION("TRIM(REGEXREPLACE(D2343, ""[0-9]+[a-f]?\."", """"))"),"")</f>
        <v/>
      </c>
      <c r="I2343" s="188" t="str">
        <f>IFERROR(__xludf.DUMMYFUNCTION("TRIM(REGEXREPLACE(E2343, ""[0-9]+[a-f]?\."", """"))"),"")</f>
        <v/>
      </c>
      <c r="J2343" s="188" t="str">
        <f t="shared" ref="J2343:L2343" si="302">$F2343 &amp; ". "&amp;G2343</f>
        <v>506. </v>
      </c>
      <c r="K2343" s="188" t="str">
        <f t="shared" si="302"/>
        <v>506. </v>
      </c>
      <c r="L2343" s="188" t="str">
        <f t="shared" si="302"/>
        <v>506. </v>
      </c>
    </row>
    <row r="2344" hidden="1">
      <c r="A2344" s="299"/>
      <c r="B2344" s="300"/>
      <c r="C2344" s="190"/>
      <c r="D2344" s="190"/>
      <c r="E2344" s="190"/>
      <c r="F2344" s="195">
        <v>507.0</v>
      </c>
      <c r="G2344" s="188" t="str">
        <f>IFERROR(__xludf.DUMMYFUNCTION("TRIM(REGEXREPLACE(C2344, ""[0-9]+[a-f]?\."", """"))"),"")</f>
        <v/>
      </c>
      <c r="H2344" s="188" t="str">
        <f>IFERROR(__xludf.DUMMYFUNCTION("TRIM(REGEXREPLACE(D2344, ""[0-9]+[a-f]?\."", """"))"),"")</f>
        <v/>
      </c>
      <c r="I2344" s="188" t="str">
        <f>IFERROR(__xludf.DUMMYFUNCTION("TRIM(REGEXREPLACE(E2344, ""[0-9]+[a-f]?\."", """"))"),"")</f>
        <v/>
      </c>
      <c r="J2344" s="188" t="str">
        <f t="shared" ref="J2344:L2344" si="303">$F2344 &amp; ". "&amp;G2344</f>
        <v>507. </v>
      </c>
      <c r="K2344" s="188" t="str">
        <f t="shared" si="303"/>
        <v>507. </v>
      </c>
      <c r="L2344" s="188" t="str">
        <f t="shared" si="303"/>
        <v>507. </v>
      </c>
    </row>
    <row r="2345" hidden="1">
      <c r="A2345" s="221"/>
      <c r="B2345" s="198"/>
      <c r="C2345" s="190"/>
      <c r="D2345" s="190"/>
      <c r="E2345" s="190"/>
      <c r="F2345" s="195">
        <v>508.0</v>
      </c>
      <c r="G2345" s="188" t="str">
        <f>IFERROR(__xludf.DUMMYFUNCTION("TRIM(REGEXREPLACE(C2345, ""[0-9]+[a-f]?\."", """"))"),"")</f>
        <v/>
      </c>
      <c r="H2345" s="188" t="str">
        <f>IFERROR(__xludf.DUMMYFUNCTION("TRIM(REGEXREPLACE(D2345, ""[0-9]+[a-f]?\."", """"))"),"")</f>
        <v/>
      </c>
      <c r="I2345" s="188" t="str">
        <f>IFERROR(__xludf.DUMMYFUNCTION("TRIM(REGEXREPLACE(E2345, ""[0-9]+[a-f]?\."", """"))"),"")</f>
        <v/>
      </c>
      <c r="J2345" s="188" t="str">
        <f t="shared" ref="J2345:L2345" si="304">$F2345 &amp; ". "&amp;G2345</f>
        <v>508. </v>
      </c>
      <c r="K2345" s="188" t="str">
        <f t="shared" si="304"/>
        <v>508. </v>
      </c>
      <c r="L2345" s="188" t="str">
        <f t="shared" si="304"/>
        <v>508. </v>
      </c>
    </row>
    <row r="2346" hidden="1">
      <c r="A2346" s="373"/>
      <c r="B2346" s="224"/>
      <c r="C2346" s="190"/>
      <c r="D2346" s="190"/>
      <c r="E2346" s="190"/>
      <c r="F2346" s="195">
        <v>509.0</v>
      </c>
      <c r="G2346" s="188" t="str">
        <f>IFERROR(__xludf.DUMMYFUNCTION("TRIM(REGEXREPLACE(C2346, ""[0-9]+[a-f]?\."", """"))"),"")</f>
        <v/>
      </c>
      <c r="H2346" s="188" t="str">
        <f>IFERROR(__xludf.DUMMYFUNCTION("TRIM(REGEXREPLACE(D2346, ""[0-9]+[a-f]?\."", """"))"),"")</f>
        <v/>
      </c>
      <c r="I2346" s="188" t="str">
        <f>IFERROR(__xludf.DUMMYFUNCTION("TRIM(REGEXREPLACE(E2346, ""[0-9]+[a-f]?\."", """"))"),"")</f>
        <v/>
      </c>
      <c r="J2346" s="188" t="str">
        <f t="shared" ref="J2346:L2346" si="305">$F2346 &amp; ". "&amp;G2346</f>
        <v>509. </v>
      </c>
      <c r="K2346" s="188" t="str">
        <f t="shared" si="305"/>
        <v>509. </v>
      </c>
      <c r="L2346" s="188" t="str">
        <f t="shared" si="305"/>
        <v>509. </v>
      </c>
    </row>
    <row r="2347" hidden="1">
      <c r="A2347" s="320"/>
      <c r="B2347" s="321"/>
      <c r="C2347" s="190"/>
      <c r="D2347" s="190"/>
      <c r="E2347" s="190"/>
      <c r="F2347" s="195">
        <v>510.0</v>
      </c>
      <c r="G2347" s="188" t="str">
        <f>IFERROR(__xludf.DUMMYFUNCTION("TRIM(REGEXREPLACE(C2347, ""[0-9]+[a-f]?\."", """"))"),"")</f>
        <v/>
      </c>
      <c r="H2347" s="188" t="str">
        <f>IFERROR(__xludf.DUMMYFUNCTION("TRIM(REGEXREPLACE(D2347, ""[0-9]+[a-f]?\."", """"))"),"")</f>
        <v/>
      </c>
      <c r="I2347" s="188" t="str">
        <f>IFERROR(__xludf.DUMMYFUNCTION("TRIM(REGEXREPLACE(E2347, ""[0-9]+[a-f]?\."", """"))"),"")</f>
        <v/>
      </c>
      <c r="J2347" s="188" t="str">
        <f t="shared" ref="J2347:L2347" si="306">$F2347 &amp; ". "&amp;G2347</f>
        <v>510. </v>
      </c>
      <c r="K2347" s="188" t="str">
        <f t="shared" si="306"/>
        <v>510. </v>
      </c>
      <c r="L2347" s="188" t="str">
        <f t="shared" si="306"/>
        <v>510. </v>
      </c>
    </row>
    <row r="2348" hidden="1">
      <c r="A2348" s="310"/>
      <c r="B2348" s="311"/>
      <c r="C2348" s="190"/>
      <c r="D2348" s="190"/>
      <c r="E2348" s="190"/>
      <c r="F2348" s="195">
        <v>511.0</v>
      </c>
      <c r="G2348" s="188" t="str">
        <f>IFERROR(__xludf.DUMMYFUNCTION("TRIM(REGEXREPLACE(C2348, ""[0-9]+[a-f]?\."", """"))"),"")</f>
        <v/>
      </c>
      <c r="H2348" s="188" t="str">
        <f>IFERROR(__xludf.DUMMYFUNCTION("TRIM(REGEXREPLACE(D2348, ""[0-9]+[a-f]?\."", """"))"),"")</f>
        <v/>
      </c>
      <c r="I2348" s="188" t="str">
        <f>IFERROR(__xludf.DUMMYFUNCTION("TRIM(REGEXREPLACE(E2348, ""[0-9]+[a-f]?\."", """"))"),"")</f>
        <v/>
      </c>
      <c r="J2348" s="188" t="str">
        <f t="shared" ref="J2348:L2348" si="307">$F2348 &amp; ". "&amp;G2348</f>
        <v>511. </v>
      </c>
      <c r="K2348" s="188" t="str">
        <f t="shared" si="307"/>
        <v>511. </v>
      </c>
      <c r="L2348" s="188" t="str">
        <f t="shared" si="307"/>
        <v>511. </v>
      </c>
    </row>
    <row r="2349" hidden="1">
      <c r="A2349" s="221"/>
      <c r="B2349" s="198"/>
      <c r="C2349" s="381"/>
      <c r="D2349" s="381"/>
      <c r="E2349" s="381"/>
    </row>
    <row r="2350" hidden="1">
      <c r="A2350" s="221"/>
      <c r="B2350" s="198"/>
      <c r="C2350" s="381"/>
      <c r="D2350" s="381"/>
      <c r="E2350" s="381"/>
    </row>
    <row r="2351" hidden="1">
      <c r="A2351" s="310"/>
      <c r="B2351" s="315"/>
      <c r="C2351" s="315"/>
      <c r="D2351" s="406"/>
      <c r="E2351" s="406"/>
    </row>
    <row r="2352" hidden="1">
      <c r="A2352" s="221"/>
      <c r="B2352" s="198"/>
      <c r="C2352" s="381"/>
      <c r="D2352" s="381"/>
      <c r="E2352" s="381"/>
    </row>
    <row r="2353" hidden="1">
      <c r="A2353" s="310"/>
      <c r="B2353" s="311"/>
      <c r="C2353" s="311"/>
      <c r="D2353" s="311"/>
      <c r="E2353" s="311"/>
    </row>
    <row r="2354" hidden="1">
      <c r="A2354" s="297"/>
      <c r="B2354" s="298"/>
      <c r="C2354" s="190"/>
      <c r="D2354" s="190"/>
      <c r="E2354" s="190"/>
      <c r="F2354" s="195">
        <v>512.0</v>
      </c>
      <c r="G2354" s="188" t="str">
        <f>IFERROR(__xludf.DUMMYFUNCTION("TRIM(REGEXREPLACE(C2354, ""[0-9]+[a-f]?\."", """"))"),"")</f>
        <v/>
      </c>
      <c r="H2354" s="188" t="str">
        <f>IFERROR(__xludf.DUMMYFUNCTION("TRIM(REGEXREPLACE(D2354, ""[0-9]+[a-f]?\."", """"))"),"")</f>
        <v/>
      </c>
      <c r="I2354" s="188" t="str">
        <f>IFERROR(__xludf.DUMMYFUNCTION("TRIM(REGEXREPLACE(E2354, ""[0-9]+[a-f]?\."", """"))"),"")</f>
        <v/>
      </c>
      <c r="J2354" s="188" t="str">
        <f t="shared" ref="J2354:L2354" si="308">$F2354 &amp; ". "&amp;G2354</f>
        <v>512. </v>
      </c>
      <c r="K2354" s="188" t="str">
        <f t="shared" si="308"/>
        <v>512. </v>
      </c>
      <c r="L2354" s="188" t="str">
        <f t="shared" si="308"/>
        <v>512. </v>
      </c>
    </row>
    <row r="2355" hidden="1">
      <c r="A2355" s="306"/>
      <c r="B2355" s="307"/>
      <c r="C2355" s="190"/>
      <c r="D2355" s="190"/>
      <c r="E2355" s="190"/>
      <c r="F2355" s="195">
        <v>513.0</v>
      </c>
      <c r="G2355" s="188" t="str">
        <f>IFERROR(__xludf.DUMMYFUNCTION("TRIM(REGEXREPLACE(C2355, ""[0-9]+[a-f]?\."", """"))"),"")</f>
        <v/>
      </c>
      <c r="H2355" s="188" t="str">
        <f>IFERROR(__xludf.DUMMYFUNCTION("TRIM(REGEXREPLACE(D2355, ""[0-9]+[a-f]?\."", """"))"),"")</f>
        <v/>
      </c>
      <c r="I2355" s="188" t="str">
        <f>IFERROR(__xludf.DUMMYFUNCTION("TRIM(REGEXREPLACE(E2355, ""[0-9]+[a-f]?\."", """"))"),"")</f>
        <v/>
      </c>
      <c r="J2355" s="188" t="str">
        <f t="shared" ref="J2355:L2355" si="309">$F2355 &amp; ". "&amp;G2355</f>
        <v>513. </v>
      </c>
      <c r="K2355" s="188" t="str">
        <f t="shared" si="309"/>
        <v>513. </v>
      </c>
      <c r="L2355" s="188" t="str">
        <f t="shared" si="309"/>
        <v>513. </v>
      </c>
    </row>
    <row r="2356" hidden="1">
      <c r="A2356" s="306"/>
      <c r="B2356" s="307"/>
      <c r="C2356" s="190"/>
      <c r="D2356" s="190"/>
      <c r="E2356" s="190"/>
      <c r="F2356" s="195">
        <v>514.0</v>
      </c>
      <c r="G2356" s="188" t="str">
        <f>IFERROR(__xludf.DUMMYFUNCTION("TRIM(REGEXREPLACE(C2356, ""[0-9]+[a-f]?\."", """"))"),"")</f>
        <v/>
      </c>
      <c r="H2356" s="188" t="str">
        <f>IFERROR(__xludf.DUMMYFUNCTION("TRIM(REGEXREPLACE(D2356, ""[0-9]+[a-f]?\."", """"))"),"")</f>
        <v/>
      </c>
      <c r="I2356" s="188" t="str">
        <f>IFERROR(__xludf.DUMMYFUNCTION("TRIM(REGEXREPLACE(E2356, ""[0-9]+[a-f]?\."", """"))"),"")</f>
        <v/>
      </c>
      <c r="J2356" s="188" t="str">
        <f t="shared" ref="J2356:L2356" si="310">$F2356 &amp; ". "&amp;G2356</f>
        <v>514. </v>
      </c>
      <c r="K2356" s="188" t="str">
        <f t="shared" si="310"/>
        <v>514. </v>
      </c>
      <c r="L2356" s="188" t="str">
        <f t="shared" si="310"/>
        <v>514. </v>
      </c>
    </row>
    <row r="2357" hidden="1">
      <c r="A2357" s="306"/>
      <c r="B2357" s="307"/>
      <c r="C2357" s="190"/>
      <c r="D2357" s="190"/>
      <c r="E2357" s="190"/>
      <c r="F2357" s="195">
        <v>515.0</v>
      </c>
      <c r="G2357" s="188" t="str">
        <f>IFERROR(__xludf.DUMMYFUNCTION("TRIM(REGEXREPLACE(C2357, ""[0-9]+[a-f]?\."", """"))"),"")</f>
        <v/>
      </c>
      <c r="H2357" s="188" t="str">
        <f>IFERROR(__xludf.DUMMYFUNCTION("TRIM(REGEXREPLACE(D2357, ""[0-9]+[a-f]?\."", """"))"),"")</f>
        <v/>
      </c>
      <c r="I2357" s="188" t="str">
        <f>IFERROR(__xludf.DUMMYFUNCTION("TRIM(REGEXREPLACE(E2357, ""[0-9]+[a-f]?\."", """"))"),"")</f>
        <v/>
      </c>
      <c r="J2357" s="188" t="str">
        <f t="shared" ref="J2357:L2357" si="311">$F2357 &amp; ". "&amp;G2357</f>
        <v>515. </v>
      </c>
      <c r="K2357" s="188" t="str">
        <f t="shared" si="311"/>
        <v>515. </v>
      </c>
      <c r="L2357" s="188" t="str">
        <f t="shared" si="311"/>
        <v>515. </v>
      </c>
    </row>
    <row r="2358" hidden="1">
      <c r="A2358" s="306"/>
      <c r="B2358" s="307"/>
      <c r="C2358" s="190"/>
      <c r="D2358" s="190"/>
      <c r="E2358" s="190"/>
      <c r="F2358" s="195">
        <v>516.0</v>
      </c>
      <c r="G2358" s="188" t="str">
        <f>IFERROR(__xludf.DUMMYFUNCTION("TRIM(REGEXREPLACE(C2358, ""[0-9]+[a-f]?\."", """"))"),"")</f>
        <v/>
      </c>
      <c r="H2358" s="188" t="str">
        <f>IFERROR(__xludf.DUMMYFUNCTION("TRIM(REGEXREPLACE(D2358, ""[0-9]+[a-f]?\."", """"))"),"")</f>
        <v/>
      </c>
      <c r="I2358" s="188" t="str">
        <f>IFERROR(__xludf.DUMMYFUNCTION("TRIM(REGEXREPLACE(E2358, ""[0-9]+[a-f]?\."", """"))"),"")</f>
        <v/>
      </c>
      <c r="J2358" s="188" t="str">
        <f t="shared" ref="J2358:L2358" si="312">$F2358 &amp; ". "&amp;G2358</f>
        <v>516. </v>
      </c>
      <c r="K2358" s="188" t="str">
        <f t="shared" si="312"/>
        <v>516. </v>
      </c>
      <c r="L2358" s="188" t="str">
        <f t="shared" si="312"/>
        <v>516. </v>
      </c>
    </row>
    <row r="2359" hidden="1">
      <c r="A2359" s="310"/>
      <c r="B2359" s="315"/>
      <c r="C2359" s="190"/>
      <c r="D2359" s="190"/>
      <c r="E2359" s="190"/>
      <c r="F2359" s="195">
        <v>517.0</v>
      </c>
      <c r="G2359" s="188" t="str">
        <f>IFERROR(__xludf.DUMMYFUNCTION("TRIM(REGEXREPLACE(C2359, ""[0-9]+[a-f]?\."", """"))"),"")</f>
        <v/>
      </c>
      <c r="H2359" s="188" t="str">
        <f>IFERROR(__xludf.DUMMYFUNCTION("TRIM(REGEXREPLACE(D2359, ""[0-9]+[a-f]?\."", """"))"),"")</f>
        <v/>
      </c>
      <c r="I2359" s="188" t="str">
        <f>IFERROR(__xludf.DUMMYFUNCTION("TRIM(REGEXREPLACE(E2359, ""[0-9]+[a-f]?\."", """"))"),"")</f>
        <v/>
      </c>
      <c r="J2359" s="188" t="str">
        <f t="shared" ref="J2359:L2359" si="313">$F2359 &amp; ". "&amp;G2359</f>
        <v>517. </v>
      </c>
      <c r="K2359" s="188" t="str">
        <f t="shared" si="313"/>
        <v>517. </v>
      </c>
      <c r="L2359" s="188" t="str">
        <f t="shared" si="313"/>
        <v>517. </v>
      </c>
    </row>
    <row r="2360" hidden="1">
      <c r="A2360" s="310"/>
      <c r="B2360" s="315"/>
      <c r="C2360" s="315"/>
      <c r="D2360" s="315"/>
      <c r="E2360" s="315"/>
    </row>
    <row r="2361" hidden="1">
      <c r="A2361" s="221"/>
      <c r="B2361" s="198"/>
      <c r="C2361" s="190"/>
      <c r="D2361" s="190"/>
      <c r="E2361" s="190"/>
      <c r="F2361" s="195">
        <v>518.0</v>
      </c>
      <c r="G2361" s="188" t="str">
        <f>IFERROR(__xludf.DUMMYFUNCTION("TRIM(REGEXREPLACE(C2361, ""[0-9]+[a-f]?\."", """"))"),"")</f>
        <v/>
      </c>
      <c r="H2361" s="188" t="str">
        <f>IFERROR(__xludf.DUMMYFUNCTION("TRIM(REGEXREPLACE(D2361, ""[0-9]+[a-f]?\."", """"))"),"")</f>
        <v/>
      </c>
      <c r="I2361" s="188" t="str">
        <f>IFERROR(__xludf.DUMMYFUNCTION("TRIM(REGEXREPLACE(E2361, ""[0-9]+[a-f]?\."", """"))"),"")</f>
        <v/>
      </c>
      <c r="J2361" s="188" t="str">
        <f t="shared" ref="J2361:L2361" si="314">$F2361 &amp; ". "&amp;G2361</f>
        <v>518. </v>
      </c>
      <c r="K2361" s="188" t="str">
        <f t="shared" si="314"/>
        <v>518. </v>
      </c>
      <c r="L2361" s="188" t="str">
        <f t="shared" si="314"/>
        <v>518. </v>
      </c>
    </row>
    <row r="2362" hidden="1">
      <c r="A2362" s="221"/>
      <c r="B2362" s="198"/>
      <c r="C2362" s="190"/>
      <c r="D2362" s="190"/>
      <c r="E2362" s="190"/>
      <c r="F2362" s="195">
        <v>519.0</v>
      </c>
      <c r="G2362" s="188" t="str">
        <f>IFERROR(__xludf.DUMMYFUNCTION("TRIM(REGEXREPLACE(C2362, ""[0-9]+[a-f]?\."", """"))"),"")</f>
        <v/>
      </c>
      <c r="H2362" s="188" t="str">
        <f>IFERROR(__xludf.DUMMYFUNCTION("TRIM(REGEXREPLACE(D2362, ""[0-9]+[a-f]?\."", """"))"),"")</f>
        <v/>
      </c>
      <c r="I2362" s="188" t="str">
        <f>IFERROR(__xludf.DUMMYFUNCTION("TRIM(REGEXREPLACE(E2362, ""[0-9]+[a-f]?\."", """"))"),"")</f>
        <v/>
      </c>
      <c r="J2362" s="188" t="str">
        <f t="shared" ref="J2362:L2362" si="315">$F2362 &amp; ". "&amp;G2362</f>
        <v>519. </v>
      </c>
      <c r="K2362" s="188" t="str">
        <f t="shared" si="315"/>
        <v>519. </v>
      </c>
      <c r="L2362" s="188" t="str">
        <f t="shared" si="315"/>
        <v>519. </v>
      </c>
    </row>
    <row r="2363" hidden="1">
      <c r="A2363" s="320"/>
      <c r="B2363" s="321"/>
      <c r="C2363" s="190"/>
      <c r="D2363" s="190"/>
      <c r="E2363" s="190"/>
      <c r="F2363" s="195">
        <v>520.0</v>
      </c>
      <c r="G2363" s="188" t="str">
        <f>IFERROR(__xludf.DUMMYFUNCTION("TRIM(REGEXREPLACE(C2363, ""[0-9]+[a-f]?\."", """"))"),"")</f>
        <v/>
      </c>
      <c r="H2363" s="188" t="str">
        <f>IFERROR(__xludf.DUMMYFUNCTION("TRIM(REGEXREPLACE(D2363, ""[0-9]+[a-f]?\."", """"))"),"")</f>
        <v/>
      </c>
      <c r="I2363" s="188" t="str">
        <f>IFERROR(__xludf.DUMMYFUNCTION("TRIM(REGEXREPLACE(E2363, ""[0-9]+[a-f]?\."", """"))"),"")</f>
        <v/>
      </c>
      <c r="J2363" s="188" t="str">
        <f t="shared" ref="J2363:L2363" si="316">$F2363 &amp; ". "&amp;G2363</f>
        <v>520. </v>
      </c>
      <c r="K2363" s="188" t="str">
        <f t="shared" si="316"/>
        <v>520. </v>
      </c>
      <c r="L2363" s="188" t="str">
        <f t="shared" si="316"/>
        <v>520. </v>
      </c>
    </row>
    <row r="2364" hidden="1">
      <c r="A2364" s="221"/>
      <c r="B2364" s="198"/>
      <c r="C2364" s="190"/>
      <c r="D2364" s="190"/>
      <c r="E2364" s="190"/>
      <c r="F2364" s="195">
        <v>521.0</v>
      </c>
      <c r="G2364" s="188" t="str">
        <f>IFERROR(__xludf.DUMMYFUNCTION("TRIM(REGEXREPLACE(C2364, ""[0-9]+[a-f]?\."", """"))"),"")</f>
        <v/>
      </c>
      <c r="H2364" s="188" t="str">
        <f>IFERROR(__xludf.DUMMYFUNCTION("TRIM(REGEXREPLACE(D2364, ""[0-9]+[a-f]?\."", """"))"),"")</f>
        <v/>
      </c>
      <c r="I2364" s="188" t="str">
        <f>IFERROR(__xludf.DUMMYFUNCTION("TRIM(REGEXREPLACE(E2364, ""[0-9]+[a-f]?\."", """"))"),"")</f>
        <v/>
      </c>
      <c r="J2364" s="188" t="str">
        <f t="shared" ref="J2364:L2364" si="317">$F2364 &amp; ". "&amp;G2364</f>
        <v>521. </v>
      </c>
      <c r="K2364" s="188" t="str">
        <f t="shared" si="317"/>
        <v>521. </v>
      </c>
      <c r="L2364" s="188" t="str">
        <f t="shared" si="317"/>
        <v>521. </v>
      </c>
    </row>
    <row r="2365" hidden="1">
      <c r="A2365" s="297"/>
      <c r="B2365" s="298"/>
      <c r="C2365" s="190"/>
      <c r="D2365" s="190"/>
      <c r="E2365" s="190"/>
      <c r="F2365" s="195">
        <v>522.0</v>
      </c>
      <c r="G2365" s="188" t="str">
        <f>IFERROR(__xludf.DUMMYFUNCTION("TRIM(REGEXREPLACE(C2365, ""[0-9]+[a-f]?\."", """"))"),"")</f>
        <v/>
      </c>
      <c r="H2365" s="188" t="str">
        <f>IFERROR(__xludf.DUMMYFUNCTION("TRIM(REGEXREPLACE(D2365, ""[0-9]+[a-f]?\."", """"))"),"")</f>
        <v/>
      </c>
      <c r="I2365" s="188" t="str">
        <f>IFERROR(__xludf.DUMMYFUNCTION("TRIM(REGEXREPLACE(E2365, ""[0-9]+[a-f]?\."", """"))"),"")</f>
        <v/>
      </c>
      <c r="J2365" s="188" t="str">
        <f t="shared" ref="J2365:L2365" si="318">$F2365 &amp; ". "&amp;G2365</f>
        <v>522. </v>
      </c>
      <c r="K2365" s="188" t="str">
        <f t="shared" si="318"/>
        <v>522. </v>
      </c>
      <c r="L2365" s="188" t="str">
        <f t="shared" si="318"/>
        <v>522. </v>
      </c>
    </row>
    <row r="2366" hidden="1">
      <c r="A2366" s="306"/>
      <c r="B2366" s="307"/>
      <c r="C2366" s="190"/>
      <c r="D2366" s="190"/>
      <c r="E2366" s="190"/>
      <c r="F2366" s="195">
        <v>523.0</v>
      </c>
      <c r="G2366" s="188" t="str">
        <f>IFERROR(__xludf.DUMMYFUNCTION("TRIM(REGEXREPLACE(C2366, ""[0-9]+[a-f]?\."", """"))"),"")</f>
        <v/>
      </c>
      <c r="H2366" s="188" t="str">
        <f>IFERROR(__xludf.DUMMYFUNCTION("TRIM(REGEXREPLACE(D2366, ""[0-9]+[a-f]?\."", """"))"),"")</f>
        <v/>
      </c>
      <c r="I2366" s="188" t="str">
        <f>IFERROR(__xludf.DUMMYFUNCTION("TRIM(REGEXREPLACE(E2366, ""[0-9]+[a-f]?\."", """"))"),"")</f>
        <v/>
      </c>
      <c r="J2366" s="188" t="str">
        <f t="shared" ref="J2366:L2366" si="319">$F2366 &amp; ". "&amp;G2366</f>
        <v>523. </v>
      </c>
      <c r="K2366" s="188" t="str">
        <f t="shared" si="319"/>
        <v>523. </v>
      </c>
      <c r="L2366" s="188" t="str">
        <f t="shared" si="319"/>
        <v>523. </v>
      </c>
    </row>
    <row r="2367" hidden="1">
      <c r="A2367" s="221"/>
      <c r="B2367" s="198"/>
      <c r="C2367" s="381"/>
      <c r="D2367" s="381"/>
      <c r="E2367" s="381"/>
    </row>
    <row r="2368" hidden="1">
      <c r="A2368" s="221"/>
      <c r="B2368" s="198"/>
      <c r="C2368" s="381"/>
      <c r="D2368" s="381"/>
      <c r="E2368" s="381"/>
    </row>
    <row r="2369" hidden="1">
      <c r="A2369" s="221"/>
      <c r="B2369" s="198"/>
      <c r="C2369" s="381"/>
      <c r="D2369" s="381"/>
      <c r="E2369" s="381"/>
    </row>
    <row r="2370" hidden="1">
      <c r="A2370" s="306"/>
      <c r="B2370" s="307"/>
      <c r="C2370" s="190"/>
      <c r="D2370" s="190"/>
      <c r="E2370" s="190"/>
      <c r="F2370" s="195">
        <v>524.0</v>
      </c>
      <c r="G2370" s="188" t="str">
        <f>IFERROR(__xludf.DUMMYFUNCTION("TRIM(REGEXREPLACE(C2370, ""[0-9]+[a-f]?\."", """"))"),"")</f>
        <v/>
      </c>
      <c r="H2370" s="188" t="str">
        <f>IFERROR(__xludf.DUMMYFUNCTION("TRIM(REGEXREPLACE(D2370, ""[0-9]+[a-f]?\."", """"))"),"")</f>
        <v/>
      </c>
      <c r="I2370" s="188" t="str">
        <f>IFERROR(__xludf.DUMMYFUNCTION("TRIM(REGEXREPLACE(E2370, ""[0-9]+[a-f]?\."", """"))"),"")</f>
        <v/>
      </c>
      <c r="J2370" s="188" t="str">
        <f t="shared" ref="J2370:L2370" si="320">$F2370 &amp; ". "&amp;G2370</f>
        <v>524. </v>
      </c>
      <c r="K2370" s="188" t="str">
        <f t="shared" si="320"/>
        <v>524. </v>
      </c>
      <c r="L2370" s="188" t="str">
        <f t="shared" si="320"/>
        <v>524. </v>
      </c>
    </row>
    <row r="2371" hidden="1">
      <c r="A2371" s="306"/>
      <c r="B2371" s="380"/>
      <c r="C2371" s="190"/>
      <c r="D2371" s="190"/>
      <c r="E2371" s="190"/>
      <c r="F2371" s="195">
        <v>525.0</v>
      </c>
      <c r="G2371" s="188" t="str">
        <f>IFERROR(__xludf.DUMMYFUNCTION("TRIM(REGEXREPLACE(C2371, ""[0-9]+[a-f]?\."", """"))"),"")</f>
        <v/>
      </c>
      <c r="H2371" s="188" t="str">
        <f>IFERROR(__xludf.DUMMYFUNCTION("TRIM(REGEXREPLACE(D2371, ""[0-9]+[a-f]?\."", """"))"),"")</f>
        <v/>
      </c>
      <c r="I2371" s="188" t="str">
        <f>IFERROR(__xludf.DUMMYFUNCTION("TRIM(REGEXREPLACE(E2371, ""[0-9]+[a-f]?\."", """"))"),"")</f>
        <v/>
      </c>
      <c r="J2371" s="188" t="str">
        <f t="shared" ref="J2371:L2371" si="321">$F2371 &amp; ". "&amp;G2371</f>
        <v>525. </v>
      </c>
      <c r="K2371" s="188" t="str">
        <f t="shared" si="321"/>
        <v>525. </v>
      </c>
      <c r="L2371" s="188" t="str">
        <f t="shared" si="321"/>
        <v>525. </v>
      </c>
    </row>
    <row r="2372" hidden="1">
      <c r="A2372" s="305"/>
      <c r="B2372" s="223"/>
      <c r="C2372" s="190"/>
      <c r="D2372" s="190"/>
      <c r="E2372" s="190"/>
      <c r="F2372" s="195">
        <v>526.0</v>
      </c>
      <c r="G2372" s="188" t="str">
        <f>IFERROR(__xludf.DUMMYFUNCTION("TRIM(REGEXREPLACE(C2372, ""[0-9]+[a-f]?\."", """"))"),"")</f>
        <v/>
      </c>
      <c r="H2372" s="188" t="str">
        <f>IFERROR(__xludf.DUMMYFUNCTION("TRIM(REGEXREPLACE(D2372, ""[0-9]+[a-f]?\."", """"))"),"")</f>
        <v/>
      </c>
      <c r="I2372" s="188" t="str">
        <f>IFERROR(__xludf.DUMMYFUNCTION("TRIM(REGEXREPLACE(E2372, ""[0-9]+[a-f]?\."", """"))"),"")</f>
        <v/>
      </c>
      <c r="J2372" s="188" t="str">
        <f t="shared" ref="J2372:L2372" si="322">$F2372 &amp; ". "&amp;G2372</f>
        <v>526. </v>
      </c>
      <c r="K2372" s="188" t="str">
        <f t="shared" si="322"/>
        <v>526. </v>
      </c>
      <c r="L2372" s="188" t="str">
        <f t="shared" si="322"/>
        <v>526. </v>
      </c>
    </row>
    <row r="2373" hidden="1">
      <c r="A2373" s="305"/>
      <c r="B2373" s="223"/>
      <c r="C2373" s="223"/>
      <c r="D2373" s="223"/>
      <c r="E2373" s="223"/>
    </row>
    <row r="2374" hidden="1">
      <c r="A2374" s="221"/>
      <c r="B2374" s="198"/>
      <c r="C2374" s="381"/>
      <c r="D2374" s="381"/>
      <c r="E2374" s="381"/>
    </row>
    <row r="2375" hidden="1">
      <c r="A2375" s="221"/>
      <c r="B2375" s="198"/>
      <c r="C2375" s="382"/>
      <c r="D2375" s="382"/>
      <c r="E2375" s="382"/>
    </row>
    <row r="2376" hidden="1">
      <c r="A2376" s="221"/>
      <c r="B2376" s="198"/>
      <c r="C2376" s="190"/>
      <c r="D2376" s="190"/>
      <c r="E2376" s="190"/>
      <c r="F2376" s="195">
        <v>527.0</v>
      </c>
      <c r="G2376" s="188" t="str">
        <f>IFERROR(__xludf.DUMMYFUNCTION("TRIM(REGEXREPLACE(C2376, ""[0-9]+[a-f]?\."", """"))"),"")</f>
        <v/>
      </c>
      <c r="H2376" s="188" t="str">
        <f>IFERROR(__xludf.DUMMYFUNCTION("TRIM(REGEXREPLACE(D2376, ""[0-9]+[a-f]?\."", """"))"),"")</f>
        <v/>
      </c>
      <c r="I2376" s="188" t="str">
        <f>IFERROR(__xludf.DUMMYFUNCTION("TRIM(REGEXREPLACE(E2376, ""[0-9]+[a-f]?\."", """"))"),"")</f>
        <v/>
      </c>
      <c r="J2376" s="188" t="str">
        <f t="shared" ref="J2376:L2376" si="323">$F2376 &amp; ". "&amp;G2376</f>
        <v>527. </v>
      </c>
      <c r="K2376" s="188" t="str">
        <f t="shared" si="323"/>
        <v>527. </v>
      </c>
      <c r="L2376" s="188" t="str">
        <f t="shared" si="323"/>
        <v>527. </v>
      </c>
    </row>
    <row r="2377" hidden="1">
      <c r="A2377" s="221"/>
      <c r="B2377" s="198"/>
      <c r="C2377" s="190"/>
      <c r="D2377" s="190"/>
      <c r="E2377" s="190"/>
      <c r="F2377" s="195">
        <v>528.0</v>
      </c>
      <c r="G2377" s="188" t="str">
        <f>IFERROR(__xludf.DUMMYFUNCTION("TRIM(REGEXREPLACE(C2377, ""[0-9]+[a-f]?\."", """"))"),"")</f>
        <v/>
      </c>
      <c r="H2377" s="188" t="str">
        <f>IFERROR(__xludf.DUMMYFUNCTION("TRIM(REGEXREPLACE(D2377, ""[0-9]+[a-f]?\."", """"))"),"")</f>
        <v/>
      </c>
      <c r="I2377" s="188" t="str">
        <f>IFERROR(__xludf.DUMMYFUNCTION("TRIM(REGEXREPLACE(E2377, ""[0-9]+[a-f]?\."", """"))"),"")</f>
        <v/>
      </c>
      <c r="J2377" s="188" t="str">
        <f t="shared" ref="J2377:L2377" si="324">$F2377 &amp; ". "&amp;G2377</f>
        <v>528. </v>
      </c>
      <c r="K2377" s="188" t="str">
        <f t="shared" si="324"/>
        <v>528. </v>
      </c>
      <c r="L2377" s="188" t="str">
        <f t="shared" si="324"/>
        <v>528. </v>
      </c>
    </row>
    <row r="2378" hidden="1">
      <c r="A2378" s="305"/>
      <c r="B2378" s="224"/>
      <c r="C2378" s="224"/>
      <c r="D2378" s="224"/>
      <c r="E2378" s="224"/>
    </row>
    <row r="2379" hidden="1">
      <c r="A2379" s="221"/>
      <c r="B2379" s="198"/>
      <c r="C2379" s="381"/>
      <c r="D2379" s="381"/>
      <c r="E2379" s="381"/>
    </row>
    <row r="2380" hidden="1">
      <c r="A2380" s="221"/>
      <c r="B2380" s="198"/>
      <c r="C2380" s="381"/>
      <c r="D2380" s="381"/>
      <c r="E2380" s="381"/>
    </row>
    <row r="2381" hidden="1">
      <c r="A2381" s="221"/>
      <c r="B2381" s="198"/>
      <c r="C2381" s="381"/>
      <c r="D2381" s="381"/>
      <c r="E2381" s="381"/>
    </row>
    <row r="2382" hidden="1">
      <c r="A2382" s="306"/>
      <c r="B2382" s="307"/>
      <c r="C2382" s="190"/>
      <c r="D2382" s="190"/>
      <c r="E2382" s="190"/>
      <c r="F2382" s="195">
        <v>529.0</v>
      </c>
      <c r="G2382" s="188" t="str">
        <f>IFERROR(__xludf.DUMMYFUNCTION("TRIM(REGEXREPLACE(C2382, ""[0-9]+[a-f]?\."", """"))"),"")</f>
        <v/>
      </c>
      <c r="H2382" s="188" t="str">
        <f>IFERROR(__xludf.DUMMYFUNCTION("TRIM(REGEXREPLACE(D2382, ""[0-9]+[a-f]?\."", """"))"),"")</f>
        <v/>
      </c>
      <c r="I2382" s="188" t="str">
        <f>IFERROR(__xludf.DUMMYFUNCTION("TRIM(REGEXREPLACE(E2382, ""[0-9]+[a-f]?\."", """"))"),"")</f>
        <v/>
      </c>
      <c r="J2382" s="188" t="str">
        <f t="shared" ref="J2382:L2382" si="325">$F2382 &amp; ". "&amp;G2382</f>
        <v>529. </v>
      </c>
      <c r="K2382" s="188" t="str">
        <f t="shared" si="325"/>
        <v>529. </v>
      </c>
      <c r="L2382" s="188" t="str">
        <f t="shared" si="325"/>
        <v>529. </v>
      </c>
    </row>
    <row r="2383" hidden="1">
      <c r="A2383" s="392"/>
      <c r="B2383" s="393"/>
      <c r="C2383" s="393"/>
      <c r="D2383" s="393"/>
      <c r="E2383" s="393"/>
    </row>
    <row r="2384" hidden="1">
      <c r="A2384" s="305"/>
      <c r="B2384" s="224"/>
      <c r="C2384" s="190"/>
      <c r="D2384" s="190"/>
      <c r="E2384" s="190"/>
      <c r="F2384" s="195">
        <v>530.0</v>
      </c>
      <c r="G2384" s="188" t="str">
        <f>IFERROR(__xludf.DUMMYFUNCTION("TRIM(REGEXREPLACE(C2384, ""[0-9]+[a-f]?\."", """"))"),"")</f>
        <v/>
      </c>
      <c r="H2384" s="188" t="str">
        <f>IFERROR(__xludf.DUMMYFUNCTION("TRIM(REGEXREPLACE(D2384, ""[0-9]+[a-f]?\."", """"))"),"")</f>
        <v/>
      </c>
      <c r="I2384" s="188" t="str">
        <f>IFERROR(__xludf.DUMMYFUNCTION("TRIM(REGEXREPLACE(E2384, ""[0-9]+[a-f]?\."", """"))"),"")</f>
        <v/>
      </c>
      <c r="J2384" s="188" t="str">
        <f t="shared" ref="J2384:L2384" si="326">$F2384 &amp; ". "&amp;G2384</f>
        <v>530. </v>
      </c>
      <c r="K2384" s="188" t="str">
        <f t="shared" si="326"/>
        <v>530. </v>
      </c>
      <c r="L2384" s="188" t="str">
        <f t="shared" si="326"/>
        <v>530. </v>
      </c>
    </row>
    <row r="2385" hidden="1">
      <c r="A2385" s="297"/>
      <c r="B2385" s="298"/>
      <c r="C2385" s="190"/>
      <c r="D2385" s="190"/>
      <c r="E2385" s="190"/>
      <c r="F2385" s="195">
        <v>531.0</v>
      </c>
      <c r="G2385" s="188" t="str">
        <f>IFERROR(__xludf.DUMMYFUNCTION("TRIM(REGEXREPLACE(C2385, ""[0-9]+[a-f]?\."", """"))"),"")</f>
        <v/>
      </c>
      <c r="H2385" s="188" t="str">
        <f>IFERROR(__xludf.DUMMYFUNCTION("TRIM(REGEXREPLACE(D2385, ""[0-9]+[a-f]?\."", """"))"),"")</f>
        <v/>
      </c>
      <c r="I2385" s="188" t="str">
        <f>IFERROR(__xludf.DUMMYFUNCTION("TRIM(REGEXREPLACE(E2385, ""[0-9]+[a-f]?\."", """"))"),"")</f>
        <v/>
      </c>
      <c r="J2385" s="188" t="str">
        <f t="shared" ref="J2385:L2385" si="327">$F2385 &amp; ". "&amp;G2385</f>
        <v>531. </v>
      </c>
      <c r="K2385" s="188" t="str">
        <f t="shared" si="327"/>
        <v>531. </v>
      </c>
      <c r="L2385" s="188" t="str">
        <f t="shared" si="327"/>
        <v>531. </v>
      </c>
    </row>
    <row r="2386" hidden="1">
      <c r="A2386" s="221"/>
      <c r="B2386" s="198"/>
      <c r="C2386" s="381"/>
      <c r="D2386" s="381"/>
      <c r="E2386" s="381"/>
    </row>
    <row r="2387" hidden="1">
      <c r="A2387" s="305"/>
      <c r="B2387" s="223"/>
      <c r="C2387" s="223"/>
      <c r="D2387" s="416"/>
      <c r="E2387" s="416"/>
    </row>
    <row r="2388" hidden="1">
      <c r="A2388" s="221"/>
      <c r="B2388" s="198"/>
      <c r="C2388" s="382"/>
      <c r="D2388" s="381"/>
      <c r="E2388" s="381"/>
    </row>
    <row r="2389" hidden="1">
      <c r="A2389" s="310"/>
      <c r="B2389" s="311"/>
      <c r="C2389" s="314"/>
      <c r="D2389" s="314"/>
      <c r="E2389" s="314"/>
    </row>
    <row r="2390" hidden="1">
      <c r="A2390" s="299"/>
      <c r="B2390" s="300"/>
      <c r="C2390" s="190"/>
      <c r="D2390" s="190"/>
      <c r="E2390" s="190"/>
      <c r="F2390" s="195">
        <v>532.0</v>
      </c>
      <c r="G2390" s="188" t="str">
        <f>IFERROR(__xludf.DUMMYFUNCTION("TRIM(REGEXREPLACE(C2390, ""[0-9]+[a-f]?\."", """"))"),"")</f>
        <v/>
      </c>
      <c r="H2390" s="188" t="str">
        <f>IFERROR(__xludf.DUMMYFUNCTION("TRIM(REGEXREPLACE(D2390, ""[0-9]+[a-f]?\."", """"))"),"")</f>
        <v/>
      </c>
      <c r="I2390" s="188" t="str">
        <f>IFERROR(__xludf.DUMMYFUNCTION("TRIM(REGEXREPLACE(E2390, ""[0-9]+[a-f]?\."", """"))"),"")</f>
        <v/>
      </c>
      <c r="J2390" s="188" t="str">
        <f t="shared" ref="J2390:L2390" si="328">$F2390 &amp; ". "&amp;G2390</f>
        <v>532. </v>
      </c>
      <c r="K2390" s="188" t="str">
        <f t="shared" si="328"/>
        <v>532. </v>
      </c>
      <c r="L2390" s="188" t="str">
        <f t="shared" si="328"/>
        <v>532. </v>
      </c>
    </row>
    <row r="2391" hidden="1">
      <c r="A2391" s="306"/>
      <c r="B2391" s="307"/>
      <c r="C2391" s="190"/>
      <c r="D2391" s="190"/>
      <c r="E2391" s="190"/>
      <c r="F2391" s="195">
        <v>533.0</v>
      </c>
      <c r="G2391" s="188" t="str">
        <f>IFERROR(__xludf.DUMMYFUNCTION("TRIM(REGEXREPLACE(C2391, ""[0-9]+[a-f]?\."", """"))"),"")</f>
        <v/>
      </c>
      <c r="H2391" s="188" t="str">
        <f>IFERROR(__xludf.DUMMYFUNCTION("TRIM(REGEXREPLACE(D2391, ""[0-9]+[a-f]?\."", """"))"),"")</f>
        <v/>
      </c>
      <c r="I2391" s="188" t="str">
        <f>IFERROR(__xludf.DUMMYFUNCTION("TRIM(REGEXREPLACE(E2391, ""[0-9]+[a-f]?\."", """"))"),"")</f>
        <v/>
      </c>
      <c r="J2391" s="188" t="str">
        <f t="shared" ref="J2391:L2391" si="329">$F2391 &amp; ". "&amp;G2391</f>
        <v>533. </v>
      </c>
      <c r="K2391" s="188" t="str">
        <f t="shared" si="329"/>
        <v>533. </v>
      </c>
      <c r="L2391" s="188" t="str">
        <f t="shared" si="329"/>
        <v>533. </v>
      </c>
    </row>
    <row r="2392" hidden="1">
      <c r="A2392" s="306"/>
      <c r="B2392" s="307"/>
      <c r="C2392" s="190"/>
      <c r="D2392" s="190"/>
      <c r="E2392" s="190"/>
      <c r="F2392" s="195">
        <v>534.0</v>
      </c>
      <c r="G2392" s="188" t="str">
        <f>IFERROR(__xludf.DUMMYFUNCTION("TRIM(REGEXREPLACE(C2392, ""[0-9]+[a-f]?\."", """"))"),"")</f>
        <v/>
      </c>
      <c r="H2392" s="188" t="str">
        <f>IFERROR(__xludf.DUMMYFUNCTION("TRIM(REGEXREPLACE(D2392, ""[0-9]+[a-f]?\."", """"))"),"")</f>
        <v/>
      </c>
      <c r="I2392" s="188" t="str">
        <f>IFERROR(__xludf.DUMMYFUNCTION("TRIM(REGEXREPLACE(E2392, ""[0-9]+[a-f]?\."", """"))"),"")</f>
        <v/>
      </c>
      <c r="J2392" s="188" t="str">
        <f t="shared" ref="J2392:L2392" si="330">$F2392 &amp; ". "&amp;G2392</f>
        <v>534. </v>
      </c>
      <c r="K2392" s="188" t="str">
        <f t="shared" si="330"/>
        <v>534. </v>
      </c>
      <c r="L2392" s="188" t="str">
        <f t="shared" si="330"/>
        <v>534. </v>
      </c>
    </row>
    <row r="2393" hidden="1">
      <c r="A2393" s="306"/>
      <c r="B2393" s="307"/>
      <c r="C2393" s="190"/>
      <c r="D2393" s="190"/>
      <c r="E2393" s="190"/>
      <c r="F2393" s="195">
        <v>535.0</v>
      </c>
      <c r="G2393" s="188" t="str">
        <f>IFERROR(__xludf.DUMMYFUNCTION("TRIM(REGEXREPLACE(C2393, ""[0-9]+[a-f]?\."", """"))"),"")</f>
        <v/>
      </c>
      <c r="H2393" s="188" t="str">
        <f>IFERROR(__xludf.DUMMYFUNCTION("TRIM(REGEXREPLACE(D2393, ""[0-9]+[a-f]?\."", """"))"),"")</f>
        <v/>
      </c>
      <c r="I2393" s="188" t="str">
        <f>IFERROR(__xludf.DUMMYFUNCTION("TRIM(REGEXREPLACE(E2393, ""[0-9]+[a-f]?\."", """"))"),"")</f>
        <v/>
      </c>
      <c r="J2393" s="188" t="str">
        <f t="shared" ref="J2393:L2393" si="331">$F2393 &amp; ". "&amp;G2393</f>
        <v>535. </v>
      </c>
      <c r="K2393" s="188" t="str">
        <f t="shared" si="331"/>
        <v>535. </v>
      </c>
      <c r="L2393" s="188" t="str">
        <f t="shared" si="331"/>
        <v>535. </v>
      </c>
    </row>
    <row r="2394" hidden="1">
      <c r="A2394" s="221"/>
      <c r="B2394" s="198"/>
      <c r="C2394" s="190"/>
      <c r="D2394" s="190"/>
      <c r="E2394" s="190"/>
      <c r="F2394" s="195">
        <v>536.0</v>
      </c>
      <c r="G2394" s="188" t="str">
        <f>IFERROR(__xludf.DUMMYFUNCTION("TRIM(REGEXREPLACE(C2394, ""[0-9]+[a-f]?\."", """"))"),"")</f>
        <v/>
      </c>
      <c r="H2394" s="188" t="str">
        <f>IFERROR(__xludf.DUMMYFUNCTION("TRIM(REGEXREPLACE(D2394, ""[0-9]+[a-f]?\."", """"))"),"")</f>
        <v/>
      </c>
      <c r="I2394" s="188" t="str">
        <f>IFERROR(__xludf.DUMMYFUNCTION("TRIM(REGEXREPLACE(E2394, ""[0-9]+[a-f]?\."", """"))"),"")</f>
        <v/>
      </c>
      <c r="J2394" s="188" t="str">
        <f t="shared" ref="J2394:L2394" si="332">$F2394 &amp; ". "&amp;G2394</f>
        <v>536. </v>
      </c>
      <c r="K2394" s="188" t="str">
        <f t="shared" si="332"/>
        <v>536. </v>
      </c>
      <c r="L2394" s="188" t="str">
        <f t="shared" si="332"/>
        <v>536. </v>
      </c>
    </row>
    <row r="2395" hidden="1">
      <c r="A2395" s="310"/>
      <c r="B2395" s="315"/>
      <c r="C2395" s="406"/>
      <c r="D2395" s="406"/>
      <c r="E2395" s="406"/>
    </row>
    <row r="2396" hidden="1">
      <c r="A2396" s="310"/>
      <c r="B2396" s="311"/>
      <c r="C2396" s="314"/>
      <c r="D2396" s="314"/>
      <c r="E2396" s="314"/>
    </row>
    <row r="2397" hidden="1">
      <c r="A2397" s="299"/>
      <c r="B2397" s="300"/>
      <c r="C2397" s="190"/>
      <c r="D2397" s="190"/>
      <c r="E2397" s="190"/>
      <c r="F2397" s="195">
        <v>537.0</v>
      </c>
      <c r="G2397" s="188" t="str">
        <f>IFERROR(__xludf.DUMMYFUNCTION("TRIM(REGEXREPLACE(C2397, ""[0-9]+[a-f]?\."", """"))"),"")</f>
        <v/>
      </c>
      <c r="H2397" s="188" t="str">
        <f>IFERROR(__xludf.DUMMYFUNCTION("TRIM(REGEXREPLACE(D2397, ""[0-9]+[a-f]?\."", """"))"),"")</f>
        <v/>
      </c>
      <c r="I2397" s="188" t="str">
        <f>IFERROR(__xludf.DUMMYFUNCTION("TRIM(REGEXREPLACE(E2397, ""[0-9]+[a-f]?\."", """"))"),"")</f>
        <v/>
      </c>
      <c r="J2397" s="188" t="str">
        <f t="shared" ref="J2397:L2397" si="333">$F2397 &amp; ". "&amp;G2397</f>
        <v>537. </v>
      </c>
      <c r="K2397" s="188" t="str">
        <f t="shared" si="333"/>
        <v>537. </v>
      </c>
      <c r="L2397" s="188" t="str">
        <f t="shared" si="333"/>
        <v>537. </v>
      </c>
    </row>
    <row r="2398" hidden="1">
      <c r="A2398" s="297"/>
      <c r="B2398" s="298"/>
      <c r="C2398" s="190"/>
      <c r="D2398" s="190"/>
      <c r="E2398" s="190"/>
      <c r="F2398" s="195">
        <v>538.0</v>
      </c>
      <c r="G2398" s="188" t="str">
        <f>IFERROR(__xludf.DUMMYFUNCTION("TRIM(REGEXREPLACE(C2398, ""[0-9]+[a-f]?\."", """"))"),"")</f>
        <v/>
      </c>
      <c r="H2398" s="188" t="str">
        <f>IFERROR(__xludf.DUMMYFUNCTION("TRIM(REGEXREPLACE(D2398, ""[0-9]+[a-f]?\."", """"))"),"")</f>
        <v/>
      </c>
      <c r="I2398" s="188" t="str">
        <f>IFERROR(__xludf.DUMMYFUNCTION("TRIM(REGEXREPLACE(E2398, ""[0-9]+[a-f]?\."", """"))"),"")</f>
        <v/>
      </c>
      <c r="J2398" s="188" t="str">
        <f t="shared" ref="J2398:L2398" si="334">$F2398 &amp; ". "&amp;G2398</f>
        <v>538. </v>
      </c>
      <c r="K2398" s="188" t="str">
        <f t="shared" si="334"/>
        <v>538. </v>
      </c>
      <c r="L2398" s="188" t="str">
        <f t="shared" si="334"/>
        <v>538. </v>
      </c>
    </row>
    <row r="2399" hidden="1">
      <c r="A2399" s="299"/>
      <c r="B2399" s="300"/>
      <c r="C2399" s="190"/>
      <c r="D2399" s="190"/>
      <c r="E2399" s="190"/>
      <c r="F2399" s="195">
        <v>539.0</v>
      </c>
      <c r="G2399" s="188" t="str">
        <f>IFERROR(__xludf.DUMMYFUNCTION("TRIM(REGEXREPLACE(C2399, ""[0-9]+[a-f]?\."", """"))"),"")</f>
        <v/>
      </c>
      <c r="H2399" s="188" t="str">
        <f>IFERROR(__xludf.DUMMYFUNCTION("TRIM(REGEXREPLACE(D2399, ""[0-9]+[a-f]?\."", """"))"),"")</f>
        <v/>
      </c>
      <c r="I2399" s="188" t="str">
        <f>IFERROR(__xludf.DUMMYFUNCTION("TRIM(REGEXREPLACE(E2399, ""[0-9]+[a-f]?\."", """"))"),"")</f>
        <v/>
      </c>
      <c r="J2399" s="188" t="str">
        <f t="shared" ref="J2399:L2399" si="335">$F2399 &amp; ". "&amp;G2399</f>
        <v>539. </v>
      </c>
      <c r="K2399" s="188" t="str">
        <f t="shared" si="335"/>
        <v>539. </v>
      </c>
      <c r="L2399" s="188" t="str">
        <f t="shared" si="335"/>
        <v>539. </v>
      </c>
    </row>
    <row r="2400" hidden="1">
      <c r="A2400" s="221"/>
      <c r="B2400" s="198"/>
      <c r="C2400" s="190"/>
      <c r="D2400" s="190"/>
      <c r="E2400" s="190"/>
      <c r="F2400" s="195">
        <v>540.0</v>
      </c>
      <c r="G2400" s="188" t="str">
        <f>IFERROR(__xludf.DUMMYFUNCTION("TRIM(REGEXREPLACE(C2400, ""[0-9]+[a-f]?\."", """"))"),"")</f>
        <v/>
      </c>
      <c r="H2400" s="188" t="str">
        <f>IFERROR(__xludf.DUMMYFUNCTION("TRIM(REGEXREPLACE(D2400, ""[0-9]+[a-f]?\."", """"))"),"")</f>
        <v/>
      </c>
      <c r="I2400" s="188" t="str">
        <f>IFERROR(__xludf.DUMMYFUNCTION("TRIM(REGEXREPLACE(E2400, ""[0-9]+[a-f]?\."", """"))"),"")</f>
        <v/>
      </c>
      <c r="J2400" s="188" t="str">
        <f t="shared" ref="J2400:L2400" si="336">$F2400 &amp; ". "&amp;G2400</f>
        <v>540. </v>
      </c>
      <c r="K2400" s="188" t="str">
        <f t="shared" si="336"/>
        <v>540. </v>
      </c>
      <c r="L2400" s="188" t="str">
        <f t="shared" si="336"/>
        <v>540. </v>
      </c>
    </row>
    <row r="2401" hidden="1">
      <c r="A2401" s="310"/>
      <c r="B2401" s="315"/>
      <c r="C2401" s="406"/>
      <c r="D2401" s="406"/>
      <c r="E2401" s="406"/>
    </row>
    <row r="2402" hidden="1">
      <c r="A2402" s="305"/>
      <c r="B2402" s="224"/>
      <c r="C2402" s="224"/>
      <c r="D2402" s="418"/>
      <c r="E2402" s="418"/>
    </row>
    <row r="2403" hidden="1">
      <c r="A2403" s="221"/>
      <c r="B2403" s="198"/>
      <c r="C2403" s="381"/>
      <c r="D2403" s="381"/>
      <c r="E2403" s="381"/>
    </row>
    <row r="2404" hidden="1">
      <c r="A2404" s="221"/>
      <c r="B2404" s="198"/>
      <c r="C2404" s="381"/>
      <c r="D2404" s="381"/>
      <c r="E2404" s="381"/>
    </row>
    <row r="2405" hidden="1">
      <c r="A2405" s="221"/>
      <c r="B2405" s="198"/>
      <c r="C2405" s="381"/>
      <c r="D2405" s="381"/>
      <c r="E2405" s="381"/>
    </row>
    <row r="2406" hidden="1">
      <c r="A2406" s="221"/>
      <c r="B2406" s="198"/>
      <c r="C2406" s="190"/>
      <c r="D2406" s="190"/>
      <c r="E2406" s="190"/>
      <c r="F2406" s="195">
        <v>541.0</v>
      </c>
      <c r="G2406" s="188" t="str">
        <f>IFERROR(__xludf.DUMMYFUNCTION("TRIM(REGEXREPLACE(C2406, ""[0-9]+[a-f]?\."", """"))"),"")</f>
        <v/>
      </c>
      <c r="H2406" s="188" t="str">
        <f>IFERROR(__xludf.DUMMYFUNCTION("TRIM(REGEXREPLACE(D2406, ""[0-9]+[a-f]?\."", """"))"),"")</f>
        <v/>
      </c>
      <c r="I2406" s="188" t="str">
        <f>IFERROR(__xludf.DUMMYFUNCTION("TRIM(REGEXREPLACE(E2406, ""[0-9]+[a-f]?\."", """"))"),"")</f>
        <v/>
      </c>
      <c r="J2406" s="188" t="str">
        <f t="shared" ref="J2406:L2406" si="337">$F2406 &amp; ". "&amp;G2406</f>
        <v>541. </v>
      </c>
      <c r="K2406" s="188" t="str">
        <f t="shared" si="337"/>
        <v>541. </v>
      </c>
      <c r="L2406" s="188" t="str">
        <f t="shared" si="337"/>
        <v>541. </v>
      </c>
    </row>
    <row r="2407" hidden="1">
      <c r="A2407" s="221"/>
      <c r="B2407" s="198"/>
      <c r="C2407" s="190"/>
      <c r="D2407" s="190"/>
      <c r="E2407" s="190"/>
      <c r="F2407" s="195">
        <v>542.0</v>
      </c>
      <c r="G2407" s="188" t="str">
        <f>IFERROR(__xludf.DUMMYFUNCTION("TRIM(REGEXREPLACE(C2407, ""[0-9]+[a-f]?\."", """"))"),"")</f>
        <v/>
      </c>
      <c r="H2407" s="188" t="str">
        <f>IFERROR(__xludf.DUMMYFUNCTION("TRIM(REGEXREPLACE(D2407, ""[0-9]+[a-f]?\."", """"))"),"")</f>
        <v/>
      </c>
      <c r="I2407" s="188" t="str">
        <f>IFERROR(__xludf.DUMMYFUNCTION("TRIM(REGEXREPLACE(E2407, ""[0-9]+[a-f]?\."", """"))"),"")</f>
        <v/>
      </c>
      <c r="J2407" s="188" t="str">
        <f t="shared" ref="J2407:L2407" si="338">$F2407 &amp; ". "&amp;G2407</f>
        <v>542. </v>
      </c>
      <c r="K2407" s="188" t="str">
        <f t="shared" si="338"/>
        <v>542. </v>
      </c>
      <c r="L2407" s="188" t="str">
        <f t="shared" si="338"/>
        <v>542. </v>
      </c>
    </row>
    <row r="2408" hidden="1">
      <c r="A2408" s="305"/>
      <c r="B2408" s="223"/>
      <c r="C2408" s="190"/>
      <c r="D2408" s="190"/>
      <c r="E2408" s="190"/>
      <c r="F2408" s="195">
        <v>543.0</v>
      </c>
      <c r="G2408" s="188" t="str">
        <f>IFERROR(__xludf.DUMMYFUNCTION("TRIM(REGEXREPLACE(C2408, ""[0-9]+[a-f]?\."", """"))"),"")</f>
        <v/>
      </c>
      <c r="H2408" s="188" t="str">
        <f>IFERROR(__xludf.DUMMYFUNCTION("TRIM(REGEXREPLACE(D2408, ""[0-9]+[a-f]?\."", """"))"),"")</f>
        <v/>
      </c>
      <c r="I2408" s="188" t="str">
        <f>IFERROR(__xludf.DUMMYFUNCTION("TRIM(REGEXREPLACE(E2408, ""[0-9]+[a-f]?\."", """"))"),"")</f>
        <v/>
      </c>
      <c r="J2408" s="188" t="str">
        <f t="shared" ref="J2408:L2408" si="339">$F2408 &amp; ". "&amp;G2408</f>
        <v>543. </v>
      </c>
      <c r="K2408" s="188" t="str">
        <f t="shared" si="339"/>
        <v>543. </v>
      </c>
      <c r="L2408" s="188" t="str">
        <f t="shared" si="339"/>
        <v>543. </v>
      </c>
    </row>
    <row r="2409" hidden="1">
      <c r="A2409" s="221"/>
      <c r="B2409" s="198"/>
      <c r="C2409" s="190"/>
      <c r="D2409" s="190"/>
      <c r="E2409" s="190"/>
      <c r="F2409" s="195">
        <v>544.0</v>
      </c>
      <c r="G2409" s="188" t="str">
        <f>IFERROR(__xludf.DUMMYFUNCTION("TRIM(REGEXREPLACE(C2409, ""[0-9]+[a-f]?\."", """"))"),"")</f>
        <v/>
      </c>
      <c r="H2409" s="188" t="str">
        <f>IFERROR(__xludf.DUMMYFUNCTION("TRIM(REGEXREPLACE(D2409, ""[0-9]+[a-f]?\."", """"))"),"")</f>
        <v/>
      </c>
      <c r="I2409" s="188" t="str">
        <f>IFERROR(__xludf.DUMMYFUNCTION("TRIM(REGEXREPLACE(E2409, ""[0-9]+[a-f]?\."", """"))"),"")</f>
        <v/>
      </c>
      <c r="J2409" s="188" t="str">
        <f t="shared" ref="J2409:L2409" si="340">$F2409 &amp; ". "&amp;G2409</f>
        <v>544. </v>
      </c>
      <c r="K2409" s="188" t="str">
        <f t="shared" si="340"/>
        <v>544. </v>
      </c>
      <c r="L2409" s="188" t="str">
        <f t="shared" si="340"/>
        <v>544. </v>
      </c>
    </row>
    <row r="2410" hidden="1">
      <c r="A2410" s="221"/>
      <c r="B2410" s="198"/>
      <c r="C2410" s="190"/>
      <c r="D2410" s="190"/>
      <c r="E2410" s="190"/>
      <c r="F2410" s="195">
        <v>545.0</v>
      </c>
      <c r="G2410" s="188" t="str">
        <f>IFERROR(__xludf.DUMMYFUNCTION("TRIM(REGEXREPLACE(C2410, ""[0-9]+[a-f]?\."", """"))"),"")</f>
        <v/>
      </c>
      <c r="H2410" s="188" t="str">
        <f>IFERROR(__xludf.DUMMYFUNCTION("TRIM(REGEXREPLACE(D2410, ""[0-9]+[a-f]?\."", """"))"),"")</f>
        <v/>
      </c>
      <c r="I2410" s="188" t="str">
        <f>IFERROR(__xludf.DUMMYFUNCTION("TRIM(REGEXREPLACE(E2410, ""[0-9]+[a-f]?\."", """"))"),"")</f>
        <v/>
      </c>
      <c r="J2410" s="188" t="str">
        <f t="shared" ref="J2410:L2410" si="341">$F2410 &amp; ". "&amp;G2410</f>
        <v>545. </v>
      </c>
      <c r="K2410" s="188" t="str">
        <f t="shared" si="341"/>
        <v>545. </v>
      </c>
      <c r="L2410" s="188" t="str">
        <f t="shared" si="341"/>
        <v>545. </v>
      </c>
    </row>
    <row r="2411" hidden="1">
      <c r="A2411" s="306"/>
      <c r="B2411" s="307"/>
      <c r="C2411" s="190"/>
      <c r="D2411" s="190"/>
      <c r="E2411" s="190"/>
      <c r="F2411" s="195">
        <v>546.0</v>
      </c>
      <c r="G2411" s="188" t="str">
        <f>IFERROR(__xludf.DUMMYFUNCTION("TRIM(REGEXREPLACE(C2411, ""[0-9]+[a-f]?\."", """"))"),"")</f>
        <v/>
      </c>
      <c r="H2411" s="188" t="str">
        <f>IFERROR(__xludf.DUMMYFUNCTION("TRIM(REGEXREPLACE(D2411, ""[0-9]+[a-f]?\."", """"))"),"")</f>
        <v/>
      </c>
      <c r="I2411" s="188" t="str">
        <f>IFERROR(__xludf.DUMMYFUNCTION("TRIM(REGEXREPLACE(E2411, ""[0-9]+[a-f]?\."", """"))"),"")</f>
        <v/>
      </c>
      <c r="J2411" s="188" t="str">
        <f t="shared" ref="J2411:L2411" si="342">$F2411 &amp; ". "&amp;G2411</f>
        <v>546. </v>
      </c>
      <c r="K2411" s="188" t="str">
        <f t="shared" si="342"/>
        <v>546. </v>
      </c>
      <c r="L2411" s="188" t="str">
        <f t="shared" si="342"/>
        <v>546. </v>
      </c>
    </row>
    <row r="2412" hidden="1">
      <c r="A2412" s="306"/>
      <c r="B2412" s="307"/>
      <c r="C2412" s="190"/>
      <c r="D2412" s="190"/>
      <c r="E2412" s="190"/>
      <c r="F2412" s="195">
        <v>547.0</v>
      </c>
      <c r="G2412" s="188" t="str">
        <f>IFERROR(__xludf.DUMMYFUNCTION("TRIM(REGEXREPLACE(C2412, ""[0-9]+[a-f]?\."", """"))"),"")</f>
        <v/>
      </c>
      <c r="H2412" s="188" t="str">
        <f>IFERROR(__xludf.DUMMYFUNCTION("TRIM(REGEXREPLACE(D2412, ""[0-9]+[a-f]?\."", """"))"),"")</f>
        <v/>
      </c>
      <c r="I2412" s="188" t="str">
        <f>IFERROR(__xludf.DUMMYFUNCTION("TRIM(REGEXREPLACE(E2412, ""[0-9]+[a-f]?\."", """"))"),"")</f>
        <v/>
      </c>
      <c r="J2412" s="188" t="str">
        <f t="shared" ref="J2412:L2412" si="343">$F2412 &amp; ". "&amp;G2412</f>
        <v>547. </v>
      </c>
      <c r="K2412" s="188" t="str">
        <f t="shared" si="343"/>
        <v>547. </v>
      </c>
      <c r="L2412" s="188" t="str">
        <f t="shared" si="343"/>
        <v>547. </v>
      </c>
    </row>
    <row r="2413" hidden="1">
      <c r="A2413" s="221"/>
      <c r="B2413" s="198"/>
      <c r="C2413" s="381"/>
      <c r="D2413" s="381"/>
      <c r="E2413" s="381"/>
    </row>
    <row r="2414" hidden="1">
      <c r="A2414" s="221"/>
      <c r="B2414" s="198"/>
      <c r="C2414" s="381"/>
      <c r="D2414" s="381"/>
      <c r="E2414" s="381"/>
    </row>
    <row r="2415" hidden="1">
      <c r="A2415" s="221"/>
      <c r="B2415" s="198"/>
      <c r="C2415" s="381"/>
      <c r="D2415" s="381"/>
      <c r="E2415" s="381"/>
    </row>
    <row r="2416" hidden="1">
      <c r="A2416" s="221"/>
      <c r="B2416" s="198"/>
      <c r="C2416" s="190"/>
      <c r="D2416" s="190"/>
      <c r="E2416" s="190"/>
      <c r="F2416" s="195">
        <v>548.0</v>
      </c>
      <c r="G2416" s="188" t="str">
        <f>IFERROR(__xludf.DUMMYFUNCTION("TRIM(REGEXREPLACE(C2416, ""[0-9]+[a-f]?\."", """"))"),"")</f>
        <v/>
      </c>
      <c r="H2416" s="188" t="str">
        <f>IFERROR(__xludf.DUMMYFUNCTION("TRIM(REGEXREPLACE(D2416, ""[0-9]+[a-f]?\."", """"))"),"")</f>
        <v/>
      </c>
      <c r="I2416" s="188" t="str">
        <f>IFERROR(__xludf.DUMMYFUNCTION("TRIM(REGEXREPLACE(E2416, ""[0-9]+[a-f]?\."", """"))"),"")</f>
        <v/>
      </c>
      <c r="J2416" s="188" t="str">
        <f t="shared" ref="J2416:L2416" si="344">$F2416 &amp; ". "&amp;G2416</f>
        <v>548. </v>
      </c>
      <c r="K2416" s="188" t="str">
        <f t="shared" si="344"/>
        <v>548. </v>
      </c>
      <c r="L2416" s="188" t="str">
        <f t="shared" si="344"/>
        <v>548. </v>
      </c>
    </row>
    <row r="2417" hidden="1">
      <c r="A2417" s="305"/>
      <c r="B2417" s="224"/>
      <c r="C2417" s="190"/>
      <c r="D2417" s="190"/>
      <c r="E2417" s="190"/>
      <c r="F2417" s="195">
        <v>549.0</v>
      </c>
      <c r="G2417" s="188" t="str">
        <f>IFERROR(__xludf.DUMMYFUNCTION("TRIM(REGEXREPLACE(C2417, ""[0-9]+[a-f]?\."", """"))"),"")</f>
        <v/>
      </c>
      <c r="H2417" s="188" t="str">
        <f>IFERROR(__xludf.DUMMYFUNCTION("TRIM(REGEXREPLACE(D2417, ""[0-9]+[a-f]?\."", """"))"),"")</f>
        <v/>
      </c>
      <c r="I2417" s="188" t="str">
        <f>IFERROR(__xludf.DUMMYFUNCTION("TRIM(REGEXREPLACE(E2417, ""[0-9]+[a-f]?\."", """"))"),"")</f>
        <v/>
      </c>
      <c r="J2417" s="188" t="str">
        <f t="shared" ref="J2417:L2417" si="345">$F2417 &amp; ". "&amp;G2417</f>
        <v>549. </v>
      </c>
      <c r="K2417" s="188" t="str">
        <f t="shared" si="345"/>
        <v>549. </v>
      </c>
      <c r="L2417" s="188" t="str">
        <f t="shared" si="345"/>
        <v>549. </v>
      </c>
    </row>
    <row r="2418" hidden="1">
      <c r="A2418" s="221"/>
      <c r="B2418" s="198"/>
      <c r="C2418" s="190"/>
      <c r="D2418" s="190"/>
      <c r="E2418" s="190"/>
      <c r="F2418" s="195">
        <v>550.0</v>
      </c>
      <c r="G2418" s="188" t="str">
        <f>IFERROR(__xludf.DUMMYFUNCTION("TRIM(REGEXREPLACE(C2418, ""[0-9]+[a-f]?\."", """"))"),"")</f>
        <v/>
      </c>
      <c r="H2418" s="188" t="str">
        <f>IFERROR(__xludf.DUMMYFUNCTION("TRIM(REGEXREPLACE(D2418, ""[0-9]+[a-f]?\."", """"))"),"")</f>
        <v/>
      </c>
      <c r="I2418" s="188" t="str">
        <f>IFERROR(__xludf.DUMMYFUNCTION("TRIM(REGEXREPLACE(E2418, ""[0-9]+[a-f]?\."", """"))"),"")</f>
        <v/>
      </c>
      <c r="J2418" s="188" t="str">
        <f t="shared" ref="J2418:L2418" si="346">$F2418 &amp; ". "&amp;G2418</f>
        <v>550. </v>
      </c>
      <c r="K2418" s="188" t="str">
        <f t="shared" si="346"/>
        <v>550. </v>
      </c>
      <c r="L2418" s="188" t="str">
        <f t="shared" si="346"/>
        <v>550. </v>
      </c>
    </row>
    <row r="2419" hidden="1">
      <c r="A2419" s="221"/>
      <c r="B2419" s="198"/>
      <c r="C2419" s="190"/>
      <c r="D2419" s="190"/>
      <c r="E2419" s="190"/>
      <c r="F2419" s="195">
        <v>551.0</v>
      </c>
      <c r="G2419" s="188" t="str">
        <f>IFERROR(__xludf.DUMMYFUNCTION("TRIM(REGEXREPLACE(C2419, ""[0-9]+[a-f]?\."", """"))"),"")</f>
        <v/>
      </c>
      <c r="H2419" s="188" t="str">
        <f>IFERROR(__xludf.DUMMYFUNCTION("TRIM(REGEXREPLACE(D2419, ""[0-9]+[a-f]?\."", """"))"),"")</f>
        <v/>
      </c>
      <c r="I2419" s="188" t="str">
        <f>IFERROR(__xludf.DUMMYFUNCTION("TRIM(REGEXREPLACE(E2419, ""[0-9]+[a-f]?\."", """"))"),"")</f>
        <v/>
      </c>
      <c r="J2419" s="188" t="str">
        <f t="shared" ref="J2419:L2419" si="347">$F2419 &amp; ". "&amp;G2419</f>
        <v>551. </v>
      </c>
      <c r="K2419" s="188" t="str">
        <f t="shared" si="347"/>
        <v>551. </v>
      </c>
      <c r="L2419" s="188" t="str">
        <f t="shared" si="347"/>
        <v>551. </v>
      </c>
    </row>
    <row r="2420" hidden="1">
      <c r="A2420" s="299"/>
      <c r="B2420" s="300"/>
      <c r="C2420" s="190"/>
      <c r="D2420" s="190"/>
      <c r="E2420" s="190"/>
      <c r="F2420" s="195">
        <v>552.0</v>
      </c>
      <c r="G2420" s="188" t="str">
        <f>IFERROR(__xludf.DUMMYFUNCTION("TRIM(REGEXREPLACE(C2420, ""[0-9]+[a-f]?\."", """"))"),"")</f>
        <v/>
      </c>
      <c r="H2420" s="188" t="str">
        <f>IFERROR(__xludf.DUMMYFUNCTION("TRIM(REGEXREPLACE(D2420, ""[0-9]+[a-f]?\."", """"))"),"")</f>
        <v/>
      </c>
      <c r="I2420" s="188" t="str">
        <f>IFERROR(__xludf.DUMMYFUNCTION("TRIM(REGEXREPLACE(E2420, ""[0-9]+[a-f]?\."", """"))"),"")</f>
        <v/>
      </c>
      <c r="J2420" s="188" t="str">
        <f t="shared" ref="J2420:L2420" si="348">$F2420 &amp; ". "&amp;G2420</f>
        <v>552. </v>
      </c>
      <c r="K2420" s="188" t="str">
        <f t="shared" si="348"/>
        <v>552. </v>
      </c>
      <c r="L2420" s="188" t="str">
        <f t="shared" si="348"/>
        <v>552. </v>
      </c>
    </row>
    <row r="2421" hidden="1">
      <c r="A2421" s="301"/>
      <c r="B2421" s="302"/>
      <c r="C2421" s="190"/>
      <c r="D2421" s="190"/>
      <c r="E2421" s="190"/>
      <c r="F2421" s="195">
        <v>553.0</v>
      </c>
      <c r="G2421" s="188" t="str">
        <f>IFERROR(__xludf.DUMMYFUNCTION("TRIM(REGEXREPLACE(C2421, ""[0-9]+[a-f]?\."", """"))"),"")</f>
        <v/>
      </c>
      <c r="H2421" s="188" t="str">
        <f>IFERROR(__xludf.DUMMYFUNCTION("TRIM(REGEXREPLACE(D2421, ""[0-9]+[a-f]?\."", """"))"),"")</f>
        <v/>
      </c>
      <c r="I2421" s="188" t="str">
        <f>IFERROR(__xludf.DUMMYFUNCTION("TRIM(REGEXREPLACE(E2421, ""[0-9]+[a-f]?\."", """"))"),"")</f>
        <v/>
      </c>
      <c r="J2421" s="188" t="str">
        <f t="shared" ref="J2421:L2421" si="349">$F2421 &amp; ". "&amp;G2421</f>
        <v>553. </v>
      </c>
      <c r="K2421" s="188" t="str">
        <f t="shared" si="349"/>
        <v>553. </v>
      </c>
      <c r="L2421" s="188" t="str">
        <f t="shared" si="349"/>
        <v>553. </v>
      </c>
    </row>
    <row r="2422" hidden="1">
      <c r="A2422" s="306"/>
      <c r="B2422" s="307"/>
      <c r="C2422" s="190"/>
      <c r="D2422" s="190"/>
      <c r="E2422" s="190"/>
      <c r="F2422" s="195">
        <v>554.0</v>
      </c>
      <c r="G2422" s="188" t="str">
        <f>IFERROR(__xludf.DUMMYFUNCTION("TRIM(REGEXREPLACE(C2422, ""[0-9]+[a-f]?\."", """"))"),"")</f>
        <v/>
      </c>
      <c r="H2422" s="188" t="str">
        <f>IFERROR(__xludf.DUMMYFUNCTION("TRIM(REGEXREPLACE(D2422, ""[0-9]+[a-f]?\."", """"))"),"")</f>
        <v/>
      </c>
      <c r="I2422" s="188" t="str">
        <f>IFERROR(__xludf.DUMMYFUNCTION("TRIM(REGEXREPLACE(E2422, ""[0-9]+[a-f]?\."", """"))"),"")</f>
        <v/>
      </c>
      <c r="J2422" s="188" t="str">
        <f t="shared" ref="J2422:L2422" si="350">$F2422 &amp; ". "&amp;G2422</f>
        <v>554. </v>
      </c>
      <c r="K2422" s="188" t="str">
        <f t="shared" si="350"/>
        <v>554. </v>
      </c>
      <c r="L2422" s="188" t="str">
        <f t="shared" si="350"/>
        <v>554. </v>
      </c>
    </row>
    <row r="2423" hidden="1">
      <c r="A2423" s="221"/>
      <c r="B2423" s="198"/>
      <c r="C2423" s="190"/>
      <c r="D2423" s="190"/>
      <c r="E2423" s="190"/>
      <c r="F2423" s="195">
        <v>555.0</v>
      </c>
      <c r="G2423" s="188" t="str">
        <f>IFERROR(__xludf.DUMMYFUNCTION("TRIM(REGEXREPLACE(C2423, ""[0-9]+[a-f]?\."", """"))"),"")</f>
        <v/>
      </c>
      <c r="H2423" s="188" t="str">
        <f>IFERROR(__xludf.DUMMYFUNCTION("TRIM(REGEXREPLACE(D2423, ""[0-9]+[a-f]?\."", """"))"),"")</f>
        <v/>
      </c>
      <c r="I2423" s="188" t="str">
        <f>IFERROR(__xludf.DUMMYFUNCTION("TRIM(REGEXREPLACE(E2423, ""[0-9]+[a-f]?\."", """"))"),"")</f>
        <v/>
      </c>
      <c r="J2423" s="188" t="str">
        <f t="shared" ref="J2423:L2423" si="351">$F2423 &amp; ". "&amp;G2423</f>
        <v>555. </v>
      </c>
      <c r="K2423" s="188" t="str">
        <f t="shared" si="351"/>
        <v>555. </v>
      </c>
      <c r="L2423" s="188" t="str">
        <f t="shared" si="351"/>
        <v>555. </v>
      </c>
    </row>
    <row r="2424" hidden="1">
      <c r="A2424" s="221"/>
      <c r="B2424" s="198"/>
      <c r="C2424" s="190"/>
      <c r="D2424" s="190"/>
      <c r="E2424" s="190"/>
      <c r="F2424" s="195">
        <v>556.0</v>
      </c>
      <c r="G2424" s="188" t="str">
        <f>IFERROR(__xludf.DUMMYFUNCTION("TRIM(REGEXREPLACE(C2424, ""[0-9]+[a-f]?\."", """"))"),"")</f>
        <v/>
      </c>
      <c r="H2424" s="188" t="str">
        <f>IFERROR(__xludf.DUMMYFUNCTION("TRIM(REGEXREPLACE(D2424, ""[0-9]+[a-f]?\."", """"))"),"")</f>
        <v/>
      </c>
      <c r="I2424" s="188" t="str">
        <f>IFERROR(__xludf.DUMMYFUNCTION("TRIM(REGEXREPLACE(E2424, ""[0-9]+[a-f]?\."", """"))"),"")</f>
        <v/>
      </c>
      <c r="J2424" s="188" t="str">
        <f t="shared" ref="J2424:L2424" si="352">$F2424 &amp; ". "&amp;G2424</f>
        <v>556. </v>
      </c>
      <c r="K2424" s="188" t="str">
        <f t="shared" si="352"/>
        <v>556. </v>
      </c>
      <c r="L2424" s="188" t="str">
        <f t="shared" si="352"/>
        <v>556. </v>
      </c>
    </row>
    <row r="2425" hidden="1">
      <c r="A2425" s="221"/>
      <c r="B2425" s="198"/>
      <c r="C2425" s="190"/>
      <c r="D2425" s="190"/>
      <c r="E2425" s="190"/>
      <c r="F2425" s="195">
        <v>557.0</v>
      </c>
      <c r="G2425" s="188" t="str">
        <f>IFERROR(__xludf.DUMMYFUNCTION("TRIM(REGEXREPLACE(C2425, ""[0-9]+[a-f]?\."", """"))"),"")</f>
        <v/>
      </c>
      <c r="H2425" s="188" t="str">
        <f>IFERROR(__xludf.DUMMYFUNCTION("TRIM(REGEXREPLACE(D2425, ""[0-9]+[a-f]?\."", """"))"),"")</f>
        <v/>
      </c>
      <c r="I2425" s="188" t="str">
        <f>IFERROR(__xludf.DUMMYFUNCTION("TRIM(REGEXREPLACE(E2425, ""[0-9]+[a-f]?\."", """"))"),"")</f>
        <v/>
      </c>
      <c r="J2425" s="188" t="str">
        <f t="shared" ref="J2425:L2425" si="353">$F2425 &amp; ". "&amp;G2425</f>
        <v>557. </v>
      </c>
      <c r="K2425" s="188" t="str">
        <f t="shared" si="353"/>
        <v>557. </v>
      </c>
      <c r="L2425" s="188" t="str">
        <f t="shared" si="353"/>
        <v>557. </v>
      </c>
    </row>
    <row r="2426" hidden="1">
      <c r="A2426" s="221"/>
      <c r="B2426" s="198"/>
      <c r="C2426" s="190"/>
      <c r="D2426" s="190"/>
      <c r="E2426" s="190"/>
      <c r="F2426" s="195">
        <v>558.0</v>
      </c>
      <c r="G2426" s="188" t="str">
        <f>IFERROR(__xludf.DUMMYFUNCTION("TRIM(REGEXREPLACE(C2426, ""[0-9]+[a-f]?\."", """"))"),"")</f>
        <v/>
      </c>
      <c r="H2426" s="188" t="str">
        <f>IFERROR(__xludf.DUMMYFUNCTION("TRIM(REGEXREPLACE(D2426, ""[0-9]+[a-f]?\."", """"))"),"")</f>
        <v/>
      </c>
      <c r="I2426" s="188" t="str">
        <f>IFERROR(__xludf.DUMMYFUNCTION("TRIM(REGEXREPLACE(E2426, ""[0-9]+[a-f]?\."", """"))"),"")</f>
        <v/>
      </c>
      <c r="J2426" s="188" t="str">
        <f t="shared" ref="J2426:L2426" si="354">$F2426 &amp; ". "&amp;G2426</f>
        <v>558. </v>
      </c>
      <c r="K2426" s="188" t="str">
        <f t="shared" si="354"/>
        <v>558. </v>
      </c>
      <c r="L2426" s="188" t="str">
        <f t="shared" si="354"/>
        <v>558. </v>
      </c>
    </row>
    <row r="2427" hidden="1">
      <c r="A2427" s="221"/>
      <c r="B2427" s="198"/>
      <c r="C2427" s="381"/>
      <c r="D2427" s="381"/>
      <c r="E2427" s="381"/>
    </row>
    <row r="2428" hidden="1">
      <c r="A2428" s="221"/>
      <c r="B2428" s="198"/>
      <c r="C2428" s="381"/>
      <c r="D2428" s="381"/>
      <c r="E2428" s="381"/>
    </row>
    <row r="2429" hidden="1">
      <c r="A2429" s="320"/>
      <c r="B2429" s="321"/>
      <c r="C2429" s="321"/>
      <c r="D2429" s="321"/>
      <c r="E2429" s="321"/>
    </row>
    <row r="2430" hidden="1">
      <c r="A2430" s="310"/>
      <c r="B2430" s="311"/>
      <c r="C2430" s="314"/>
      <c r="D2430" s="314"/>
      <c r="E2430" s="314"/>
    </row>
    <row r="2431" hidden="1">
      <c r="A2431" s="221"/>
      <c r="B2431" s="198"/>
      <c r="C2431" s="381"/>
      <c r="D2431" s="381"/>
      <c r="E2431" s="381"/>
    </row>
    <row r="2432" hidden="1">
      <c r="A2432" s="221"/>
      <c r="B2432" s="198"/>
      <c r="C2432" s="190"/>
      <c r="D2432" s="190"/>
      <c r="E2432" s="190"/>
      <c r="F2432" s="195">
        <v>559.0</v>
      </c>
      <c r="G2432" s="188" t="str">
        <f>IFERROR(__xludf.DUMMYFUNCTION("TRIM(REGEXREPLACE(C2432, ""[0-9]+[a-f]?\."", """"))"),"")</f>
        <v/>
      </c>
      <c r="H2432" s="188" t="str">
        <f>IFERROR(__xludf.DUMMYFUNCTION("TRIM(REGEXREPLACE(D2432, ""[0-9]+[a-f]?\."", """"))"),"")</f>
        <v/>
      </c>
      <c r="I2432" s="188" t="str">
        <f>IFERROR(__xludf.DUMMYFUNCTION("TRIM(REGEXREPLACE(E2432, ""[0-9]+[a-f]?\."", """"))"),"")</f>
        <v/>
      </c>
      <c r="J2432" s="188" t="str">
        <f t="shared" ref="J2432:L2432" si="355">$F2432 &amp; ". "&amp;G2432</f>
        <v>559. </v>
      </c>
      <c r="K2432" s="188" t="str">
        <f t="shared" si="355"/>
        <v>559. </v>
      </c>
      <c r="L2432" s="188" t="str">
        <f t="shared" si="355"/>
        <v>559. </v>
      </c>
    </row>
    <row r="2433" hidden="1">
      <c r="A2433" s="305"/>
      <c r="B2433" s="223"/>
      <c r="C2433" s="223"/>
      <c r="D2433" s="223"/>
      <c r="E2433" s="223"/>
    </row>
    <row r="2434" hidden="1">
      <c r="A2434" s="221"/>
      <c r="B2434" s="198"/>
      <c r="C2434" s="382"/>
      <c r="D2434" s="382"/>
      <c r="E2434" s="382"/>
    </row>
    <row r="2435" hidden="1">
      <c r="A2435" s="221"/>
      <c r="B2435" s="198"/>
      <c r="C2435" s="190"/>
      <c r="D2435" s="190"/>
      <c r="E2435" s="190"/>
      <c r="F2435" s="195">
        <v>560.0</v>
      </c>
      <c r="G2435" s="188" t="str">
        <f>IFERROR(__xludf.DUMMYFUNCTION("TRIM(REGEXREPLACE(C2435, ""[0-9]+[a-f]?\."", """"))"),"")</f>
        <v/>
      </c>
      <c r="H2435" s="188" t="str">
        <f>IFERROR(__xludf.DUMMYFUNCTION("TRIM(REGEXREPLACE(D2435, ""[0-9]+[a-f]?\."", """"))"),"")</f>
        <v/>
      </c>
      <c r="I2435" s="188" t="str">
        <f>IFERROR(__xludf.DUMMYFUNCTION("TRIM(REGEXREPLACE(E2435, ""[0-9]+[a-f]?\."", """"))"),"")</f>
        <v/>
      </c>
      <c r="J2435" s="188" t="str">
        <f t="shared" ref="J2435:L2435" si="356">$F2435 &amp; ". "&amp;G2435</f>
        <v>560. </v>
      </c>
      <c r="K2435" s="188" t="str">
        <f t="shared" si="356"/>
        <v>560. </v>
      </c>
      <c r="L2435" s="188" t="str">
        <f t="shared" si="356"/>
        <v>560. </v>
      </c>
    </row>
    <row r="2436" hidden="1">
      <c r="A2436" s="305"/>
      <c r="B2436" s="224"/>
      <c r="C2436" s="224"/>
      <c r="D2436" s="224"/>
      <c r="E2436" s="224"/>
    </row>
    <row r="2437" hidden="1">
      <c r="A2437" s="221"/>
      <c r="B2437" s="198"/>
      <c r="C2437" s="190"/>
      <c r="D2437" s="190"/>
      <c r="E2437" s="190"/>
      <c r="F2437" s="195">
        <v>561.0</v>
      </c>
      <c r="G2437" s="188" t="str">
        <f>IFERROR(__xludf.DUMMYFUNCTION("TRIM(REGEXREPLACE(C2437, ""[0-9]+[a-f]?\."", """"))"),"")</f>
        <v/>
      </c>
      <c r="H2437" s="188" t="str">
        <f>IFERROR(__xludf.DUMMYFUNCTION("TRIM(REGEXREPLACE(D2437, ""[0-9]+[a-f]?\."", """"))"),"")</f>
        <v/>
      </c>
      <c r="I2437" s="188" t="str">
        <f>IFERROR(__xludf.DUMMYFUNCTION("TRIM(REGEXREPLACE(E2437, ""[0-9]+[a-f]?\."", """"))"),"")</f>
        <v/>
      </c>
      <c r="J2437" s="188" t="str">
        <f t="shared" ref="J2437:L2437" si="357">$F2437 &amp; ". "&amp;G2437</f>
        <v>561. </v>
      </c>
      <c r="K2437" s="188" t="str">
        <f t="shared" si="357"/>
        <v>561. </v>
      </c>
      <c r="L2437" s="188" t="str">
        <f t="shared" si="357"/>
        <v>561. </v>
      </c>
    </row>
    <row r="2438" hidden="1">
      <c r="A2438" s="305"/>
      <c r="B2438" s="223"/>
      <c r="C2438" s="223"/>
      <c r="D2438" s="223"/>
      <c r="E2438" s="223"/>
    </row>
    <row r="2439" hidden="1">
      <c r="A2439" s="221"/>
      <c r="B2439" s="198"/>
      <c r="C2439" s="382"/>
      <c r="D2439" s="382"/>
      <c r="E2439" s="382"/>
    </row>
    <row r="2440" hidden="1">
      <c r="A2440" s="221"/>
      <c r="B2440" s="198"/>
      <c r="C2440" s="190"/>
      <c r="D2440" s="190"/>
      <c r="E2440" s="190"/>
      <c r="F2440" s="195">
        <v>562.0</v>
      </c>
      <c r="G2440" s="188" t="str">
        <f>IFERROR(__xludf.DUMMYFUNCTION("TRIM(REGEXREPLACE(C2440, ""[0-9]+[a-f]?\."", """"))"),"")</f>
        <v/>
      </c>
      <c r="H2440" s="188" t="str">
        <f>IFERROR(__xludf.DUMMYFUNCTION("TRIM(REGEXREPLACE(D2440, ""[0-9]+[a-f]?\."", """"))"),"")</f>
        <v/>
      </c>
      <c r="I2440" s="188" t="str">
        <f>IFERROR(__xludf.DUMMYFUNCTION("TRIM(REGEXREPLACE(E2440, ""[0-9]+[a-f]?\."", """"))"),"")</f>
        <v/>
      </c>
      <c r="J2440" s="188" t="str">
        <f t="shared" ref="J2440:L2440" si="358">$F2440 &amp; ". "&amp;G2440</f>
        <v>562. </v>
      </c>
      <c r="K2440" s="188" t="str">
        <f t="shared" si="358"/>
        <v>562. </v>
      </c>
      <c r="L2440" s="188" t="str">
        <f t="shared" si="358"/>
        <v>562. </v>
      </c>
    </row>
    <row r="2441" hidden="1">
      <c r="A2441" s="305"/>
      <c r="B2441" s="224"/>
      <c r="C2441" s="224"/>
      <c r="D2441" s="224"/>
      <c r="E2441" s="224"/>
    </row>
    <row r="2442" hidden="1">
      <c r="A2442" s="310"/>
      <c r="B2442" s="311"/>
      <c r="C2442" s="314"/>
      <c r="D2442" s="314"/>
      <c r="E2442" s="314"/>
    </row>
    <row r="2443" hidden="1">
      <c r="A2443" s="221"/>
      <c r="B2443" s="198"/>
      <c r="C2443" s="190"/>
      <c r="D2443" s="190"/>
      <c r="E2443" s="190"/>
      <c r="F2443" s="195">
        <v>563.0</v>
      </c>
      <c r="G2443" s="188" t="str">
        <f>IFERROR(__xludf.DUMMYFUNCTION("TRIM(REGEXREPLACE(C2443, ""[0-9]+[a-f]?\."", """"))"),"")</f>
        <v/>
      </c>
      <c r="H2443" s="188" t="str">
        <f>IFERROR(__xludf.DUMMYFUNCTION("TRIM(REGEXREPLACE(D2443, ""[0-9]+[a-f]?\."", """"))"),"")</f>
        <v/>
      </c>
      <c r="I2443" s="188" t="str">
        <f>IFERROR(__xludf.DUMMYFUNCTION("TRIM(REGEXREPLACE(E2443, ""[0-9]+[a-f]?\."", """"))"),"")</f>
        <v/>
      </c>
      <c r="J2443" s="188" t="str">
        <f t="shared" ref="J2443:L2443" si="359">$F2443 &amp; ". "&amp;G2443</f>
        <v>563. </v>
      </c>
      <c r="K2443" s="188" t="str">
        <f t="shared" si="359"/>
        <v>563. </v>
      </c>
      <c r="L2443" s="188" t="str">
        <f t="shared" si="359"/>
        <v>563. </v>
      </c>
    </row>
    <row r="2444" hidden="1">
      <c r="A2444" s="299"/>
      <c r="B2444" s="300"/>
      <c r="C2444" s="190"/>
      <c r="D2444" s="190"/>
      <c r="E2444" s="190"/>
      <c r="F2444" s="195">
        <v>564.0</v>
      </c>
      <c r="G2444" s="188" t="str">
        <f>IFERROR(__xludf.DUMMYFUNCTION("TRIM(REGEXREPLACE(C2444, ""[0-9]+[a-f]?\."", """"))"),"")</f>
        <v/>
      </c>
      <c r="H2444" s="188" t="str">
        <f>IFERROR(__xludf.DUMMYFUNCTION("TRIM(REGEXREPLACE(D2444, ""[0-9]+[a-f]?\."", """"))"),"")</f>
        <v/>
      </c>
      <c r="I2444" s="188" t="str">
        <f>IFERROR(__xludf.DUMMYFUNCTION("TRIM(REGEXREPLACE(E2444, ""[0-9]+[a-f]?\."", """"))"),"")</f>
        <v/>
      </c>
      <c r="J2444" s="188" t="str">
        <f t="shared" ref="J2444:L2444" si="360">$F2444 &amp; ". "&amp;G2444</f>
        <v>564. </v>
      </c>
      <c r="K2444" s="188" t="str">
        <f t="shared" si="360"/>
        <v>564. </v>
      </c>
      <c r="L2444" s="188" t="str">
        <f t="shared" si="360"/>
        <v>564. </v>
      </c>
    </row>
    <row r="2445" hidden="1">
      <c r="A2445" s="297"/>
      <c r="B2445" s="298"/>
      <c r="C2445" s="190"/>
      <c r="D2445" s="190"/>
      <c r="E2445" s="190"/>
      <c r="F2445" s="195">
        <v>565.0</v>
      </c>
      <c r="G2445" s="188" t="str">
        <f>IFERROR(__xludf.DUMMYFUNCTION("TRIM(REGEXREPLACE(C2445, ""[0-9]+[a-f]?\."", """"))"),"")</f>
        <v/>
      </c>
      <c r="H2445" s="188" t="str">
        <f>IFERROR(__xludf.DUMMYFUNCTION("TRIM(REGEXREPLACE(D2445, ""[0-9]+[a-f]?\."", """"))"),"")</f>
        <v/>
      </c>
      <c r="I2445" s="188" t="str">
        <f>IFERROR(__xludf.DUMMYFUNCTION("TRIM(REGEXREPLACE(E2445, ""[0-9]+[a-f]?\."", """"))"),"")</f>
        <v/>
      </c>
      <c r="J2445" s="188" t="str">
        <f t="shared" ref="J2445:L2445" si="361">$F2445 &amp; ". "&amp;G2445</f>
        <v>565. </v>
      </c>
      <c r="K2445" s="188" t="str">
        <f t="shared" si="361"/>
        <v>565. </v>
      </c>
      <c r="L2445" s="188" t="str">
        <f t="shared" si="361"/>
        <v>565. </v>
      </c>
    </row>
    <row r="2446" hidden="1">
      <c r="A2446" s="221"/>
      <c r="B2446" s="198"/>
      <c r="C2446" s="190"/>
      <c r="D2446" s="190"/>
      <c r="E2446" s="190"/>
      <c r="F2446" s="195">
        <v>566.0</v>
      </c>
      <c r="G2446" s="188" t="str">
        <f>IFERROR(__xludf.DUMMYFUNCTION("TRIM(REGEXREPLACE(C2446, ""[0-9]+[a-f]?\."", """"))"),"")</f>
        <v/>
      </c>
      <c r="H2446" s="188" t="str">
        <f>IFERROR(__xludf.DUMMYFUNCTION("TRIM(REGEXREPLACE(D2446, ""[0-9]+[a-f]?\."", """"))"),"")</f>
        <v/>
      </c>
      <c r="I2446" s="188" t="str">
        <f>IFERROR(__xludf.DUMMYFUNCTION("TRIM(REGEXREPLACE(E2446, ""[0-9]+[a-f]?\."", """"))"),"")</f>
        <v/>
      </c>
      <c r="J2446" s="188" t="str">
        <f t="shared" ref="J2446:L2446" si="362">$F2446 &amp; ". "&amp;G2446</f>
        <v>566. </v>
      </c>
      <c r="K2446" s="188" t="str">
        <f t="shared" si="362"/>
        <v>566. </v>
      </c>
      <c r="L2446" s="188" t="str">
        <f t="shared" si="362"/>
        <v>566. </v>
      </c>
    </row>
    <row r="2447" hidden="1">
      <c r="A2447" s="271"/>
      <c r="B2447" s="165"/>
      <c r="C2447" s="190"/>
      <c r="D2447" s="190"/>
      <c r="E2447" s="190"/>
      <c r="F2447" s="195">
        <v>567.0</v>
      </c>
      <c r="G2447" s="188" t="str">
        <f>IFERROR(__xludf.DUMMYFUNCTION("TRIM(REGEXREPLACE(C2447, ""[0-9]+[a-f]?\."", """"))"),"")</f>
        <v/>
      </c>
      <c r="H2447" s="188" t="str">
        <f>IFERROR(__xludf.DUMMYFUNCTION("TRIM(REGEXREPLACE(D2447, ""[0-9]+[a-f]?\."", """"))"),"")</f>
        <v/>
      </c>
      <c r="I2447" s="188" t="str">
        <f>IFERROR(__xludf.DUMMYFUNCTION("TRIM(REGEXREPLACE(E2447, ""[0-9]+[a-f]?\."", """"))"),"")</f>
        <v/>
      </c>
      <c r="J2447" s="188" t="str">
        <f t="shared" ref="J2447:L2447" si="363">$F2447 &amp; ". "&amp;G2447</f>
        <v>567. </v>
      </c>
      <c r="K2447" s="188" t="str">
        <f t="shared" si="363"/>
        <v>567. </v>
      </c>
      <c r="L2447" s="188" t="str">
        <f t="shared" si="363"/>
        <v>567. </v>
      </c>
    </row>
    <row r="2448" hidden="1">
      <c r="A2448" s="310"/>
      <c r="B2448" s="315"/>
      <c r="C2448" s="406"/>
      <c r="D2448" s="406"/>
      <c r="E2448" s="406"/>
    </row>
    <row r="2449" hidden="1">
      <c r="A2449" s="310"/>
      <c r="B2449" s="315"/>
      <c r="C2449" s="406"/>
      <c r="D2449" s="406"/>
      <c r="E2449" s="406"/>
    </row>
    <row r="2450" hidden="1">
      <c r="A2450" s="221"/>
      <c r="B2450" s="198"/>
      <c r="C2450" s="381"/>
      <c r="D2450" s="381"/>
      <c r="E2450" s="381"/>
    </row>
    <row r="2451" hidden="1">
      <c r="A2451" s="221"/>
      <c r="B2451" s="198"/>
      <c r="C2451" s="381"/>
      <c r="D2451" s="381"/>
      <c r="E2451" s="381"/>
    </row>
    <row r="2452" hidden="1">
      <c r="A2452" s="310"/>
      <c r="B2452" s="315"/>
      <c r="C2452" s="406"/>
      <c r="D2452" s="406"/>
      <c r="E2452" s="406"/>
    </row>
    <row r="2453" hidden="1">
      <c r="A2453" s="310"/>
      <c r="B2453" s="315"/>
      <c r="C2453" s="315"/>
      <c r="D2453" s="406"/>
      <c r="E2453" s="406"/>
    </row>
    <row r="2454" hidden="1">
      <c r="A2454" s="221"/>
      <c r="B2454" s="198"/>
      <c r="C2454" s="309"/>
      <c r="D2454" s="381"/>
      <c r="E2454" s="381"/>
    </row>
    <row r="2455" hidden="1">
      <c r="A2455" s="221"/>
      <c r="B2455" s="198"/>
      <c r="C2455" s="381"/>
      <c r="D2455" s="381"/>
      <c r="E2455" s="381"/>
    </row>
    <row r="2456" hidden="1">
      <c r="A2456" s="292"/>
      <c r="B2456" s="292"/>
      <c r="C2456" s="263"/>
      <c r="D2456" s="292"/>
      <c r="E2456" s="292"/>
    </row>
    <row r="2457" hidden="1">
      <c r="A2457" s="395"/>
      <c r="B2457" s="395"/>
      <c r="C2457" s="406"/>
      <c r="D2457" s="354"/>
      <c r="E2457" s="354"/>
    </row>
    <row r="2458" hidden="1">
      <c r="A2458" s="292"/>
      <c r="B2458" s="292"/>
      <c r="C2458" s="263"/>
      <c r="D2458" s="292"/>
      <c r="E2458" s="292"/>
    </row>
    <row r="2459" hidden="1">
      <c r="A2459" s="141"/>
      <c r="B2459" s="142"/>
      <c r="C2459" s="143"/>
      <c r="D2459" s="141"/>
      <c r="E2459" s="141"/>
    </row>
    <row r="2460" hidden="1">
      <c r="A2460" s="201"/>
      <c r="B2460" s="202"/>
      <c r="C2460" s="190"/>
      <c r="D2460" s="190"/>
      <c r="E2460" s="190"/>
      <c r="F2460" s="195">
        <v>568.0</v>
      </c>
      <c r="G2460" s="188" t="str">
        <f>IFERROR(__xludf.DUMMYFUNCTION("TRIM(REGEXREPLACE(C2460, ""[0-9]+[a-f]?\."", """"))"),"")</f>
        <v/>
      </c>
      <c r="H2460" s="188" t="str">
        <f>IFERROR(__xludf.DUMMYFUNCTION("TRIM(REGEXREPLACE(D2460, ""[0-9]+[a-f]?\."", """"))"),"")</f>
        <v/>
      </c>
      <c r="I2460" s="188" t="str">
        <f>IFERROR(__xludf.DUMMYFUNCTION("TRIM(REGEXREPLACE(E2460, ""[0-9]+[a-f]?\."", """"))"),"")</f>
        <v/>
      </c>
      <c r="J2460" s="188" t="str">
        <f t="shared" ref="J2460:L2460" si="364">$F2460 &amp; ". "&amp;G2460</f>
        <v>568. </v>
      </c>
      <c r="K2460" s="188" t="str">
        <f t="shared" si="364"/>
        <v>568. </v>
      </c>
      <c r="L2460" s="188" t="str">
        <f t="shared" si="364"/>
        <v>568. </v>
      </c>
    </row>
    <row r="2461" hidden="1">
      <c r="A2461" s="258"/>
      <c r="B2461" s="259"/>
      <c r="C2461" s="190"/>
      <c r="D2461" s="190"/>
      <c r="E2461" s="190"/>
      <c r="F2461" s="195">
        <v>569.0</v>
      </c>
      <c r="G2461" s="188" t="str">
        <f>IFERROR(__xludf.DUMMYFUNCTION("TRIM(REGEXREPLACE(C2461, ""[0-9]+[a-f]?\."", """"))"),"")</f>
        <v/>
      </c>
      <c r="H2461" s="188" t="str">
        <f>IFERROR(__xludf.DUMMYFUNCTION("TRIM(REGEXREPLACE(D2461, ""[0-9]+[a-f]?\."", """"))"),"")</f>
        <v/>
      </c>
      <c r="I2461" s="188" t="str">
        <f>IFERROR(__xludf.DUMMYFUNCTION("TRIM(REGEXREPLACE(E2461, ""[0-9]+[a-f]?\."", """"))"),"")</f>
        <v/>
      </c>
      <c r="J2461" s="188" t="str">
        <f t="shared" ref="J2461:L2461" si="365">$F2461 &amp; ". "&amp;G2461</f>
        <v>569. </v>
      </c>
      <c r="K2461" s="188" t="str">
        <f t="shared" si="365"/>
        <v>569. </v>
      </c>
      <c r="L2461" s="188" t="str">
        <f t="shared" si="365"/>
        <v>569. </v>
      </c>
    </row>
    <row r="2462" hidden="1">
      <c r="A2462" s="258"/>
      <c r="B2462" s="259"/>
      <c r="C2462" s="190"/>
      <c r="D2462" s="190"/>
      <c r="E2462" s="190"/>
      <c r="F2462" s="195">
        <v>570.0</v>
      </c>
      <c r="G2462" s="188" t="str">
        <f>IFERROR(__xludf.DUMMYFUNCTION("TRIM(REGEXREPLACE(C2462, ""[0-9]+[a-f]?\."", """"))"),"")</f>
        <v/>
      </c>
      <c r="H2462" s="188" t="str">
        <f>IFERROR(__xludf.DUMMYFUNCTION("TRIM(REGEXREPLACE(D2462, ""[0-9]+[a-f]?\."", """"))"),"")</f>
        <v/>
      </c>
      <c r="I2462" s="188" t="str">
        <f>IFERROR(__xludf.DUMMYFUNCTION("TRIM(REGEXREPLACE(E2462, ""[0-9]+[a-f]?\."", """"))"),"")</f>
        <v/>
      </c>
      <c r="J2462" s="188" t="str">
        <f t="shared" ref="J2462:L2462" si="366">$F2462 &amp; ". "&amp;G2462</f>
        <v>570. </v>
      </c>
      <c r="K2462" s="188" t="str">
        <f t="shared" si="366"/>
        <v>570. </v>
      </c>
      <c r="L2462" s="188" t="str">
        <f t="shared" si="366"/>
        <v>570. </v>
      </c>
    </row>
    <row r="2463" hidden="1">
      <c r="A2463" s="258"/>
      <c r="B2463" s="259"/>
      <c r="C2463" s="190"/>
      <c r="D2463" s="190"/>
      <c r="E2463" s="190"/>
      <c r="F2463" s="195">
        <v>571.0</v>
      </c>
      <c r="G2463" s="188" t="str">
        <f>IFERROR(__xludf.DUMMYFUNCTION("TRIM(REGEXREPLACE(C2463, ""[0-9]+[a-f]?\."", """"))"),"")</f>
        <v/>
      </c>
      <c r="H2463" s="188" t="str">
        <f>IFERROR(__xludf.DUMMYFUNCTION("TRIM(REGEXREPLACE(D2463, ""[0-9]+[a-f]?\."", """"))"),"")</f>
        <v/>
      </c>
      <c r="I2463" s="188" t="str">
        <f>IFERROR(__xludf.DUMMYFUNCTION("TRIM(REGEXREPLACE(E2463, ""[0-9]+[a-f]?\."", """"))"),"")</f>
        <v/>
      </c>
      <c r="J2463" s="188" t="str">
        <f t="shared" ref="J2463:L2463" si="367">$F2463 &amp; ". "&amp;G2463</f>
        <v>571. </v>
      </c>
      <c r="K2463" s="188" t="str">
        <f t="shared" si="367"/>
        <v>571. </v>
      </c>
      <c r="L2463" s="188" t="str">
        <f t="shared" si="367"/>
        <v>571. </v>
      </c>
    </row>
    <row r="2464" hidden="1">
      <c r="A2464" s="258"/>
      <c r="B2464" s="259"/>
      <c r="C2464" s="190"/>
      <c r="D2464" s="190"/>
      <c r="E2464" s="190"/>
      <c r="F2464" s="195">
        <v>572.0</v>
      </c>
      <c r="G2464" s="188" t="str">
        <f>IFERROR(__xludf.DUMMYFUNCTION("TRIM(REGEXREPLACE(C2464, ""[0-9]+[a-f]?\."", """"))"),"")</f>
        <v/>
      </c>
      <c r="H2464" s="188" t="str">
        <f>IFERROR(__xludf.DUMMYFUNCTION("TRIM(REGEXREPLACE(D2464, ""[0-9]+[a-f]?\."", """"))"),"")</f>
        <v/>
      </c>
      <c r="I2464" s="188" t="str">
        <f>IFERROR(__xludf.DUMMYFUNCTION("TRIM(REGEXREPLACE(E2464, ""[0-9]+[a-f]?\."", """"))"),"")</f>
        <v/>
      </c>
      <c r="J2464" s="188" t="str">
        <f t="shared" ref="J2464:L2464" si="368">$F2464 &amp; ". "&amp;G2464</f>
        <v>572. </v>
      </c>
      <c r="K2464" s="188" t="str">
        <f t="shared" si="368"/>
        <v>572. </v>
      </c>
      <c r="L2464" s="188" t="str">
        <f t="shared" si="368"/>
        <v>572. </v>
      </c>
    </row>
    <row r="2465" hidden="1">
      <c r="A2465" s="258"/>
      <c r="B2465" s="259"/>
      <c r="C2465" s="190"/>
      <c r="D2465" s="190"/>
      <c r="E2465" s="190"/>
      <c r="F2465" s="195">
        <v>573.0</v>
      </c>
      <c r="G2465" s="188" t="str">
        <f>IFERROR(__xludf.DUMMYFUNCTION("TRIM(REGEXREPLACE(C2465, ""[0-9]+[a-f]?\."", """"))"),"")</f>
        <v/>
      </c>
      <c r="H2465" s="188" t="str">
        <f>IFERROR(__xludf.DUMMYFUNCTION("TRIM(REGEXREPLACE(D2465, ""[0-9]+[a-f]?\."", """"))"),"")</f>
        <v/>
      </c>
      <c r="I2465" s="188" t="str">
        <f>IFERROR(__xludf.DUMMYFUNCTION("TRIM(REGEXREPLACE(E2465, ""[0-9]+[a-f]?\."", """"))"),"")</f>
        <v/>
      </c>
      <c r="J2465" s="188" t="str">
        <f t="shared" ref="J2465:L2465" si="369">$F2465 &amp; ". "&amp;G2465</f>
        <v>573. </v>
      </c>
      <c r="K2465" s="188" t="str">
        <f t="shared" si="369"/>
        <v>573. </v>
      </c>
      <c r="L2465" s="188" t="str">
        <f t="shared" si="369"/>
        <v>573. </v>
      </c>
    </row>
    <row r="2466" hidden="1">
      <c r="A2466" s="258"/>
      <c r="B2466" s="259"/>
      <c r="C2466" s="190"/>
      <c r="D2466" s="190"/>
      <c r="E2466" s="190"/>
      <c r="F2466" s="195">
        <v>574.0</v>
      </c>
      <c r="G2466" s="188" t="str">
        <f>IFERROR(__xludf.DUMMYFUNCTION("TRIM(REGEXREPLACE(C2466, ""[0-9]+[a-f]?\."", """"))"),"")</f>
        <v/>
      </c>
      <c r="H2466" s="188" t="str">
        <f>IFERROR(__xludf.DUMMYFUNCTION("TRIM(REGEXREPLACE(D2466, ""[0-9]+[a-f]?\."", """"))"),"")</f>
        <v/>
      </c>
      <c r="I2466" s="188" t="str">
        <f>IFERROR(__xludf.DUMMYFUNCTION("TRIM(REGEXREPLACE(E2466, ""[0-9]+[a-f]?\."", """"))"),"")</f>
        <v/>
      </c>
      <c r="J2466" s="188" t="str">
        <f t="shared" ref="J2466:L2466" si="370">$F2466 &amp; ". "&amp;G2466</f>
        <v>574. </v>
      </c>
      <c r="K2466" s="188" t="str">
        <f t="shared" si="370"/>
        <v>574. </v>
      </c>
      <c r="L2466" s="188" t="str">
        <f t="shared" si="370"/>
        <v>574. </v>
      </c>
    </row>
    <row r="2467" hidden="1">
      <c r="A2467" s="305"/>
      <c r="B2467" s="224"/>
      <c r="C2467" s="190"/>
      <c r="D2467" s="190"/>
      <c r="E2467" s="190"/>
      <c r="F2467" s="195">
        <v>575.0</v>
      </c>
      <c r="G2467" s="188" t="str">
        <f>IFERROR(__xludf.DUMMYFUNCTION("TRIM(REGEXREPLACE(C2467, ""[0-9]+[a-f]?\."", """"))"),"")</f>
        <v/>
      </c>
      <c r="H2467" s="188" t="str">
        <f>IFERROR(__xludf.DUMMYFUNCTION("TRIM(REGEXREPLACE(D2467, ""[0-9]+[a-f]?\."", """"))"),"")</f>
        <v/>
      </c>
      <c r="I2467" s="188" t="str">
        <f>IFERROR(__xludf.DUMMYFUNCTION("TRIM(REGEXREPLACE(E2467, ""[0-9]+[a-f]?\."", """"))"),"")</f>
        <v/>
      </c>
      <c r="J2467" s="188" t="str">
        <f t="shared" ref="J2467:L2467" si="371">$F2467 &amp; ". "&amp;G2467</f>
        <v>575. </v>
      </c>
      <c r="K2467" s="188" t="str">
        <f t="shared" si="371"/>
        <v>575. </v>
      </c>
      <c r="L2467" s="188" t="str">
        <f t="shared" si="371"/>
        <v>575. </v>
      </c>
    </row>
    <row r="2468" hidden="1">
      <c r="A2468" s="320"/>
      <c r="B2468" s="321"/>
      <c r="C2468" s="190"/>
      <c r="D2468" s="190"/>
      <c r="E2468" s="190"/>
      <c r="F2468" s="195">
        <v>576.0</v>
      </c>
      <c r="G2468" s="188" t="str">
        <f>IFERROR(__xludf.DUMMYFUNCTION("TRIM(REGEXREPLACE(C2468, ""[0-9]+[a-f]?\."", """"))"),"")</f>
        <v/>
      </c>
      <c r="H2468" s="188" t="str">
        <f>IFERROR(__xludf.DUMMYFUNCTION("TRIM(REGEXREPLACE(D2468, ""[0-9]+[a-f]?\."", """"))"),"")</f>
        <v/>
      </c>
      <c r="I2468" s="188" t="str">
        <f>IFERROR(__xludf.DUMMYFUNCTION("TRIM(REGEXREPLACE(E2468, ""[0-9]+[a-f]?\."", """"))"),"")</f>
        <v/>
      </c>
      <c r="J2468" s="188" t="str">
        <f t="shared" ref="J2468:L2468" si="372">$F2468 &amp; ". "&amp;G2468</f>
        <v>576. </v>
      </c>
      <c r="K2468" s="188" t="str">
        <f t="shared" si="372"/>
        <v>576. </v>
      </c>
      <c r="L2468" s="188" t="str">
        <f t="shared" si="372"/>
        <v>576. </v>
      </c>
    </row>
    <row r="2469" hidden="1">
      <c r="A2469" s="320"/>
      <c r="B2469" s="321"/>
      <c r="C2469" s="190"/>
      <c r="D2469" s="190"/>
      <c r="E2469" s="190"/>
      <c r="F2469" s="195">
        <v>577.0</v>
      </c>
      <c r="G2469" s="188" t="str">
        <f>IFERROR(__xludf.DUMMYFUNCTION("TRIM(REGEXREPLACE(C2469, ""[0-9]+[a-f]?\."", """"))"),"")</f>
        <v/>
      </c>
      <c r="H2469" s="188" t="str">
        <f>IFERROR(__xludf.DUMMYFUNCTION("TRIM(REGEXREPLACE(D2469, ""[0-9]+[a-f]?\."", """"))"),"")</f>
        <v/>
      </c>
      <c r="I2469" s="188" t="str">
        <f>IFERROR(__xludf.DUMMYFUNCTION("TRIM(REGEXREPLACE(E2469, ""[0-9]+[a-f]?\."", """"))"),"")</f>
        <v/>
      </c>
      <c r="J2469" s="188" t="str">
        <f t="shared" ref="J2469:L2469" si="373">$F2469 &amp; ". "&amp;G2469</f>
        <v>577. </v>
      </c>
      <c r="K2469" s="188" t="str">
        <f t="shared" si="373"/>
        <v>577. </v>
      </c>
      <c r="L2469" s="188" t="str">
        <f t="shared" si="373"/>
        <v>577. </v>
      </c>
    </row>
    <row r="2470" hidden="1">
      <c r="A2470" s="306"/>
      <c r="B2470" s="307"/>
      <c r="C2470" s="190"/>
      <c r="D2470" s="190"/>
      <c r="E2470" s="190"/>
      <c r="F2470" s="195">
        <v>578.0</v>
      </c>
      <c r="G2470" s="188" t="str">
        <f>IFERROR(__xludf.DUMMYFUNCTION("TRIM(REGEXREPLACE(C2470, ""[0-9]+[a-f]?\."", """"))"),"")</f>
        <v/>
      </c>
      <c r="H2470" s="188" t="str">
        <f>IFERROR(__xludf.DUMMYFUNCTION("TRIM(REGEXREPLACE(D2470, ""[0-9]+[a-f]?\."", """"))"),"")</f>
        <v/>
      </c>
      <c r="I2470" s="188" t="str">
        <f>IFERROR(__xludf.DUMMYFUNCTION("TRIM(REGEXREPLACE(E2470, ""[0-9]+[a-f]?\."", """"))"),"")</f>
        <v/>
      </c>
      <c r="J2470" s="188" t="str">
        <f t="shared" ref="J2470:L2470" si="374">$F2470 &amp; ". "&amp;G2470</f>
        <v>578. </v>
      </c>
      <c r="K2470" s="188" t="str">
        <f t="shared" si="374"/>
        <v>578. </v>
      </c>
      <c r="L2470" s="188" t="str">
        <f t="shared" si="374"/>
        <v>578. </v>
      </c>
    </row>
    <row r="2471" hidden="1">
      <c r="A2471" s="297"/>
      <c r="B2471" s="298"/>
      <c r="C2471" s="190"/>
      <c r="D2471" s="190"/>
      <c r="E2471" s="190"/>
      <c r="F2471" s="195">
        <v>579.0</v>
      </c>
      <c r="G2471" s="188" t="str">
        <f>IFERROR(__xludf.DUMMYFUNCTION("TRIM(REGEXREPLACE(C2471, ""[0-9]+[a-f]?\."", """"))"),"")</f>
        <v/>
      </c>
      <c r="H2471" s="188" t="str">
        <f>IFERROR(__xludf.DUMMYFUNCTION("TRIM(REGEXREPLACE(D2471, ""[0-9]+[a-f]?\."", """"))"),"")</f>
        <v/>
      </c>
      <c r="I2471" s="188" t="str">
        <f>IFERROR(__xludf.DUMMYFUNCTION("TRIM(REGEXREPLACE(E2471, ""[0-9]+[a-f]?\."", """"))"),"")</f>
        <v/>
      </c>
      <c r="J2471" s="188" t="str">
        <f t="shared" ref="J2471:L2471" si="375">$F2471 &amp; ". "&amp;G2471</f>
        <v>579. </v>
      </c>
      <c r="K2471" s="188" t="str">
        <f t="shared" si="375"/>
        <v>579. </v>
      </c>
      <c r="L2471" s="188" t="str">
        <f t="shared" si="375"/>
        <v>579. </v>
      </c>
    </row>
    <row r="2472" hidden="1">
      <c r="A2472" s="306"/>
      <c r="B2472" s="307"/>
      <c r="C2472" s="190"/>
      <c r="D2472" s="190"/>
      <c r="E2472" s="190"/>
      <c r="F2472" s="195">
        <v>580.0</v>
      </c>
      <c r="G2472" s="188" t="str">
        <f>IFERROR(__xludf.DUMMYFUNCTION("TRIM(REGEXREPLACE(C2472, ""[0-9]+[a-f]?\."", """"))"),"")</f>
        <v/>
      </c>
      <c r="H2472" s="188" t="str">
        <f>IFERROR(__xludf.DUMMYFUNCTION("TRIM(REGEXREPLACE(D2472, ""[0-9]+[a-f]?\."", """"))"),"")</f>
        <v/>
      </c>
      <c r="I2472" s="188" t="str">
        <f>IFERROR(__xludf.DUMMYFUNCTION("TRIM(REGEXREPLACE(E2472, ""[0-9]+[a-f]?\."", """"))"),"")</f>
        <v/>
      </c>
      <c r="J2472" s="188" t="str">
        <f t="shared" ref="J2472:L2472" si="376">$F2472 &amp; ". "&amp;G2472</f>
        <v>580. </v>
      </c>
      <c r="K2472" s="188" t="str">
        <f t="shared" si="376"/>
        <v>580. </v>
      </c>
      <c r="L2472" s="188" t="str">
        <f t="shared" si="376"/>
        <v>580. </v>
      </c>
    </row>
    <row r="2473" hidden="1">
      <c r="A2473" s="396"/>
      <c r="B2473" s="274"/>
      <c r="C2473" s="165"/>
      <c r="D2473" s="396"/>
      <c r="E2473" s="396"/>
    </row>
    <row r="2474" hidden="1">
      <c r="A2474" s="299"/>
      <c r="B2474" s="300"/>
      <c r="C2474" s="190"/>
      <c r="D2474" s="190"/>
      <c r="E2474" s="190"/>
      <c r="F2474" s="195">
        <v>581.0</v>
      </c>
      <c r="G2474" s="188" t="str">
        <f>IFERROR(__xludf.DUMMYFUNCTION("TRIM(REGEXREPLACE(C2474, ""[0-9]+[a-f]?\."", """"))"),"")</f>
        <v/>
      </c>
      <c r="H2474" s="188" t="str">
        <f>IFERROR(__xludf.DUMMYFUNCTION("TRIM(REGEXREPLACE(D2474, ""[0-9]+[a-f]?\."", """"))"),"")</f>
        <v/>
      </c>
      <c r="I2474" s="188" t="str">
        <f>IFERROR(__xludf.DUMMYFUNCTION("TRIM(REGEXREPLACE(E2474, ""[0-9]+[a-f]?\."", """"))"),"")</f>
        <v/>
      </c>
      <c r="J2474" s="188" t="str">
        <f t="shared" ref="J2474:L2474" si="377">$F2474 &amp; ". "&amp;G2474</f>
        <v>581. </v>
      </c>
      <c r="K2474" s="188" t="str">
        <f t="shared" si="377"/>
        <v>581. </v>
      </c>
      <c r="L2474" s="188" t="str">
        <f t="shared" si="377"/>
        <v>581. </v>
      </c>
    </row>
    <row r="2475" hidden="1">
      <c r="A2475" s="396"/>
      <c r="B2475" s="396"/>
      <c r="C2475" s="178"/>
      <c r="D2475" s="396"/>
      <c r="E2475" s="396"/>
    </row>
    <row r="2476" hidden="1">
      <c r="A2476" s="306"/>
      <c r="B2476" s="307"/>
      <c r="C2476" s="190"/>
      <c r="D2476" s="190"/>
      <c r="E2476" s="190"/>
      <c r="F2476" s="195">
        <v>582.0</v>
      </c>
      <c r="G2476" s="188" t="str">
        <f>IFERROR(__xludf.DUMMYFUNCTION("TRIM(REGEXREPLACE(C2476, ""[0-9]+[a-f]?\."", """"))"),"")</f>
        <v/>
      </c>
      <c r="H2476" s="188" t="str">
        <f>IFERROR(__xludf.DUMMYFUNCTION("TRIM(REGEXREPLACE(D2476, ""[0-9]+[a-f]?\."", """"))"),"")</f>
        <v/>
      </c>
      <c r="I2476" s="188" t="str">
        <f>IFERROR(__xludf.DUMMYFUNCTION("TRIM(REGEXREPLACE(E2476, ""[0-9]+[a-f]?\."", """"))"),"")</f>
        <v/>
      </c>
      <c r="J2476" s="188" t="str">
        <f t="shared" ref="J2476:L2476" si="378">$F2476 &amp; ". "&amp;G2476</f>
        <v>582. </v>
      </c>
      <c r="K2476" s="188" t="str">
        <f t="shared" si="378"/>
        <v>582. </v>
      </c>
      <c r="L2476" s="188" t="str">
        <f t="shared" si="378"/>
        <v>582. </v>
      </c>
    </row>
    <row r="2477" hidden="1">
      <c r="A2477" s="141"/>
      <c r="B2477" s="142"/>
      <c r="C2477" s="143"/>
      <c r="D2477" s="141"/>
      <c r="E2477" s="141"/>
    </row>
    <row r="2478" hidden="1">
      <c r="A2478" s="306"/>
      <c r="B2478" s="307"/>
      <c r="C2478" s="190"/>
      <c r="D2478" s="190"/>
      <c r="E2478" s="190"/>
      <c r="F2478" s="195">
        <v>583.0</v>
      </c>
      <c r="G2478" s="188" t="str">
        <f>IFERROR(__xludf.DUMMYFUNCTION("TRIM(REGEXREPLACE(C2478, ""[0-9]+[a-f]?\."", """"))"),"")</f>
        <v/>
      </c>
      <c r="H2478" s="188" t="str">
        <f>IFERROR(__xludf.DUMMYFUNCTION("TRIM(REGEXREPLACE(D2478, ""[0-9]+[a-f]?\."", """"))"),"")</f>
        <v/>
      </c>
      <c r="I2478" s="188" t="str">
        <f>IFERROR(__xludf.DUMMYFUNCTION("TRIM(REGEXREPLACE(E2478, ""[0-9]+[a-f]?\."", """"))"),"")</f>
        <v/>
      </c>
      <c r="J2478" s="188" t="str">
        <f t="shared" ref="J2478:L2478" si="379">$F2478 &amp; ". "&amp;G2478</f>
        <v>583. </v>
      </c>
      <c r="K2478" s="188" t="str">
        <f t="shared" si="379"/>
        <v>583. </v>
      </c>
      <c r="L2478" s="188" t="str">
        <f t="shared" si="379"/>
        <v>583. </v>
      </c>
    </row>
    <row r="2479" hidden="1">
      <c r="A2479" s="221"/>
      <c r="B2479" s="198"/>
      <c r="C2479" s="190"/>
      <c r="D2479" s="190"/>
      <c r="E2479" s="190"/>
      <c r="F2479" s="195">
        <v>584.0</v>
      </c>
      <c r="G2479" s="188" t="str">
        <f>IFERROR(__xludf.DUMMYFUNCTION("TRIM(REGEXREPLACE(C2479, ""[0-9]+[a-f]?\."", """"))"),"")</f>
        <v/>
      </c>
      <c r="H2479" s="188" t="str">
        <f>IFERROR(__xludf.DUMMYFUNCTION("TRIM(REGEXREPLACE(D2479, ""[0-9]+[a-f]?\."", """"))"),"")</f>
        <v/>
      </c>
      <c r="I2479" s="188" t="str">
        <f>IFERROR(__xludf.DUMMYFUNCTION("TRIM(REGEXREPLACE(E2479, ""[0-9]+[a-f]?\."", """"))"),"")</f>
        <v/>
      </c>
      <c r="J2479" s="188" t="str">
        <f t="shared" ref="J2479:L2479" si="380">$F2479 &amp; ". "&amp;G2479</f>
        <v>584. </v>
      </c>
      <c r="K2479" s="188" t="str">
        <f t="shared" si="380"/>
        <v>584. </v>
      </c>
      <c r="L2479" s="188" t="str">
        <f t="shared" si="380"/>
        <v>584. </v>
      </c>
    </row>
    <row r="2480" hidden="1">
      <c r="A2480" s="141"/>
      <c r="B2480" s="141"/>
      <c r="C2480" s="152"/>
      <c r="D2480" s="141"/>
      <c r="E2480" s="141"/>
    </row>
    <row r="2481" hidden="1">
      <c r="A2481" s="66"/>
      <c r="B2481" s="67"/>
      <c r="C2481" s="84"/>
      <c r="D2481" s="66"/>
      <c r="E2481" s="66"/>
    </row>
    <row r="2482" hidden="1">
      <c r="A2482" s="299"/>
      <c r="B2482" s="300"/>
      <c r="C2482" s="190"/>
      <c r="D2482" s="190"/>
      <c r="E2482" s="190"/>
      <c r="F2482" s="195">
        <v>585.0</v>
      </c>
      <c r="G2482" s="188" t="str">
        <f>IFERROR(__xludf.DUMMYFUNCTION("TRIM(REGEXREPLACE(C2482, ""[0-9]+[a-f]?\."", """"))"),"")</f>
        <v/>
      </c>
      <c r="H2482" s="188" t="str">
        <f>IFERROR(__xludf.DUMMYFUNCTION("TRIM(REGEXREPLACE(D2482, ""[0-9]+[a-f]?\."", """"))"),"")</f>
        <v/>
      </c>
      <c r="I2482" s="188" t="str">
        <f>IFERROR(__xludf.DUMMYFUNCTION("TRIM(REGEXREPLACE(E2482, ""[0-9]+[a-f]?\."", """"))"),"")</f>
        <v/>
      </c>
      <c r="J2482" s="188" t="str">
        <f t="shared" ref="J2482:L2482" si="381">$F2482 &amp; ". "&amp;G2482</f>
        <v>585. </v>
      </c>
      <c r="K2482" s="188" t="str">
        <f t="shared" si="381"/>
        <v>585. </v>
      </c>
      <c r="L2482" s="188" t="str">
        <f t="shared" si="381"/>
        <v>585. </v>
      </c>
    </row>
    <row r="2483" hidden="1">
      <c r="A2483" s="299"/>
      <c r="B2483" s="300"/>
      <c r="C2483" s="190"/>
      <c r="D2483" s="190"/>
      <c r="E2483" s="190"/>
      <c r="F2483" s="195">
        <v>586.0</v>
      </c>
      <c r="G2483" s="188" t="str">
        <f>IFERROR(__xludf.DUMMYFUNCTION("TRIM(REGEXREPLACE(C2483, ""[0-9]+[a-f]?\."", """"))"),"")</f>
        <v/>
      </c>
      <c r="H2483" s="188" t="str">
        <f>IFERROR(__xludf.DUMMYFUNCTION("TRIM(REGEXREPLACE(D2483, ""[0-9]+[a-f]?\."", """"))"),"")</f>
        <v/>
      </c>
      <c r="I2483" s="188" t="str">
        <f>IFERROR(__xludf.DUMMYFUNCTION("TRIM(REGEXREPLACE(E2483, ""[0-9]+[a-f]?\."", """"))"),"")</f>
        <v/>
      </c>
      <c r="J2483" s="188" t="str">
        <f t="shared" ref="J2483:L2483" si="382">$F2483 &amp; ". "&amp;G2483</f>
        <v>586. </v>
      </c>
      <c r="K2483" s="188" t="str">
        <f t="shared" si="382"/>
        <v>586. </v>
      </c>
      <c r="L2483" s="188" t="str">
        <f t="shared" si="382"/>
        <v>586. </v>
      </c>
    </row>
    <row r="2484" hidden="1">
      <c r="A2484" s="306"/>
      <c r="B2484" s="307"/>
      <c r="C2484" s="190"/>
      <c r="D2484" s="190"/>
      <c r="E2484" s="190"/>
      <c r="F2484" s="195">
        <v>587.0</v>
      </c>
      <c r="G2484" s="188" t="str">
        <f>IFERROR(__xludf.DUMMYFUNCTION("TRIM(REGEXREPLACE(C2484, ""[0-9]+[a-f]?\."", """"))"),"")</f>
        <v/>
      </c>
      <c r="H2484" s="188" t="str">
        <f>IFERROR(__xludf.DUMMYFUNCTION("TRIM(REGEXREPLACE(D2484, ""[0-9]+[a-f]?\."", """"))"),"")</f>
        <v/>
      </c>
      <c r="I2484" s="188" t="str">
        <f>IFERROR(__xludf.DUMMYFUNCTION("TRIM(REGEXREPLACE(E2484, ""[0-9]+[a-f]?\."", """"))"),"")</f>
        <v/>
      </c>
      <c r="J2484" s="188" t="str">
        <f t="shared" ref="J2484:L2484" si="383">$F2484 &amp; ". "&amp;G2484</f>
        <v>587. </v>
      </c>
      <c r="K2484" s="188" t="str">
        <f t="shared" si="383"/>
        <v>587. </v>
      </c>
      <c r="L2484" s="188" t="str">
        <f t="shared" si="383"/>
        <v>587. </v>
      </c>
    </row>
    <row r="2485" hidden="1">
      <c r="A2485" s="306"/>
      <c r="B2485" s="307"/>
      <c r="C2485" s="190"/>
      <c r="D2485" s="190"/>
      <c r="E2485" s="190"/>
      <c r="F2485" s="195">
        <v>588.0</v>
      </c>
      <c r="G2485" s="188" t="str">
        <f>IFERROR(__xludf.DUMMYFUNCTION("TRIM(REGEXREPLACE(C2485, ""[0-9]+[a-f]?\."", """"))"),"")</f>
        <v/>
      </c>
      <c r="H2485" s="188" t="str">
        <f>IFERROR(__xludf.DUMMYFUNCTION("TRIM(REGEXREPLACE(D2485, ""[0-9]+[a-f]?\."", """"))"),"")</f>
        <v/>
      </c>
      <c r="I2485" s="188" t="str">
        <f>IFERROR(__xludf.DUMMYFUNCTION("TRIM(REGEXREPLACE(E2485, ""[0-9]+[a-f]?\."", """"))"),"")</f>
        <v/>
      </c>
      <c r="J2485" s="188" t="str">
        <f t="shared" ref="J2485:L2485" si="384">$F2485 &amp; ". "&amp;G2485</f>
        <v>588. </v>
      </c>
      <c r="K2485" s="188" t="str">
        <f t="shared" si="384"/>
        <v>588. </v>
      </c>
      <c r="L2485" s="188" t="str">
        <f t="shared" si="384"/>
        <v>588. </v>
      </c>
    </row>
    <row r="2486" hidden="1">
      <c r="A2486" s="297"/>
      <c r="B2486" s="298"/>
      <c r="C2486" s="190"/>
      <c r="D2486" s="190"/>
      <c r="E2486" s="190"/>
      <c r="F2486" s="195">
        <v>589.0</v>
      </c>
      <c r="G2486" s="188" t="str">
        <f>IFERROR(__xludf.DUMMYFUNCTION("TRIM(REGEXREPLACE(C2486, ""[0-9]+[a-f]?\."", """"))"),"")</f>
        <v/>
      </c>
      <c r="H2486" s="188" t="str">
        <f>IFERROR(__xludf.DUMMYFUNCTION("TRIM(REGEXREPLACE(D2486, ""[0-9]+[a-f]?\."", """"))"),"")</f>
        <v/>
      </c>
      <c r="I2486" s="188" t="str">
        <f>IFERROR(__xludf.DUMMYFUNCTION("TRIM(REGEXREPLACE(E2486, ""[0-9]+[a-f]?\."", """"))"),"")</f>
        <v/>
      </c>
      <c r="J2486" s="188" t="str">
        <f t="shared" ref="J2486:L2486" si="385">$F2486 &amp; ". "&amp;G2486</f>
        <v>589. </v>
      </c>
      <c r="K2486" s="188" t="str">
        <f t="shared" si="385"/>
        <v>589. </v>
      </c>
      <c r="L2486" s="188" t="str">
        <f t="shared" si="385"/>
        <v>589. </v>
      </c>
    </row>
    <row r="2487" hidden="1">
      <c r="A2487" s="299"/>
      <c r="B2487" s="300"/>
      <c r="C2487" s="190"/>
      <c r="D2487" s="190"/>
      <c r="E2487" s="190"/>
      <c r="F2487" s="195">
        <v>590.0</v>
      </c>
      <c r="G2487" s="188" t="str">
        <f>IFERROR(__xludf.DUMMYFUNCTION("TRIM(REGEXREPLACE(C2487, ""[0-9]+[a-f]?\."", """"))"),"")</f>
        <v/>
      </c>
      <c r="H2487" s="188" t="str">
        <f>IFERROR(__xludf.DUMMYFUNCTION("TRIM(REGEXREPLACE(D2487, ""[0-9]+[a-f]?\."", """"))"),"")</f>
        <v/>
      </c>
      <c r="I2487" s="188" t="str">
        <f>IFERROR(__xludf.DUMMYFUNCTION("TRIM(REGEXREPLACE(E2487, ""[0-9]+[a-f]?\."", """"))"),"")</f>
        <v/>
      </c>
      <c r="J2487" s="188" t="str">
        <f t="shared" ref="J2487:L2487" si="386">$F2487 &amp; ". "&amp;G2487</f>
        <v>590. </v>
      </c>
      <c r="K2487" s="188" t="str">
        <f t="shared" si="386"/>
        <v>590. </v>
      </c>
      <c r="L2487" s="188" t="str">
        <f t="shared" si="386"/>
        <v>590. </v>
      </c>
    </row>
    <row r="2488" hidden="1">
      <c r="A2488" s="306"/>
      <c r="B2488" s="307"/>
      <c r="C2488" s="190"/>
      <c r="D2488" s="190"/>
      <c r="E2488" s="190"/>
      <c r="F2488" s="195">
        <v>591.0</v>
      </c>
      <c r="G2488" s="188" t="str">
        <f>IFERROR(__xludf.DUMMYFUNCTION("TRIM(REGEXREPLACE(C2488, ""[0-9]+[a-f]?\."", """"))"),"")</f>
        <v/>
      </c>
      <c r="H2488" s="188" t="str">
        <f>IFERROR(__xludf.DUMMYFUNCTION("TRIM(REGEXREPLACE(D2488, ""[0-9]+[a-f]?\."", """"))"),"")</f>
        <v/>
      </c>
      <c r="I2488" s="188" t="str">
        <f>IFERROR(__xludf.DUMMYFUNCTION("TRIM(REGEXREPLACE(E2488, ""[0-9]+[a-f]?\."", """"))"),"")</f>
        <v/>
      </c>
      <c r="J2488" s="188" t="str">
        <f t="shared" ref="J2488:L2488" si="387">$F2488 &amp; ". "&amp;G2488</f>
        <v>591. </v>
      </c>
      <c r="K2488" s="188" t="str">
        <f t="shared" si="387"/>
        <v>591. </v>
      </c>
      <c r="L2488" s="188" t="str">
        <f t="shared" si="387"/>
        <v>591. </v>
      </c>
    </row>
    <row r="2489" hidden="1">
      <c r="A2489" s="141"/>
      <c r="B2489" s="142"/>
      <c r="C2489" s="143"/>
      <c r="D2489" s="141"/>
      <c r="E2489" s="141"/>
    </row>
    <row r="2490" hidden="1">
      <c r="A2490" s="306"/>
      <c r="B2490" s="307"/>
      <c r="C2490" s="190"/>
      <c r="D2490" s="190"/>
      <c r="E2490" s="190"/>
      <c r="F2490" s="195">
        <v>592.0</v>
      </c>
      <c r="G2490" s="188" t="str">
        <f>IFERROR(__xludf.DUMMYFUNCTION("TRIM(REGEXREPLACE(C2490, ""[0-9]+[a-f]?\."", """"))"),"")</f>
        <v/>
      </c>
      <c r="H2490" s="188" t="str">
        <f>IFERROR(__xludf.DUMMYFUNCTION("TRIM(REGEXREPLACE(D2490, ""[0-9]+[a-f]?\."", """"))"),"")</f>
        <v/>
      </c>
      <c r="I2490" s="188" t="str">
        <f>IFERROR(__xludf.DUMMYFUNCTION("TRIM(REGEXREPLACE(E2490, ""[0-9]+[a-f]?\."", """"))"),"")</f>
        <v/>
      </c>
      <c r="J2490" s="188" t="str">
        <f t="shared" ref="J2490:L2490" si="388">$F2490 &amp; ". "&amp;G2490</f>
        <v>592. </v>
      </c>
      <c r="K2490" s="188" t="str">
        <f t="shared" si="388"/>
        <v>592. </v>
      </c>
      <c r="L2490" s="188" t="str">
        <f t="shared" si="388"/>
        <v>592. </v>
      </c>
    </row>
    <row r="2491" hidden="1">
      <c r="A2491" s="221"/>
      <c r="B2491" s="198"/>
      <c r="C2491" s="190"/>
      <c r="D2491" s="190"/>
      <c r="E2491" s="190"/>
      <c r="F2491" s="195">
        <v>593.0</v>
      </c>
      <c r="G2491" s="188" t="str">
        <f>IFERROR(__xludf.DUMMYFUNCTION("TRIM(REGEXREPLACE(C2491, ""[0-9]+[a-f]?\."", """"))"),"")</f>
        <v/>
      </c>
      <c r="H2491" s="188" t="str">
        <f>IFERROR(__xludf.DUMMYFUNCTION("TRIM(REGEXREPLACE(D2491, ""[0-9]+[a-f]?\."", """"))"),"")</f>
        <v/>
      </c>
      <c r="I2491" s="188" t="str">
        <f>IFERROR(__xludf.DUMMYFUNCTION("TRIM(REGEXREPLACE(E2491, ""[0-9]+[a-f]?\."", """"))"),"")</f>
        <v/>
      </c>
      <c r="J2491" s="188" t="str">
        <f t="shared" ref="J2491:L2491" si="389">$F2491 &amp; ". "&amp;G2491</f>
        <v>593. </v>
      </c>
      <c r="K2491" s="188" t="str">
        <f t="shared" si="389"/>
        <v>593. </v>
      </c>
      <c r="L2491" s="188" t="str">
        <f t="shared" si="389"/>
        <v>593. </v>
      </c>
    </row>
    <row r="2492" hidden="1">
      <c r="A2492" s="141"/>
      <c r="B2492" s="141"/>
      <c r="C2492" s="152"/>
      <c r="D2492" s="141"/>
      <c r="E2492" s="141"/>
    </row>
    <row r="2493" hidden="1">
      <c r="A2493" s="66"/>
      <c r="B2493" s="67"/>
      <c r="C2493" s="84"/>
      <c r="D2493" s="66"/>
      <c r="E2493" s="66"/>
    </row>
    <row r="2494" hidden="1">
      <c r="A2494" s="221"/>
      <c r="B2494" s="198"/>
      <c r="C2494" s="190"/>
      <c r="D2494" s="190"/>
      <c r="E2494" s="190"/>
      <c r="F2494" s="195">
        <v>594.0</v>
      </c>
      <c r="G2494" s="188" t="str">
        <f>IFERROR(__xludf.DUMMYFUNCTION("TRIM(REGEXREPLACE(C2494, ""[0-9]+[a-f]?\."", """"))"),"")</f>
        <v/>
      </c>
      <c r="H2494" s="188" t="str">
        <f>IFERROR(__xludf.DUMMYFUNCTION("TRIM(REGEXREPLACE(D2494, ""[0-9]+[a-f]?\."", """"))"),"")</f>
        <v/>
      </c>
      <c r="I2494" s="188" t="str">
        <f>IFERROR(__xludf.DUMMYFUNCTION("TRIM(REGEXREPLACE(E2494, ""[0-9]+[a-f]?\."", """"))"),"")</f>
        <v/>
      </c>
      <c r="J2494" s="188" t="str">
        <f t="shared" ref="J2494:L2494" si="390">$F2494 &amp; ". "&amp;G2494</f>
        <v>594. </v>
      </c>
      <c r="K2494" s="188" t="str">
        <f t="shared" si="390"/>
        <v>594. </v>
      </c>
      <c r="L2494" s="188" t="str">
        <f t="shared" si="390"/>
        <v>594. </v>
      </c>
    </row>
    <row r="2495" hidden="1">
      <c r="A2495" s="320"/>
      <c r="B2495" s="321"/>
      <c r="C2495" s="190"/>
      <c r="D2495" s="190"/>
      <c r="E2495" s="190"/>
      <c r="F2495" s="195">
        <v>595.0</v>
      </c>
      <c r="G2495" s="188" t="str">
        <f>IFERROR(__xludf.DUMMYFUNCTION("TRIM(REGEXREPLACE(C2495, ""[0-9]+[a-f]?\."", """"))"),"")</f>
        <v/>
      </c>
      <c r="H2495" s="188" t="str">
        <f>IFERROR(__xludf.DUMMYFUNCTION("TRIM(REGEXREPLACE(D2495, ""[0-9]+[a-f]?\."", """"))"),"")</f>
        <v/>
      </c>
      <c r="I2495" s="188" t="str">
        <f>IFERROR(__xludf.DUMMYFUNCTION("TRIM(REGEXREPLACE(E2495, ""[0-9]+[a-f]?\."", """"))"),"")</f>
        <v/>
      </c>
      <c r="J2495" s="188" t="str">
        <f t="shared" ref="J2495:L2495" si="391">$F2495 &amp; ". "&amp;G2495</f>
        <v>595. </v>
      </c>
      <c r="K2495" s="188" t="str">
        <f t="shared" si="391"/>
        <v>595. </v>
      </c>
      <c r="L2495" s="188" t="str">
        <f t="shared" si="391"/>
        <v>595. </v>
      </c>
    </row>
    <row r="2496" hidden="1">
      <c r="A2496" s="221"/>
      <c r="B2496" s="198"/>
      <c r="C2496" s="190"/>
      <c r="D2496" s="190"/>
      <c r="E2496" s="190"/>
      <c r="F2496" s="195">
        <v>596.0</v>
      </c>
      <c r="G2496" s="188" t="str">
        <f>IFERROR(__xludf.DUMMYFUNCTION("TRIM(REGEXREPLACE(C2496, ""[0-9]+[a-f]?\."", """"))"),"")</f>
        <v/>
      </c>
      <c r="H2496" s="188" t="str">
        <f>IFERROR(__xludf.DUMMYFUNCTION("TRIM(REGEXREPLACE(D2496, ""[0-9]+[a-f]?\."", """"))"),"")</f>
        <v/>
      </c>
      <c r="I2496" s="188" t="str">
        <f>IFERROR(__xludf.DUMMYFUNCTION("TRIM(REGEXREPLACE(E2496, ""[0-9]+[a-f]?\."", """"))"),"")</f>
        <v/>
      </c>
      <c r="J2496" s="188" t="str">
        <f t="shared" ref="J2496:L2496" si="392">$F2496 &amp; ". "&amp;G2496</f>
        <v>596. </v>
      </c>
      <c r="K2496" s="188" t="str">
        <f t="shared" si="392"/>
        <v>596. </v>
      </c>
      <c r="L2496" s="188" t="str">
        <f t="shared" si="392"/>
        <v>596. </v>
      </c>
    </row>
    <row r="2497" hidden="1">
      <c r="A2497" s="299"/>
      <c r="B2497" s="300"/>
      <c r="C2497" s="190"/>
      <c r="D2497" s="190"/>
      <c r="E2497" s="190"/>
      <c r="F2497" s="195">
        <v>597.0</v>
      </c>
      <c r="G2497" s="188" t="str">
        <f>IFERROR(__xludf.DUMMYFUNCTION("TRIM(REGEXREPLACE(C2497, ""[0-9]+[a-f]?\."", """"))"),"")</f>
        <v/>
      </c>
      <c r="H2497" s="188" t="str">
        <f>IFERROR(__xludf.DUMMYFUNCTION("TRIM(REGEXREPLACE(D2497, ""[0-9]+[a-f]?\."", """"))"),"")</f>
        <v/>
      </c>
      <c r="I2497" s="188" t="str">
        <f>IFERROR(__xludf.DUMMYFUNCTION("TRIM(REGEXREPLACE(E2497, ""[0-9]+[a-f]?\."", """"))"),"")</f>
        <v/>
      </c>
      <c r="J2497" s="188" t="str">
        <f t="shared" ref="J2497:L2497" si="393">$F2497 &amp; ". "&amp;G2497</f>
        <v>597. </v>
      </c>
      <c r="K2497" s="188" t="str">
        <f t="shared" si="393"/>
        <v>597. </v>
      </c>
      <c r="L2497" s="188" t="str">
        <f t="shared" si="393"/>
        <v>597. </v>
      </c>
    </row>
    <row r="2498" hidden="1">
      <c r="A2498" s="299"/>
      <c r="B2498" s="300"/>
      <c r="C2498" s="190"/>
      <c r="D2498" s="190"/>
      <c r="E2498" s="190"/>
      <c r="F2498" s="195">
        <v>598.0</v>
      </c>
      <c r="G2498" s="188" t="str">
        <f>IFERROR(__xludf.DUMMYFUNCTION("TRIM(REGEXREPLACE(C2498, ""[0-9]+[a-f]?\."", """"))"),"")</f>
        <v/>
      </c>
      <c r="H2498" s="188" t="str">
        <f>IFERROR(__xludf.DUMMYFUNCTION("TRIM(REGEXREPLACE(D2498, ""[0-9]+[a-f]?\."", """"))"),"")</f>
        <v/>
      </c>
      <c r="I2498" s="188" t="str">
        <f>IFERROR(__xludf.DUMMYFUNCTION("TRIM(REGEXREPLACE(E2498, ""[0-9]+[a-f]?\."", """"))"),"")</f>
        <v/>
      </c>
      <c r="J2498" s="188" t="str">
        <f t="shared" ref="J2498:L2498" si="394">$F2498 &amp; ". "&amp;G2498</f>
        <v>598. </v>
      </c>
      <c r="K2498" s="188" t="str">
        <f t="shared" si="394"/>
        <v>598. </v>
      </c>
      <c r="L2498" s="188" t="str">
        <f t="shared" si="394"/>
        <v>598. </v>
      </c>
    </row>
    <row r="2499" hidden="1">
      <c r="A2499" s="301"/>
      <c r="B2499" s="302"/>
      <c r="C2499" s="190"/>
      <c r="D2499" s="190"/>
      <c r="E2499" s="190"/>
      <c r="F2499" s="195">
        <v>599.0</v>
      </c>
      <c r="G2499" s="188" t="str">
        <f>IFERROR(__xludf.DUMMYFUNCTION("TRIM(REGEXREPLACE(C2499, ""[0-9]+[a-f]?\."", """"))"),"")</f>
        <v/>
      </c>
      <c r="H2499" s="188" t="str">
        <f>IFERROR(__xludf.DUMMYFUNCTION("TRIM(REGEXREPLACE(D2499, ""[0-9]+[a-f]?\."", """"))"),"")</f>
        <v/>
      </c>
      <c r="I2499" s="188" t="str">
        <f>IFERROR(__xludf.DUMMYFUNCTION("TRIM(REGEXREPLACE(E2499, ""[0-9]+[a-f]?\."", """"))"),"")</f>
        <v/>
      </c>
      <c r="J2499" s="188" t="str">
        <f t="shared" ref="J2499:L2499" si="395">$F2499 &amp; ". "&amp;G2499</f>
        <v>599. </v>
      </c>
      <c r="K2499" s="188" t="str">
        <f t="shared" si="395"/>
        <v>599. </v>
      </c>
      <c r="L2499" s="188" t="str">
        <f t="shared" si="395"/>
        <v>599. </v>
      </c>
    </row>
    <row r="2500" hidden="1">
      <c r="A2500" s="141"/>
      <c r="B2500" s="141"/>
      <c r="C2500" s="152"/>
      <c r="D2500" s="141"/>
      <c r="E2500" s="141"/>
    </row>
    <row r="2501" hidden="1">
      <c r="A2501" s="292"/>
      <c r="B2501" s="292"/>
      <c r="C2501" s="263"/>
      <c r="D2501" s="292"/>
      <c r="E2501" s="292"/>
    </row>
    <row r="2502" hidden="1">
      <c r="A2502" s="141"/>
      <c r="B2502" s="142"/>
      <c r="C2502" s="143"/>
      <c r="D2502" s="141"/>
      <c r="E2502" s="141"/>
    </row>
    <row r="2503" hidden="1">
      <c r="A2503" s="221"/>
      <c r="B2503" s="198"/>
      <c r="C2503" s="190"/>
      <c r="D2503" s="190"/>
      <c r="E2503" s="190"/>
      <c r="F2503" s="195">
        <v>600.0</v>
      </c>
      <c r="G2503" s="188" t="str">
        <f>IFERROR(__xludf.DUMMYFUNCTION("TRIM(REGEXREPLACE(C2503, ""[0-9]+[a-f]?\."", """"))"),"")</f>
        <v/>
      </c>
      <c r="H2503" s="188" t="str">
        <f>IFERROR(__xludf.DUMMYFUNCTION("TRIM(REGEXREPLACE(D2503, ""[0-9]+[a-f]?\."", """"))"),"")</f>
        <v/>
      </c>
      <c r="I2503" s="188" t="str">
        <f>IFERROR(__xludf.DUMMYFUNCTION("TRIM(REGEXREPLACE(E2503, ""[0-9]+[a-f]?\."", """"))"),"")</f>
        <v/>
      </c>
      <c r="J2503" s="188" t="str">
        <f t="shared" ref="J2503:L2503" si="396">$F2503 &amp; ". "&amp;G2503</f>
        <v>600. </v>
      </c>
      <c r="K2503" s="188" t="str">
        <f t="shared" si="396"/>
        <v>600. </v>
      </c>
      <c r="L2503" s="188" t="str">
        <f t="shared" si="396"/>
        <v>600. </v>
      </c>
    </row>
    <row r="2504" hidden="1">
      <c r="A2504" s="299"/>
      <c r="B2504" s="300"/>
      <c r="C2504" s="190"/>
      <c r="D2504" s="190"/>
      <c r="E2504" s="190"/>
      <c r="F2504" s="195">
        <v>601.0</v>
      </c>
      <c r="G2504" s="188" t="str">
        <f>IFERROR(__xludf.DUMMYFUNCTION("TRIM(REGEXREPLACE(C2504, ""[0-9]+[a-f]?\."", """"))"),"")</f>
        <v/>
      </c>
      <c r="H2504" s="188" t="str">
        <f>IFERROR(__xludf.DUMMYFUNCTION("TRIM(REGEXREPLACE(D2504, ""[0-9]+[a-f]?\."", """"))"),"")</f>
        <v/>
      </c>
      <c r="I2504" s="188" t="str">
        <f>IFERROR(__xludf.DUMMYFUNCTION("TRIM(REGEXREPLACE(E2504, ""[0-9]+[a-f]?\."", """"))"),"")</f>
        <v/>
      </c>
      <c r="J2504" s="188" t="str">
        <f t="shared" ref="J2504:L2504" si="397">$F2504 &amp; ". "&amp;G2504</f>
        <v>601. </v>
      </c>
      <c r="K2504" s="188" t="str">
        <f t="shared" si="397"/>
        <v>601. </v>
      </c>
      <c r="L2504" s="188" t="str">
        <f t="shared" si="397"/>
        <v>601. </v>
      </c>
    </row>
    <row r="2505" hidden="1">
      <c r="A2505" s="306"/>
      <c r="B2505" s="307"/>
      <c r="C2505" s="190"/>
      <c r="D2505" s="190"/>
      <c r="E2505" s="190"/>
      <c r="F2505" s="195">
        <v>602.0</v>
      </c>
      <c r="G2505" s="188" t="str">
        <f>IFERROR(__xludf.DUMMYFUNCTION("TRIM(REGEXREPLACE(C2505, ""[0-9]+[a-f]?\."", """"))"),"")</f>
        <v/>
      </c>
      <c r="H2505" s="188" t="str">
        <f>IFERROR(__xludf.DUMMYFUNCTION("TRIM(REGEXREPLACE(D2505, ""[0-9]+[a-f]?\."", """"))"),"")</f>
        <v/>
      </c>
      <c r="I2505" s="188" t="str">
        <f>IFERROR(__xludf.DUMMYFUNCTION("TRIM(REGEXREPLACE(E2505, ""[0-9]+[a-f]?\."", """"))"),"")</f>
        <v/>
      </c>
      <c r="J2505" s="188" t="str">
        <f t="shared" ref="J2505:L2505" si="398">$F2505 &amp; ". "&amp;G2505</f>
        <v>602. </v>
      </c>
      <c r="K2505" s="188" t="str">
        <f t="shared" si="398"/>
        <v>602. </v>
      </c>
      <c r="L2505" s="188" t="str">
        <f t="shared" si="398"/>
        <v>602. </v>
      </c>
    </row>
    <row r="2506" hidden="1">
      <c r="A2506" s="306"/>
      <c r="B2506" s="307"/>
      <c r="C2506" s="190"/>
      <c r="D2506" s="190"/>
      <c r="E2506" s="190"/>
      <c r="F2506" s="195">
        <v>603.0</v>
      </c>
      <c r="G2506" s="188" t="str">
        <f>IFERROR(__xludf.DUMMYFUNCTION("TRIM(REGEXREPLACE(C2506, ""[0-9]+[a-f]?\."", """"))"),"")</f>
        <v/>
      </c>
      <c r="H2506" s="188" t="str">
        <f>IFERROR(__xludf.DUMMYFUNCTION("TRIM(REGEXREPLACE(D2506, ""[0-9]+[a-f]?\."", """"))"),"")</f>
        <v/>
      </c>
      <c r="I2506" s="188" t="str">
        <f>IFERROR(__xludf.DUMMYFUNCTION("TRIM(REGEXREPLACE(E2506, ""[0-9]+[a-f]?\."", """"))"),"")</f>
        <v/>
      </c>
      <c r="J2506" s="188" t="str">
        <f t="shared" ref="J2506:L2506" si="399">$F2506 &amp; ". "&amp;G2506</f>
        <v>603. </v>
      </c>
      <c r="K2506" s="188" t="str">
        <f t="shared" si="399"/>
        <v>603. </v>
      </c>
      <c r="L2506" s="188" t="str">
        <f t="shared" si="399"/>
        <v>603. </v>
      </c>
    </row>
    <row r="2507" hidden="1">
      <c r="A2507" s="320"/>
      <c r="B2507" s="321"/>
      <c r="C2507" s="190"/>
      <c r="D2507" s="190"/>
      <c r="E2507" s="190"/>
      <c r="F2507" s="195">
        <v>604.0</v>
      </c>
      <c r="G2507" s="188" t="str">
        <f>IFERROR(__xludf.DUMMYFUNCTION("TRIM(REGEXREPLACE(C2507, ""[0-9]+[a-f]?\."", """"))"),"")</f>
        <v/>
      </c>
      <c r="H2507" s="188" t="str">
        <f>IFERROR(__xludf.DUMMYFUNCTION("TRIM(REGEXREPLACE(D2507, ""[0-9]+[a-f]?\."", """"))"),"")</f>
        <v/>
      </c>
      <c r="I2507" s="188" t="str">
        <f>IFERROR(__xludf.DUMMYFUNCTION("TRIM(REGEXREPLACE(E2507, ""[0-9]+[a-f]?\."", """"))"),"")</f>
        <v/>
      </c>
      <c r="J2507" s="188" t="str">
        <f t="shared" ref="J2507:L2507" si="400">$F2507 &amp; ". "&amp;G2507</f>
        <v>604. </v>
      </c>
      <c r="K2507" s="188" t="str">
        <f t="shared" si="400"/>
        <v>604. </v>
      </c>
      <c r="L2507" s="188" t="str">
        <f t="shared" si="400"/>
        <v>604. </v>
      </c>
    </row>
    <row r="2508" hidden="1">
      <c r="A2508" s="403"/>
      <c r="B2508" s="404"/>
      <c r="C2508" s="293"/>
      <c r="D2508" s="293"/>
      <c r="E2508" s="293"/>
    </row>
    <row r="2509" hidden="1">
      <c r="A2509" s="141"/>
      <c r="B2509" s="141"/>
      <c r="C2509" s="152"/>
      <c r="D2509" s="141"/>
      <c r="E2509" s="141"/>
    </row>
    <row r="2510" hidden="1">
      <c r="A2510" s="292"/>
      <c r="B2510" s="292"/>
      <c r="C2510" s="263"/>
      <c r="D2510" s="292"/>
      <c r="E2510" s="292"/>
    </row>
    <row r="2511" hidden="1">
      <c r="A2511" s="141"/>
      <c r="B2511" s="141"/>
      <c r="C2511" s="152"/>
      <c r="D2511" s="141"/>
      <c r="E2511" s="141"/>
    </row>
    <row r="2512" hidden="1">
      <c r="A2512" s="305"/>
      <c r="B2512" s="223"/>
      <c r="C2512" s="190"/>
      <c r="D2512" s="190"/>
      <c r="E2512" s="190"/>
      <c r="F2512" s="195">
        <v>605.0</v>
      </c>
      <c r="G2512" s="188" t="str">
        <f>IFERROR(__xludf.DUMMYFUNCTION("TRIM(REGEXREPLACE(C2512, ""[0-9]+[a-f]?\."", """"))"),"")</f>
        <v/>
      </c>
      <c r="H2512" s="188" t="str">
        <f>IFERROR(__xludf.DUMMYFUNCTION("TRIM(REGEXREPLACE(D2512, ""[0-9]+[a-f]?\."", """"))"),"")</f>
        <v/>
      </c>
      <c r="I2512" s="188" t="str">
        <f>IFERROR(__xludf.DUMMYFUNCTION("TRIM(REGEXREPLACE(E2512, ""[0-9]+[a-f]?\."", """"))"),"")</f>
        <v/>
      </c>
      <c r="J2512" s="188" t="str">
        <f t="shared" ref="J2512:L2512" si="401">$F2512 &amp; ". "&amp;G2512</f>
        <v>605. </v>
      </c>
      <c r="K2512" s="188" t="str">
        <f t="shared" si="401"/>
        <v>605. </v>
      </c>
      <c r="L2512" s="188" t="str">
        <f t="shared" si="401"/>
        <v>605. </v>
      </c>
    </row>
    <row r="2513" hidden="1">
      <c r="A2513" s="292"/>
      <c r="B2513" s="292"/>
      <c r="C2513" s="263"/>
      <c r="D2513" s="292"/>
      <c r="E2513" s="292"/>
    </row>
    <row r="2514" hidden="1">
      <c r="A2514" s="405"/>
      <c r="B2514" s="405"/>
      <c r="C2514" s="405"/>
      <c r="D2514" s="405"/>
      <c r="E2514" s="405"/>
    </row>
    <row r="2515" hidden="1">
      <c r="A2515" s="405"/>
      <c r="B2515" s="405"/>
      <c r="C2515" s="405"/>
      <c r="D2515" s="405"/>
      <c r="E2515" s="405"/>
    </row>
    <row r="2516" hidden="1">
      <c r="A2516" s="405"/>
      <c r="B2516" s="405"/>
      <c r="C2516" s="405"/>
      <c r="D2516" s="405"/>
      <c r="E2516" s="405"/>
    </row>
    <row r="2517" hidden="1">
      <c r="A2517" s="405"/>
      <c r="B2517" s="405"/>
      <c r="C2517" s="405"/>
      <c r="D2517" s="405"/>
      <c r="E2517" s="405"/>
    </row>
    <row r="2518" hidden="1">
      <c r="A2518" s="405"/>
      <c r="B2518" s="405"/>
      <c r="C2518" s="405"/>
      <c r="D2518" s="405"/>
      <c r="E2518" s="405"/>
    </row>
    <row r="2519" hidden="1">
      <c r="A2519" s="405"/>
      <c r="B2519" s="405"/>
      <c r="C2519" s="405"/>
      <c r="D2519" s="405"/>
      <c r="E2519" s="405"/>
    </row>
    <row r="2520" hidden="1">
      <c r="A2520" s="405"/>
      <c r="B2520" s="405"/>
      <c r="C2520" s="405"/>
      <c r="D2520" s="405"/>
      <c r="E2520" s="405"/>
    </row>
    <row r="2521" hidden="1">
      <c r="A2521" s="405"/>
      <c r="B2521" s="405"/>
      <c r="C2521" s="405"/>
      <c r="D2521" s="405"/>
      <c r="E2521" s="405"/>
    </row>
    <row r="2522" hidden="1">
      <c r="A2522" s="189"/>
      <c r="B2522" s="189"/>
      <c r="C2522" s="293"/>
      <c r="D2522" s="189"/>
      <c r="E2522" s="189"/>
    </row>
    <row r="2523" hidden="1">
      <c r="A2523" s="189"/>
      <c r="B2523" s="189"/>
      <c r="C2523" s="293"/>
      <c r="D2523" s="189"/>
      <c r="E2523" s="189"/>
    </row>
    <row r="2524" hidden="1">
      <c r="A2524" s="189"/>
      <c r="B2524" s="189"/>
      <c r="C2524" s="293"/>
      <c r="D2524" s="189"/>
      <c r="E2524" s="189"/>
    </row>
    <row r="2525" hidden="1">
      <c r="A2525" s="189"/>
      <c r="B2525" s="189"/>
      <c r="C2525" s="293"/>
      <c r="D2525" s="189"/>
      <c r="E2525" s="189"/>
    </row>
    <row r="2526" hidden="1">
      <c r="A2526" s="189"/>
      <c r="B2526" s="189"/>
      <c r="C2526" s="293"/>
      <c r="D2526" s="189"/>
      <c r="E2526" s="189"/>
    </row>
    <row r="2527" hidden="1">
      <c r="A2527" s="189"/>
      <c r="B2527" s="189"/>
      <c r="C2527" s="293"/>
      <c r="D2527" s="189"/>
      <c r="E2527" s="189"/>
    </row>
    <row r="2528" hidden="1">
      <c r="A2528" s="189"/>
      <c r="B2528" s="189"/>
      <c r="C2528" s="293"/>
      <c r="D2528" s="189"/>
      <c r="E2528" s="189"/>
    </row>
    <row r="2529" hidden="1">
      <c r="A2529" s="189"/>
      <c r="B2529" s="189"/>
      <c r="C2529" s="293"/>
      <c r="D2529" s="189"/>
      <c r="E2529" s="189"/>
    </row>
    <row r="2530" hidden="1">
      <c r="A2530" s="189"/>
      <c r="B2530" s="189"/>
      <c r="C2530" s="293"/>
      <c r="D2530" s="189"/>
      <c r="E2530" s="189"/>
    </row>
    <row r="2531" hidden="1">
      <c r="A2531" s="189"/>
      <c r="B2531" s="189"/>
      <c r="C2531" s="293"/>
      <c r="D2531" s="189"/>
      <c r="E2531" s="189"/>
    </row>
    <row r="2532" hidden="1">
      <c r="A2532" s="189"/>
      <c r="B2532" s="189"/>
      <c r="C2532" s="293"/>
      <c r="D2532" s="189"/>
      <c r="E2532" s="189"/>
    </row>
    <row r="2533" hidden="1">
      <c r="A2533" s="189"/>
      <c r="B2533" s="189"/>
      <c r="C2533" s="293"/>
      <c r="D2533" s="189"/>
      <c r="E2533" s="189"/>
    </row>
    <row r="2534" hidden="1">
      <c r="A2534" s="189"/>
      <c r="B2534" s="189"/>
      <c r="C2534" s="293"/>
      <c r="D2534" s="189"/>
      <c r="E2534" s="189"/>
    </row>
    <row r="2535" hidden="1">
      <c r="A2535" s="189"/>
      <c r="B2535" s="189"/>
      <c r="C2535" s="293"/>
      <c r="D2535" s="189"/>
      <c r="E2535" s="189"/>
    </row>
    <row r="2536" hidden="1">
      <c r="A2536" s="189"/>
      <c r="B2536" s="189"/>
      <c r="C2536" s="293"/>
      <c r="D2536" s="189"/>
      <c r="E2536" s="189"/>
    </row>
    <row r="2537" hidden="1">
      <c r="A2537" s="189"/>
      <c r="B2537" s="189"/>
      <c r="C2537" s="293"/>
      <c r="D2537" s="189"/>
      <c r="E2537" s="189"/>
    </row>
    <row r="2538" hidden="1">
      <c r="A2538" s="189"/>
      <c r="B2538" s="189"/>
      <c r="C2538" s="293"/>
      <c r="D2538" s="189"/>
      <c r="E2538" s="189"/>
    </row>
    <row r="2539" hidden="1">
      <c r="A2539" s="189"/>
      <c r="B2539" s="189"/>
      <c r="C2539" s="293"/>
      <c r="D2539" s="189"/>
      <c r="E2539" s="189"/>
    </row>
    <row r="2540" hidden="1">
      <c r="A2540" s="189"/>
      <c r="B2540" s="189"/>
      <c r="C2540" s="293"/>
      <c r="D2540" s="189"/>
      <c r="E2540" s="189"/>
    </row>
    <row r="2541" hidden="1">
      <c r="A2541" s="189"/>
      <c r="B2541" s="189"/>
      <c r="C2541" s="293"/>
      <c r="D2541" s="189"/>
      <c r="E2541" s="189"/>
    </row>
    <row r="2542" hidden="1">
      <c r="A2542" s="189"/>
      <c r="B2542" s="189"/>
      <c r="C2542" s="293"/>
      <c r="D2542" s="189"/>
      <c r="E2542" s="189"/>
    </row>
    <row r="2543" hidden="1">
      <c r="A2543" s="189"/>
      <c r="B2543" s="189"/>
      <c r="C2543" s="293"/>
      <c r="D2543" s="189"/>
      <c r="E2543" s="189"/>
    </row>
    <row r="2544" hidden="1">
      <c r="A2544" s="189"/>
      <c r="B2544" s="189"/>
      <c r="C2544" s="293"/>
      <c r="D2544" s="189"/>
      <c r="E2544" s="189"/>
    </row>
    <row r="2545" hidden="1">
      <c r="A2545" s="189"/>
      <c r="B2545" s="189"/>
      <c r="C2545" s="293"/>
      <c r="D2545" s="189"/>
      <c r="E2545" s="189"/>
    </row>
    <row r="2546" hidden="1">
      <c r="A2546" s="189"/>
      <c r="B2546" s="189"/>
      <c r="C2546" s="293"/>
      <c r="D2546" s="189"/>
      <c r="E2546" s="189"/>
    </row>
    <row r="2547" hidden="1">
      <c r="A2547" s="189"/>
      <c r="B2547" s="189"/>
      <c r="C2547" s="293"/>
      <c r="D2547" s="189"/>
      <c r="E2547" s="189"/>
    </row>
    <row r="2548" hidden="1">
      <c r="A2548" s="189"/>
      <c r="B2548" s="189"/>
      <c r="C2548" s="293"/>
      <c r="D2548" s="189"/>
      <c r="E2548" s="189"/>
    </row>
    <row r="2549" hidden="1">
      <c r="A2549" s="189"/>
      <c r="B2549" s="189"/>
      <c r="C2549" s="293"/>
      <c r="D2549" s="189"/>
      <c r="E2549" s="189"/>
    </row>
    <row r="2550" hidden="1">
      <c r="A2550" s="189"/>
      <c r="B2550" s="189"/>
      <c r="C2550" s="293"/>
      <c r="D2550" s="189"/>
      <c r="E2550" s="189"/>
    </row>
    <row r="2551" hidden="1">
      <c r="A2551" s="189"/>
      <c r="B2551" s="189"/>
      <c r="C2551" s="293"/>
      <c r="D2551" s="189"/>
      <c r="E2551" s="189"/>
    </row>
    <row r="2552" hidden="1">
      <c r="A2552" s="189"/>
      <c r="B2552" s="189"/>
      <c r="C2552" s="293"/>
      <c r="D2552" s="189"/>
      <c r="E2552" s="189"/>
    </row>
    <row r="2553" hidden="1">
      <c r="A2553" s="189"/>
      <c r="B2553" s="189"/>
      <c r="C2553" s="293"/>
      <c r="D2553" s="189"/>
      <c r="E2553" s="189"/>
    </row>
    <row r="2554" hidden="1">
      <c r="A2554" s="189"/>
      <c r="B2554" s="189"/>
      <c r="C2554" s="293"/>
      <c r="D2554" s="189"/>
      <c r="E2554" s="189"/>
    </row>
    <row r="2555" hidden="1">
      <c r="A2555" s="189"/>
      <c r="B2555" s="189"/>
      <c r="C2555" s="293"/>
      <c r="D2555" s="189"/>
      <c r="E2555" s="189"/>
    </row>
    <row r="2556" hidden="1">
      <c r="A2556" s="189"/>
      <c r="B2556" s="189"/>
      <c r="C2556" s="293"/>
      <c r="D2556" s="189"/>
      <c r="E2556" s="189"/>
    </row>
    <row r="2557" hidden="1">
      <c r="A2557" s="189"/>
      <c r="B2557" s="189"/>
      <c r="C2557" s="293"/>
      <c r="D2557" s="189"/>
      <c r="E2557" s="189"/>
    </row>
    <row r="2558" hidden="1">
      <c r="A2558" s="189"/>
      <c r="B2558" s="189"/>
      <c r="C2558" s="293"/>
      <c r="D2558" s="189"/>
      <c r="E2558" s="189"/>
    </row>
    <row r="2559" hidden="1">
      <c r="A2559" s="189"/>
      <c r="B2559" s="189"/>
      <c r="C2559" s="293"/>
      <c r="D2559" s="189"/>
      <c r="E2559" s="189"/>
    </row>
    <row r="2560" hidden="1">
      <c r="A2560" s="189"/>
      <c r="B2560" s="189"/>
      <c r="C2560" s="293"/>
      <c r="D2560" s="189"/>
      <c r="E2560" s="189"/>
    </row>
    <row r="2561" hidden="1">
      <c r="A2561" s="189"/>
      <c r="B2561" s="189"/>
      <c r="C2561" s="293"/>
      <c r="D2561" s="189"/>
      <c r="E2561" s="189"/>
    </row>
    <row r="2562" hidden="1">
      <c r="A2562" s="189"/>
      <c r="B2562" s="189"/>
      <c r="C2562" s="293"/>
      <c r="D2562" s="189"/>
      <c r="E2562" s="189"/>
    </row>
    <row r="2563" hidden="1">
      <c r="A2563" s="189"/>
      <c r="B2563" s="189"/>
      <c r="C2563" s="293"/>
      <c r="D2563" s="189"/>
      <c r="E2563" s="189"/>
    </row>
    <row r="2564" hidden="1">
      <c r="A2564" s="189"/>
      <c r="B2564" s="189"/>
      <c r="C2564" s="293"/>
      <c r="D2564" s="189"/>
      <c r="E2564" s="189"/>
    </row>
    <row r="2565" hidden="1">
      <c r="A2565" s="189"/>
      <c r="B2565" s="189"/>
      <c r="C2565" s="293"/>
      <c r="D2565" s="189"/>
      <c r="E2565" s="189"/>
    </row>
    <row r="2566" hidden="1">
      <c r="A2566" s="189"/>
      <c r="B2566" s="189"/>
      <c r="C2566" s="293"/>
      <c r="D2566" s="189"/>
      <c r="E2566" s="189"/>
    </row>
    <row r="2567" hidden="1">
      <c r="A2567" s="189"/>
      <c r="B2567" s="189"/>
      <c r="C2567" s="293"/>
      <c r="D2567" s="189"/>
      <c r="E2567" s="189"/>
    </row>
    <row r="2568" hidden="1">
      <c r="A2568" s="189"/>
      <c r="B2568" s="189"/>
      <c r="C2568" s="293"/>
      <c r="D2568" s="189"/>
      <c r="E2568" s="189"/>
    </row>
    <row r="2569" hidden="1">
      <c r="A2569" s="189"/>
      <c r="B2569" s="189"/>
      <c r="C2569" s="293"/>
      <c r="D2569" s="189"/>
      <c r="E2569" s="189"/>
    </row>
    <row r="2570" hidden="1">
      <c r="A2570" s="189"/>
      <c r="B2570" s="189"/>
      <c r="C2570" s="293"/>
      <c r="D2570" s="189"/>
      <c r="E2570" s="189"/>
    </row>
    <row r="2571" hidden="1">
      <c r="A2571" s="189"/>
      <c r="B2571" s="189"/>
      <c r="C2571" s="293"/>
      <c r="D2571" s="189"/>
      <c r="E2571" s="189"/>
    </row>
    <row r="2572" hidden="1">
      <c r="A2572" s="189"/>
      <c r="B2572" s="189"/>
      <c r="C2572" s="293"/>
      <c r="D2572" s="189"/>
      <c r="E2572" s="189"/>
    </row>
    <row r="2573" hidden="1">
      <c r="A2573" s="189"/>
      <c r="B2573" s="189"/>
      <c r="C2573" s="293"/>
      <c r="D2573" s="189"/>
      <c r="E2573" s="189"/>
    </row>
    <row r="2574" hidden="1">
      <c r="A2574" s="189"/>
      <c r="B2574" s="189"/>
      <c r="C2574" s="293"/>
      <c r="D2574" s="189"/>
      <c r="E2574" s="189"/>
    </row>
    <row r="2575" hidden="1">
      <c r="A2575" s="189"/>
      <c r="B2575" s="189"/>
      <c r="C2575" s="293"/>
      <c r="D2575" s="189"/>
      <c r="E2575" s="189"/>
    </row>
    <row r="2576" hidden="1">
      <c r="A2576" s="189"/>
      <c r="B2576" s="189"/>
      <c r="C2576" s="293"/>
      <c r="D2576" s="189"/>
      <c r="E2576" s="189"/>
    </row>
    <row r="2577" hidden="1">
      <c r="A2577" s="189"/>
      <c r="B2577" s="189"/>
      <c r="C2577" s="293"/>
      <c r="D2577" s="189"/>
      <c r="E2577" s="189"/>
    </row>
    <row r="2578" hidden="1">
      <c r="A2578" s="189"/>
      <c r="B2578" s="189"/>
      <c r="C2578" s="293"/>
      <c r="D2578" s="189"/>
      <c r="E2578" s="189"/>
    </row>
    <row r="2579" hidden="1">
      <c r="A2579" s="189"/>
      <c r="B2579" s="189"/>
      <c r="C2579" s="293"/>
      <c r="D2579" s="189"/>
      <c r="E2579" s="189"/>
    </row>
    <row r="2580" hidden="1">
      <c r="A2580" s="189"/>
      <c r="B2580" s="189"/>
      <c r="C2580" s="293"/>
      <c r="D2580" s="189"/>
      <c r="E2580" s="189"/>
    </row>
    <row r="2581" hidden="1">
      <c r="A2581" s="189"/>
      <c r="B2581" s="189"/>
      <c r="C2581" s="293"/>
      <c r="D2581" s="189"/>
      <c r="E2581" s="189"/>
    </row>
    <row r="2582" hidden="1">
      <c r="A2582" s="189"/>
      <c r="B2582" s="189"/>
      <c r="C2582" s="293"/>
      <c r="D2582" s="189"/>
      <c r="E2582" s="189"/>
    </row>
    <row r="2583" hidden="1">
      <c r="A2583" s="189"/>
      <c r="B2583" s="189"/>
      <c r="C2583" s="293"/>
      <c r="D2583" s="189"/>
      <c r="E2583" s="189"/>
    </row>
    <row r="2584" hidden="1">
      <c r="A2584" s="189"/>
      <c r="B2584" s="189"/>
      <c r="C2584" s="293"/>
      <c r="D2584" s="189"/>
      <c r="E2584" s="189"/>
    </row>
    <row r="2585" hidden="1">
      <c r="A2585" s="189"/>
      <c r="B2585" s="189"/>
      <c r="C2585" s="293"/>
      <c r="D2585" s="189"/>
      <c r="E2585" s="189"/>
    </row>
    <row r="2586" hidden="1">
      <c r="A2586" s="189"/>
      <c r="B2586" s="189"/>
      <c r="C2586" s="293"/>
      <c r="D2586" s="189"/>
      <c r="E2586" s="189"/>
    </row>
    <row r="2587" hidden="1">
      <c r="A2587" s="189"/>
      <c r="B2587" s="189"/>
      <c r="C2587" s="293"/>
      <c r="D2587" s="189"/>
      <c r="E2587" s="189"/>
    </row>
    <row r="2588" hidden="1">
      <c r="A2588" s="189"/>
      <c r="B2588" s="189"/>
      <c r="C2588" s="293"/>
      <c r="D2588" s="189"/>
      <c r="E2588" s="189"/>
    </row>
    <row r="2589" hidden="1">
      <c r="A2589" s="189"/>
      <c r="B2589" s="189"/>
      <c r="C2589" s="293"/>
      <c r="D2589" s="189"/>
      <c r="E2589" s="189"/>
    </row>
    <row r="2590" hidden="1">
      <c r="A2590" s="189"/>
      <c r="B2590" s="189"/>
      <c r="C2590" s="293"/>
      <c r="D2590" s="189"/>
      <c r="E2590" s="189"/>
    </row>
    <row r="2591" hidden="1">
      <c r="A2591" s="189"/>
      <c r="B2591" s="189"/>
      <c r="C2591" s="293"/>
      <c r="D2591" s="189"/>
      <c r="E2591" s="189"/>
    </row>
    <row r="2592" hidden="1">
      <c r="A2592" s="189"/>
      <c r="B2592" s="189"/>
      <c r="C2592" s="293"/>
      <c r="D2592" s="189"/>
      <c r="E2592" s="189"/>
    </row>
    <row r="2593" hidden="1">
      <c r="A2593" s="189"/>
      <c r="B2593" s="189"/>
      <c r="C2593" s="293"/>
      <c r="D2593" s="189"/>
      <c r="E2593" s="189"/>
    </row>
    <row r="2594" hidden="1">
      <c r="A2594" s="189"/>
      <c r="B2594" s="189"/>
      <c r="C2594" s="293"/>
      <c r="D2594" s="189"/>
      <c r="E2594" s="189"/>
    </row>
    <row r="2595" hidden="1">
      <c r="A2595" s="189"/>
      <c r="B2595" s="189"/>
      <c r="C2595" s="293"/>
      <c r="D2595" s="189"/>
      <c r="E2595" s="189"/>
    </row>
    <row r="2596" hidden="1">
      <c r="A2596" s="189"/>
      <c r="B2596" s="189"/>
      <c r="C2596" s="293"/>
      <c r="D2596" s="189"/>
      <c r="E2596" s="189"/>
    </row>
    <row r="2597" hidden="1">
      <c r="A2597" s="189"/>
      <c r="B2597" s="189"/>
      <c r="C2597" s="293"/>
      <c r="D2597" s="189"/>
      <c r="E2597" s="189"/>
    </row>
    <row r="2598" hidden="1">
      <c r="A2598" s="189"/>
      <c r="B2598" s="189"/>
      <c r="C2598" s="293"/>
      <c r="D2598" s="189"/>
      <c r="E2598" s="189"/>
    </row>
    <row r="2599" hidden="1">
      <c r="A2599" s="189"/>
      <c r="B2599" s="189"/>
      <c r="C2599" s="293"/>
      <c r="D2599" s="189"/>
      <c r="E2599" s="189"/>
    </row>
    <row r="2600" hidden="1">
      <c r="A2600" s="189"/>
      <c r="B2600" s="189"/>
      <c r="C2600" s="293"/>
      <c r="D2600" s="189"/>
      <c r="E2600" s="189"/>
    </row>
    <row r="2601" hidden="1">
      <c r="A2601" s="189"/>
      <c r="B2601" s="189"/>
      <c r="C2601" s="293"/>
      <c r="D2601" s="189"/>
      <c r="E2601" s="189"/>
    </row>
    <row r="2602" hidden="1">
      <c r="A2602" s="189"/>
      <c r="B2602" s="189"/>
      <c r="C2602" s="293"/>
      <c r="D2602" s="189"/>
      <c r="E2602" s="189"/>
    </row>
    <row r="2603" hidden="1">
      <c r="A2603" s="189"/>
      <c r="B2603" s="189"/>
      <c r="C2603" s="293"/>
      <c r="D2603" s="189"/>
      <c r="E2603" s="189"/>
    </row>
    <row r="2604" hidden="1">
      <c r="A2604" s="189"/>
      <c r="B2604" s="189"/>
      <c r="C2604" s="293"/>
      <c r="D2604" s="189"/>
      <c r="E2604" s="189"/>
    </row>
    <row r="2605" hidden="1">
      <c r="A2605" s="189"/>
      <c r="B2605" s="189"/>
      <c r="C2605" s="293"/>
      <c r="D2605" s="189"/>
      <c r="E2605" s="189"/>
    </row>
    <row r="2606" hidden="1">
      <c r="A2606" s="189"/>
      <c r="B2606" s="189"/>
      <c r="C2606" s="293"/>
      <c r="D2606" s="189"/>
      <c r="E2606" s="189"/>
    </row>
    <row r="2607" hidden="1">
      <c r="A2607" s="189"/>
      <c r="B2607" s="189"/>
      <c r="C2607" s="293"/>
      <c r="D2607" s="189"/>
      <c r="E2607" s="189"/>
    </row>
    <row r="2608" hidden="1">
      <c r="A2608" s="189"/>
      <c r="B2608" s="189"/>
      <c r="C2608" s="293"/>
      <c r="D2608" s="189"/>
      <c r="E2608" s="189"/>
    </row>
    <row r="2609" hidden="1">
      <c r="A2609" s="189"/>
      <c r="B2609" s="189"/>
      <c r="C2609" s="293"/>
      <c r="D2609" s="189"/>
      <c r="E2609" s="189"/>
    </row>
    <row r="2610" hidden="1">
      <c r="A2610" s="189"/>
      <c r="B2610" s="189"/>
      <c r="C2610" s="293"/>
      <c r="D2610" s="189"/>
      <c r="E2610" s="189"/>
    </row>
    <row r="2611" hidden="1">
      <c r="A2611" s="189"/>
      <c r="B2611" s="189"/>
      <c r="C2611" s="293"/>
      <c r="D2611" s="189"/>
      <c r="E2611" s="189"/>
    </row>
    <row r="2612" hidden="1">
      <c r="A2612" s="189"/>
      <c r="B2612" s="189"/>
      <c r="C2612" s="293"/>
      <c r="D2612" s="189"/>
      <c r="E2612" s="189"/>
    </row>
    <row r="2613" hidden="1">
      <c r="A2613" s="189"/>
      <c r="B2613" s="189"/>
      <c r="C2613" s="293"/>
      <c r="D2613" s="189"/>
      <c r="E2613" s="189"/>
    </row>
    <row r="2614" hidden="1">
      <c r="A2614" s="189"/>
      <c r="B2614" s="189"/>
      <c r="C2614" s="293"/>
      <c r="D2614" s="189"/>
      <c r="E2614" s="189"/>
    </row>
    <row r="2615" hidden="1">
      <c r="A2615" s="189"/>
      <c r="B2615" s="189"/>
      <c r="C2615" s="293"/>
      <c r="D2615" s="189"/>
      <c r="E2615" s="189"/>
    </row>
    <row r="2616" hidden="1">
      <c r="A2616" s="189"/>
      <c r="B2616" s="189"/>
      <c r="C2616" s="293"/>
      <c r="D2616" s="189"/>
      <c r="E2616" s="189"/>
    </row>
    <row r="2617" hidden="1">
      <c r="A2617" s="189"/>
      <c r="B2617" s="189"/>
      <c r="C2617" s="293"/>
      <c r="D2617" s="189"/>
      <c r="E2617" s="189"/>
    </row>
    <row r="2618" hidden="1">
      <c r="A2618" s="189"/>
      <c r="B2618" s="189"/>
      <c r="C2618" s="293"/>
      <c r="D2618" s="189"/>
      <c r="E2618" s="189"/>
    </row>
    <row r="2619" hidden="1">
      <c r="A2619" s="189"/>
      <c r="B2619" s="189"/>
      <c r="C2619" s="293"/>
      <c r="D2619" s="189"/>
      <c r="E2619" s="189"/>
    </row>
    <row r="2620" hidden="1">
      <c r="A2620" s="189"/>
      <c r="B2620" s="189"/>
      <c r="C2620" s="293"/>
      <c r="D2620" s="189"/>
      <c r="E2620" s="189"/>
    </row>
    <row r="2621" hidden="1">
      <c r="A2621" s="189"/>
      <c r="B2621" s="189"/>
      <c r="C2621" s="293"/>
      <c r="D2621" s="189"/>
      <c r="E2621" s="189"/>
    </row>
    <row r="2622" hidden="1">
      <c r="A2622" s="189"/>
      <c r="B2622" s="189"/>
      <c r="C2622" s="293"/>
      <c r="D2622" s="189"/>
      <c r="E2622" s="189"/>
    </row>
    <row r="2623" hidden="1">
      <c r="A2623" s="189"/>
      <c r="B2623" s="189"/>
      <c r="C2623" s="293"/>
      <c r="D2623" s="189"/>
      <c r="E2623" s="189"/>
    </row>
    <row r="2624" hidden="1">
      <c r="A2624" s="189"/>
      <c r="B2624" s="189"/>
      <c r="C2624" s="293"/>
      <c r="D2624" s="189"/>
      <c r="E2624" s="189"/>
    </row>
    <row r="2625" hidden="1">
      <c r="A2625" s="189"/>
      <c r="B2625" s="189"/>
      <c r="C2625" s="293"/>
      <c r="D2625" s="189"/>
      <c r="E2625" s="189"/>
    </row>
    <row r="2626" hidden="1">
      <c r="A2626" s="189"/>
      <c r="B2626" s="189"/>
      <c r="C2626" s="293"/>
      <c r="D2626" s="189"/>
      <c r="E2626" s="189"/>
    </row>
    <row r="2627" hidden="1">
      <c r="A2627" s="189"/>
      <c r="B2627" s="189"/>
      <c r="C2627" s="293"/>
      <c r="D2627" s="189"/>
      <c r="E2627" s="189"/>
    </row>
    <row r="2628" hidden="1">
      <c r="A2628" s="189"/>
      <c r="B2628" s="189"/>
      <c r="C2628" s="293"/>
      <c r="D2628" s="189"/>
      <c r="E2628" s="189"/>
    </row>
    <row r="2629" hidden="1">
      <c r="A2629" s="189"/>
      <c r="B2629" s="189"/>
      <c r="C2629" s="293"/>
      <c r="D2629" s="189"/>
      <c r="E2629" s="189"/>
    </row>
    <row r="2630" hidden="1">
      <c r="A2630" s="189"/>
      <c r="B2630" s="189"/>
      <c r="C2630" s="293"/>
      <c r="D2630" s="189"/>
      <c r="E2630" s="189"/>
    </row>
    <row r="2631" hidden="1">
      <c r="A2631" s="189"/>
      <c r="B2631" s="189"/>
      <c r="C2631" s="293"/>
      <c r="D2631" s="189"/>
      <c r="E2631" s="189"/>
    </row>
    <row r="2632" hidden="1">
      <c r="A2632" s="189"/>
      <c r="B2632" s="189"/>
      <c r="C2632" s="293"/>
      <c r="D2632" s="189"/>
      <c r="E2632" s="189"/>
    </row>
    <row r="2633" hidden="1">
      <c r="A2633" s="189"/>
      <c r="B2633" s="189"/>
      <c r="C2633" s="293"/>
      <c r="D2633" s="189"/>
      <c r="E2633" s="189"/>
    </row>
    <row r="2634" hidden="1">
      <c r="A2634" s="189"/>
      <c r="B2634" s="189"/>
      <c r="C2634" s="293"/>
      <c r="D2634" s="189"/>
      <c r="E2634" s="189"/>
    </row>
    <row r="2635" hidden="1">
      <c r="A2635" s="189"/>
      <c r="B2635" s="189"/>
      <c r="C2635" s="293"/>
      <c r="D2635" s="189"/>
      <c r="E2635" s="189"/>
    </row>
    <row r="2636" hidden="1">
      <c r="A2636" s="189"/>
      <c r="B2636" s="189"/>
      <c r="C2636" s="293"/>
      <c r="D2636" s="189"/>
      <c r="E2636" s="189"/>
    </row>
    <row r="2637" hidden="1">
      <c r="A2637" s="189"/>
      <c r="B2637" s="189"/>
      <c r="C2637" s="293"/>
      <c r="D2637" s="189"/>
      <c r="E2637" s="189"/>
    </row>
    <row r="2638" hidden="1">
      <c r="A2638" s="189"/>
      <c r="B2638" s="189"/>
      <c r="C2638" s="293"/>
      <c r="D2638" s="189"/>
      <c r="E2638" s="189"/>
    </row>
    <row r="2639" hidden="1">
      <c r="A2639" s="189"/>
      <c r="B2639" s="189"/>
      <c r="C2639" s="293"/>
      <c r="D2639" s="189"/>
      <c r="E2639" s="189"/>
    </row>
    <row r="2640" hidden="1">
      <c r="A2640" s="189"/>
      <c r="B2640" s="189"/>
      <c r="C2640" s="293"/>
      <c r="D2640" s="189"/>
      <c r="E2640" s="189"/>
    </row>
    <row r="2641" hidden="1">
      <c r="A2641" s="189"/>
      <c r="B2641" s="189"/>
      <c r="C2641" s="293"/>
      <c r="D2641" s="189"/>
      <c r="E2641" s="189"/>
    </row>
    <row r="2642" hidden="1">
      <c r="A2642" s="189"/>
      <c r="B2642" s="189"/>
      <c r="C2642" s="293"/>
      <c r="D2642" s="189"/>
      <c r="E2642" s="189"/>
    </row>
    <row r="2643" hidden="1">
      <c r="A2643" s="189"/>
      <c r="B2643" s="189"/>
      <c r="C2643" s="293"/>
      <c r="D2643" s="189"/>
      <c r="E2643" s="189"/>
    </row>
    <row r="2644" hidden="1">
      <c r="A2644" s="189"/>
      <c r="B2644" s="189"/>
      <c r="C2644" s="293"/>
      <c r="D2644" s="189"/>
      <c r="E2644" s="189"/>
    </row>
    <row r="2645" hidden="1">
      <c r="A2645" s="189"/>
      <c r="B2645" s="189"/>
      <c r="C2645" s="293"/>
      <c r="D2645" s="189"/>
      <c r="E2645" s="189"/>
    </row>
    <row r="2646" hidden="1">
      <c r="A2646" s="189"/>
      <c r="B2646" s="189"/>
      <c r="C2646" s="293"/>
      <c r="D2646" s="189"/>
      <c r="E2646" s="189"/>
    </row>
    <row r="2647" hidden="1">
      <c r="A2647" s="189"/>
      <c r="B2647" s="189"/>
      <c r="C2647" s="293"/>
      <c r="D2647" s="189"/>
      <c r="E2647" s="189"/>
    </row>
    <row r="2648" hidden="1">
      <c r="A2648" s="189"/>
      <c r="B2648" s="189"/>
      <c r="C2648" s="293"/>
      <c r="D2648" s="189"/>
      <c r="E2648" s="189"/>
    </row>
    <row r="2649" hidden="1">
      <c r="A2649" s="189"/>
      <c r="B2649" s="189"/>
      <c r="C2649" s="293"/>
      <c r="D2649" s="189"/>
      <c r="E2649" s="189"/>
    </row>
    <row r="2650" hidden="1">
      <c r="A2650" s="189"/>
      <c r="B2650" s="189"/>
      <c r="C2650" s="293"/>
      <c r="D2650" s="189"/>
      <c r="E2650" s="189"/>
    </row>
    <row r="2651" hidden="1">
      <c r="A2651" s="189"/>
      <c r="B2651" s="189"/>
      <c r="C2651" s="293"/>
      <c r="D2651" s="189"/>
      <c r="E2651" s="189"/>
    </row>
    <row r="2652" hidden="1">
      <c r="A2652" s="189"/>
      <c r="B2652" s="189"/>
      <c r="C2652" s="293"/>
      <c r="D2652" s="189"/>
      <c r="E2652" s="189"/>
    </row>
    <row r="2653" hidden="1">
      <c r="A2653" s="189"/>
      <c r="B2653" s="189"/>
      <c r="C2653" s="293"/>
      <c r="D2653" s="189"/>
      <c r="E2653" s="189"/>
    </row>
    <row r="2654" hidden="1">
      <c r="A2654" s="189"/>
      <c r="B2654" s="189"/>
      <c r="C2654" s="293"/>
      <c r="D2654" s="189"/>
      <c r="E2654" s="189"/>
    </row>
    <row r="2655" hidden="1">
      <c r="A2655" s="189"/>
      <c r="B2655" s="189"/>
      <c r="C2655" s="293"/>
      <c r="D2655" s="189"/>
      <c r="E2655" s="189"/>
    </row>
    <row r="2656" hidden="1">
      <c r="A2656" s="189"/>
      <c r="B2656" s="189"/>
      <c r="C2656" s="293"/>
      <c r="D2656" s="189"/>
      <c r="E2656" s="189"/>
    </row>
    <row r="2657" hidden="1">
      <c r="A2657" s="189"/>
      <c r="B2657" s="189"/>
      <c r="C2657" s="293"/>
      <c r="D2657" s="189"/>
      <c r="E2657" s="189"/>
    </row>
    <row r="2658" hidden="1">
      <c r="A2658" s="189"/>
      <c r="B2658" s="189"/>
      <c r="C2658" s="293"/>
      <c r="D2658" s="189"/>
      <c r="E2658" s="189"/>
    </row>
    <row r="2659" hidden="1">
      <c r="A2659" s="189"/>
      <c r="B2659" s="189"/>
      <c r="C2659" s="293"/>
      <c r="D2659" s="189"/>
      <c r="E2659" s="189"/>
    </row>
    <row r="2660" hidden="1">
      <c r="A2660" s="189"/>
      <c r="B2660" s="189"/>
      <c r="C2660" s="293"/>
      <c r="D2660" s="189"/>
      <c r="E2660" s="189"/>
    </row>
    <row r="2661" hidden="1">
      <c r="A2661" s="189"/>
      <c r="B2661" s="189"/>
      <c r="C2661" s="293"/>
      <c r="D2661" s="189"/>
      <c r="E2661" s="189"/>
    </row>
    <row r="2662" hidden="1">
      <c r="A2662" s="189"/>
      <c r="B2662" s="189"/>
      <c r="C2662" s="293"/>
      <c r="D2662" s="189"/>
      <c r="E2662" s="189"/>
    </row>
    <row r="2663" hidden="1">
      <c r="A2663" s="189"/>
      <c r="B2663" s="189"/>
      <c r="C2663" s="293"/>
      <c r="D2663" s="189"/>
      <c r="E2663" s="189"/>
    </row>
    <row r="2664" hidden="1">
      <c r="A2664" s="189"/>
      <c r="B2664" s="189"/>
      <c r="C2664" s="293"/>
      <c r="D2664" s="189"/>
      <c r="E2664" s="189"/>
    </row>
    <row r="2665" hidden="1">
      <c r="A2665" s="189"/>
      <c r="B2665" s="189"/>
      <c r="C2665" s="293"/>
      <c r="D2665" s="189"/>
      <c r="E2665" s="189"/>
    </row>
    <row r="2666" hidden="1">
      <c r="A2666" s="189"/>
      <c r="B2666" s="189"/>
      <c r="C2666" s="293"/>
      <c r="D2666" s="189"/>
      <c r="E2666" s="189"/>
    </row>
    <row r="2667" hidden="1">
      <c r="A2667" s="189"/>
      <c r="B2667" s="189"/>
      <c r="C2667" s="293"/>
      <c r="D2667" s="189"/>
      <c r="E2667" s="189"/>
    </row>
    <row r="2668" hidden="1">
      <c r="A2668" s="189"/>
      <c r="B2668" s="189"/>
      <c r="C2668" s="293"/>
      <c r="D2668" s="189"/>
      <c r="E2668" s="189"/>
    </row>
    <row r="2669" hidden="1">
      <c r="A2669" s="189"/>
      <c r="B2669" s="189"/>
      <c r="C2669" s="293"/>
      <c r="D2669" s="189"/>
      <c r="E2669" s="189"/>
    </row>
    <row r="2670" hidden="1">
      <c r="A2670" s="189"/>
      <c r="B2670" s="189"/>
      <c r="C2670" s="293"/>
      <c r="D2670" s="189"/>
      <c r="E2670" s="189"/>
    </row>
    <row r="2671" hidden="1">
      <c r="A2671" s="189"/>
      <c r="B2671" s="189"/>
      <c r="C2671" s="293"/>
      <c r="D2671" s="189"/>
      <c r="E2671" s="189"/>
    </row>
    <row r="2672" hidden="1">
      <c r="A2672" s="189"/>
      <c r="B2672" s="189"/>
      <c r="C2672" s="293"/>
      <c r="D2672" s="189"/>
      <c r="E2672" s="189"/>
    </row>
    <row r="2673" hidden="1">
      <c r="A2673" s="189"/>
      <c r="B2673" s="189"/>
      <c r="C2673" s="293"/>
      <c r="D2673" s="189"/>
      <c r="E2673" s="189"/>
    </row>
    <row r="2674" hidden="1">
      <c r="A2674" s="189"/>
      <c r="B2674" s="189"/>
      <c r="C2674" s="293"/>
      <c r="D2674" s="189"/>
      <c r="E2674" s="189"/>
    </row>
    <row r="2675" hidden="1">
      <c r="A2675" s="189"/>
      <c r="B2675" s="189"/>
      <c r="C2675" s="293"/>
      <c r="D2675" s="189"/>
      <c r="E2675" s="189"/>
    </row>
    <row r="2676" hidden="1">
      <c r="A2676" s="189"/>
      <c r="B2676" s="189"/>
      <c r="C2676" s="293"/>
      <c r="D2676" s="189"/>
      <c r="E2676" s="189"/>
    </row>
    <row r="2677" hidden="1">
      <c r="A2677" s="189"/>
      <c r="B2677" s="189"/>
      <c r="C2677" s="293"/>
      <c r="D2677" s="189"/>
      <c r="E2677" s="189"/>
    </row>
    <row r="2678" hidden="1">
      <c r="A2678" s="189"/>
      <c r="B2678" s="189"/>
      <c r="C2678" s="293"/>
      <c r="D2678" s="189"/>
      <c r="E2678" s="189"/>
    </row>
    <row r="2679" hidden="1">
      <c r="A2679" s="189"/>
      <c r="B2679" s="189"/>
      <c r="C2679" s="293"/>
      <c r="D2679" s="189"/>
      <c r="E2679" s="189"/>
    </row>
    <row r="2680" hidden="1">
      <c r="A2680" s="189"/>
      <c r="B2680" s="189"/>
      <c r="C2680" s="293"/>
      <c r="D2680" s="189"/>
      <c r="E2680" s="189"/>
    </row>
    <row r="2681" hidden="1">
      <c r="A2681" s="189"/>
      <c r="B2681" s="189"/>
      <c r="C2681" s="293"/>
      <c r="D2681" s="189"/>
      <c r="E2681" s="189"/>
    </row>
    <row r="2682" hidden="1">
      <c r="A2682" s="189"/>
      <c r="B2682" s="189"/>
      <c r="C2682" s="293"/>
      <c r="D2682" s="189"/>
      <c r="E2682" s="189"/>
    </row>
    <row r="2683" hidden="1">
      <c r="A2683" s="189"/>
      <c r="B2683" s="189"/>
      <c r="C2683" s="293"/>
      <c r="D2683" s="189"/>
      <c r="E2683" s="189"/>
    </row>
    <row r="2684" hidden="1">
      <c r="A2684" s="189"/>
      <c r="B2684" s="189"/>
      <c r="C2684" s="293"/>
      <c r="D2684" s="189"/>
      <c r="E2684" s="189"/>
    </row>
    <row r="2685" hidden="1">
      <c r="A2685" s="189"/>
      <c r="B2685" s="189"/>
      <c r="C2685" s="293"/>
      <c r="D2685" s="189"/>
      <c r="E2685" s="189"/>
    </row>
    <row r="2686" hidden="1">
      <c r="A2686" s="189"/>
      <c r="B2686" s="189"/>
      <c r="C2686" s="293"/>
      <c r="D2686" s="189"/>
      <c r="E2686" s="189"/>
    </row>
    <row r="2687" hidden="1">
      <c r="A2687" s="189"/>
      <c r="B2687" s="189"/>
      <c r="C2687" s="293"/>
      <c r="D2687" s="189"/>
      <c r="E2687" s="189"/>
    </row>
    <row r="2688" hidden="1">
      <c r="A2688" s="189"/>
      <c r="B2688" s="189"/>
      <c r="C2688" s="293"/>
      <c r="D2688" s="189"/>
      <c r="E2688" s="189"/>
    </row>
    <row r="2689" hidden="1">
      <c r="A2689" s="189"/>
      <c r="B2689" s="189"/>
      <c r="C2689" s="293"/>
      <c r="D2689" s="189"/>
      <c r="E2689" s="189"/>
    </row>
    <row r="2690" hidden="1">
      <c r="A2690" s="189"/>
      <c r="B2690" s="189"/>
      <c r="C2690" s="293"/>
      <c r="D2690" s="189"/>
      <c r="E2690" s="189"/>
    </row>
    <row r="2691" hidden="1">
      <c r="A2691" s="189"/>
      <c r="B2691" s="189"/>
      <c r="C2691" s="293"/>
      <c r="D2691" s="189"/>
      <c r="E2691" s="189"/>
    </row>
    <row r="2692" hidden="1">
      <c r="A2692" s="189"/>
      <c r="B2692" s="189"/>
      <c r="C2692" s="293"/>
      <c r="D2692" s="189"/>
      <c r="E2692" s="189"/>
    </row>
    <row r="2693" hidden="1">
      <c r="A2693" s="189"/>
      <c r="B2693" s="189"/>
      <c r="C2693" s="293"/>
      <c r="D2693" s="189"/>
      <c r="E2693" s="189"/>
    </row>
    <row r="2694" hidden="1">
      <c r="A2694" s="189"/>
      <c r="B2694" s="189"/>
      <c r="C2694" s="293"/>
      <c r="D2694" s="189"/>
      <c r="E2694" s="189"/>
    </row>
    <row r="2695" hidden="1">
      <c r="A2695" s="189"/>
      <c r="B2695" s="189"/>
      <c r="C2695" s="293"/>
      <c r="D2695" s="189"/>
      <c r="E2695" s="189"/>
    </row>
    <row r="2696" hidden="1">
      <c r="A2696" s="189"/>
      <c r="B2696" s="189"/>
      <c r="C2696" s="293"/>
      <c r="D2696" s="189"/>
      <c r="E2696" s="189"/>
    </row>
    <row r="2697" hidden="1">
      <c r="A2697" s="189"/>
      <c r="B2697" s="189"/>
      <c r="C2697" s="293"/>
      <c r="D2697" s="189"/>
      <c r="E2697" s="189"/>
    </row>
    <row r="2698" hidden="1">
      <c r="A2698" s="189"/>
      <c r="B2698" s="189"/>
      <c r="C2698" s="293"/>
      <c r="D2698" s="189"/>
      <c r="E2698" s="189"/>
    </row>
    <row r="2699" hidden="1">
      <c r="A2699" s="189"/>
      <c r="B2699" s="189"/>
      <c r="C2699" s="293"/>
      <c r="D2699" s="189"/>
      <c r="E2699" s="189"/>
    </row>
    <row r="2700" hidden="1">
      <c r="A2700" s="189"/>
      <c r="B2700" s="189"/>
      <c r="C2700" s="293"/>
      <c r="D2700" s="189"/>
      <c r="E2700" s="189"/>
    </row>
    <row r="2701" hidden="1">
      <c r="A2701" s="189"/>
      <c r="B2701" s="189"/>
      <c r="C2701" s="293"/>
      <c r="D2701" s="189"/>
      <c r="E2701" s="189"/>
    </row>
    <row r="2702" hidden="1">
      <c r="A2702" s="189"/>
      <c r="B2702" s="189"/>
      <c r="C2702" s="293"/>
      <c r="D2702" s="189"/>
      <c r="E2702" s="189"/>
    </row>
    <row r="2703" hidden="1">
      <c r="A2703" s="189"/>
      <c r="B2703" s="189"/>
      <c r="C2703" s="293"/>
      <c r="D2703" s="189"/>
      <c r="E2703" s="189"/>
    </row>
    <row r="2704" hidden="1">
      <c r="A2704" s="189"/>
      <c r="B2704" s="189"/>
      <c r="C2704" s="293"/>
      <c r="D2704" s="189"/>
      <c r="E2704" s="189"/>
    </row>
    <row r="2705" hidden="1">
      <c r="A2705" s="189"/>
      <c r="B2705" s="189"/>
      <c r="C2705" s="293"/>
      <c r="D2705" s="189"/>
      <c r="E2705" s="189"/>
    </row>
    <row r="2706" hidden="1">
      <c r="A2706" s="189"/>
      <c r="B2706" s="189"/>
      <c r="C2706" s="293"/>
      <c r="D2706" s="189"/>
      <c r="E2706" s="189"/>
    </row>
    <row r="2707" hidden="1">
      <c r="A2707" s="189"/>
      <c r="B2707" s="189"/>
      <c r="C2707" s="293"/>
      <c r="D2707" s="189"/>
      <c r="E2707" s="189"/>
    </row>
    <row r="2708" hidden="1">
      <c r="A2708" s="189"/>
      <c r="B2708" s="189"/>
      <c r="C2708" s="293"/>
      <c r="D2708" s="189"/>
      <c r="E2708" s="189"/>
    </row>
    <row r="2709" hidden="1">
      <c r="A2709" s="189"/>
      <c r="B2709" s="189"/>
      <c r="C2709" s="293"/>
      <c r="D2709" s="189"/>
      <c r="E2709" s="189"/>
    </row>
    <row r="2710" hidden="1">
      <c r="A2710" s="189"/>
      <c r="B2710" s="189"/>
      <c r="C2710" s="293"/>
      <c r="D2710" s="189"/>
      <c r="E2710" s="189"/>
    </row>
    <row r="2711" hidden="1">
      <c r="A2711" s="189"/>
      <c r="B2711" s="189"/>
      <c r="C2711" s="293"/>
      <c r="D2711" s="189"/>
      <c r="E2711" s="189"/>
    </row>
    <row r="2712" hidden="1">
      <c r="A2712" s="189"/>
      <c r="B2712" s="189"/>
      <c r="C2712" s="293"/>
      <c r="D2712" s="189"/>
      <c r="E2712" s="189"/>
    </row>
    <row r="2713" hidden="1">
      <c r="A2713" s="189"/>
      <c r="B2713" s="189"/>
      <c r="C2713" s="293"/>
      <c r="D2713" s="189"/>
      <c r="E2713" s="189"/>
    </row>
    <row r="2714" hidden="1">
      <c r="A2714" s="189"/>
      <c r="B2714" s="189"/>
      <c r="C2714" s="293"/>
      <c r="D2714" s="189"/>
      <c r="E2714" s="189"/>
    </row>
    <row r="2715" hidden="1">
      <c r="A2715" s="189"/>
      <c r="B2715" s="189"/>
      <c r="C2715" s="293"/>
      <c r="D2715" s="189"/>
      <c r="E2715" s="189"/>
    </row>
    <row r="2716" hidden="1">
      <c r="A2716" s="189"/>
      <c r="B2716" s="189"/>
      <c r="C2716" s="293"/>
      <c r="D2716" s="189"/>
      <c r="E2716" s="189"/>
    </row>
    <row r="2717" hidden="1">
      <c r="A2717" s="189"/>
      <c r="B2717" s="189"/>
      <c r="C2717" s="293"/>
      <c r="D2717" s="189"/>
      <c r="E2717" s="189"/>
    </row>
    <row r="2718" hidden="1">
      <c r="A2718" s="189"/>
      <c r="B2718" s="189"/>
      <c r="C2718" s="293"/>
      <c r="D2718" s="189"/>
      <c r="E2718" s="189"/>
    </row>
    <row r="2719" hidden="1">
      <c r="A2719" s="189"/>
      <c r="B2719" s="189"/>
      <c r="C2719" s="293"/>
      <c r="D2719" s="189"/>
      <c r="E2719" s="189"/>
    </row>
    <row r="2720" hidden="1">
      <c r="A2720" s="189"/>
      <c r="B2720" s="189"/>
      <c r="C2720" s="293"/>
      <c r="D2720" s="189"/>
      <c r="E2720" s="189"/>
    </row>
    <row r="2721" hidden="1">
      <c r="A2721" s="189"/>
      <c r="B2721" s="189"/>
      <c r="C2721" s="293"/>
      <c r="D2721" s="189"/>
      <c r="E2721" s="189"/>
    </row>
    <row r="2722" hidden="1">
      <c r="A2722" s="189"/>
      <c r="B2722" s="189"/>
      <c r="C2722" s="293"/>
      <c r="D2722" s="189"/>
      <c r="E2722" s="189"/>
    </row>
    <row r="2723" hidden="1">
      <c r="A2723" s="189"/>
      <c r="B2723" s="189"/>
      <c r="C2723" s="293"/>
      <c r="D2723" s="189"/>
      <c r="E2723" s="189"/>
    </row>
    <row r="2724" hidden="1">
      <c r="A2724" s="189"/>
      <c r="B2724" s="189"/>
      <c r="C2724" s="293"/>
      <c r="D2724" s="189"/>
      <c r="E2724" s="189"/>
    </row>
    <row r="2725" hidden="1">
      <c r="A2725" s="189"/>
      <c r="B2725" s="189"/>
      <c r="C2725" s="293"/>
      <c r="D2725" s="189"/>
      <c r="E2725" s="189"/>
    </row>
    <row r="2726" hidden="1">
      <c r="A2726" s="189"/>
      <c r="B2726" s="189"/>
      <c r="C2726" s="293"/>
      <c r="D2726" s="189"/>
      <c r="E2726" s="189"/>
    </row>
    <row r="2727" hidden="1">
      <c r="A2727" s="189"/>
      <c r="B2727" s="189"/>
      <c r="C2727" s="293"/>
      <c r="D2727" s="189"/>
      <c r="E2727" s="189"/>
    </row>
    <row r="2728" hidden="1">
      <c r="A2728" s="189"/>
      <c r="B2728" s="189"/>
      <c r="C2728" s="293"/>
      <c r="D2728" s="189"/>
      <c r="E2728" s="189"/>
    </row>
    <row r="2729" hidden="1">
      <c r="A2729" s="189"/>
      <c r="B2729" s="189"/>
      <c r="C2729" s="293"/>
      <c r="D2729" s="189"/>
      <c r="E2729" s="189"/>
    </row>
    <row r="2730" hidden="1">
      <c r="A2730" s="189"/>
      <c r="B2730" s="189"/>
      <c r="C2730" s="293"/>
      <c r="D2730" s="189"/>
      <c r="E2730" s="189"/>
    </row>
    <row r="2731" hidden="1">
      <c r="A2731" s="189"/>
      <c r="B2731" s="189"/>
      <c r="C2731" s="293"/>
      <c r="D2731" s="189"/>
      <c r="E2731" s="189"/>
    </row>
    <row r="2732" hidden="1">
      <c r="A2732" s="189"/>
      <c r="B2732" s="189"/>
      <c r="C2732" s="293"/>
      <c r="D2732" s="189"/>
      <c r="E2732" s="189"/>
    </row>
    <row r="2733" hidden="1">
      <c r="A2733" s="189"/>
      <c r="B2733" s="189"/>
      <c r="C2733" s="293"/>
      <c r="D2733" s="189"/>
      <c r="E2733" s="189"/>
    </row>
    <row r="2734" hidden="1">
      <c r="A2734" s="189"/>
      <c r="B2734" s="189"/>
      <c r="C2734" s="293"/>
      <c r="D2734" s="189"/>
      <c r="E2734" s="189"/>
    </row>
    <row r="2735" hidden="1">
      <c r="A2735" s="189"/>
      <c r="B2735" s="189"/>
      <c r="C2735" s="293"/>
      <c r="D2735" s="189"/>
      <c r="E2735" s="189"/>
    </row>
    <row r="2736" hidden="1">
      <c r="A2736" s="189"/>
      <c r="B2736" s="189"/>
      <c r="C2736" s="293"/>
      <c r="D2736" s="189"/>
      <c r="E2736" s="189"/>
    </row>
    <row r="2737" hidden="1">
      <c r="A2737" s="189"/>
      <c r="B2737" s="189"/>
      <c r="C2737" s="293"/>
      <c r="D2737" s="189"/>
      <c r="E2737" s="189"/>
    </row>
    <row r="2738" hidden="1">
      <c r="A2738" s="189"/>
      <c r="B2738" s="189"/>
      <c r="C2738" s="293"/>
      <c r="D2738" s="189"/>
      <c r="E2738" s="189"/>
    </row>
    <row r="2739" hidden="1">
      <c r="A2739" s="189"/>
      <c r="B2739" s="189"/>
      <c r="C2739" s="293"/>
      <c r="D2739" s="189"/>
      <c r="E2739" s="189"/>
    </row>
    <row r="2740" hidden="1">
      <c r="A2740" s="189"/>
      <c r="B2740" s="189"/>
      <c r="C2740" s="293"/>
      <c r="D2740" s="189"/>
      <c r="E2740" s="189"/>
    </row>
    <row r="2741" hidden="1">
      <c r="A2741" s="189"/>
      <c r="B2741" s="189"/>
      <c r="C2741" s="293"/>
      <c r="D2741" s="189"/>
      <c r="E2741" s="189"/>
    </row>
    <row r="2742" hidden="1">
      <c r="A2742" s="189"/>
      <c r="B2742" s="189"/>
      <c r="C2742" s="293"/>
      <c r="D2742" s="189"/>
      <c r="E2742" s="189"/>
    </row>
    <row r="2743" hidden="1">
      <c r="A2743" s="189"/>
      <c r="B2743" s="189"/>
      <c r="C2743" s="293"/>
      <c r="D2743" s="189"/>
      <c r="E2743" s="189"/>
    </row>
    <row r="2744" hidden="1">
      <c r="A2744" s="189"/>
      <c r="B2744" s="189"/>
      <c r="C2744" s="293"/>
      <c r="D2744" s="189"/>
      <c r="E2744" s="189"/>
    </row>
    <row r="2745" hidden="1">
      <c r="A2745" s="189"/>
      <c r="B2745" s="189"/>
      <c r="C2745" s="293"/>
      <c r="D2745" s="189"/>
      <c r="E2745" s="189"/>
    </row>
    <row r="2746" hidden="1">
      <c r="A2746" s="189"/>
      <c r="B2746" s="189"/>
      <c r="C2746" s="293"/>
      <c r="D2746" s="189"/>
      <c r="E2746" s="189"/>
    </row>
    <row r="2747" hidden="1">
      <c r="A2747" s="189"/>
      <c r="B2747" s="189"/>
      <c r="C2747" s="293"/>
      <c r="D2747" s="189"/>
      <c r="E2747" s="189"/>
    </row>
    <row r="2748" hidden="1">
      <c r="A2748" s="189"/>
      <c r="B2748" s="189"/>
      <c r="C2748" s="293"/>
      <c r="D2748" s="189"/>
      <c r="E2748" s="189"/>
    </row>
    <row r="2749" hidden="1">
      <c r="A2749" s="189"/>
      <c r="B2749" s="189"/>
      <c r="C2749" s="293"/>
      <c r="D2749" s="189"/>
      <c r="E2749" s="189"/>
    </row>
    <row r="2750" hidden="1">
      <c r="A2750" s="189"/>
      <c r="B2750" s="189"/>
      <c r="C2750" s="293"/>
      <c r="D2750" s="189"/>
      <c r="E2750" s="189"/>
    </row>
    <row r="2751" hidden="1">
      <c r="A2751" s="189"/>
      <c r="B2751" s="189"/>
      <c r="C2751" s="293"/>
      <c r="D2751" s="189"/>
      <c r="E2751" s="189"/>
    </row>
    <row r="2752" hidden="1">
      <c r="A2752" s="189"/>
      <c r="B2752" s="189"/>
      <c r="C2752" s="293"/>
      <c r="D2752" s="189"/>
      <c r="E2752" s="189"/>
    </row>
    <row r="2753" hidden="1">
      <c r="A2753" s="189"/>
      <c r="B2753" s="189"/>
      <c r="C2753" s="293"/>
      <c r="D2753" s="189"/>
      <c r="E2753" s="189"/>
    </row>
    <row r="2754" hidden="1">
      <c r="A2754" s="189"/>
      <c r="B2754" s="189"/>
      <c r="C2754" s="293"/>
      <c r="D2754" s="189"/>
      <c r="E2754" s="189"/>
    </row>
    <row r="2755" hidden="1">
      <c r="A2755" s="189"/>
      <c r="B2755" s="189"/>
      <c r="C2755" s="293"/>
      <c r="D2755" s="189"/>
      <c r="E2755" s="189"/>
    </row>
    <row r="2756" hidden="1">
      <c r="A2756" s="189"/>
      <c r="B2756" s="189"/>
      <c r="C2756" s="293"/>
      <c r="D2756" s="189"/>
      <c r="E2756" s="189"/>
    </row>
    <row r="2757" hidden="1">
      <c r="A2757" s="189"/>
      <c r="B2757" s="189"/>
      <c r="C2757" s="293"/>
      <c r="D2757" s="189"/>
      <c r="E2757" s="189"/>
    </row>
    <row r="2758" hidden="1">
      <c r="A2758" s="189"/>
      <c r="B2758" s="189"/>
      <c r="C2758" s="293"/>
      <c r="D2758" s="189"/>
      <c r="E2758" s="189"/>
    </row>
    <row r="2759" hidden="1">
      <c r="A2759" s="189"/>
      <c r="B2759" s="189"/>
      <c r="C2759" s="293"/>
      <c r="D2759" s="189"/>
      <c r="E2759" s="189"/>
    </row>
    <row r="2760" hidden="1">
      <c r="A2760" s="189"/>
      <c r="B2760" s="189"/>
      <c r="C2760" s="293"/>
      <c r="D2760" s="189"/>
      <c r="E2760" s="189"/>
    </row>
    <row r="2761" hidden="1">
      <c r="A2761" s="189"/>
      <c r="B2761" s="189"/>
      <c r="C2761" s="293"/>
      <c r="D2761" s="189"/>
      <c r="E2761" s="189"/>
    </row>
    <row r="2762" hidden="1">
      <c r="A2762" s="189"/>
      <c r="B2762" s="189"/>
      <c r="C2762" s="293"/>
      <c r="D2762" s="189"/>
      <c r="E2762" s="189"/>
    </row>
    <row r="2763" hidden="1">
      <c r="A2763" s="189"/>
      <c r="B2763" s="189"/>
      <c r="C2763" s="293"/>
      <c r="D2763" s="189"/>
      <c r="E2763" s="189"/>
    </row>
    <row r="2764" hidden="1">
      <c r="A2764" s="189"/>
      <c r="B2764" s="189"/>
      <c r="C2764" s="293"/>
      <c r="D2764" s="189"/>
      <c r="E2764" s="189"/>
    </row>
    <row r="2765" hidden="1">
      <c r="A2765" s="189"/>
      <c r="B2765" s="189"/>
      <c r="C2765" s="293"/>
      <c r="D2765" s="189"/>
      <c r="E2765" s="189"/>
    </row>
    <row r="2766" hidden="1">
      <c r="A2766" s="189"/>
      <c r="B2766" s="189"/>
      <c r="C2766" s="293"/>
      <c r="D2766" s="189"/>
      <c r="E2766" s="189"/>
    </row>
    <row r="2767" hidden="1">
      <c r="A2767" s="189"/>
      <c r="B2767" s="189"/>
      <c r="C2767" s="293"/>
      <c r="D2767" s="189"/>
      <c r="E2767" s="189"/>
    </row>
    <row r="2768" hidden="1">
      <c r="A2768" s="189"/>
      <c r="B2768" s="189"/>
      <c r="C2768" s="293"/>
      <c r="D2768" s="189"/>
      <c r="E2768" s="189"/>
    </row>
    <row r="2769" hidden="1">
      <c r="A2769" s="189"/>
      <c r="B2769" s="189"/>
      <c r="C2769" s="293"/>
      <c r="D2769" s="189"/>
      <c r="E2769" s="189"/>
    </row>
    <row r="2770" hidden="1">
      <c r="A2770" s="189"/>
      <c r="B2770" s="189"/>
      <c r="C2770" s="293"/>
      <c r="D2770" s="189"/>
      <c r="E2770" s="189"/>
    </row>
    <row r="2771" hidden="1">
      <c r="A2771" s="189"/>
      <c r="B2771" s="189"/>
      <c r="C2771" s="293"/>
      <c r="D2771" s="189"/>
      <c r="E2771" s="189"/>
    </row>
    <row r="2772" hidden="1">
      <c r="A2772" s="189"/>
      <c r="B2772" s="189"/>
      <c r="C2772" s="293"/>
      <c r="D2772" s="189"/>
      <c r="E2772" s="189"/>
    </row>
    <row r="2773" hidden="1">
      <c r="A2773" s="189"/>
      <c r="B2773" s="189"/>
      <c r="C2773" s="293"/>
      <c r="D2773" s="189"/>
      <c r="E2773" s="189"/>
    </row>
    <row r="2774" hidden="1">
      <c r="A2774" s="189"/>
      <c r="B2774" s="189"/>
      <c r="C2774" s="293"/>
      <c r="D2774" s="189"/>
      <c r="E2774" s="189"/>
    </row>
    <row r="2775" hidden="1">
      <c r="A2775" s="189"/>
      <c r="B2775" s="189"/>
      <c r="C2775" s="293"/>
      <c r="D2775" s="189"/>
      <c r="E2775" s="189"/>
    </row>
    <row r="2776" hidden="1">
      <c r="A2776" s="189"/>
      <c r="B2776" s="189"/>
      <c r="C2776" s="293"/>
      <c r="D2776" s="189"/>
      <c r="E2776" s="189"/>
    </row>
    <row r="2777" hidden="1">
      <c r="A2777" s="189"/>
      <c r="B2777" s="189"/>
      <c r="C2777" s="293"/>
      <c r="D2777" s="189"/>
      <c r="E2777" s="189"/>
    </row>
    <row r="2778" hidden="1">
      <c r="A2778" s="189"/>
      <c r="B2778" s="189"/>
      <c r="C2778" s="293"/>
      <c r="D2778" s="189"/>
      <c r="E2778" s="189"/>
    </row>
    <row r="2779" hidden="1">
      <c r="A2779" s="189"/>
      <c r="B2779" s="189"/>
      <c r="C2779" s="293"/>
      <c r="D2779" s="189"/>
      <c r="E2779" s="189"/>
    </row>
    <row r="2780" hidden="1">
      <c r="A2780" s="189"/>
      <c r="B2780" s="189"/>
      <c r="C2780" s="293"/>
      <c r="D2780" s="189"/>
      <c r="E2780" s="189"/>
    </row>
    <row r="2781" hidden="1">
      <c r="A2781" s="189"/>
      <c r="B2781" s="189"/>
      <c r="C2781" s="293"/>
      <c r="D2781" s="189"/>
      <c r="E2781" s="189"/>
    </row>
    <row r="2782" hidden="1">
      <c r="A2782" s="189"/>
      <c r="B2782" s="189"/>
      <c r="C2782" s="293"/>
      <c r="D2782" s="189"/>
      <c r="E2782" s="189"/>
    </row>
    <row r="2783" hidden="1">
      <c r="A2783" s="189"/>
      <c r="B2783" s="189"/>
      <c r="C2783" s="293"/>
      <c r="D2783" s="189"/>
      <c r="E2783" s="189"/>
    </row>
    <row r="2784" hidden="1">
      <c r="A2784" s="189"/>
      <c r="B2784" s="189"/>
      <c r="C2784" s="293"/>
      <c r="D2784" s="189"/>
      <c r="E2784" s="189"/>
    </row>
    <row r="2785" hidden="1">
      <c r="A2785" s="189"/>
      <c r="B2785" s="189"/>
      <c r="C2785" s="293"/>
      <c r="D2785" s="189"/>
      <c r="E2785" s="189"/>
    </row>
    <row r="2786" hidden="1">
      <c r="A2786" s="189"/>
      <c r="B2786" s="189"/>
      <c r="C2786" s="293"/>
      <c r="D2786" s="189"/>
      <c r="E2786" s="189"/>
    </row>
    <row r="2787" hidden="1">
      <c r="A2787" s="189"/>
      <c r="B2787" s="189"/>
      <c r="C2787" s="293"/>
      <c r="D2787" s="189"/>
      <c r="E2787" s="189"/>
    </row>
    <row r="2788" hidden="1">
      <c r="A2788" s="189"/>
      <c r="B2788" s="189"/>
      <c r="C2788" s="293"/>
      <c r="D2788" s="189"/>
      <c r="E2788" s="189"/>
    </row>
    <row r="2789" hidden="1">
      <c r="A2789" s="189"/>
      <c r="B2789" s="189"/>
      <c r="C2789" s="293"/>
      <c r="D2789" s="189"/>
      <c r="E2789" s="189"/>
    </row>
    <row r="2790" hidden="1">
      <c r="A2790" s="189"/>
      <c r="B2790" s="189"/>
      <c r="C2790" s="293"/>
      <c r="D2790" s="189"/>
      <c r="E2790" s="189"/>
    </row>
    <row r="2791" hidden="1">
      <c r="A2791" s="189"/>
      <c r="B2791" s="189"/>
      <c r="C2791" s="293"/>
      <c r="D2791" s="189"/>
      <c r="E2791" s="189"/>
    </row>
    <row r="2792" hidden="1">
      <c r="A2792" s="189"/>
      <c r="B2792" s="189"/>
      <c r="C2792" s="293"/>
      <c r="D2792" s="189"/>
      <c r="E2792" s="189"/>
    </row>
    <row r="2793" hidden="1">
      <c r="A2793" s="189"/>
      <c r="B2793" s="189"/>
      <c r="C2793" s="293"/>
      <c r="D2793" s="189"/>
      <c r="E2793" s="189"/>
    </row>
    <row r="2794" hidden="1">
      <c r="A2794" s="189"/>
      <c r="B2794" s="189"/>
      <c r="C2794" s="293"/>
      <c r="D2794" s="189"/>
      <c r="E2794" s="189"/>
    </row>
    <row r="2795" hidden="1">
      <c r="A2795" s="189"/>
      <c r="B2795" s="189"/>
      <c r="C2795" s="293"/>
      <c r="D2795" s="189"/>
      <c r="E2795" s="189"/>
    </row>
    <row r="2796" hidden="1">
      <c r="A2796" s="189"/>
      <c r="B2796" s="189"/>
      <c r="C2796" s="293"/>
      <c r="D2796" s="189"/>
      <c r="E2796" s="189"/>
    </row>
    <row r="2797" hidden="1">
      <c r="A2797" s="189"/>
      <c r="B2797" s="189"/>
      <c r="C2797" s="293"/>
      <c r="D2797" s="189"/>
      <c r="E2797" s="189"/>
    </row>
    <row r="2798" hidden="1">
      <c r="A2798" s="189"/>
      <c r="B2798" s="189"/>
      <c r="C2798" s="293"/>
      <c r="D2798" s="189"/>
      <c r="E2798" s="189"/>
    </row>
    <row r="2799" hidden="1">
      <c r="A2799" s="189"/>
      <c r="B2799" s="189"/>
      <c r="C2799" s="293"/>
      <c r="D2799" s="189"/>
      <c r="E2799" s="189"/>
    </row>
    <row r="2800" hidden="1">
      <c r="A2800" s="189"/>
      <c r="B2800" s="189"/>
      <c r="C2800" s="293"/>
      <c r="D2800" s="189"/>
      <c r="E2800" s="189"/>
    </row>
    <row r="2801" hidden="1">
      <c r="A2801" s="189"/>
      <c r="B2801" s="189"/>
      <c r="C2801" s="293"/>
      <c r="D2801" s="189"/>
      <c r="E2801" s="189"/>
    </row>
    <row r="2802" hidden="1">
      <c r="A2802" s="189"/>
      <c r="B2802" s="189"/>
      <c r="C2802" s="293"/>
      <c r="D2802" s="189"/>
      <c r="E2802" s="189"/>
    </row>
    <row r="2803" hidden="1">
      <c r="A2803" s="189"/>
      <c r="B2803" s="189"/>
      <c r="C2803" s="293"/>
      <c r="D2803" s="189"/>
      <c r="E2803" s="189"/>
    </row>
    <row r="2804" hidden="1">
      <c r="A2804" s="189"/>
      <c r="B2804" s="189"/>
      <c r="C2804" s="293"/>
      <c r="D2804" s="189"/>
      <c r="E2804" s="189"/>
    </row>
    <row r="2805" hidden="1">
      <c r="A2805" s="189"/>
      <c r="B2805" s="189"/>
      <c r="C2805" s="293"/>
      <c r="D2805" s="189"/>
      <c r="E2805" s="189"/>
    </row>
    <row r="2806" hidden="1">
      <c r="A2806" s="189"/>
      <c r="B2806" s="189"/>
      <c r="C2806" s="293"/>
      <c r="D2806" s="189"/>
      <c r="E2806" s="189"/>
    </row>
    <row r="2807" hidden="1">
      <c r="A2807" s="189"/>
      <c r="B2807" s="189"/>
      <c r="C2807" s="293"/>
      <c r="D2807" s="189"/>
      <c r="E2807" s="189"/>
    </row>
    <row r="2808" hidden="1">
      <c r="A2808" s="189"/>
      <c r="B2808" s="189"/>
      <c r="C2808" s="293"/>
      <c r="D2808" s="189"/>
      <c r="E2808" s="189"/>
    </row>
    <row r="2809" hidden="1">
      <c r="A2809" s="189"/>
      <c r="B2809" s="189"/>
      <c r="C2809" s="293"/>
      <c r="D2809" s="189"/>
      <c r="E2809" s="189"/>
    </row>
    <row r="2810" hidden="1">
      <c r="A2810" s="189"/>
      <c r="B2810" s="189"/>
      <c r="C2810" s="293"/>
      <c r="D2810" s="189"/>
      <c r="E2810" s="189"/>
    </row>
    <row r="2811" hidden="1">
      <c r="A2811" s="189"/>
      <c r="B2811" s="189"/>
      <c r="C2811" s="293"/>
      <c r="D2811" s="189"/>
      <c r="E2811" s="189"/>
    </row>
    <row r="2812" hidden="1">
      <c r="A2812" s="189"/>
      <c r="B2812" s="189"/>
      <c r="C2812" s="293"/>
      <c r="D2812" s="189"/>
      <c r="E2812" s="189"/>
    </row>
    <row r="2813" hidden="1">
      <c r="A2813" s="189"/>
      <c r="B2813" s="189"/>
      <c r="C2813" s="293"/>
      <c r="D2813" s="189"/>
      <c r="E2813" s="189"/>
    </row>
    <row r="2814" hidden="1">
      <c r="A2814" s="189"/>
      <c r="B2814" s="189"/>
      <c r="C2814" s="293"/>
      <c r="D2814" s="189"/>
      <c r="E2814" s="189"/>
    </row>
    <row r="2815" hidden="1">
      <c r="A2815" s="189"/>
      <c r="B2815" s="189"/>
      <c r="C2815" s="293"/>
      <c r="D2815" s="189"/>
      <c r="E2815" s="189"/>
    </row>
    <row r="2816" hidden="1">
      <c r="A2816" s="189"/>
      <c r="B2816" s="189"/>
      <c r="C2816" s="293"/>
      <c r="D2816" s="189"/>
      <c r="E2816" s="189"/>
    </row>
    <row r="2817" hidden="1">
      <c r="A2817" s="189"/>
      <c r="B2817" s="189"/>
      <c r="C2817" s="293"/>
      <c r="D2817" s="189"/>
      <c r="E2817" s="189"/>
    </row>
    <row r="2818" hidden="1">
      <c r="A2818" s="189"/>
      <c r="B2818" s="189"/>
      <c r="C2818" s="293"/>
      <c r="D2818" s="189"/>
      <c r="E2818" s="189"/>
    </row>
    <row r="2819" hidden="1">
      <c r="A2819" s="189"/>
      <c r="B2819" s="189"/>
      <c r="C2819" s="293"/>
      <c r="D2819" s="189"/>
      <c r="E2819" s="189"/>
    </row>
    <row r="2820" hidden="1">
      <c r="A2820" s="189"/>
      <c r="B2820" s="189"/>
      <c r="C2820" s="293"/>
      <c r="D2820" s="189"/>
      <c r="E2820" s="189"/>
    </row>
    <row r="2821" hidden="1">
      <c r="A2821" s="189"/>
      <c r="B2821" s="189"/>
      <c r="C2821" s="293"/>
      <c r="D2821" s="189"/>
      <c r="E2821" s="189"/>
    </row>
    <row r="2822" hidden="1">
      <c r="A2822" s="189"/>
      <c r="B2822" s="189"/>
      <c r="C2822" s="293"/>
      <c r="D2822" s="189"/>
      <c r="E2822" s="189"/>
    </row>
    <row r="2823" hidden="1">
      <c r="A2823" s="189"/>
      <c r="B2823" s="189"/>
      <c r="C2823" s="293"/>
      <c r="D2823" s="189"/>
      <c r="E2823" s="189"/>
    </row>
    <row r="2824" hidden="1">
      <c r="A2824" s="189"/>
      <c r="B2824" s="189"/>
      <c r="C2824" s="293"/>
      <c r="D2824" s="189"/>
      <c r="E2824" s="189"/>
    </row>
    <row r="2825" hidden="1">
      <c r="A2825" s="189"/>
      <c r="B2825" s="189"/>
      <c r="C2825" s="293"/>
      <c r="D2825" s="189"/>
      <c r="E2825" s="189"/>
    </row>
    <row r="2826" hidden="1">
      <c r="A2826" s="189"/>
      <c r="B2826" s="189"/>
      <c r="C2826" s="293"/>
      <c r="D2826" s="189"/>
      <c r="E2826" s="189"/>
    </row>
    <row r="2827" hidden="1">
      <c r="A2827" s="189"/>
      <c r="B2827" s="189"/>
      <c r="C2827" s="293"/>
      <c r="D2827" s="189"/>
      <c r="E2827" s="189"/>
    </row>
    <row r="2828" hidden="1">
      <c r="A2828" s="189"/>
      <c r="B2828" s="189"/>
      <c r="C2828" s="293"/>
      <c r="D2828" s="189"/>
      <c r="E2828" s="189"/>
    </row>
    <row r="2829" hidden="1">
      <c r="A2829" s="189"/>
      <c r="B2829" s="189"/>
      <c r="C2829" s="293"/>
      <c r="D2829" s="189"/>
      <c r="E2829" s="189"/>
    </row>
    <row r="2830" hidden="1">
      <c r="A2830" s="189"/>
      <c r="B2830" s="189"/>
      <c r="C2830" s="293"/>
      <c r="D2830" s="189"/>
      <c r="E2830" s="189"/>
    </row>
    <row r="2831" hidden="1">
      <c r="A2831" s="189"/>
      <c r="B2831" s="189"/>
      <c r="C2831" s="293"/>
      <c r="D2831" s="189"/>
      <c r="E2831" s="189"/>
    </row>
    <row r="2832" hidden="1">
      <c r="A2832" s="189"/>
      <c r="B2832" s="189"/>
      <c r="C2832" s="293"/>
      <c r="D2832" s="189"/>
      <c r="E2832" s="189"/>
    </row>
    <row r="2833" hidden="1">
      <c r="A2833" s="189"/>
      <c r="B2833" s="189"/>
      <c r="C2833" s="293"/>
      <c r="D2833" s="189"/>
      <c r="E2833" s="189"/>
    </row>
    <row r="2834" hidden="1">
      <c r="A2834" s="189"/>
      <c r="B2834" s="189"/>
      <c r="C2834" s="293"/>
      <c r="D2834" s="189"/>
      <c r="E2834" s="189"/>
    </row>
    <row r="2835" hidden="1">
      <c r="A2835" s="189"/>
      <c r="B2835" s="189"/>
      <c r="C2835" s="293"/>
      <c r="D2835" s="189"/>
      <c r="E2835" s="189"/>
    </row>
    <row r="2836" hidden="1">
      <c r="A2836" s="189"/>
      <c r="B2836" s="189"/>
      <c r="C2836" s="293"/>
      <c r="D2836" s="189"/>
      <c r="E2836" s="189"/>
    </row>
    <row r="2837" hidden="1">
      <c r="A2837" s="189"/>
      <c r="B2837" s="189"/>
      <c r="C2837" s="293"/>
      <c r="D2837" s="189"/>
      <c r="E2837" s="189"/>
    </row>
    <row r="2838" hidden="1">
      <c r="A2838" s="189"/>
      <c r="B2838" s="189"/>
      <c r="C2838" s="293"/>
      <c r="D2838" s="189"/>
      <c r="E2838" s="189"/>
    </row>
    <row r="2839" hidden="1">
      <c r="A2839" s="189"/>
      <c r="B2839" s="189"/>
      <c r="C2839" s="293"/>
      <c r="D2839" s="189"/>
      <c r="E2839" s="189"/>
    </row>
    <row r="2840" hidden="1">
      <c r="A2840" s="189"/>
      <c r="B2840" s="189"/>
      <c r="C2840" s="293"/>
      <c r="D2840" s="189"/>
      <c r="E2840" s="189"/>
    </row>
    <row r="2841" hidden="1">
      <c r="A2841" s="189"/>
      <c r="B2841" s="189"/>
      <c r="C2841" s="293"/>
      <c r="D2841" s="189"/>
      <c r="E2841" s="189"/>
    </row>
    <row r="2842" hidden="1">
      <c r="A2842" s="189"/>
      <c r="B2842" s="189"/>
      <c r="C2842" s="293"/>
      <c r="D2842" s="189"/>
      <c r="E2842" s="189"/>
    </row>
    <row r="2843" hidden="1">
      <c r="A2843" s="189"/>
      <c r="B2843" s="189"/>
      <c r="C2843" s="293"/>
      <c r="D2843" s="189"/>
      <c r="E2843" s="189"/>
    </row>
    <row r="2844" hidden="1">
      <c r="A2844" s="189"/>
      <c r="B2844" s="189"/>
      <c r="C2844" s="293"/>
      <c r="D2844" s="189"/>
      <c r="E2844" s="189"/>
    </row>
    <row r="2845" hidden="1">
      <c r="A2845" s="189"/>
      <c r="B2845" s="189"/>
      <c r="C2845" s="293"/>
      <c r="D2845" s="189"/>
      <c r="E2845" s="189"/>
    </row>
    <row r="2846" hidden="1">
      <c r="A2846" s="189"/>
      <c r="B2846" s="189"/>
      <c r="C2846" s="293"/>
      <c r="D2846" s="189"/>
      <c r="E2846" s="189"/>
    </row>
    <row r="2847" hidden="1">
      <c r="A2847" s="189"/>
      <c r="B2847" s="189"/>
      <c r="C2847" s="293"/>
      <c r="D2847" s="189"/>
      <c r="E2847" s="189"/>
    </row>
    <row r="2848" hidden="1">
      <c r="A2848" s="189"/>
      <c r="B2848" s="189"/>
      <c r="C2848" s="293"/>
      <c r="D2848" s="189"/>
      <c r="E2848" s="189"/>
    </row>
    <row r="2849" hidden="1">
      <c r="A2849" s="189"/>
      <c r="B2849" s="189"/>
      <c r="C2849" s="293"/>
      <c r="D2849" s="189"/>
      <c r="E2849" s="189"/>
    </row>
    <row r="2850" hidden="1">
      <c r="A2850" s="189"/>
      <c r="B2850" s="189"/>
      <c r="C2850" s="293"/>
      <c r="D2850" s="189"/>
      <c r="E2850" s="189"/>
    </row>
    <row r="2851" hidden="1">
      <c r="A2851" s="189"/>
      <c r="B2851" s="189"/>
      <c r="C2851" s="293"/>
      <c r="D2851" s="189"/>
      <c r="E2851" s="189"/>
    </row>
    <row r="2852" hidden="1">
      <c r="A2852" s="189"/>
      <c r="B2852" s="189"/>
      <c r="C2852" s="293"/>
      <c r="D2852" s="189"/>
      <c r="E2852" s="189"/>
    </row>
    <row r="2853" hidden="1">
      <c r="A2853" s="189"/>
      <c r="B2853" s="189"/>
      <c r="C2853" s="293"/>
      <c r="D2853" s="189"/>
      <c r="E2853" s="189"/>
    </row>
    <row r="2854" hidden="1">
      <c r="A2854" s="189"/>
      <c r="B2854" s="189"/>
      <c r="C2854" s="293"/>
      <c r="D2854" s="189"/>
      <c r="E2854" s="189"/>
    </row>
    <row r="2855" hidden="1">
      <c r="A2855" s="189"/>
      <c r="B2855" s="189"/>
      <c r="C2855" s="293"/>
      <c r="D2855" s="189"/>
      <c r="E2855" s="189"/>
    </row>
    <row r="2856" hidden="1">
      <c r="A2856" s="189"/>
      <c r="B2856" s="189"/>
      <c r="C2856" s="293"/>
      <c r="D2856" s="189"/>
      <c r="E2856" s="189"/>
    </row>
    <row r="2857" hidden="1">
      <c r="A2857" s="189"/>
      <c r="B2857" s="189"/>
      <c r="C2857" s="293"/>
      <c r="D2857" s="189"/>
      <c r="E2857" s="189"/>
    </row>
    <row r="2858" hidden="1">
      <c r="A2858" s="189"/>
      <c r="B2858" s="189"/>
      <c r="C2858" s="293"/>
      <c r="D2858" s="189"/>
      <c r="E2858" s="189"/>
    </row>
    <row r="2859" hidden="1">
      <c r="A2859" s="189"/>
      <c r="B2859" s="189"/>
      <c r="C2859" s="293"/>
      <c r="D2859" s="189"/>
      <c r="E2859" s="189"/>
    </row>
    <row r="2860" hidden="1">
      <c r="A2860" s="189"/>
      <c r="B2860" s="189"/>
      <c r="C2860" s="293"/>
      <c r="D2860" s="189"/>
      <c r="E2860" s="189"/>
    </row>
    <row r="2861" hidden="1">
      <c r="A2861" s="189"/>
      <c r="B2861" s="189"/>
      <c r="C2861" s="293"/>
      <c r="D2861" s="189"/>
      <c r="E2861" s="189"/>
    </row>
    <row r="2862" hidden="1">
      <c r="A2862" s="189"/>
      <c r="B2862" s="189"/>
      <c r="C2862" s="293"/>
      <c r="D2862" s="189"/>
      <c r="E2862" s="189"/>
    </row>
    <row r="2863" hidden="1">
      <c r="A2863" s="189"/>
      <c r="B2863" s="189"/>
      <c r="C2863" s="293"/>
      <c r="D2863" s="189"/>
      <c r="E2863" s="189"/>
    </row>
    <row r="2864" hidden="1">
      <c r="A2864" s="189"/>
      <c r="B2864" s="189"/>
      <c r="C2864" s="293"/>
      <c r="D2864" s="189"/>
      <c r="E2864" s="189"/>
    </row>
    <row r="2865" hidden="1">
      <c r="A2865" s="189"/>
      <c r="B2865" s="189"/>
      <c r="C2865" s="293"/>
      <c r="D2865" s="189"/>
      <c r="E2865" s="189"/>
    </row>
    <row r="2866" hidden="1">
      <c r="A2866" s="189"/>
      <c r="B2866" s="189"/>
      <c r="C2866" s="293"/>
      <c r="D2866" s="189"/>
      <c r="E2866" s="189"/>
    </row>
    <row r="2867" hidden="1">
      <c r="A2867" s="189"/>
      <c r="B2867" s="189"/>
      <c r="C2867" s="293"/>
      <c r="D2867" s="189"/>
      <c r="E2867" s="189"/>
    </row>
    <row r="2868" hidden="1">
      <c r="A2868" s="189"/>
      <c r="B2868" s="189"/>
      <c r="C2868" s="293"/>
      <c r="D2868" s="189"/>
      <c r="E2868" s="189"/>
    </row>
    <row r="2869" hidden="1">
      <c r="A2869" s="189"/>
      <c r="B2869" s="189"/>
      <c r="C2869" s="293"/>
      <c r="D2869" s="189"/>
      <c r="E2869" s="189"/>
    </row>
    <row r="2870" hidden="1">
      <c r="A2870" s="189"/>
      <c r="B2870" s="189"/>
      <c r="C2870" s="293"/>
      <c r="D2870" s="189"/>
      <c r="E2870" s="189"/>
    </row>
    <row r="2871" hidden="1">
      <c r="A2871" s="189"/>
      <c r="B2871" s="189"/>
      <c r="C2871" s="293"/>
      <c r="D2871" s="189"/>
      <c r="E2871" s="189"/>
    </row>
    <row r="2872" hidden="1">
      <c r="A2872" s="189"/>
      <c r="B2872" s="189"/>
      <c r="C2872" s="293"/>
      <c r="D2872" s="189"/>
      <c r="E2872" s="189"/>
    </row>
    <row r="2873" hidden="1">
      <c r="A2873" s="189"/>
      <c r="B2873" s="189"/>
      <c r="C2873" s="293"/>
      <c r="D2873" s="189"/>
      <c r="E2873" s="189"/>
    </row>
    <row r="2874" hidden="1">
      <c r="A2874" s="189"/>
      <c r="B2874" s="189"/>
      <c r="C2874" s="293"/>
      <c r="D2874" s="189"/>
      <c r="E2874" s="189"/>
    </row>
    <row r="2875" hidden="1">
      <c r="A2875" s="189"/>
      <c r="B2875" s="189"/>
      <c r="C2875" s="293"/>
      <c r="D2875" s="189"/>
      <c r="E2875" s="189"/>
    </row>
    <row r="2876" hidden="1">
      <c r="A2876" s="189"/>
      <c r="B2876" s="189"/>
      <c r="C2876" s="293"/>
      <c r="D2876" s="189"/>
      <c r="E2876" s="189"/>
    </row>
    <row r="2877" hidden="1">
      <c r="A2877" s="189"/>
      <c r="B2877" s="189"/>
      <c r="C2877" s="293"/>
      <c r="D2877" s="189"/>
      <c r="E2877" s="189"/>
    </row>
    <row r="2878" hidden="1">
      <c r="A2878" s="189"/>
      <c r="B2878" s="189"/>
      <c r="C2878" s="293"/>
      <c r="D2878" s="189"/>
      <c r="E2878" s="189"/>
    </row>
    <row r="2879" hidden="1">
      <c r="A2879" s="189"/>
      <c r="B2879" s="189"/>
      <c r="C2879" s="293"/>
      <c r="D2879" s="189"/>
      <c r="E2879" s="189"/>
    </row>
    <row r="2880" hidden="1">
      <c r="A2880" s="189"/>
      <c r="B2880" s="189"/>
      <c r="C2880" s="293"/>
      <c r="D2880" s="189"/>
      <c r="E2880" s="189"/>
    </row>
    <row r="2881" hidden="1">
      <c r="A2881" s="189"/>
      <c r="B2881" s="189"/>
      <c r="C2881" s="293"/>
      <c r="D2881" s="189"/>
      <c r="E2881" s="189"/>
    </row>
    <row r="2882" hidden="1">
      <c r="A2882" s="189"/>
      <c r="B2882" s="189"/>
      <c r="C2882" s="293"/>
      <c r="D2882" s="189"/>
      <c r="E2882" s="189"/>
    </row>
    <row r="2883" hidden="1">
      <c r="A2883" s="189"/>
      <c r="B2883" s="189"/>
      <c r="C2883" s="293"/>
      <c r="D2883" s="189"/>
      <c r="E2883" s="189"/>
    </row>
    <row r="2884" hidden="1">
      <c r="A2884" s="189"/>
      <c r="B2884" s="189"/>
      <c r="C2884" s="293"/>
      <c r="D2884" s="189"/>
      <c r="E2884" s="189"/>
    </row>
    <row r="2885" hidden="1">
      <c r="A2885" s="189"/>
      <c r="B2885" s="189"/>
      <c r="C2885" s="293"/>
      <c r="D2885" s="189"/>
      <c r="E2885" s="189"/>
    </row>
    <row r="2886" hidden="1">
      <c r="A2886" s="189"/>
      <c r="B2886" s="189"/>
      <c r="C2886" s="293"/>
      <c r="D2886" s="189"/>
      <c r="E2886" s="189"/>
    </row>
    <row r="2887" hidden="1">
      <c r="A2887" s="189"/>
      <c r="B2887" s="189"/>
      <c r="C2887" s="293"/>
      <c r="D2887" s="189"/>
      <c r="E2887" s="189"/>
    </row>
    <row r="2888" hidden="1">
      <c r="A2888" s="189"/>
      <c r="B2888" s="189"/>
      <c r="C2888" s="293"/>
      <c r="D2888" s="189"/>
      <c r="E2888" s="189"/>
    </row>
    <row r="2889" hidden="1">
      <c r="A2889" s="189"/>
      <c r="B2889" s="189"/>
      <c r="C2889" s="293"/>
      <c r="D2889" s="189"/>
      <c r="E2889" s="189"/>
    </row>
    <row r="2890" hidden="1">
      <c r="A2890" s="189"/>
      <c r="B2890" s="189"/>
      <c r="C2890" s="293"/>
      <c r="D2890" s="189"/>
      <c r="E2890" s="189"/>
    </row>
    <row r="2891" hidden="1">
      <c r="A2891" s="189"/>
      <c r="B2891" s="189"/>
      <c r="C2891" s="293"/>
      <c r="D2891" s="189"/>
      <c r="E2891" s="189"/>
    </row>
    <row r="2892" hidden="1">
      <c r="A2892" s="189"/>
      <c r="B2892" s="189"/>
      <c r="C2892" s="293"/>
      <c r="D2892" s="189"/>
      <c r="E2892" s="189"/>
    </row>
    <row r="2893" hidden="1">
      <c r="A2893" s="189"/>
      <c r="B2893" s="189"/>
      <c r="C2893" s="293"/>
      <c r="D2893" s="189"/>
      <c r="E2893" s="189"/>
    </row>
    <row r="2894" hidden="1">
      <c r="A2894" s="189"/>
      <c r="B2894" s="189"/>
      <c r="C2894" s="293"/>
      <c r="D2894" s="189"/>
      <c r="E2894" s="189"/>
    </row>
    <row r="2895" hidden="1">
      <c r="A2895" s="189"/>
      <c r="B2895" s="189"/>
      <c r="C2895" s="293"/>
      <c r="D2895" s="189"/>
      <c r="E2895" s="189"/>
    </row>
    <row r="2896" hidden="1">
      <c r="A2896" s="189"/>
      <c r="B2896" s="189"/>
      <c r="C2896" s="293"/>
      <c r="D2896" s="189"/>
      <c r="E2896" s="189"/>
    </row>
    <row r="2897" hidden="1">
      <c r="A2897" s="189"/>
      <c r="B2897" s="189"/>
      <c r="C2897" s="293"/>
      <c r="D2897" s="189"/>
      <c r="E2897" s="189"/>
    </row>
    <row r="2898" hidden="1">
      <c r="A2898" s="189"/>
      <c r="B2898" s="189"/>
      <c r="C2898" s="293"/>
      <c r="D2898" s="189"/>
      <c r="E2898" s="189"/>
    </row>
    <row r="2899" hidden="1">
      <c r="A2899" s="189"/>
      <c r="B2899" s="189"/>
      <c r="C2899" s="293"/>
      <c r="D2899" s="189"/>
      <c r="E2899" s="189"/>
    </row>
    <row r="2900" hidden="1">
      <c r="A2900" s="189"/>
      <c r="B2900" s="189"/>
      <c r="C2900" s="293"/>
      <c r="D2900" s="189"/>
      <c r="E2900" s="189"/>
    </row>
    <row r="2901" hidden="1">
      <c r="A2901" s="189"/>
      <c r="B2901" s="189"/>
      <c r="C2901" s="293"/>
      <c r="D2901" s="189"/>
      <c r="E2901" s="189"/>
    </row>
    <row r="2902" hidden="1">
      <c r="A2902" s="189"/>
      <c r="B2902" s="189"/>
      <c r="C2902" s="293"/>
      <c r="D2902" s="189"/>
      <c r="E2902" s="189"/>
    </row>
    <row r="2903" hidden="1">
      <c r="A2903" s="189"/>
      <c r="B2903" s="189"/>
      <c r="C2903" s="293"/>
      <c r="D2903" s="189"/>
      <c r="E2903" s="189"/>
    </row>
    <row r="2904" hidden="1">
      <c r="A2904" s="189"/>
      <c r="B2904" s="189"/>
      <c r="C2904" s="293"/>
      <c r="D2904" s="189"/>
      <c r="E2904" s="189"/>
    </row>
    <row r="2905" hidden="1">
      <c r="A2905" s="189"/>
      <c r="B2905" s="189"/>
      <c r="C2905" s="293"/>
      <c r="D2905" s="189"/>
      <c r="E2905" s="189"/>
    </row>
    <row r="2906" hidden="1">
      <c r="A2906" s="189"/>
      <c r="B2906" s="189"/>
      <c r="C2906" s="293"/>
      <c r="D2906" s="189"/>
      <c r="E2906" s="189"/>
    </row>
    <row r="2907" hidden="1">
      <c r="A2907" s="189"/>
      <c r="B2907" s="189"/>
      <c r="C2907" s="293"/>
      <c r="D2907" s="189"/>
      <c r="E2907" s="189"/>
    </row>
    <row r="2908" hidden="1">
      <c r="A2908" s="189"/>
      <c r="B2908" s="189"/>
      <c r="C2908" s="293"/>
      <c r="D2908" s="189"/>
      <c r="E2908" s="189"/>
    </row>
    <row r="2909" hidden="1">
      <c r="A2909" s="189"/>
      <c r="B2909" s="189"/>
      <c r="C2909" s="293"/>
      <c r="D2909" s="189"/>
      <c r="E2909" s="189"/>
    </row>
    <row r="2910" hidden="1">
      <c r="A2910" s="189"/>
      <c r="B2910" s="189"/>
      <c r="C2910" s="293"/>
      <c r="D2910" s="189"/>
      <c r="E2910" s="189"/>
    </row>
    <row r="2911" hidden="1">
      <c r="A2911" s="189"/>
      <c r="B2911" s="189"/>
      <c r="C2911" s="293"/>
      <c r="D2911" s="189"/>
      <c r="E2911" s="189"/>
    </row>
    <row r="2912" hidden="1">
      <c r="A2912" s="189"/>
      <c r="B2912" s="189"/>
      <c r="C2912" s="293"/>
      <c r="D2912" s="189"/>
      <c r="E2912" s="189"/>
    </row>
    <row r="2913" hidden="1">
      <c r="A2913" s="189"/>
      <c r="B2913" s="189"/>
      <c r="C2913" s="293"/>
      <c r="D2913" s="189"/>
      <c r="E2913" s="189"/>
    </row>
    <row r="2914" hidden="1">
      <c r="A2914" s="189"/>
      <c r="B2914" s="189"/>
      <c r="C2914" s="293"/>
      <c r="D2914" s="189"/>
      <c r="E2914" s="189"/>
    </row>
    <row r="2915" hidden="1">
      <c r="A2915" s="189"/>
      <c r="B2915" s="189"/>
      <c r="C2915" s="293"/>
      <c r="D2915" s="189"/>
      <c r="E2915" s="189"/>
    </row>
    <row r="2916" hidden="1">
      <c r="A2916" s="189"/>
      <c r="B2916" s="189"/>
      <c r="C2916" s="293"/>
      <c r="D2916" s="189"/>
      <c r="E2916" s="189"/>
    </row>
    <row r="2917" hidden="1">
      <c r="A2917" s="189"/>
      <c r="B2917" s="189"/>
      <c r="C2917" s="293"/>
      <c r="D2917" s="189"/>
      <c r="E2917" s="189"/>
    </row>
    <row r="2918" hidden="1">
      <c r="A2918" s="189"/>
      <c r="B2918" s="189"/>
      <c r="C2918" s="293"/>
      <c r="D2918" s="189"/>
      <c r="E2918" s="189"/>
    </row>
    <row r="2919" hidden="1">
      <c r="A2919" s="189"/>
      <c r="B2919" s="189"/>
      <c r="C2919" s="293"/>
      <c r="D2919" s="189"/>
      <c r="E2919" s="189"/>
    </row>
    <row r="2920" hidden="1">
      <c r="A2920" s="189"/>
      <c r="B2920" s="189"/>
      <c r="C2920" s="293"/>
      <c r="D2920" s="189"/>
      <c r="E2920" s="189"/>
    </row>
    <row r="2921" hidden="1">
      <c r="A2921" s="189"/>
      <c r="B2921" s="189"/>
      <c r="C2921" s="293"/>
      <c r="D2921" s="189"/>
      <c r="E2921" s="189"/>
    </row>
    <row r="2922" hidden="1">
      <c r="A2922" s="189"/>
      <c r="B2922" s="189"/>
      <c r="C2922" s="293"/>
      <c r="D2922" s="189"/>
      <c r="E2922" s="189"/>
    </row>
    <row r="2923" hidden="1">
      <c r="A2923" s="189"/>
      <c r="B2923" s="189"/>
      <c r="C2923" s="293"/>
      <c r="D2923" s="189"/>
      <c r="E2923" s="189"/>
    </row>
    <row r="2924" hidden="1">
      <c r="A2924" s="189"/>
      <c r="B2924" s="189"/>
      <c r="C2924" s="293"/>
      <c r="D2924" s="189"/>
      <c r="E2924" s="189"/>
    </row>
    <row r="2925" hidden="1">
      <c r="A2925" s="189"/>
      <c r="B2925" s="189"/>
      <c r="C2925" s="293"/>
      <c r="D2925" s="189"/>
      <c r="E2925" s="189"/>
    </row>
    <row r="2926" hidden="1">
      <c r="A2926" s="189"/>
      <c r="B2926" s="189"/>
      <c r="C2926" s="293"/>
      <c r="D2926" s="189"/>
      <c r="E2926" s="189"/>
    </row>
    <row r="2927" hidden="1">
      <c r="A2927" s="189"/>
      <c r="B2927" s="189"/>
      <c r="C2927" s="293"/>
      <c r="D2927" s="189"/>
      <c r="E2927" s="189"/>
    </row>
    <row r="2928" hidden="1">
      <c r="A2928" s="189"/>
      <c r="B2928" s="189"/>
      <c r="C2928" s="293"/>
      <c r="D2928" s="189"/>
      <c r="E2928" s="189"/>
    </row>
    <row r="2929" hidden="1">
      <c r="A2929" s="189"/>
      <c r="B2929" s="189"/>
      <c r="C2929" s="293"/>
      <c r="D2929" s="189"/>
      <c r="E2929" s="189"/>
    </row>
    <row r="2930" hidden="1">
      <c r="A2930" s="189"/>
      <c r="B2930" s="189"/>
      <c r="C2930" s="293"/>
      <c r="D2930" s="189"/>
      <c r="E2930" s="189"/>
    </row>
    <row r="2931" hidden="1">
      <c r="A2931" s="189"/>
      <c r="B2931" s="189"/>
      <c r="C2931" s="293"/>
      <c r="D2931" s="189"/>
      <c r="E2931" s="189"/>
    </row>
    <row r="2932" hidden="1">
      <c r="A2932" s="189"/>
      <c r="B2932" s="189"/>
      <c r="C2932" s="293"/>
      <c r="D2932" s="189"/>
      <c r="E2932" s="189"/>
    </row>
    <row r="2933" hidden="1">
      <c r="A2933" s="189"/>
      <c r="B2933" s="189"/>
      <c r="C2933" s="293"/>
      <c r="D2933" s="189"/>
      <c r="E2933" s="189"/>
    </row>
    <row r="2934" hidden="1">
      <c r="A2934" s="189"/>
      <c r="B2934" s="189"/>
      <c r="C2934" s="293"/>
      <c r="D2934" s="189"/>
      <c r="E2934" s="189"/>
    </row>
    <row r="2935" hidden="1">
      <c r="A2935" s="189"/>
      <c r="B2935" s="189"/>
      <c r="C2935" s="293"/>
      <c r="D2935" s="189"/>
      <c r="E2935" s="189"/>
    </row>
    <row r="2936" hidden="1">
      <c r="A2936" s="189"/>
      <c r="B2936" s="189"/>
      <c r="C2936" s="293"/>
      <c r="D2936" s="189"/>
      <c r="E2936" s="189"/>
    </row>
    <row r="2937" hidden="1">
      <c r="A2937" s="189"/>
      <c r="B2937" s="189"/>
      <c r="C2937" s="293"/>
      <c r="D2937" s="189"/>
      <c r="E2937" s="189"/>
    </row>
    <row r="2938" hidden="1">
      <c r="A2938" s="189"/>
      <c r="B2938" s="189"/>
      <c r="C2938" s="293"/>
      <c r="D2938" s="189"/>
      <c r="E2938" s="189"/>
    </row>
    <row r="2939" hidden="1">
      <c r="A2939" s="189"/>
      <c r="B2939" s="189"/>
      <c r="C2939" s="293"/>
      <c r="D2939" s="189"/>
      <c r="E2939" s="189"/>
    </row>
    <row r="2940" hidden="1">
      <c r="A2940" s="189"/>
      <c r="B2940" s="189"/>
      <c r="C2940" s="293"/>
      <c r="D2940" s="189"/>
      <c r="E2940" s="189"/>
    </row>
    <row r="2941" hidden="1">
      <c r="A2941" s="189"/>
      <c r="B2941" s="189"/>
      <c r="C2941" s="293"/>
      <c r="D2941" s="189"/>
      <c r="E2941" s="189"/>
    </row>
    <row r="2942" hidden="1">
      <c r="A2942" s="189"/>
      <c r="B2942" s="189"/>
      <c r="C2942" s="293"/>
      <c r="D2942" s="189"/>
      <c r="E2942" s="189"/>
    </row>
    <row r="2943" hidden="1">
      <c r="A2943" s="189"/>
      <c r="B2943" s="189"/>
      <c r="C2943" s="293"/>
      <c r="D2943" s="189"/>
      <c r="E2943" s="189"/>
    </row>
    <row r="2944" hidden="1">
      <c r="A2944" s="189"/>
      <c r="B2944" s="189"/>
      <c r="C2944" s="293"/>
      <c r="D2944" s="189"/>
      <c r="E2944" s="189"/>
    </row>
    <row r="2945" hidden="1">
      <c r="A2945" s="189"/>
      <c r="B2945" s="189"/>
      <c r="C2945" s="293"/>
      <c r="D2945" s="189"/>
      <c r="E2945" s="189"/>
    </row>
    <row r="2946" hidden="1">
      <c r="A2946" s="189"/>
      <c r="B2946" s="189"/>
      <c r="C2946" s="293"/>
      <c r="D2946" s="189"/>
      <c r="E2946" s="189"/>
    </row>
    <row r="2947" hidden="1">
      <c r="A2947" s="189"/>
      <c r="B2947" s="189"/>
      <c r="C2947" s="293"/>
      <c r="D2947" s="189"/>
      <c r="E2947" s="189"/>
    </row>
    <row r="2948" hidden="1">
      <c r="A2948" s="189"/>
      <c r="B2948" s="189"/>
      <c r="C2948" s="293"/>
      <c r="D2948" s="189"/>
      <c r="E2948" s="189"/>
    </row>
    <row r="2949" hidden="1">
      <c r="A2949" s="189"/>
      <c r="B2949" s="189"/>
      <c r="C2949" s="293"/>
      <c r="D2949" s="189"/>
      <c r="E2949" s="189"/>
    </row>
    <row r="2950" hidden="1">
      <c r="A2950" s="189"/>
      <c r="B2950" s="189"/>
      <c r="C2950" s="293"/>
      <c r="D2950" s="189"/>
      <c r="E2950" s="189"/>
    </row>
    <row r="2951" hidden="1">
      <c r="A2951" s="189"/>
      <c r="B2951" s="189"/>
      <c r="C2951" s="293"/>
      <c r="D2951" s="189"/>
      <c r="E2951" s="189"/>
    </row>
    <row r="2952" hidden="1">
      <c r="A2952" s="189"/>
      <c r="B2952" s="189"/>
      <c r="C2952" s="293"/>
      <c r="D2952" s="189"/>
      <c r="E2952" s="189"/>
    </row>
    <row r="2953" hidden="1">
      <c r="A2953" s="189"/>
      <c r="B2953" s="189"/>
      <c r="C2953" s="293"/>
      <c r="D2953" s="189"/>
      <c r="E2953" s="189"/>
    </row>
    <row r="2954" hidden="1">
      <c r="A2954" s="189"/>
      <c r="B2954" s="189"/>
      <c r="C2954" s="293"/>
      <c r="D2954" s="189"/>
      <c r="E2954" s="189"/>
    </row>
    <row r="2955" hidden="1">
      <c r="A2955" s="189"/>
      <c r="B2955" s="189"/>
      <c r="C2955" s="293"/>
      <c r="D2955" s="189"/>
      <c r="E2955" s="189"/>
    </row>
    <row r="2956" hidden="1">
      <c r="A2956" s="189"/>
      <c r="B2956" s="189"/>
      <c r="C2956" s="293"/>
      <c r="D2956" s="189"/>
      <c r="E2956" s="189"/>
    </row>
    <row r="2957" hidden="1">
      <c r="A2957" s="189"/>
      <c r="B2957" s="189"/>
      <c r="C2957" s="293"/>
      <c r="D2957" s="189"/>
      <c r="E2957" s="189"/>
    </row>
    <row r="2958" hidden="1">
      <c r="A2958" s="189"/>
      <c r="B2958" s="189"/>
      <c r="C2958" s="293"/>
      <c r="D2958" s="189"/>
      <c r="E2958" s="189"/>
    </row>
    <row r="2959" hidden="1">
      <c r="A2959" s="189"/>
      <c r="B2959" s="189"/>
      <c r="C2959" s="293"/>
      <c r="D2959" s="189"/>
      <c r="E2959" s="189"/>
    </row>
    <row r="2960" hidden="1">
      <c r="A2960" s="189"/>
      <c r="B2960" s="189"/>
      <c r="C2960" s="293"/>
      <c r="D2960" s="189"/>
      <c r="E2960" s="189"/>
    </row>
    <row r="2961" hidden="1">
      <c r="A2961" s="189"/>
      <c r="B2961" s="189"/>
      <c r="C2961" s="293"/>
      <c r="D2961" s="189"/>
      <c r="E2961" s="189"/>
    </row>
    <row r="2962" hidden="1">
      <c r="A2962" s="189"/>
      <c r="B2962" s="189"/>
      <c r="C2962" s="293"/>
      <c r="D2962" s="189"/>
      <c r="E2962" s="189"/>
    </row>
    <row r="2963" hidden="1">
      <c r="A2963" s="189"/>
      <c r="B2963" s="189"/>
      <c r="C2963" s="293"/>
      <c r="D2963" s="189"/>
      <c r="E2963" s="189"/>
    </row>
    <row r="2964" hidden="1">
      <c r="A2964" s="189"/>
      <c r="B2964" s="189"/>
      <c r="C2964" s="293"/>
      <c r="D2964" s="189"/>
      <c r="E2964" s="189"/>
    </row>
    <row r="2965" hidden="1">
      <c r="A2965" s="189"/>
      <c r="B2965" s="189"/>
      <c r="C2965" s="293"/>
      <c r="D2965" s="189"/>
      <c r="E2965" s="189"/>
    </row>
    <row r="2966" hidden="1">
      <c r="A2966" s="189"/>
      <c r="B2966" s="189"/>
      <c r="C2966" s="293"/>
      <c r="D2966" s="189"/>
      <c r="E2966" s="189"/>
    </row>
    <row r="2967" hidden="1">
      <c r="A2967" s="189"/>
      <c r="B2967" s="189"/>
      <c r="C2967" s="293"/>
      <c r="D2967" s="189"/>
      <c r="E2967" s="189"/>
    </row>
    <row r="2968" hidden="1">
      <c r="A2968" s="189"/>
      <c r="B2968" s="189"/>
      <c r="C2968" s="293"/>
      <c r="D2968" s="189"/>
      <c r="E2968" s="189"/>
    </row>
    <row r="2969" hidden="1">
      <c r="A2969" s="189"/>
      <c r="B2969" s="189"/>
      <c r="C2969" s="293"/>
      <c r="D2969" s="189"/>
      <c r="E2969" s="189"/>
    </row>
    <row r="2970" hidden="1">
      <c r="A2970" s="189"/>
      <c r="B2970" s="189"/>
      <c r="C2970" s="293"/>
      <c r="D2970" s="189"/>
      <c r="E2970" s="189"/>
    </row>
    <row r="2971" hidden="1">
      <c r="A2971" s="189"/>
      <c r="B2971" s="189"/>
      <c r="C2971" s="293"/>
      <c r="D2971" s="189"/>
      <c r="E2971" s="189"/>
    </row>
    <row r="2972" hidden="1">
      <c r="A2972" s="189"/>
      <c r="B2972" s="189"/>
      <c r="C2972" s="293"/>
      <c r="D2972" s="189"/>
      <c r="E2972" s="189"/>
    </row>
    <row r="2973" hidden="1">
      <c r="A2973" s="189"/>
      <c r="B2973" s="189"/>
      <c r="C2973" s="293"/>
      <c r="D2973" s="189"/>
      <c r="E2973" s="189"/>
    </row>
    <row r="2974" hidden="1">
      <c r="A2974" s="189"/>
      <c r="B2974" s="189"/>
      <c r="C2974" s="293"/>
      <c r="D2974" s="189"/>
      <c r="E2974" s="189"/>
    </row>
    <row r="2975" hidden="1">
      <c r="A2975" s="189"/>
      <c r="B2975" s="189"/>
      <c r="C2975" s="293"/>
      <c r="D2975" s="189"/>
      <c r="E2975" s="189"/>
    </row>
    <row r="2976" hidden="1">
      <c r="A2976" s="189"/>
      <c r="B2976" s="189"/>
      <c r="C2976" s="293"/>
      <c r="D2976" s="189"/>
      <c r="E2976" s="189"/>
    </row>
    <row r="2977" hidden="1">
      <c r="A2977" s="189"/>
      <c r="B2977" s="189"/>
      <c r="C2977" s="293"/>
      <c r="D2977" s="189"/>
      <c r="E2977" s="189"/>
    </row>
    <row r="2978" hidden="1">
      <c r="A2978" s="189"/>
      <c r="B2978" s="189"/>
      <c r="C2978" s="293"/>
      <c r="D2978" s="189"/>
      <c r="E2978" s="189"/>
    </row>
    <row r="2979" hidden="1">
      <c r="A2979" s="189"/>
      <c r="B2979" s="189"/>
      <c r="C2979" s="293"/>
      <c r="D2979" s="189"/>
      <c r="E2979" s="189"/>
    </row>
    <row r="2980" hidden="1">
      <c r="A2980" s="189"/>
      <c r="B2980" s="189"/>
      <c r="C2980" s="293"/>
      <c r="D2980" s="189"/>
      <c r="E2980" s="189"/>
    </row>
    <row r="2981" hidden="1">
      <c r="A2981" s="189"/>
      <c r="B2981" s="189"/>
      <c r="C2981" s="293"/>
      <c r="D2981" s="189"/>
      <c r="E2981" s="189"/>
    </row>
    <row r="2982" hidden="1">
      <c r="A2982" s="189"/>
      <c r="B2982" s="189"/>
      <c r="C2982" s="293"/>
      <c r="D2982" s="189"/>
      <c r="E2982" s="189"/>
    </row>
    <row r="2983" hidden="1">
      <c r="A2983" s="189"/>
      <c r="B2983" s="189"/>
      <c r="C2983" s="293"/>
      <c r="D2983" s="189"/>
      <c r="E2983" s="189"/>
    </row>
    <row r="2984" hidden="1">
      <c r="A2984" s="189"/>
      <c r="B2984" s="189"/>
      <c r="C2984" s="293"/>
      <c r="D2984" s="189"/>
      <c r="E2984" s="189"/>
    </row>
    <row r="2985" hidden="1">
      <c r="A2985" s="189"/>
      <c r="B2985" s="189"/>
      <c r="C2985" s="293"/>
      <c r="D2985" s="189"/>
      <c r="E2985" s="189"/>
    </row>
    <row r="2986" hidden="1">
      <c r="A2986" s="189"/>
      <c r="B2986" s="189"/>
      <c r="C2986" s="293"/>
      <c r="D2986" s="189"/>
      <c r="E2986" s="189"/>
    </row>
    <row r="2987" hidden="1">
      <c r="A2987" s="189"/>
      <c r="B2987" s="189"/>
      <c r="C2987" s="293"/>
      <c r="D2987" s="189"/>
      <c r="E2987" s="189"/>
    </row>
    <row r="2988" hidden="1">
      <c r="A2988" s="189"/>
      <c r="B2988" s="189"/>
      <c r="C2988" s="293"/>
      <c r="D2988" s="189"/>
      <c r="E2988" s="189"/>
    </row>
    <row r="2989" hidden="1">
      <c r="A2989" s="189"/>
      <c r="B2989" s="189"/>
      <c r="C2989" s="293"/>
      <c r="D2989" s="189"/>
      <c r="E2989" s="189"/>
    </row>
    <row r="2990" hidden="1">
      <c r="A2990" s="189"/>
      <c r="B2990" s="189"/>
      <c r="C2990" s="293"/>
      <c r="D2990" s="189"/>
      <c r="E2990" s="189"/>
    </row>
    <row r="2991" hidden="1">
      <c r="A2991" s="189"/>
      <c r="B2991" s="189"/>
      <c r="C2991" s="293"/>
      <c r="D2991" s="189"/>
      <c r="E2991" s="189"/>
    </row>
    <row r="2992" hidden="1">
      <c r="A2992" s="221"/>
      <c r="B2992" s="198"/>
      <c r="C2992" s="190"/>
      <c r="D2992" s="190"/>
      <c r="E2992" s="190"/>
    </row>
    <row r="2993" hidden="1">
      <c r="A2993" s="221"/>
      <c r="B2993" s="198"/>
      <c r="C2993" s="190"/>
      <c r="D2993" s="190"/>
      <c r="E2993" s="190"/>
    </row>
    <row r="2994" hidden="1">
      <c r="A2994" s="221"/>
      <c r="B2994" s="198"/>
      <c r="C2994" s="190"/>
      <c r="D2994" s="190"/>
      <c r="E2994" s="190"/>
    </row>
    <row r="2995" hidden="1">
      <c r="A2995" s="306"/>
      <c r="B2995" s="307"/>
      <c r="C2995" s="190"/>
      <c r="D2995" s="190"/>
      <c r="E2995" s="190"/>
    </row>
    <row r="2996" hidden="1">
      <c r="A2996" s="305"/>
      <c r="B2996" s="224"/>
      <c r="C2996" s="190"/>
      <c r="D2996" s="190"/>
      <c r="E2996" s="190"/>
    </row>
    <row r="2997" hidden="1">
      <c r="A2997" s="221"/>
      <c r="B2997" s="198"/>
      <c r="C2997" s="190"/>
      <c r="D2997" s="190"/>
      <c r="E2997" s="190"/>
    </row>
    <row r="2998" hidden="1">
      <c r="A2998" s="221"/>
      <c r="B2998" s="198"/>
      <c r="C2998" s="190"/>
      <c r="D2998" s="190"/>
      <c r="E2998" s="190"/>
    </row>
    <row r="2999" hidden="1">
      <c r="A2999" s="306"/>
      <c r="B2999" s="307"/>
      <c r="C2999" s="190"/>
      <c r="D2999" s="190"/>
      <c r="E2999" s="190"/>
    </row>
    <row r="3000" hidden="1">
      <c r="A3000" s="306"/>
      <c r="B3000" s="307"/>
      <c r="C3000" s="190"/>
      <c r="D3000" s="190"/>
      <c r="E3000" s="190"/>
    </row>
    <row r="3001" hidden="1">
      <c r="A3001" s="221"/>
      <c r="B3001" s="198"/>
      <c r="C3001" s="190"/>
      <c r="D3001" s="190"/>
      <c r="E3001" s="190"/>
    </row>
    <row r="3002" hidden="1">
      <c r="A3002" s="299"/>
      <c r="B3002" s="300"/>
      <c r="C3002" s="190"/>
      <c r="D3002" s="190"/>
      <c r="E3002" s="190"/>
    </row>
    <row r="3003" hidden="1">
      <c r="A3003" s="297"/>
      <c r="B3003" s="298"/>
      <c r="C3003" s="282"/>
      <c r="D3003" s="282"/>
      <c r="E3003" s="282"/>
    </row>
    <row r="3004" hidden="1">
      <c r="A3004" s="221"/>
      <c r="B3004" s="198"/>
      <c r="C3004" s="190"/>
      <c r="D3004" s="190"/>
      <c r="E3004" s="190"/>
    </row>
    <row r="3005" hidden="1">
      <c r="A3005" s="305"/>
      <c r="B3005" s="223"/>
      <c r="C3005" s="190"/>
      <c r="D3005" s="190"/>
      <c r="E3005" s="190"/>
    </row>
    <row r="3006" hidden="1">
      <c r="A3006" s="221"/>
      <c r="B3006" s="198"/>
      <c r="C3006" s="190"/>
      <c r="D3006" s="190"/>
      <c r="E3006" s="190"/>
    </row>
    <row r="3007" hidden="1">
      <c r="A3007" s="221"/>
      <c r="B3007" s="198"/>
      <c r="C3007" s="190"/>
      <c r="D3007" s="190"/>
      <c r="E3007" s="190"/>
    </row>
    <row r="3008" hidden="1">
      <c r="A3008" s="299"/>
      <c r="B3008" s="300"/>
      <c r="C3008" s="190"/>
      <c r="D3008" s="190"/>
      <c r="E3008" s="190"/>
    </row>
    <row r="3009" hidden="1">
      <c r="A3009" s="299"/>
      <c r="B3009" s="300"/>
      <c r="C3009" s="190"/>
      <c r="D3009" s="190"/>
      <c r="E3009" s="190"/>
    </row>
    <row r="3010" hidden="1">
      <c r="A3010" s="301"/>
      <c r="B3010" s="302"/>
      <c r="C3010" s="190"/>
      <c r="D3010" s="190"/>
      <c r="E3010" s="190"/>
    </row>
    <row r="3011" hidden="1">
      <c r="A3011" s="221"/>
      <c r="B3011" s="198"/>
      <c r="C3011" s="190"/>
      <c r="D3011" s="190"/>
      <c r="E3011" s="190"/>
    </row>
    <row r="3012" hidden="1">
      <c r="A3012" s="306"/>
      <c r="B3012" s="307"/>
      <c r="C3012" s="190"/>
      <c r="D3012" s="190"/>
      <c r="E3012" s="190"/>
    </row>
    <row r="3013" hidden="1">
      <c r="A3013" s="306"/>
      <c r="B3013" s="307"/>
      <c r="C3013" s="190"/>
      <c r="D3013" s="190"/>
      <c r="E3013" s="190"/>
    </row>
    <row r="3014" hidden="1">
      <c r="A3014" s="306"/>
      <c r="B3014" s="307"/>
      <c r="C3014" s="190"/>
      <c r="D3014" s="190"/>
      <c r="E3014" s="190"/>
    </row>
    <row r="3015" hidden="1">
      <c r="A3015" s="305"/>
      <c r="B3015" s="224"/>
      <c r="C3015" s="190"/>
      <c r="D3015" s="190"/>
      <c r="E3015" s="190"/>
    </row>
    <row r="3016" hidden="1">
      <c r="A3016" s="221"/>
      <c r="B3016" s="198"/>
      <c r="C3016" s="190"/>
      <c r="D3016" s="190"/>
      <c r="E3016" s="190"/>
    </row>
    <row r="3017" hidden="1">
      <c r="A3017" s="221"/>
      <c r="B3017" s="198"/>
      <c r="C3017" s="190"/>
      <c r="D3017" s="190"/>
      <c r="E3017" s="190"/>
    </row>
    <row r="3018" hidden="1">
      <c r="A3018" s="320"/>
      <c r="B3018" s="321"/>
      <c r="C3018" s="190"/>
      <c r="D3018" s="190"/>
      <c r="E3018" s="190"/>
    </row>
    <row r="3019" hidden="1">
      <c r="A3019" s="310"/>
      <c r="B3019" s="311"/>
      <c r="C3019" s="190"/>
      <c r="D3019" s="190"/>
      <c r="E3019" s="190"/>
    </row>
    <row r="3020" hidden="1">
      <c r="A3020" s="221"/>
      <c r="B3020" s="198"/>
      <c r="C3020" s="190"/>
      <c r="D3020" s="190"/>
      <c r="E3020" s="190"/>
    </row>
    <row r="3021" hidden="1">
      <c r="A3021" s="199"/>
      <c r="B3021" s="147"/>
      <c r="C3021" s="147"/>
      <c r="D3021" s="147"/>
      <c r="E3021" s="147"/>
    </row>
    <row r="3022" hidden="1">
      <c r="A3022" s="258"/>
      <c r="B3022" s="259"/>
      <c r="C3022" s="259"/>
      <c r="D3022" s="259"/>
      <c r="E3022" s="259"/>
    </row>
    <row r="3023" hidden="1">
      <c r="A3023" s="199"/>
      <c r="B3023" s="147"/>
      <c r="C3023" s="147"/>
      <c r="D3023" s="147"/>
      <c r="E3023" s="147"/>
    </row>
    <row r="3024" hidden="1">
      <c r="A3024" s="258"/>
      <c r="B3024" s="259"/>
      <c r="C3024" s="259"/>
      <c r="D3024" s="259"/>
      <c r="E3024" s="259"/>
    </row>
    <row r="3025" hidden="1">
      <c r="A3025" s="299"/>
      <c r="B3025" s="300"/>
      <c r="C3025" s="190"/>
      <c r="D3025" s="190"/>
      <c r="E3025" s="190"/>
    </row>
    <row r="3026" hidden="1">
      <c r="A3026" s="306"/>
      <c r="B3026" s="307"/>
      <c r="C3026" s="190"/>
      <c r="D3026" s="190"/>
      <c r="E3026" s="190"/>
    </row>
    <row r="3027" hidden="1">
      <c r="A3027" s="299"/>
      <c r="B3027" s="300"/>
      <c r="C3027" s="190"/>
      <c r="D3027" s="190"/>
      <c r="E3027" s="190"/>
    </row>
    <row r="3028" hidden="1">
      <c r="A3028" s="301"/>
      <c r="B3028" s="302"/>
      <c r="C3028" s="190"/>
      <c r="D3028" s="190"/>
      <c r="E3028" s="190"/>
    </row>
    <row r="3029" hidden="1">
      <c r="A3029" s="299"/>
      <c r="B3029" s="300"/>
      <c r="C3029" s="190"/>
      <c r="D3029" s="190"/>
      <c r="E3029" s="190"/>
    </row>
    <row r="3030" hidden="1">
      <c r="A3030" s="306"/>
      <c r="B3030" s="307"/>
      <c r="C3030" s="190"/>
      <c r="D3030" s="190"/>
      <c r="E3030" s="190"/>
    </row>
    <row r="3031" hidden="1">
      <c r="A3031" s="299"/>
      <c r="B3031" s="300"/>
      <c r="C3031" s="190"/>
      <c r="D3031" s="190"/>
      <c r="E3031" s="190"/>
    </row>
    <row r="3032" hidden="1">
      <c r="A3032" s="301"/>
      <c r="B3032" s="302"/>
      <c r="C3032" s="190"/>
      <c r="D3032" s="190"/>
      <c r="E3032" s="190"/>
    </row>
    <row r="3033" hidden="1">
      <c r="A3033" s="299"/>
      <c r="B3033" s="300"/>
      <c r="C3033" s="190"/>
      <c r="D3033" s="190"/>
      <c r="E3033" s="190"/>
    </row>
    <row r="3034" hidden="1">
      <c r="A3034" s="306"/>
      <c r="B3034" s="307"/>
      <c r="C3034" s="190"/>
      <c r="D3034" s="190"/>
      <c r="E3034" s="190"/>
    </row>
    <row r="3035" hidden="1">
      <c r="A3035" s="299"/>
      <c r="B3035" s="300"/>
      <c r="C3035" s="190"/>
      <c r="D3035" s="190"/>
      <c r="E3035" s="190"/>
    </row>
    <row r="3036" hidden="1">
      <c r="A3036" s="301"/>
      <c r="B3036" s="302"/>
      <c r="C3036" s="190"/>
      <c r="D3036" s="190"/>
      <c r="E3036" s="190"/>
    </row>
    <row r="3037" hidden="1">
      <c r="A3037" s="299"/>
      <c r="B3037" s="300"/>
      <c r="C3037" s="190"/>
      <c r="D3037" s="190"/>
      <c r="E3037" s="190"/>
    </row>
    <row r="3038" hidden="1">
      <c r="A3038" s="306"/>
      <c r="B3038" s="307"/>
      <c r="C3038" s="190"/>
      <c r="D3038" s="190"/>
      <c r="E3038" s="190"/>
    </row>
    <row r="3039" hidden="1">
      <c r="A3039" s="299"/>
      <c r="B3039" s="300"/>
      <c r="C3039" s="190"/>
      <c r="D3039" s="190"/>
      <c r="E3039" s="190"/>
    </row>
    <row r="3040" hidden="1">
      <c r="A3040" s="301"/>
      <c r="B3040" s="302"/>
      <c r="C3040" s="190"/>
      <c r="D3040" s="190"/>
      <c r="E3040" s="190"/>
    </row>
    <row r="3041" hidden="1">
      <c r="A3041" s="299"/>
      <c r="B3041" s="300"/>
      <c r="C3041" s="190"/>
      <c r="D3041" s="190"/>
      <c r="E3041" s="190"/>
    </row>
    <row r="3042" hidden="1">
      <c r="A3042" s="306"/>
      <c r="B3042" s="307"/>
      <c r="C3042" s="190"/>
      <c r="D3042" s="190"/>
      <c r="E3042" s="190"/>
    </row>
    <row r="3043" hidden="1">
      <c r="A3043" s="299"/>
      <c r="B3043" s="300"/>
      <c r="C3043" s="190"/>
      <c r="D3043" s="190"/>
      <c r="E3043" s="190"/>
    </row>
    <row r="3044" hidden="1">
      <c r="A3044" s="301"/>
      <c r="B3044" s="302"/>
      <c r="C3044" s="190"/>
      <c r="D3044" s="190"/>
      <c r="E3044" s="190"/>
    </row>
    <row r="3045" hidden="1">
      <c r="A3045" s="299"/>
      <c r="B3045" s="300"/>
      <c r="C3045" s="190"/>
      <c r="D3045" s="190"/>
      <c r="E3045" s="190"/>
    </row>
    <row r="3046" hidden="1">
      <c r="A3046" s="306"/>
      <c r="B3046" s="307"/>
      <c r="C3046" s="190"/>
      <c r="D3046" s="190"/>
      <c r="E3046" s="190"/>
    </row>
    <row r="3047" hidden="1">
      <c r="A3047" s="299"/>
      <c r="B3047" s="300"/>
      <c r="C3047" s="190"/>
      <c r="D3047" s="190"/>
      <c r="E3047" s="190"/>
    </row>
    <row r="3048" hidden="1">
      <c r="A3048" s="301"/>
      <c r="B3048" s="302"/>
      <c r="C3048" s="190"/>
      <c r="D3048" s="190"/>
      <c r="E3048" s="190"/>
    </row>
    <row r="3049" hidden="1">
      <c r="A3049" s="299"/>
      <c r="B3049" s="300"/>
      <c r="C3049" s="190"/>
      <c r="D3049" s="190"/>
      <c r="E3049" s="190"/>
    </row>
    <row r="3050" hidden="1">
      <c r="A3050" s="306"/>
      <c r="B3050" s="307"/>
      <c r="C3050" s="190"/>
      <c r="D3050" s="190"/>
      <c r="E3050" s="190"/>
    </row>
    <row r="3051" hidden="1">
      <c r="A3051" s="299"/>
      <c r="B3051" s="300"/>
      <c r="C3051" s="190"/>
      <c r="D3051" s="190"/>
      <c r="E3051" s="190"/>
    </row>
    <row r="3052" hidden="1">
      <c r="A3052" s="301"/>
      <c r="B3052" s="302"/>
      <c r="C3052" s="190"/>
      <c r="D3052" s="190"/>
      <c r="E3052" s="190"/>
    </row>
    <row r="3053" hidden="1">
      <c r="A3053" s="299"/>
      <c r="B3053" s="300"/>
      <c r="C3053" s="190"/>
      <c r="D3053" s="190"/>
      <c r="E3053" s="190"/>
    </row>
    <row r="3054" hidden="1">
      <c r="A3054" s="306"/>
      <c r="B3054" s="307"/>
      <c r="C3054" s="190"/>
      <c r="D3054" s="190"/>
      <c r="E3054" s="190"/>
    </row>
    <row r="3055" hidden="1">
      <c r="A3055" s="299"/>
      <c r="B3055" s="300"/>
      <c r="C3055" s="190"/>
      <c r="D3055" s="190"/>
      <c r="E3055" s="190"/>
    </row>
    <row r="3056" hidden="1">
      <c r="A3056" s="301"/>
      <c r="B3056" s="302"/>
      <c r="C3056" s="190"/>
      <c r="D3056" s="190"/>
      <c r="E3056" s="190"/>
    </row>
    <row r="3057" hidden="1">
      <c r="A3057" s="299"/>
      <c r="B3057" s="300"/>
      <c r="C3057" s="190"/>
      <c r="D3057" s="190"/>
      <c r="E3057" s="190"/>
    </row>
    <row r="3058" hidden="1">
      <c r="A3058" s="306"/>
      <c r="B3058" s="307"/>
      <c r="C3058" s="190"/>
      <c r="D3058" s="190"/>
      <c r="E3058" s="190"/>
    </row>
    <row r="3059" hidden="1">
      <c r="A3059" s="306"/>
      <c r="B3059" s="307"/>
      <c r="C3059" s="190"/>
      <c r="D3059" s="190"/>
      <c r="E3059" s="190"/>
    </row>
    <row r="3060" hidden="1">
      <c r="A3060" s="221"/>
      <c r="B3060" s="198"/>
      <c r="C3060" s="190"/>
      <c r="D3060" s="190"/>
      <c r="E3060" s="190"/>
    </row>
    <row r="3061" hidden="1">
      <c r="A3061" s="221"/>
      <c r="B3061" s="198"/>
      <c r="C3061" s="190"/>
      <c r="D3061" s="190"/>
      <c r="E3061" s="190"/>
    </row>
    <row r="3062" hidden="1">
      <c r="A3062" s="310"/>
      <c r="B3062" s="315"/>
      <c r="C3062" s="190"/>
      <c r="D3062" s="190"/>
      <c r="E3062" s="190"/>
    </row>
    <row r="3063" hidden="1">
      <c r="A3063" s="221"/>
      <c r="B3063" s="198"/>
      <c r="C3063" s="190"/>
      <c r="D3063" s="190"/>
      <c r="E3063" s="190"/>
    </row>
    <row r="3064" hidden="1">
      <c r="A3064" s="310"/>
      <c r="B3064" s="311"/>
      <c r="C3064" s="190"/>
      <c r="D3064" s="190"/>
      <c r="E3064" s="190"/>
    </row>
    <row r="3065" hidden="1">
      <c r="A3065" s="299"/>
      <c r="B3065" s="300"/>
      <c r="C3065" s="190"/>
      <c r="D3065" s="190"/>
      <c r="E3065" s="190"/>
    </row>
    <row r="3066" hidden="1">
      <c r="A3066" s="299"/>
      <c r="B3066" s="300"/>
      <c r="C3066" s="190"/>
      <c r="D3066" s="190"/>
      <c r="E3066" s="190"/>
    </row>
    <row r="3067" hidden="1">
      <c r="A3067" s="299"/>
      <c r="B3067" s="300"/>
      <c r="C3067" s="190"/>
      <c r="D3067" s="190"/>
      <c r="E3067" s="190"/>
    </row>
    <row r="3068" hidden="1">
      <c r="A3068" s="299"/>
      <c r="B3068" s="300"/>
      <c r="C3068" s="190"/>
      <c r="D3068" s="190"/>
      <c r="E3068" s="190"/>
    </row>
    <row r="3069" hidden="1">
      <c r="A3069" s="299"/>
      <c r="B3069" s="300"/>
      <c r="C3069" s="190"/>
      <c r="D3069" s="190"/>
      <c r="E3069" s="190"/>
    </row>
    <row r="3070" hidden="1">
      <c r="A3070" s="299"/>
      <c r="B3070" s="300"/>
      <c r="C3070" s="190"/>
      <c r="D3070" s="190"/>
      <c r="E3070" s="190"/>
    </row>
    <row r="3071" hidden="1">
      <c r="A3071" s="310"/>
      <c r="B3071" s="315"/>
      <c r="C3071" s="190"/>
      <c r="D3071" s="190"/>
      <c r="E3071" s="190"/>
    </row>
    <row r="3072" hidden="1">
      <c r="A3072" s="301"/>
      <c r="B3072" s="302"/>
      <c r="C3072" s="190"/>
      <c r="D3072" s="190"/>
      <c r="E3072" s="190"/>
    </row>
    <row r="3073" hidden="1">
      <c r="A3073" s="306"/>
      <c r="B3073" s="307"/>
      <c r="C3073" s="190"/>
      <c r="D3073" s="190"/>
      <c r="E3073" s="190"/>
    </row>
    <row r="3074" hidden="1">
      <c r="A3074" s="299"/>
      <c r="B3074" s="300"/>
      <c r="C3074" s="190"/>
      <c r="D3074" s="190"/>
      <c r="E3074" s="190"/>
    </row>
    <row r="3075" hidden="1">
      <c r="A3075" s="301"/>
      <c r="B3075" s="302"/>
      <c r="C3075" s="190"/>
      <c r="D3075" s="190"/>
      <c r="E3075" s="190"/>
    </row>
    <row r="3076" hidden="1">
      <c r="A3076" s="299"/>
      <c r="B3076" s="300"/>
      <c r="C3076" s="190"/>
      <c r="D3076" s="190"/>
      <c r="E3076" s="190"/>
    </row>
    <row r="3077" hidden="1">
      <c r="A3077" s="301"/>
      <c r="B3077" s="302"/>
      <c r="C3077" s="190"/>
      <c r="D3077" s="190"/>
      <c r="E3077" s="190"/>
    </row>
    <row r="3078" hidden="1">
      <c r="A3078" s="221"/>
      <c r="B3078" s="198"/>
      <c r="C3078" s="190"/>
      <c r="D3078" s="190"/>
      <c r="E3078" s="190"/>
    </row>
    <row r="3079" hidden="1">
      <c r="A3079" s="221"/>
      <c r="B3079" s="198"/>
      <c r="C3079" s="190"/>
      <c r="D3079" s="190"/>
      <c r="E3079" s="190"/>
    </row>
    <row r="3080" hidden="1">
      <c r="A3080" s="221"/>
      <c r="B3080" s="198"/>
      <c r="C3080" s="190"/>
      <c r="D3080" s="190"/>
      <c r="E3080" s="190"/>
    </row>
    <row r="3081" hidden="1">
      <c r="A3081" s="297"/>
      <c r="B3081" s="298"/>
      <c r="C3081" s="190"/>
      <c r="D3081" s="190"/>
      <c r="E3081" s="190"/>
    </row>
    <row r="3082" hidden="1">
      <c r="A3082" s="299"/>
      <c r="B3082" s="300"/>
      <c r="C3082" s="190"/>
      <c r="D3082" s="190"/>
      <c r="E3082" s="190"/>
    </row>
    <row r="3083" hidden="1">
      <c r="A3083" s="301"/>
      <c r="B3083" s="302"/>
      <c r="C3083" s="190"/>
      <c r="D3083" s="190"/>
      <c r="E3083" s="190"/>
    </row>
    <row r="3084" hidden="1">
      <c r="A3084" s="305"/>
      <c r="B3084" s="223"/>
      <c r="C3084" s="190"/>
      <c r="D3084" s="190"/>
      <c r="E3084" s="190"/>
    </row>
    <row r="3085" hidden="1">
      <c r="A3085" s="221"/>
      <c r="B3085" s="198"/>
      <c r="C3085" s="190"/>
      <c r="D3085" s="190"/>
      <c r="E3085" s="190"/>
    </row>
    <row r="3086" hidden="1">
      <c r="A3086" s="221"/>
      <c r="B3086" s="198"/>
      <c r="C3086" s="190"/>
      <c r="D3086" s="190"/>
      <c r="E3086" s="190"/>
    </row>
    <row r="3087" hidden="1">
      <c r="A3087" s="306"/>
      <c r="B3087" s="307"/>
      <c r="C3087" s="190"/>
      <c r="D3087" s="190"/>
      <c r="E3087" s="190"/>
    </row>
    <row r="3088" hidden="1">
      <c r="A3088" s="299"/>
      <c r="B3088" s="300"/>
      <c r="C3088" s="190"/>
      <c r="D3088" s="190"/>
      <c r="E3088" s="190"/>
    </row>
    <row r="3089" hidden="1">
      <c r="A3089" s="305"/>
      <c r="B3089" s="224"/>
      <c r="C3089" s="190"/>
      <c r="D3089" s="190"/>
      <c r="E3089" s="190"/>
    </row>
    <row r="3090" hidden="1">
      <c r="A3090" s="221"/>
      <c r="B3090" s="198"/>
      <c r="C3090" s="190"/>
      <c r="D3090" s="190"/>
      <c r="E3090" s="190"/>
    </row>
    <row r="3091" hidden="1">
      <c r="A3091" s="221"/>
      <c r="B3091" s="198"/>
      <c r="C3091" s="190"/>
      <c r="D3091" s="190"/>
      <c r="E3091" s="190"/>
    </row>
    <row r="3092" hidden="1">
      <c r="A3092" s="221"/>
      <c r="B3092" s="198"/>
      <c r="C3092" s="190"/>
      <c r="D3092" s="190"/>
      <c r="E3092" s="190"/>
    </row>
    <row r="3093" hidden="1">
      <c r="A3093" s="299"/>
      <c r="B3093" s="300"/>
      <c r="C3093" s="190"/>
      <c r="D3093" s="190"/>
      <c r="E3093" s="190"/>
    </row>
    <row r="3094" hidden="1">
      <c r="A3094" s="392"/>
      <c r="B3094" s="393"/>
      <c r="C3094" s="190"/>
      <c r="D3094" s="190"/>
      <c r="E3094" s="190"/>
    </row>
    <row r="3095" hidden="1">
      <c r="A3095" s="299"/>
      <c r="B3095" s="300"/>
      <c r="C3095" s="190"/>
      <c r="D3095" s="190"/>
      <c r="E3095" s="190"/>
    </row>
    <row r="3096" hidden="1">
      <c r="A3096" s="301"/>
      <c r="B3096" s="302"/>
      <c r="C3096" s="190"/>
      <c r="D3096" s="190"/>
      <c r="E3096" s="190"/>
    </row>
    <row r="3097" hidden="1">
      <c r="A3097" s="221"/>
      <c r="B3097" s="198"/>
      <c r="C3097" s="190"/>
      <c r="D3097" s="190"/>
      <c r="E3097" s="190"/>
    </row>
    <row r="3098" hidden="1">
      <c r="A3098" s="305"/>
      <c r="B3098" s="223"/>
      <c r="C3098" s="190"/>
      <c r="D3098" s="190"/>
      <c r="E3098" s="190"/>
    </row>
    <row r="3099" hidden="1">
      <c r="A3099" s="221"/>
      <c r="B3099" s="198"/>
      <c r="C3099" s="190"/>
      <c r="D3099" s="190"/>
      <c r="E3099" s="190"/>
    </row>
    <row r="3100" hidden="1">
      <c r="A3100" s="310"/>
      <c r="B3100" s="311"/>
      <c r="C3100" s="190"/>
      <c r="D3100" s="190"/>
      <c r="E3100" s="190"/>
    </row>
    <row r="3101" hidden="1">
      <c r="A3101" s="299"/>
      <c r="B3101" s="300"/>
      <c r="C3101" s="190"/>
      <c r="D3101" s="190"/>
      <c r="E3101" s="190"/>
    </row>
    <row r="3102" hidden="1">
      <c r="A3102" s="299"/>
      <c r="B3102" s="300"/>
      <c r="C3102" s="190"/>
      <c r="D3102" s="190"/>
      <c r="E3102" s="190"/>
    </row>
    <row r="3103" hidden="1">
      <c r="A3103" s="299"/>
      <c r="B3103" s="300"/>
      <c r="C3103" s="190"/>
      <c r="D3103" s="190"/>
      <c r="E3103" s="190"/>
    </row>
    <row r="3104" hidden="1">
      <c r="A3104" s="299"/>
      <c r="B3104" s="300"/>
      <c r="C3104" s="190"/>
      <c r="D3104" s="190"/>
      <c r="E3104" s="190"/>
    </row>
    <row r="3105" hidden="1">
      <c r="A3105" s="299"/>
      <c r="B3105" s="300"/>
      <c r="C3105" s="190"/>
      <c r="D3105" s="190"/>
      <c r="E3105" s="190"/>
    </row>
    <row r="3106" hidden="1">
      <c r="A3106" s="310"/>
      <c r="B3106" s="315"/>
      <c r="C3106" s="190"/>
      <c r="D3106" s="190"/>
      <c r="E3106" s="190"/>
    </row>
    <row r="3107" hidden="1">
      <c r="A3107" s="310"/>
      <c r="B3107" s="311"/>
      <c r="C3107" s="190"/>
      <c r="D3107" s="190"/>
      <c r="E3107" s="190"/>
    </row>
    <row r="3108" hidden="1">
      <c r="A3108" s="297"/>
      <c r="B3108" s="298"/>
      <c r="C3108" s="190"/>
      <c r="D3108" s="190"/>
      <c r="E3108" s="190"/>
    </row>
    <row r="3109" hidden="1">
      <c r="A3109" s="306"/>
      <c r="B3109" s="307"/>
      <c r="C3109" s="190"/>
      <c r="D3109" s="190"/>
      <c r="E3109" s="190"/>
    </row>
    <row r="3110" hidden="1">
      <c r="A3110" s="306"/>
      <c r="B3110" s="307"/>
      <c r="C3110" s="190"/>
      <c r="D3110" s="190"/>
      <c r="E3110" s="190"/>
    </row>
    <row r="3111" hidden="1">
      <c r="A3111" s="306"/>
      <c r="B3111" s="307"/>
      <c r="C3111" s="190"/>
      <c r="D3111" s="190"/>
      <c r="E3111" s="190"/>
    </row>
    <row r="3112" hidden="1">
      <c r="A3112" s="310"/>
      <c r="B3112" s="315"/>
      <c r="C3112" s="190"/>
      <c r="D3112" s="190"/>
      <c r="E3112" s="190"/>
    </row>
    <row r="3113" hidden="1">
      <c r="A3113" s="305"/>
      <c r="B3113" s="224"/>
      <c r="C3113" s="190"/>
      <c r="D3113" s="190"/>
      <c r="E3113" s="190"/>
    </row>
    <row r="3114" hidden="1">
      <c r="A3114" s="221"/>
      <c r="B3114" s="198"/>
      <c r="C3114" s="190"/>
      <c r="D3114" s="190"/>
      <c r="E3114" s="190"/>
    </row>
    <row r="3115" hidden="1">
      <c r="A3115" s="221"/>
      <c r="B3115" s="198"/>
      <c r="C3115" s="190"/>
      <c r="D3115" s="190"/>
      <c r="E3115" s="190"/>
    </row>
    <row r="3116" hidden="1">
      <c r="A3116" s="221"/>
      <c r="B3116" s="198"/>
      <c r="C3116" s="190"/>
      <c r="D3116" s="190"/>
      <c r="E3116" s="190"/>
    </row>
    <row r="3117" hidden="1">
      <c r="A3117" s="297"/>
      <c r="B3117" s="298"/>
      <c r="C3117" s="190"/>
      <c r="D3117" s="190"/>
      <c r="E3117" s="190"/>
    </row>
    <row r="3118" hidden="1">
      <c r="A3118" s="299"/>
      <c r="B3118" s="300"/>
      <c r="C3118" s="190"/>
      <c r="D3118" s="190"/>
      <c r="E3118" s="190"/>
    </row>
    <row r="3119" hidden="1">
      <c r="A3119" s="306"/>
      <c r="B3119" s="307"/>
      <c r="C3119" s="190"/>
      <c r="D3119" s="190"/>
      <c r="E3119" s="190"/>
    </row>
    <row r="3120" hidden="1">
      <c r="A3120" s="306"/>
      <c r="B3120" s="307"/>
      <c r="C3120" s="190"/>
      <c r="D3120" s="190"/>
      <c r="E3120" s="190"/>
    </row>
    <row r="3121" hidden="1">
      <c r="A3121" s="299"/>
      <c r="B3121" s="300"/>
      <c r="C3121" s="190"/>
      <c r="D3121" s="190"/>
      <c r="E3121" s="190"/>
    </row>
    <row r="3122" hidden="1">
      <c r="A3122" s="299"/>
      <c r="B3122" s="300"/>
      <c r="C3122" s="190"/>
      <c r="D3122" s="190"/>
      <c r="E3122" s="190"/>
    </row>
    <row r="3123" hidden="1">
      <c r="A3123" s="299"/>
      <c r="B3123" s="300"/>
      <c r="C3123" s="190"/>
      <c r="D3123" s="190"/>
      <c r="E3123" s="190"/>
    </row>
    <row r="3124" hidden="1">
      <c r="A3124" s="221"/>
      <c r="B3124" s="198"/>
      <c r="C3124" s="190"/>
      <c r="D3124" s="190"/>
      <c r="E3124" s="190"/>
    </row>
    <row r="3125" hidden="1">
      <c r="A3125" s="221"/>
      <c r="B3125" s="198"/>
      <c r="C3125" s="190"/>
      <c r="D3125" s="190"/>
      <c r="E3125" s="190"/>
    </row>
    <row r="3126" hidden="1">
      <c r="A3126" s="221"/>
      <c r="B3126" s="198"/>
      <c r="C3126" s="190"/>
      <c r="D3126" s="190"/>
      <c r="E3126" s="190"/>
    </row>
    <row r="3127" hidden="1">
      <c r="A3127" s="297"/>
      <c r="B3127" s="298"/>
      <c r="C3127" s="190"/>
      <c r="D3127" s="190"/>
      <c r="E3127" s="190"/>
    </row>
    <row r="3128" hidden="1">
      <c r="A3128" s="299"/>
      <c r="B3128" s="300"/>
      <c r="C3128" s="190"/>
      <c r="D3128" s="190"/>
      <c r="E3128" s="190"/>
    </row>
    <row r="3129" hidden="1">
      <c r="A3129" s="306"/>
      <c r="B3129" s="307"/>
      <c r="C3129" s="190"/>
      <c r="D3129" s="190"/>
      <c r="E3129" s="190"/>
    </row>
    <row r="3130" hidden="1">
      <c r="A3130" s="299"/>
      <c r="B3130" s="300"/>
      <c r="C3130" s="190"/>
      <c r="D3130" s="190"/>
      <c r="E3130" s="190"/>
    </row>
    <row r="3131" hidden="1">
      <c r="A3131" s="306"/>
      <c r="B3131" s="307"/>
      <c r="C3131" s="190"/>
      <c r="D3131" s="190"/>
      <c r="E3131" s="190"/>
    </row>
    <row r="3132" hidden="1">
      <c r="A3132" s="306"/>
      <c r="B3132" s="307"/>
      <c r="C3132" s="190"/>
      <c r="D3132" s="190"/>
      <c r="E3132" s="190"/>
    </row>
    <row r="3133" hidden="1">
      <c r="A3133" s="299"/>
      <c r="B3133" s="300"/>
      <c r="C3133" s="190"/>
      <c r="D3133" s="190"/>
      <c r="E3133" s="190"/>
    </row>
    <row r="3134" hidden="1">
      <c r="A3134" s="306"/>
      <c r="B3134" s="307"/>
      <c r="C3134" s="190"/>
      <c r="D3134" s="190"/>
      <c r="E3134" s="190"/>
    </row>
    <row r="3135" hidden="1">
      <c r="A3135" s="299"/>
      <c r="B3135" s="300"/>
      <c r="C3135" s="190"/>
      <c r="D3135" s="190"/>
      <c r="E3135" s="190"/>
    </row>
    <row r="3136" hidden="1">
      <c r="A3136" s="306"/>
      <c r="B3136" s="307"/>
      <c r="C3136" s="190"/>
      <c r="D3136" s="190"/>
      <c r="E3136" s="190"/>
    </row>
    <row r="3137" hidden="1">
      <c r="A3137" s="306"/>
      <c r="B3137" s="307"/>
      <c r="C3137" s="190"/>
      <c r="D3137" s="190"/>
      <c r="E3137" s="190"/>
    </row>
    <row r="3138" hidden="1">
      <c r="A3138" s="221"/>
      <c r="B3138" s="198"/>
      <c r="C3138" s="190"/>
      <c r="D3138" s="190"/>
      <c r="E3138" s="190"/>
    </row>
    <row r="3139" hidden="1">
      <c r="A3139" s="221"/>
      <c r="B3139" s="198"/>
      <c r="C3139" s="190"/>
      <c r="D3139" s="190"/>
      <c r="E3139" s="190"/>
    </row>
    <row r="3140" hidden="1">
      <c r="A3140" s="320"/>
      <c r="B3140" s="321"/>
      <c r="C3140" s="190"/>
      <c r="D3140" s="190"/>
      <c r="E3140" s="190"/>
    </row>
    <row r="3141" hidden="1">
      <c r="A3141" s="310"/>
      <c r="B3141" s="311"/>
      <c r="C3141" s="190"/>
      <c r="D3141" s="190"/>
      <c r="E3141" s="190"/>
    </row>
    <row r="3142" hidden="1">
      <c r="A3142" s="221"/>
      <c r="B3142" s="198"/>
      <c r="C3142" s="190"/>
      <c r="D3142" s="190"/>
      <c r="E3142" s="190"/>
    </row>
    <row r="3143" hidden="1">
      <c r="A3143" s="299"/>
      <c r="B3143" s="300"/>
      <c r="C3143" s="190"/>
      <c r="D3143" s="190"/>
      <c r="E3143" s="190"/>
    </row>
    <row r="3144" hidden="1">
      <c r="A3144" s="305"/>
      <c r="B3144" s="223"/>
      <c r="C3144" s="190"/>
      <c r="D3144" s="190"/>
      <c r="E3144" s="190"/>
    </row>
    <row r="3145" hidden="1">
      <c r="A3145" s="221"/>
      <c r="B3145" s="198"/>
      <c r="C3145" s="190"/>
      <c r="D3145" s="190"/>
      <c r="E3145" s="190"/>
    </row>
    <row r="3146" hidden="1">
      <c r="A3146" s="306"/>
      <c r="B3146" s="307"/>
      <c r="C3146" s="190"/>
      <c r="D3146" s="190"/>
      <c r="E3146" s="190"/>
    </row>
    <row r="3147" hidden="1">
      <c r="A3147" s="305"/>
      <c r="B3147" s="224"/>
      <c r="C3147" s="190"/>
      <c r="D3147" s="190"/>
      <c r="E3147" s="190"/>
    </row>
    <row r="3148" hidden="1">
      <c r="A3148" s="299"/>
      <c r="B3148" s="300"/>
      <c r="C3148" s="190"/>
      <c r="D3148" s="190"/>
      <c r="E3148" s="190"/>
    </row>
    <row r="3149" hidden="1">
      <c r="A3149" s="305"/>
      <c r="B3149" s="223"/>
      <c r="C3149" s="190"/>
      <c r="D3149" s="190"/>
      <c r="E3149" s="190"/>
    </row>
    <row r="3150" hidden="1">
      <c r="A3150" s="221"/>
      <c r="B3150" s="198"/>
      <c r="C3150" s="190"/>
      <c r="D3150" s="190"/>
      <c r="E3150" s="190"/>
    </row>
    <row r="3151" hidden="1">
      <c r="A3151" s="306"/>
      <c r="B3151" s="307"/>
      <c r="C3151" s="190"/>
      <c r="D3151" s="190"/>
      <c r="E3151" s="190"/>
    </row>
    <row r="3152" hidden="1">
      <c r="A3152" s="305"/>
      <c r="B3152" s="224"/>
      <c r="C3152" s="190"/>
      <c r="D3152" s="190"/>
      <c r="E3152" s="190"/>
    </row>
    <row r="3153" hidden="1">
      <c r="A3153" s="310"/>
      <c r="B3153" s="394"/>
      <c r="C3153" s="190"/>
      <c r="D3153" s="190"/>
      <c r="E3153" s="190"/>
    </row>
    <row r="3154" hidden="1">
      <c r="A3154" s="299"/>
      <c r="B3154" s="300"/>
      <c r="C3154" s="190"/>
      <c r="D3154" s="190"/>
      <c r="E3154" s="190"/>
    </row>
    <row r="3155" hidden="1">
      <c r="A3155" s="299"/>
      <c r="B3155" s="300"/>
      <c r="C3155" s="190"/>
      <c r="D3155" s="190"/>
      <c r="E3155" s="190"/>
    </row>
    <row r="3156" hidden="1">
      <c r="A3156" s="299"/>
      <c r="B3156" s="300"/>
      <c r="C3156" s="190"/>
      <c r="D3156" s="190"/>
      <c r="E3156" s="190"/>
    </row>
    <row r="3157" hidden="1">
      <c r="A3157" s="299"/>
      <c r="B3157" s="300"/>
      <c r="C3157" s="190"/>
      <c r="D3157" s="190"/>
      <c r="E3157" s="190"/>
    </row>
    <row r="3158" hidden="1">
      <c r="A3158" s="299"/>
      <c r="B3158" s="300"/>
      <c r="C3158" s="190"/>
      <c r="D3158" s="190"/>
      <c r="E3158" s="190"/>
    </row>
    <row r="3159" hidden="1">
      <c r="A3159" s="310"/>
      <c r="B3159" s="394"/>
      <c r="C3159" s="190"/>
      <c r="D3159" s="190"/>
      <c r="E3159" s="190"/>
    </row>
    <row r="3160" hidden="1">
      <c r="A3160" s="310"/>
      <c r="B3160" s="315"/>
      <c r="C3160" s="190"/>
      <c r="D3160" s="190"/>
      <c r="E3160" s="190"/>
    </row>
    <row r="3161" hidden="1">
      <c r="A3161" s="221"/>
      <c r="B3161" s="198"/>
      <c r="C3161" s="190"/>
      <c r="D3161" s="190"/>
      <c r="E3161" s="190"/>
    </row>
    <row r="3162" hidden="1">
      <c r="A3162" s="221"/>
      <c r="B3162" s="198"/>
      <c r="C3162" s="190"/>
      <c r="D3162" s="190"/>
      <c r="E3162" s="190"/>
    </row>
    <row r="3163" hidden="1">
      <c r="A3163" s="310"/>
      <c r="B3163" s="315"/>
      <c r="C3163" s="190"/>
      <c r="D3163" s="190"/>
      <c r="E3163" s="190"/>
    </row>
    <row r="3164" hidden="1">
      <c r="A3164" s="310"/>
      <c r="B3164" s="315"/>
      <c r="C3164" s="190"/>
      <c r="D3164" s="190"/>
      <c r="E3164" s="190"/>
    </row>
    <row r="3165" hidden="1">
      <c r="A3165" s="221"/>
      <c r="B3165" s="198"/>
      <c r="C3165" s="190"/>
      <c r="D3165" s="190"/>
      <c r="E3165" s="190"/>
    </row>
    <row r="3166" hidden="1">
      <c r="A3166" s="221"/>
      <c r="B3166" s="198"/>
      <c r="C3166" s="190"/>
      <c r="D3166" s="190"/>
      <c r="E3166" s="190"/>
    </row>
    <row r="3167" hidden="1">
      <c r="A3167" s="292"/>
      <c r="B3167" s="292"/>
      <c r="C3167" s="190"/>
      <c r="D3167" s="190"/>
      <c r="E3167" s="190"/>
    </row>
    <row r="3168" hidden="1">
      <c r="A3168" s="395"/>
      <c r="B3168" s="395"/>
      <c r="C3168" s="190"/>
      <c r="D3168" s="190"/>
      <c r="E3168" s="190"/>
    </row>
    <row r="3169" hidden="1">
      <c r="A3169" s="292"/>
      <c r="B3169" s="292"/>
      <c r="C3169" s="190"/>
      <c r="D3169" s="190"/>
      <c r="E3169" s="190"/>
    </row>
    <row r="3170" hidden="1">
      <c r="A3170" s="141"/>
      <c r="B3170" s="142"/>
      <c r="C3170" s="190"/>
      <c r="D3170" s="190"/>
      <c r="E3170" s="190"/>
    </row>
    <row r="3171" hidden="1">
      <c r="A3171" s="128"/>
      <c r="B3171" s="129"/>
      <c r="C3171" s="190"/>
      <c r="D3171" s="190"/>
      <c r="E3171" s="190"/>
    </row>
    <row r="3172" hidden="1">
      <c r="A3172" s="219"/>
      <c r="B3172" s="295"/>
      <c r="C3172" s="190"/>
      <c r="D3172" s="190"/>
      <c r="E3172" s="190"/>
    </row>
    <row r="3173" hidden="1">
      <c r="A3173" s="145"/>
      <c r="B3173" s="146"/>
      <c r="C3173" s="190"/>
      <c r="D3173" s="190"/>
      <c r="E3173" s="190"/>
    </row>
    <row r="3174" hidden="1">
      <c r="A3174" s="128"/>
      <c r="B3174" s="129"/>
      <c r="C3174" s="190"/>
      <c r="D3174" s="190"/>
      <c r="E3174" s="190"/>
    </row>
    <row r="3175" hidden="1">
      <c r="A3175" s="145"/>
      <c r="B3175" s="146"/>
      <c r="C3175" s="190"/>
      <c r="D3175" s="190"/>
      <c r="E3175" s="190"/>
    </row>
    <row r="3176" hidden="1">
      <c r="A3176" s="128"/>
      <c r="B3176" s="129"/>
      <c r="C3176" s="190"/>
      <c r="D3176" s="190"/>
      <c r="E3176" s="190"/>
    </row>
    <row r="3177" hidden="1">
      <c r="A3177" s="145"/>
      <c r="B3177" s="146"/>
      <c r="C3177" s="190"/>
      <c r="D3177" s="190"/>
      <c r="E3177" s="190"/>
    </row>
    <row r="3178" hidden="1">
      <c r="A3178" s="145"/>
      <c r="B3178" s="146"/>
      <c r="C3178" s="190"/>
      <c r="D3178" s="190"/>
      <c r="E3178" s="190"/>
    </row>
    <row r="3179" hidden="1">
      <c r="A3179" s="219"/>
      <c r="B3179" s="295"/>
      <c r="C3179" s="190"/>
      <c r="D3179" s="190"/>
      <c r="E3179" s="190"/>
    </row>
    <row r="3180" hidden="1">
      <c r="A3180" s="145"/>
      <c r="B3180" s="146"/>
      <c r="C3180" s="190"/>
      <c r="D3180" s="190"/>
      <c r="E3180" s="190"/>
    </row>
    <row r="3181" hidden="1">
      <c r="A3181" s="128"/>
      <c r="B3181" s="129"/>
      <c r="C3181" s="190"/>
      <c r="D3181" s="190"/>
      <c r="E3181" s="190"/>
    </row>
    <row r="3182" hidden="1">
      <c r="A3182" s="145"/>
      <c r="B3182" s="146"/>
      <c r="C3182" s="190"/>
      <c r="D3182" s="190"/>
      <c r="E3182" s="190"/>
    </row>
    <row r="3183" hidden="1">
      <c r="A3183" s="303"/>
      <c r="B3183" s="304"/>
      <c r="C3183" s="190"/>
      <c r="D3183" s="190"/>
      <c r="E3183" s="190"/>
    </row>
    <row r="3184" hidden="1">
      <c r="A3184" s="396"/>
      <c r="B3184" s="274"/>
      <c r="C3184" s="190"/>
      <c r="D3184" s="190"/>
      <c r="E3184" s="190"/>
    </row>
    <row r="3185" hidden="1">
      <c r="A3185" s="219"/>
      <c r="B3185" s="295"/>
      <c r="C3185" s="190"/>
      <c r="D3185" s="190"/>
      <c r="E3185" s="190"/>
    </row>
    <row r="3186" hidden="1">
      <c r="A3186" s="396"/>
      <c r="B3186" s="396"/>
      <c r="C3186" s="190"/>
      <c r="D3186" s="190"/>
      <c r="E3186" s="190"/>
    </row>
    <row r="3187" hidden="1">
      <c r="A3187" s="145"/>
      <c r="B3187" s="146"/>
      <c r="C3187" s="190"/>
      <c r="D3187" s="190"/>
      <c r="E3187" s="190"/>
    </row>
    <row r="3188" hidden="1">
      <c r="A3188" s="141"/>
      <c r="B3188" s="142"/>
      <c r="C3188" s="190"/>
      <c r="D3188" s="190"/>
      <c r="E3188" s="190"/>
    </row>
    <row r="3189" hidden="1">
      <c r="A3189" s="219"/>
      <c r="B3189" s="295"/>
      <c r="C3189" s="190"/>
      <c r="D3189" s="190"/>
      <c r="E3189" s="190"/>
    </row>
    <row r="3190" hidden="1">
      <c r="A3190" s="219"/>
      <c r="B3190" s="295"/>
      <c r="C3190" s="190"/>
      <c r="D3190" s="190"/>
      <c r="E3190" s="190"/>
    </row>
    <row r="3191" hidden="1">
      <c r="A3191" s="141"/>
      <c r="B3191" s="141"/>
      <c r="C3191" s="190"/>
      <c r="D3191" s="190"/>
      <c r="E3191" s="190"/>
    </row>
    <row r="3192" hidden="1">
      <c r="A3192" s="66"/>
      <c r="B3192" s="67"/>
      <c r="C3192" s="190"/>
      <c r="D3192" s="190"/>
      <c r="E3192" s="190"/>
    </row>
    <row r="3193" hidden="1">
      <c r="A3193" s="219"/>
      <c r="B3193" s="295"/>
      <c r="C3193" s="190"/>
      <c r="D3193" s="190"/>
      <c r="E3193" s="190"/>
    </row>
    <row r="3194" hidden="1">
      <c r="A3194" s="145"/>
      <c r="B3194" s="146"/>
      <c r="C3194" s="190"/>
      <c r="D3194" s="190"/>
      <c r="E3194" s="190"/>
    </row>
    <row r="3195" hidden="1">
      <c r="A3195" s="145"/>
      <c r="B3195" s="146"/>
      <c r="C3195" s="190"/>
      <c r="D3195" s="190"/>
      <c r="E3195" s="190"/>
    </row>
    <row r="3196" hidden="1">
      <c r="A3196" s="128"/>
      <c r="B3196" s="129"/>
      <c r="C3196" s="190"/>
      <c r="D3196" s="190"/>
      <c r="E3196" s="190"/>
    </row>
    <row r="3197" hidden="1">
      <c r="A3197" s="145"/>
      <c r="B3197" s="146"/>
      <c r="C3197" s="190"/>
      <c r="D3197" s="190"/>
      <c r="E3197" s="190"/>
    </row>
    <row r="3198" hidden="1">
      <c r="A3198" s="128"/>
      <c r="B3198" s="129"/>
      <c r="C3198" s="190"/>
      <c r="D3198" s="190"/>
      <c r="E3198" s="190"/>
    </row>
    <row r="3199" hidden="1">
      <c r="A3199" s="145"/>
      <c r="B3199" s="146"/>
      <c r="C3199" s="190"/>
      <c r="D3199" s="190"/>
      <c r="E3199" s="190"/>
    </row>
    <row r="3200" hidden="1">
      <c r="A3200" s="141"/>
      <c r="B3200" s="142"/>
      <c r="C3200" s="190"/>
      <c r="D3200" s="190"/>
      <c r="E3200" s="190"/>
    </row>
    <row r="3201" hidden="1">
      <c r="A3201" s="219"/>
      <c r="B3201" s="295"/>
      <c r="C3201" s="190"/>
      <c r="D3201" s="190"/>
      <c r="E3201" s="190"/>
    </row>
    <row r="3202" hidden="1">
      <c r="A3202" s="219"/>
      <c r="B3202" s="295"/>
      <c r="C3202" s="190"/>
      <c r="D3202" s="190"/>
      <c r="E3202" s="190"/>
    </row>
    <row r="3203" hidden="1">
      <c r="A3203" s="141"/>
      <c r="B3203" s="141"/>
      <c r="C3203" s="190"/>
      <c r="D3203" s="190"/>
      <c r="E3203" s="190"/>
    </row>
    <row r="3204" hidden="1">
      <c r="A3204" s="66"/>
      <c r="B3204" s="67"/>
      <c r="C3204" s="190"/>
      <c r="D3204" s="190"/>
      <c r="E3204" s="190"/>
    </row>
    <row r="3205" hidden="1">
      <c r="A3205" s="219"/>
      <c r="B3205" s="295"/>
      <c r="C3205" s="190"/>
      <c r="D3205" s="190"/>
      <c r="E3205" s="190"/>
    </row>
    <row r="3206" hidden="1">
      <c r="A3206" s="145"/>
      <c r="B3206" s="146"/>
      <c r="C3206" s="190"/>
      <c r="D3206" s="190"/>
      <c r="E3206" s="190"/>
    </row>
    <row r="3207" hidden="1">
      <c r="A3207" s="145"/>
      <c r="B3207" s="146"/>
      <c r="C3207" s="190"/>
      <c r="D3207" s="190"/>
      <c r="E3207" s="190"/>
    </row>
    <row r="3208" hidden="1">
      <c r="A3208" s="128"/>
      <c r="B3208" s="129"/>
      <c r="C3208" s="190"/>
      <c r="D3208" s="190"/>
      <c r="E3208" s="190"/>
    </row>
    <row r="3209" hidden="1">
      <c r="A3209" s="145"/>
      <c r="B3209" s="146"/>
      <c r="C3209" s="190"/>
      <c r="D3209" s="190"/>
      <c r="E3209" s="190"/>
    </row>
    <row r="3210" hidden="1">
      <c r="A3210" s="128"/>
      <c r="B3210" s="129"/>
      <c r="C3210" s="190"/>
      <c r="D3210" s="190"/>
      <c r="E3210" s="190"/>
    </row>
    <row r="3211" hidden="1">
      <c r="A3211" s="141"/>
      <c r="B3211" s="141"/>
      <c r="C3211" s="190"/>
      <c r="D3211" s="190"/>
      <c r="E3211" s="190"/>
    </row>
    <row r="3212" hidden="1">
      <c r="A3212" s="292"/>
      <c r="B3212" s="292"/>
      <c r="C3212" s="190"/>
      <c r="D3212" s="190"/>
      <c r="E3212" s="190"/>
    </row>
    <row r="3213" hidden="1">
      <c r="A3213" s="141"/>
      <c r="B3213" s="142"/>
      <c r="C3213" s="190"/>
      <c r="D3213" s="190"/>
      <c r="E3213" s="190"/>
    </row>
    <row r="3214" hidden="1">
      <c r="A3214" s="145"/>
      <c r="B3214" s="146"/>
      <c r="C3214" s="190"/>
      <c r="D3214" s="190"/>
      <c r="E3214" s="190"/>
    </row>
    <row r="3215" hidden="1">
      <c r="A3215" s="145"/>
      <c r="B3215" s="146"/>
      <c r="C3215" s="190"/>
      <c r="D3215" s="190"/>
      <c r="E3215" s="190"/>
    </row>
    <row r="3216" hidden="1">
      <c r="A3216" s="145"/>
      <c r="B3216" s="146"/>
      <c r="C3216" s="190"/>
      <c r="D3216" s="190"/>
      <c r="E3216" s="190"/>
    </row>
    <row r="3217" hidden="1">
      <c r="A3217" s="145"/>
      <c r="B3217" s="146"/>
      <c r="C3217" s="190"/>
      <c r="D3217" s="190"/>
      <c r="E3217" s="190"/>
    </row>
    <row r="3218" hidden="1">
      <c r="A3218" s="219"/>
      <c r="B3218" s="295"/>
      <c r="C3218" s="190"/>
      <c r="D3218" s="190"/>
      <c r="E3218" s="190"/>
    </row>
    <row r="3219" hidden="1">
      <c r="A3219" s="403"/>
      <c r="B3219" s="404"/>
      <c r="C3219" s="190"/>
      <c r="D3219" s="190"/>
      <c r="E3219" s="190"/>
    </row>
    <row r="3220" hidden="1">
      <c r="A3220" s="141"/>
      <c r="B3220" s="141"/>
      <c r="C3220" s="190"/>
      <c r="D3220" s="190"/>
      <c r="E3220" s="190"/>
    </row>
    <row r="3221" hidden="1">
      <c r="A3221" s="292"/>
      <c r="B3221" s="292"/>
      <c r="C3221" s="190"/>
      <c r="D3221" s="190"/>
      <c r="E3221" s="190"/>
    </row>
    <row r="3222" hidden="1">
      <c r="A3222" s="141"/>
      <c r="B3222" s="141"/>
      <c r="C3222" s="190"/>
      <c r="D3222" s="190"/>
      <c r="E3222" s="190"/>
    </row>
    <row r="3223" hidden="1">
      <c r="A3223" s="128"/>
      <c r="B3223" s="129"/>
      <c r="C3223" s="190"/>
      <c r="D3223" s="190"/>
      <c r="E3223" s="190"/>
    </row>
    <row r="3224" hidden="1">
      <c r="A3224" s="292"/>
      <c r="B3224" s="292"/>
      <c r="C3224" s="190"/>
      <c r="D3224" s="190"/>
      <c r="E3224" s="190"/>
    </row>
    <row r="3225" hidden="1">
      <c r="A3225" s="405"/>
      <c r="B3225" s="405"/>
      <c r="C3225" s="190"/>
      <c r="D3225" s="190"/>
      <c r="E3225" s="190"/>
    </row>
    <row r="3226" hidden="1">
      <c r="A3226" s="405"/>
      <c r="B3226" s="405"/>
      <c r="C3226" s="190"/>
      <c r="D3226" s="190"/>
      <c r="E3226" s="190"/>
    </row>
    <row r="3227" hidden="1">
      <c r="A3227" s="405"/>
      <c r="B3227" s="405"/>
      <c r="C3227" s="190"/>
      <c r="D3227" s="190"/>
      <c r="E3227" s="190"/>
    </row>
    <row r="3228" hidden="1">
      <c r="A3228" s="405"/>
      <c r="B3228" s="405"/>
      <c r="C3228" s="190"/>
      <c r="D3228" s="190"/>
      <c r="E3228" s="190"/>
    </row>
    <row r="3229" hidden="1">
      <c r="A3229" s="405"/>
      <c r="B3229" s="405"/>
      <c r="C3229" s="190"/>
      <c r="D3229" s="190"/>
      <c r="E3229" s="190"/>
    </row>
    <row r="3230" hidden="1">
      <c r="A3230" s="405"/>
      <c r="B3230" s="405"/>
      <c r="C3230" s="190"/>
      <c r="D3230" s="190"/>
      <c r="E3230" s="190"/>
    </row>
    <row r="3231" hidden="1">
      <c r="A3231" s="405"/>
      <c r="B3231" s="405"/>
      <c r="C3231" s="190"/>
      <c r="D3231" s="190"/>
      <c r="E3231" s="190"/>
    </row>
    <row r="3232" hidden="1">
      <c r="A3232" s="405"/>
      <c r="B3232" s="405"/>
      <c r="C3232" s="190"/>
      <c r="D3232" s="190"/>
      <c r="E3232" s="190"/>
    </row>
    <row r="3233" hidden="1">
      <c r="A3233" s="189"/>
      <c r="B3233" s="189"/>
      <c r="C3233" s="190"/>
      <c r="D3233" s="190"/>
      <c r="E3233" s="190"/>
    </row>
    <row r="3234" hidden="1">
      <c r="A3234" s="189"/>
      <c r="B3234" s="189"/>
      <c r="C3234" s="190"/>
      <c r="D3234" s="190"/>
      <c r="E3234" s="190"/>
    </row>
    <row r="3235" hidden="1">
      <c r="A3235" s="189"/>
      <c r="B3235" s="189"/>
      <c r="C3235" s="190"/>
      <c r="D3235" s="190"/>
      <c r="E3235" s="190"/>
    </row>
    <row r="3236" hidden="1">
      <c r="A3236" s="189"/>
      <c r="B3236" s="189"/>
      <c r="C3236" s="190"/>
      <c r="D3236" s="190"/>
      <c r="E3236" s="190"/>
    </row>
    <row r="3237" hidden="1">
      <c r="A3237" s="189"/>
      <c r="B3237" s="189"/>
      <c r="C3237" s="190"/>
      <c r="D3237" s="190"/>
      <c r="E3237" s="190"/>
    </row>
    <row r="3238" hidden="1">
      <c r="A3238" s="189"/>
      <c r="B3238" s="189"/>
      <c r="C3238" s="190"/>
      <c r="D3238" s="190"/>
      <c r="E3238" s="190"/>
    </row>
    <row r="3239" hidden="1">
      <c r="A3239" s="189"/>
      <c r="B3239" s="189"/>
      <c r="C3239" s="190"/>
      <c r="D3239" s="190"/>
      <c r="E3239" s="190"/>
    </row>
    <row r="3240" hidden="1">
      <c r="A3240" s="189"/>
      <c r="B3240" s="189"/>
      <c r="C3240" s="190"/>
      <c r="D3240" s="190"/>
      <c r="E3240" s="190"/>
    </row>
    <row r="3241" hidden="1">
      <c r="A3241" s="189"/>
      <c r="B3241" s="189"/>
      <c r="C3241" s="190"/>
      <c r="D3241" s="190"/>
      <c r="E3241" s="190"/>
    </row>
    <row r="3242" hidden="1">
      <c r="A3242" s="189"/>
      <c r="B3242" s="189"/>
      <c r="C3242" s="190"/>
      <c r="D3242" s="190"/>
      <c r="E3242" s="190"/>
    </row>
    <row r="3243" hidden="1">
      <c r="A3243" s="189"/>
      <c r="B3243" s="189"/>
      <c r="C3243" s="190"/>
      <c r="D3243" s="190"/>
      <c r="E3243" s="190"/>
    </row>
    <row r="3244" hidden="1">
      <c r="A3244" s="189"/>
      <c r="B3244" s="189"/>
      <c r="C3244" s="190"/>
      <c r="D3244" s="190"/>
      <c r="E3244" s="190"/>
    </row>
    <row r="3245" hidden="1">
      <c r="A3245" s="189"/>
      <c r="B3245" s="189"/>
      <c r="C3245" s="190"/>
      <c r="D3245" s="190"/>
      <c r="E3245" s="190"/>
    </row>
    <row r="3246" hidden="1">
      <c r="A3246" s="189"/>
      <c r="B3246" s="189"/>
      <c r="C3246" s="190"/>
      <c r="D3246" s="190"/>
      <c r="E3246" s="190"/>
    </row>
    <row r="3247" hidden="1">
      <c r="A3247" s="189"/>
      <c r="B3247" s="189"/>
      <c r="C3247" s="190"/>
      <c r="D3247" s="190"/>
      <c r="E3247" s="190"/>
    </row>
    <row r="3248" hidden="1">
      <c r="A3248" s="189"/>
      <c r="B3248" s="189"/>
      <c r="C3248" s="190"/>
      <c r="D3248" s="190"/>
      <c r="E3248" s="190"/>
    </row>
    <row r="3249" hidden="1">
      <c r="A3249" s="189"/>
      <c r="B3249" s="189"/>
      <c r="C3249" s="190"/>
      <c r="D3249" s="190"/>
      <c r="E3249" s="190"/>
    </row>
    <row r="3250" hidden="1">
      <c r="A3250" s="189"/>
      <c r="B3250" s="189"/>
      <c r="C3250" s="190"/>
      <c r="D3250" s="190"/>
      <c r="E3250" s="190"/>
    </row>
    <row r="3251" hidden="1">
      <c r="A3251" s="189"/>
      <c r="B3251" s="189"/>
      <c r="C3251" s="190"/>
      <c r="D3251" s="190"/>
      <c r="E3251" s="190"/>
    </row>
    <row r="3252" hidden="1">
      <c r="A3252" s="189"/>
      <c r="B3252" s="189"/>
      <c r="C3252" s="190"/>
      <c r="D3252" s="190"/>
      <c r="E3252" s="190"/>
    </row>
    <row r="3253" hidden="1">
      <c r="A3253" s="189"/>
      <c r="B3253" s="189"/>
      <c r="C3253" s="190"/>
      <c r="D3253" s="190"/>
      <c r="E3253" s="190"/>
    </row>
    <row r="3254" hidden="1">
      <c r="A3254" s="189"/>
      <c r="B3254" s="189"/>
      <c r="C3254" s="190"/>
      <c r="D3254" s="190"/>
      <c r="E3254" s="190"/>
    </row>
    <row r="3255" hidden="1">
      <c r="A3255" s="189"/>
      <c r="B3255" s="189"/>
      <c r="C3255" s="190"/>
      <c r="D3255" s="190"/>
      <c r="E3255" s="190"/>
    </row>
    <row r="3256" hidden="1">
      <c r="A3256" s="189"/>
      <c r="B3256" s="189"/>
      <c r="C3256" s="190"/>
      <c r="D3256" s="190"/>
      <c r="E3256" s="190"/>
    </row>
    <row r="3257" hidden="1">
      <c r="A3257" s="189"/>
      <c r="B3257" s="189"/>
      <c r="C3257" s="190"/>
      <c r="D3257" s="190"/>
      <c r="E3257" s="190"/>
    </row>
    <row r="3258" hidden="1">
      <c r="A3258" s="189"/>
      <c r="B3258" s="189"/>
      <c r="C3258" s="190"/>
      <c r="D3258" s="190"/>
      <c r="E3258" s="190"/>
    </row>
    <row r="3259" hidden="1">
      <c r="A3259" s="189"/>
      <c r="B3259" s="189"/>
      <c r="C3259" s="190"/>
      <c r="D3259" s="190"/>
      <c r="E3259" s="190"/>
    </row>
    <row r="3260" hidden="1">
      <c r="A3260" s="189"/>
      <c r="B3260" s="189"/>
      <c r="C3260" s="190"/>
      <c r="D3260" s="190"/>
      <c r="E3260" s="190"/>
    </row>
    <row r="3261" hidden="1">
      <c r="A3261" s="189"/>
      <c r="B3261" s="189"/>
      <c r="C3261" s="190"/>
      <c r="D3261" s="190"/>
      <c r="E3261" s="190"/>
    </row>
    <row r="3262" hidden="1">
      <c r="A3262" s="189"/>
      <c r="B3262" s="189"/>
      <c r="C3262" s="190"/>
      <c r="D3262" s="190"/>
      <c r="E3262" s="190"/>
    </row>
    <row r="3263" hidden="1">
      <c r="A3263" s="189"/>
      <c r="B3263" s="189"/>
      <c r="C3263" s="190"/>
      <c r="D3263" s="190"/>
      <c r="E3263" s="190"/>
    </row>
    <row r="3264" hidden="1">
      <c r="A3264" s="189"/>
      <c r="B3264" s="189"/>
      <c r="C3264" s="190"/>
      <c r="D3264" s="190"/>
      <c r="E3264" s="190"/>
    </row>
    <row r="3265" hidden="1">
      <c r="A3265" s="189"/>
      <c r="B3265" s="189"/>
      <c r="C3265" s="190"/>
      <c r="D3265" s="190"/>
      <c r="E3265" s="190"/>
    </row>
    <row r="3266" hidden="1">
      <c r="A3266" s="189"/>
      <c r="B3266" s="189"/>
      <c r="C3266" s="190"/>
      <c r="D3266" s="190"/>
      <c r="E3266" s="190"/>
    </row>
    <row r="3267" hidden="1">
      <c r="A3267" s="189"/>
      <c r="B3267" s="189"/>
      <c r="C3267" s="190"/>
      <c r="D3267" s="190"/>
      <c r="E3267" s="190"/>
    </row>
    <row r="3268" hidden="1">
      <c r="A3268" s="189"/>
      <c r="B3268" s="189"/>
      <c r="C3268" s="190"/>
      <c r="D3268" s="190"/>
      <c r="E3268" s="190"/>
    </row>
    <row r="3269" hidden="1">
      <c r="A3269" s="189"/>
      <c r="B3269" s="189"/>
      <c r="C3269" s="190"/>
      <c r="D3269" s="190"/>
      <c r="E3269" s="190"/>
    </row>
    <row r="3270" hidden="1">
      <c r="A3270" s="189"/>
      <c r="B3270" s="189"/>
      <c r="C3270" s="190"/>
      <c r="D3270" s="190"/>
      <c r="E3270" s="190"/>
    </row>
    <row r="3271" hidden="1">
      <c r="A3271" s="189"/>
      <c r="B3271" s="189"/>
      <c r="C3271" s="190"/>
      <c r="D3271" s="190"/>
      <c r="E3271" s="190"/>
    </row>
    <row r="3272" hidden="1">
      <c r="A3272" s="189"/>
      <c r="B3272" s="189"/>
      <c r="C3272" s="190"/>
      <c r="D3272" s="190"/>
      <c r="E3272" s="190"/>
    </row>
    <row r="3273" hidden="1">
      <c r="A3273" s="189"/>
      <c r="B3273" s="189"/>
      <c r="C3273" s="190"/>
      <c r="D3273" s="190"/>
      <c r="E3273" s="190"/>
    </row>
    <row r="3274" hidden="1">
      <c r="A3274" s="189"/>
      <c r="B3274" s="189"/>
      <c r="C3274" s="190"/>
      <c r="D3274" s="190"/>
      <c r="E3274" s="190"/>
    </row>
    <row r="3275" hidden="1">
      <c r="A3275" s="189"/>
      <c r="B3275" s="189"/>
      <c r="C3275" s="190"/>
      <c r="D3275" s="190"/>
      <c r="E3275" s="190"/>
    </row>
    <row r="3276" hidden="1">
      <c r="A3276" s="189"/>
      <c r="B3276" s="189"/>
      <c r="C3276" s="190"/>
      <c r="D3276" s="190"/>
      <c r="E3276" s="190"/>
    </row>
    <row r="3277" hidden="1">
      <c r="A3277" s="189"/>
      <c r="B3277" s="189"/>
      <c r="C3277" s="190"/>
      <c r="D3277" s="190"/>
      <c r="E3277" s="190"/>
    </row>
    <row r="3278" hidden="1">
      <c r="A3278" s="189"/>
      <c r="B3278" s="189"/>
      <c r="C3278" s="190"/>
      <c r="D3278" s="190"/>
      <c r="E3278" s="190"/>
    </row>
    <row r="3279" hidden="1">
      <c r="A3279" s="189"/>
      <c r="B3279" s="189"/>
      <c r="C3279" s="190"/>
      <c r="D3279" s="190"/>
      <c r="E3279" s="190"/>
    </row>
    <row r="3280" hidden="1">
      <c r="A3280" s="189"/>
      <c r="B3280" s="189"/>
      <c r="C3280" s="190"/>
      <c r="D3280" s="190"/>
      <c r="E3280" s="190"/>
    </row>
    <row r="3281" hidden="1">
      <c r="A3281" s="189"/>
      <c r="B3281" s="189"/>
      <c r="C3281" s="190"/>
      <c r="D3281" s="190"/>
      <c r="E3281" s="190"/>
    </row>
    <row r="3282" hidden="1">
      <c r="A3282" s="189"/>
      <c r="B3282" s="189"/>
      <c r="C3282" s="190"/>
      <c r="D3282" s="190"/>
      <c r="E3282" s="190"/>
    </row>
    <row r="3283" hidden="1">
      <c r="A3283" s="189"/>
      <c r="B3283" s="189"/>
      <c r="C3283" s="190"/>
      <c r="D3283" s="190"/>
      <c r="E3283" s="190"/>
    </row>
    <row r="3284" hidden="1">
      <c r="A3284" s="189"/>
      <c r="B3284" s="189"/>
      <c r="C3284" s="190"/>
      <c r="D3284" s="190"/>
      <c r="E3284" s="190"/>
    </row>
    <row r="3285" hidden="1">
      <c r="A3285" s="189"/>
      <c r="B3285" s="189"/>
      <c r="C3285" s="190"/>
      <c r="D3285" s="190"/>
      <c r="E3285" s="190"/>
    </row>
    <row r="3286" hidden="1">
      <c r="A3286" s="189"/>
      <c r="B3286" s="189"/>
      <c r="C3286" s="190"/>
      <c r="D3286" s="190"/>
      <c r="E3286" s="190"/>
    </row>
    <row r="3287" hidden="1">
      <c r="A3287" s="189"/>
      <c r="B3287" s="189"/>
      <c r="C3287" s="190"/>
      <c r="D3287" s="190"/>
      <c r="E3287" s="190"/>
    </row>
    <row r="3288" hidden="1">
      <c r="A3288" s="189"/>
      <c r="B3288" s="189"/>
      <c r="C3288" s="190"/>
      <c r="D3288" s="190"/>
      <c r="E3288" s="190"/>
    </row>
    <row r="3289" hidden="1">
      <c r="A3289" s="189"/>
      <c r="B3289" s="189"/>
      <c r="C3289" s="190"/>
      <c r="D3289" s="190"/>
      <c r="E3289" s="190"/>
    </row>
    <row r="3290" hidden="1">
      <c r="A3290" s="189"/>
      <c r="B3290" s="189"/>
      <c r="C3290" s="190"/>
      <c r="D3290" s="190"/>
      <c r="E3290" s="190"/>
    </row>
    <row r="3291" hidden="1">
      <c r="A3291" s="189"/>
      <c r="B3291" s="189"/>
      <c r="C3291" s="190"/>
      <c r="D3291" s="190"/>
      <c r="E3291" s="190"/>
    </row>
    <row r="3292" hidden="1">
      <c r="A3292" s="189"/>
      <c r="B3292" s="189"/>
      <c r="C3292" s="190"/>
      <c r="D3292" s="190"/>
      <c r="E3292" s="190"/>
    </row>
    <row r="3293" hidden="1">
      <c r="A3293" s="189"/>
      <c r="B3293" s="189"/>
      <c r="C3293" s="190"/>
      <c r="D3293" s="190"/>
      <c r="E3293" s="190"/>
    </row>
    <row r="3294" hidden="1">
      <c r="A3294" s="189"/>
      <c r="B3294" s="189"/>
      <c r="C3294" s="190"/>
      <c r="D3294" s="190"/>
      <c r="E3294" s="190"/>
    </row>
    <row r="3295" hidden="1">
      <c r="A3295" s="189"/>
      <c r="B3295" s="189"/>
      <c r="C3295" s="190"/>
      <c r="D3295" s="190"/>
      <c r="E3295" s="190"/>
    </row>
    <row r="3296" hidden="1">
      <c r="A3296" s="189"/>
      <c r="B3296" s="189"/>
      <c r="C3296" s="190"/>
      <c r="D3296" s="190"/>
      <c r="E3296" s="190"/>
    </row>
    <row r="3297" hidden="1">
      <c r="A3297" s="189"/>
      <c r="B3297" s="189"/>
      <c r="C3297" s="190"/>
      <c r="D3297" s="190"/>
      <c r="E3297" s="190"/>
    </row>
    <row r="3298" hidden="1">
      <c r="A3298" s="189"/>
      <c r="B3298" s="189"/>
      <c r="C3298" s="190"/>
      <c r="D3298" s="190"/>
      <c r="E3298" s="190"/>
    </row>
    <row r="3299" hidden="1">
      <c r="A3299" s="189"/>
      <c r="B3299" s="189"/>
      <c r="C3299" s="190"/>
      <c r="D3299" s="190"/>
      <c r="E3299" s="190"/>
    </row>
    <row r="3300" hidden="1">
      <c r="A3300" s="189"/>
      <c r="B3300" s="189"/>
      <c r="C3300" s="190"/>
      <c r="D3300" s="190"/>
      <c r="E3300" s="190"/>
    </row>
    <row r="3301" hidden="1">
      <c r="A3301" s="189"/>
      <c r="B3301" s="189"/>
      <c r="C3301" s="190"/>
      <c r="D3301" s="190"/>
      <c r="E3301" s="190"/>
    </row>
    <row r="3302" hidden="1">
      <c r="A3302" s="189"/>
      <c r="B3302" s="189"/>
      <c r="C3302" s="190"/>
      <c r="D3302" s="190"/>
      <c r="E3302" s="190"/>
    </row>
    <row r="3303" hidden="1">
      <c r="A3303" s="189"/>
      <c r="B3303" s="189"/>
      <c r="C3303" s="190"/>
      <c r="D3303" s="190"/>
      <c r="E3303" s="190"/>
    </row>
    <row r="3304" hidden="1">
      <c r="A3304" s="189"/>
      <c r="B3304" s="189"/>
      <c r="C3304" s="190"/>
      <c r="D3304" s="190"/>
      <c r="E3304" s="190"/>
    </row>
    <row r="3305" hidden="1">
      <c r="A3305" s="189"/>
      <c r="B3305" s="189"/>
      <c r="C3305" s="190"/>
      <c r="D3305" s="190"/>
      <c r="E3305" s="190"/>
    </row>
    <row r="3306" hidden="1">
      <c r="A3306" s="189"/>
      <c r="B3306" s="189"/>
      <c r="C3306" s="190"/>
      <c r="D3306" s="190"/>
      <c r="E3306" s="190"/>
    </row>
    <row r="3307" hidden="1">
      <c r="A3307" s="189"/>
      <c r="B3307" s="189"/>
      <c r="C3307" s="190"/>
      <c r="D3307" s="190"/>
      <c r="E3307" s="190"/>
    </row>
    <row r="3308" hidden="1">
      <c r="A3308" s="189"/>
      <c r="B3308" s="189"/>
      <c r="C3308" s="190"/>
      <c r="D3308" s="190"/>
      <c r="E3308" s="190"/>
    </row>
    <row r="3309" hidden="1">
      <c r="A3309" s="189"/>
      <c r="B3309" s="189"/>
      <c r="C3309" s="190"/>
      <c r="D3309" s="190"/>
      <c r="E3309" s="190"/>
    </row>
    <row r="3310" hidden="1">
      <c r="A3310" s="189"/>
      <c r="B3310" s="189"/>
      <c r="C3310" s="190"/>
      <c r="D3310" s="190"/>
      <c r="E3310" s="190"/>
    </row>
    <row r="3311" hidden="1">
      <c r="A3311" s="189"/>
      <c r="B3311" s="189"/>
      <c r="C3311" s="190"/>
      <c r="D3311" s="190"/>
      <c r="E3311" s="190"/>
    </row>
    <row r="3312" hidden="1">
      <c r="A3312" s="189"/>
      <c r="B3312" s="189"/>
      <c r="C3312" s="190"/>
      <c r="D3312" s="190"/>
      <c r="E3312" s="190"/>
    </row>
    <row r="3313" hidden="1">
      <c r="A3313" s="189"/>
      <c r="B3313" s="189"/>
      <c r="C3313" s="190"/>
      <c r="D3313" s="190"/>
      <c r="E3313" s="190"/>
    </row>
    <row r="3314" hidden="1">
      <c r="A3314" s="189"/>
      <c r="B3314" s="189"/>
      <c r="C3314" s="190"/>
      <c r="D3314" s="190"/>
      <c r="E3314" s="190"/>
    </row>
    <row r="3315" hidden="1">
      <c r="A3315" s="189"/>
      <c r="B3315" s="189"/>
      <c r="C3315" s="190"/>
      <c r="D3315" s="190"/>
      <c r="E3315" s="190"/>
    </row>
    <row r="3316" hidden="1">
      <c r="A3316" s="189"/>
      <c r="B3316" s="189"/>
      <c r="C3316" s="190"/>
      <c r="D3316" s="190"/>
      <c r="E3316" s="190"/>
    </row>
    <row r="3317" hidden="1">
      <c r="A3317" s="189"/>
      <c r="B3317" s="189"/>
      <c r="C3317" s="190"/>
      <c r="D3317" s="190"/>
      <c r="E3317" s="190"/>
    </row>
    <row r="3318" hidden="1">
      <c r="A3318" s="189"/>
      <c r="B3318" s="189"/>
      <c r="C3318" s="190"/>
      <c r="D3318" s="190"/>
      <c r="E3318" s="190"/>
    </row>
    <row r="3319" hidden="1">
      <c r="A3319" s="189"/>
      <c r="B3319" s="189"/>
      <c r="C3319" s="190"/>
      <c r="D3319" s="190"/>
      <c r="E3319" s="190"/>
    </row>
    <row r="3320" hidden="1">
      <c r="A3320" s="189"/>
      <c r="B3320" s="189"/>
      <c r="C3320" s="190"/>
      <c r="D3320" s="190"/>
      <c r="E3320" s="190"/>
    </row>
    <row r="3321" hidden="1">
      <c r="A3321" s="189"/>
      <c r="B3321" s="189"/>
      <c r="C3321" s="190"/>
      <c r="D3321" s="190"/>
      <c r="E3321" s="190"/>
    </row>
    <row r="3322" hidden="1">
      <c r="A3322" s="189"/>
      <c r="B3322" s="189"/>
      <c r="C3322" s="190"/>
      <c r="D3322" s="190"/>
      <c r="E3322" s="190"/>
    </row>
    <row r="3323" hidden="1">
      <c r="A3323" s="189"/>
      <c r="B3323" s="189"/>
      <c r="C3323" s="190"/>
      <c r="D3323" s="190"/>
      <c r="E3323" s="190"/>
    </row>
    <row r="3324" hidden="1">
      <c r="A3324" s="189"/>
      <c r="B3324" s="189"/>
      <c r="C3324" s="190"/>
      <c r="D3324" s="190"/>
      <c r="E3324" s="190"/>
    </row>
    <row r="3325" hidden="1">
      <c r="A3325" s="189"/>
      <c r="B3325" s="189"/>
      <c r="C3325" s="190"/>
      <c r="D3325" s="190"/>
      <c r="E3325" s="190"/>
    </row>
    <row r="3326" hidden="1">
      <c r="A3326" s="189"/>
      <c r="B3326" s="189"/>
      <c r="C3326" s="190"/>
      <c r="D3326" s="190"/>
      <c r="E3326" s="190"/>
    </row>
    <row r="3327" hidden="1">
      <c r="A3327" s="189"/>
      <c r="B3327" s="189"/>
      <c r="C3327" s="190"/>
      <c r="D3327" s="190"/>
      <c r="E3327" s="190"/>
    </row>
    <row r="3328" hidden="1">
      <c r="A3328" s="189"/>
      <c r="B3328" s="189"/>
      <c r="C3328" s="190"/>
      <c r="D3328" s="190"/>
      <c r="E3328" s="190"/>
    </row>
    <row r="3329" hidden="1">
      <c r="A3329" s="189"/>
      <c r="B3329" s="189"/>
      <c r="C3329" s="190"/>
      <c r="D3329" s="190"/>
      <c r="E3329" s="190"/>
    </row>
    <row r="3330" hidden="1">
      <c r="A3330" s="189"/>
      <c r="B3330" s="189"/>
      <c r="C3330" s="190"/>
      <c r="D3330" s="190"/>
      <c r="E3330" s="190"/>
    </row>
    <row r="3331" hidden="1">
      <c r="A3331" s="189"/>
      <c r="B3331" s="189"/>
      <c r="C3331" s="190"/>
      <c r="D3331" s="190"/>
      <c r="E3331" s="190"/>
    </row>
    <row r="3332" hidden="1">
      <c r="A3332" s="189"/>
      <c r="B3332" s="189"/>
      <c r="C3332" s="190"/>
      <c r="D3332" s="190"/>
      <c r="E3332" s="190"/>
    </row>
    <row r="3333" hidden="1">
      <c r="A3333" s="189"/>
      <c r="B3333" s="189"/>
      <c r="C3333" s="190"/>
      <c r="D3333" s="190"/>
      <c r="E3333" s="190"/>
    </row>
    <row r="3334" hidden="1">
      <c r="A3334" s="189"/>
      <c r="B3334" s="189"/>
      <c r="C3334" s="190"/>
      <c r="D3334" s="190"/>
      <c r="E3334" s="190"/>
    </row>
    <row r="3335" hidden="1">
      <c r="A3335" s="189"/>
      <c r="B3335" s="189"/>
      <c r="C3335" s="190"/>
      <c r="D3335" s="190"/>
      <c r="E3335" s="190"/>
    </row>
    <row r="3336" hidden="1">
      <c r="A3336" s="189"/>
      <c r="B3336" s="189"/>
      <c r="C3336" s="190"/>
      <c r="D3336" s="190"/>
      <c r="E3336" s="190"/>
    </row>
    <row r="3337" hidden="1">
      <c r="A3337" s="189"/>
      <c r="B3337" s="189"/>
      <c r="C3337" s="190"/>
      <c r="D3337" s="190"/>
      <c r="E3337" s="190"/>
    </row>
    <row r="3338" hidden="1">
      <c r="A3338" s="189"/>
      <c r="B3338" s="189"/>
      <c r="C3338" s="190"/>
      <c r="D3338" s="190"/>
      <c r="E3338" s="190"/>
    </row>
    <row r="3339" hidden="1">
      <c r="A3339" s="189"/>
      <c r="B3339" s="189"/>
      <c r="C3339" s="190"/>
      <c r="D3339" s="190"/>
      <c r="E3339" s="190"/>
    </row>
    <row r="3340" hidden="1">
      <c r="A3340" s="189"/>
      <c r="B3340" s="189"/>
      <c r="C3340" s="190"/>
      <c r="D3340" s="190"/>
      <c r="E3340" s="190"/>
    </row>
    <row r="3341" hidden="1">
      <c r="A3341" s="189"/>
      <c r="B3341" s="189"/>
      <c r="C3341" s="190"/>
      <c r="D3341" s="190"/>
      <c r="E3341" s="190"/>
    </row>
    <row r="3342" hidden="1">
      <c r="A3342" s="189"/>
      <c r="B3342" s="189"/>
      <c r="C3342" s="190"/>
      <c r="D3342" s="190"/>
      <c r="E3342" s="190"/>
    </row>
    <row r="3343" hidden="1">
      <c r="A3343" s="189"/>
      <c r="B3343" s="189"/>
      <c r="C3343" s="190"/>
      <c r="D3343" s="190"/>
      <c r="E3343" s="190"/>
    </row>
    <row r="3344" hidden="1">
      <c r="A3344" s="189"/>
      <c r="B3344" s="189"/>
      <c r="C3344" s="190"/>
      <c r="D3344" s="190"/>
      <c r="E3344" s="190"/>
    </row>
    <row r="3345" hidden="1">
      <c r="A3345" s="189"/>
      <c r="B3345" s="189"/>
      <c r="C3345" s="190"/>
      <c r="D3345" s="190"/>
      <c r="E3345" s="190"/>
    </row>
    <row r="3346" hidden="1">
      <c r="A3346" s="189"/>
      <c r="B3346" s="189"/>
      <c r="C3346" s="190"/>
      <c r="D3346" s="190"/>
      <c r="E3346" s="190"/>
    </row>
    <row r="3347" hidden="1">
      <c r="A3347" s="189"/>
      <c r="B3347" s="189"/>
      <c r="C3347" s="190"/>
      <c r="D3347" s="190"/>
      <c r="E3347" s="190"/>
    </row>
    <row r="3348" hidden="1">
      <c r="A3348" s="189"/>
      <c r="B3348" s="189"/>
      <c r="C3348" s="190"/>
      <c r="D3348" s="190"/>
      <c r="E3348" s="190"/>
    </row>
    <row r="3349" hidden="1">
      <c r="A3349" s="189"/>
      <c r="B3349" s="189"/>
      <c r="C3349" s="190"/>
      <c r="D3349" s="190"/>
      <c r="E3349" s="190"/>
    </row>
    <row r="3350" hidden="1">
      <c r="A3350" s="189"/>
      <c r="B3350" s="189"/>
      <c r="C3350" s="190"/>
      <c r="D3350" s="190"/>
      <c r="E3350" s="190"/>
    </row>
    <row r="3351" hidden="1">
      <c r="A3351" s="189"/>
      <c r="B3351" s="189"/>
      <c r="C3351" s="190"/>
      <c r="D3351" s="190"/>
      <c r="E3351" s="190"/>
    </row>
    <row r="3352" hidden="1">
      <c r="A3352" s="189"/>
      <c r="B3352" s="189"/>
      <c r="C3352" s="190"/>
      <c r="D3352" s="190"/>
      <c r="E3352" s="190"/>
    </row>
    <row r="3353" hidden="1">
      <c r="A3353" s="189"/>
      <c r="B3353" s="189"/>
      <c r="C3353" s="190"/>
      <c r="D3353" s="190"/>
      <c r="E3353" s="190"/>
    </row>
    <row r="3354" hidden="1">
      <c r="A3354" s="189"/>
      <c r="B3354" s="189"/>
      <c r="C3354" s="190"/>
      <c r="D3354" s="190"/>
      <c r="E3354" s="190"/>
    </row>
    <row r="3355" hidden="1">
      <c r="A3355" s="189"/>
      <c r="B3355" s="189"/>
      <c r="C3355" s="190"/>
      <c r="D3355" s="190"/>
      <c r="E3355" s="190"/>
    </row>
    <row r="3356" hidden="1">
      <c r="A3356" s="189"/>
      <c r="B3356" s="189"/>
      <c r="C3356" s="190"/>
      <c r="D3356" s="190"/>
      <c r="E3356" s="190"/>
    </row>
    <row r="3357" hidden="1">
      <c r="A3357" s="189"/>
      <c r="B3357" s="189"/>
      <c r="C3357" s="190"/>
      <c r="D3357" s="190"/>
      <c r="E3357" s="190"/>
    </row>
    <row r="3358" hidden="1">
      <c r="A3358" s="189"/>
      <c r="B3358" s="189"/>
      <c r="C3358" s="190"/>
      <c r="D3358" s="190"/>
      <c r="E3358" s="190"/>
    </row>
    <row r="3359" hidden="1">
      <c r="A3359" s="189"/>
      <c r="B3359" s="189"/>
      <c r="C3359" s="190"/>
      <c r="D3359" s="190"/>
      <c r="E3359" s="190"/>
    </row>
    <row r="3360" hidden="1">
      <c r="A3360" s="189"/>
      <c r="B3360" s="189"/>
      <c r="C3360" s="190"/>
      <c r="D3360" s="190"/>
      <c r="E3360" s="190"/>
    </row>
    <row r="3361" hidden="1">
      <c r="A3361" s="189"/>
      <c r="B3361" s="189"/>
      <c r="C3361" s="190"/>
      <c r="D3361" s="190"/>
      <c r="E3361" s="190"/>
    </row>
    <row r="3362" hidden="1">
      <c r="A3362" s="189"/>
      <c r="B3362" s="189"/>
      <c r="C3362" s="190"/>
      <c r="D3362" s="190"/>
      <c r="E3362" s="190"/>
    </row>
    <row r="3363" hidden="1">
      <c r="A3363" s="189"/>
      <c r="B3363" s="189"/>
      <c r="C3363" s="190"/>
      <c r="D3363" s="190"/>
      <c r="E3363" s="190"/>
    </row>
    <row r="3364" hidden="1">
      <c r="A3364" s="189"/>
      <c r="B3364" s="189"/>
      <c r="C3364" s="190"/>
      <c r="D3364" s="190"/>
      <c r="E3364" s="190"/>
    </row>
    <row r="3365" hidden="1">
      <c r="A3365" s="189"/>
      <c r="B3365" s="189"/>
      <c r="C3365" s="190"/>
      <c r="D3365" s="190"/>
      <c r="E3365" s="190"/>
    </row>
    <row r="3366" hidden="1">
      <c r="A3366" s="189"/>
      <c r="B3366" s="189"/>
      <c r="C3366" s="190"/>
      <c r="D3366" s="190"/>
      <c r="E3366" s="190"/>
    </row>
    <row r="3367" hidden="1">
      <c r="A3367" s="189"/>
      <c r="B3367" s="189"/>
      <c r="C3367" s="190"/>
      <c r="D3367" s="190"/>
      <c r="E3367" s="190"/>
    </row>
    <row r="3368" hidden="1">
      <c r="A3368" s="189"/>
      <c r="B3368" s="189"/>
      <c r="C3368" s="190"/>
      <c r="D3368" s="190"/>
      <c r="E3368" s="190"/>
    </row>
    <row r="3369" hidden="1">
      <c r="A3369" s="189"/>
      <c r="B3369" s="189"/>
      <c r="C3369" s="190"/>
      <c r="D3369" s="190"/>
      <c r="E3369" s="190"/>
    </row>
    <row r="3370" hidden="1">
      <c r="A3370" s="189"/>
      <c r="B3370" s="189"/>
      <c r="C3370" s="190"/>
      <c r="D3370" s="190"/>
      <c r="E3370" s="190"/>
    </row>
    <row r="3371" hidden="1">
      <c r="A3371" s="189"/>
      <c r="B3371" s="189"/>
      <c r="C3371" s="190"/>
      <c r="D3371" s="190"/>
      <c r="E3371" s="190"/>
    </row>
    <row r="3372" hidden="1">
      <c r="A3372" s="189"/>
      <c r="B3372" s="189"/>
      <c r="C3372" s="190"/>
      <c r="D3372" s="190"/>
      <c r="E3372" s="190"/>
    </row>
    <row r="3373" hidden="1">
      <c r="A3373" s="189"/>
      <c r="B3373" s="189"/>
      <c r="C3373" s="190"/>
      <c r="D3373" s="190"/>
      <c r="E3373" s="190"/>
    </row>
    <row r="3374" hidden="1">
      <c r="A3374" s="189"/>
      <c r="B3374" s="189"/>
      <c r="C3374" s="190"/>
      <c r="D3374" s="190"/>
      <c r="E3374" s="190"/>
    </row>
    <row r="3375" hidden="1">
      <c r="A3375" s="189"/>
      <c r="B3375" s="189"/>
      <c r="C3375" s="190"/>
      <c r="D3375" s="190"/>
      <c r="E3375" s="190"/>
    </row>
    <row r="3376" hidden="1">
      <c r="A3376" s="189"/>
      <c r="B3376" s="189"/>
      <c r="C3376" s="190"/>
      <c r="D3376" s="190"/>
      <c r="E3376" s="190"/>
    </row>
    <row r="3377" hidden="1">
      <c r="A3377" s="189"/>
      <c r="B3377" s="189"/>
      <c r="C3377" s="190"/>
      <c r="D3377" s="190"/>
      <c r="E3377" s="190"/>
    </row>
    <row r="3378" hidden="1">
      <c r="A3378" s="189"/>
      <c r="B3378" s="189"/>
      <c r="C3378" s="190"/>
      <c r="D3378" s="190"/>
      <c r="E3378" s="190"/>
    </row>
    <row r="3379" hidden="1">
      <c r="A3379" s="189"/>
      <c r="B3379" s="189"/>
      <c r="C3379" s="190"/>
      <c r="D3379" s="190"/>
      <c r="E3379" s="190"/>
    </row>
    <row r="3380" hidden="1">
      <c r="A3380" s="189"/>
      <c r="B3380" s="189"/>
      <c r="C3380" s="190"/>
      <c r="D3380" s="190"/>
      <c r="E3380" s="190"/>
    </row>
    <row r="3381" hidden="1">
      <c r="A3381" s="189"/>
      <c r="B3381" s="189"/>
      <c r="C3381" s="190"/>
      <c r="D3381" s="190"/>
      <c r="E3381" s="190"/>
    </row>
    <row r="3382" hidden="1">
      <c r="A3382" s="189"/>
      <c r="B3382" s="189"/>
      <c r="C3382" s="190"/>
      <c r="D3382" s="190"/>
      <c r="E3382" s="190"/>
    </row>
    <row r="3383" hidden="1">
      <c r="A3383" s="189"/>
      <c r="B3383" s="189"/>
      <c r="C3383" s="190"/>
      <c r="D3383" s="190"/>
      <c r="E3383" s="190"/>
    </row>
    <row r="3384" hidden="1">
      <c r="A3384" s="189"/>
      <c r="B3384" s="189"/>
      <c r="C3384" s="190"/>
      <c r="D3384" s="190"/>
      <c r="E3384" s="190"/>
    </row>
    <row r="3385" hidden="1">
      <c r="A3385" s="189"/>
      <c r="B3385" s="189"/>
      <c r="C3385" s="190"/>
      <c r="D3385" s="190"/>
      <c r="E3385" s="190"/>
    </row>
    <row r="3386" hidden="1">
      <c r="A3386" s="189"/>
      <c r="B3386" s="189"/>
      <c r="C3386" s="190"/>
      <c r="D3386" s="190"/>
      <c r="E3386" s="190"/>
    </row>
    <row r="3387" hidden="1">
      <c r="A3387" s="189"/>
      <c r="B3387" s="189"/>
      <c r="C3387" s="190"/>
      <c r="D3387" s="190"/>
      <c r="E3387" s="190"/>
    </row>
    <row r="3388" hidden="1">
      <c r="A3388" s="189"/>
      <c r="B3388" s="189"/>
      <c r="C3388" s="190"/>
      <c r="D3388" s="190"/>
      <c r="E3388" s="190"/>
    </row>
    <row r="3389" hidden="1">
      <c r="A3389" s="189"/>
      <c r="B3389" s="189"/>
      <c r="C3389" s="190"/>
      <c r="D3389" s="190"/>
      <c r="E3389" s="190"/>
    </row>
    <row r="3390" hidden="1">
      <c r="A3390" s="189"/>
      <c r="B3390" s="189"/>
      <c r="C3390" s="190"/>
      <c r="D3390" s="190"/>
      <c r="E3390" s="190"/>
    </row>
    <row r="3391" hidden="1">
      <c r="A3391" s="189"/>
      <c r="B3391" s="189"/>
      <c r="C3391" s="190"/>
      <c r="D3391" s="190"/>
      <c r="E3391" s="190"/>
    </row>
    <row r="3392" hidden="1">
      <c r="A3392" s="189"/>
      <c r="B3392" s="189"/>
      <c r="C3392" s="190"/>
      <c r="D3392" s="190"/>
      <c r="E3392" s="190"/>
    </row>
    <row r="3393" hidden="1">
      <c r="A3393" s="189"/>
      <c r="B3393" s="189"/>
      <c r="C3393" s="190"/>
      <c r="D3393" s="190"/>
      <c r="E3393" s="190"/>
    </row>
    <row r="3394" hidden="1">
      <c r="A3394" s="189"/>
      <c r="B3394" s="189"/>
      <c r="C3394" s="190"/>
      <c r="D3394" s="190"/>
      <c r="E3394" s="190"/>
    </row>
    <row r="3395" hidden="1">
      <c r="A3395" s="189"/>
      <c r="B3395" s="189"/>
      <c r="C3395" s="190"/>
      <c r="D3395" s="190"/>
      <c r="E3395" s="190"/>
    </row>
    <row r="3396" hidden="1">
      <c r="A3396" s="189"/>
      <c r="B3396" s="189"/>
      <c r="C3396" s="190"/>
      <c r="D3396" s="190"/>
      <c r="E3396" s="190"/>
    </row>
    <row r="3397" hidden="1">
      <c r="A3397" s="189"/>
      <c r="B3397" s="189"/>
      <c r="C3397" s="190"/>
      <c r="D3397" s="190"/>
      <c r="E3397" s="190"/>
    </row>
    <row r="3398" hidden="1">
      <c r="A3398" s="189"/>
      <c r="B3398" s="189"/>
      <c r="C3398" s="190"/>
      <c r="D3398" s="190"/>
      <c r="E3398" s="190"/>
    </row>
    <row r="3399" hidden="1">
      <c r="A3399" s="189"/>
      <c r="B3399" s="189"/>
      <c r="C3399" s="190"/>
      <c r="D3399" s="190"/>
      <c r="E3399" s="190"/>
    </row>
    <row r="3400" hidden="1">
      <c r="A3400" s="189"/>
      <c r="B3400" s="189"/>
      <c r="C3400" s="190"/>
      <c r="D3400" s="190"/>
      <c r="E3400" s="190"/>
    </row>
    <row r="3401" hidden="1">
      <c r="A3401" s="189"/>
      <c r="B3401" s="189"/>
      <c r="C3401" s="190"/>
      <c r="D3401" s="190"/>
      <c r="E3401" s="190"/>
    </row>
    <row r="3402" hidden="1">
      <c r="A3402" s="189"/>
      <c r="B3402" s="189"/>
      <c r="C3402" s="190"/>
      <c r="D3402" s="190"/>
      <c r="E3402" s="190"/>
    </row>
    <row r="3403" hidden="1">
      <c r="A3403" s="189"/>
      <c r="B3403" s="189"/>
      <c r="C3403" s="190"/>
      <c r="D3403" s="190"/>
      <c r="E3403" s="190"/>
    </row>
    <row r="3404" hidden="1">
      <c r="A3404" s="189"/>
      <c r="B3404" s="189"/>
      <c r="C3404" s="190"/>
      <c r="D3404" s="190"/>
      <c r="E3404" s="190"/>
    </row>
    <row r="3405" hidden="1">
      <c r="A3405" s="189"/>
      <c r="B3405" s="189"/>
      <c r="C3405" s="190"/>
      <c r="D3405" s="190"/>
      <c r="E3405" s="190"/>
    </row>
    <row r="3406" hidden="1">
      <c r="A3406" s="189"/>
      <c r="B3406" s="189"/>
      <c r="C3406" s="190"/>
      <c r="D3406" s="190"/>
      <c r="E3406" s="190"/>
    </row>
    <row r="3407" hidden="1">
      <c r="A3407" s="189"/>
      <c r="B3407" s="189"/>
      <c r="C3407" s="190"/>
      <c r="D3407" s="190"/>
      <c r="E3407" s="190"/>
    </row>
    <row r="3408" hidden="1">
      <c r="A3408" s="189"/>
      <c r="B3408" s="189"/>
      <c r="C3408" s="190"/>
      <c r="D3408" s="190"/>
      <c r="E3408" s="190"/>
    </row>
    <row r="3409" hidden="1">
      <c r="A3409" s="189"/>
      <c r="B3409" s="189"/>
      <c r="C3409" s="190"/>
      <c r="D3409" s="190"/>
      <c r="E3409" s="190"/>
    </row>
    <row r="3410" hidden="1">
      <c r="A3410" s="189"/>
      <c r="B3410" s="189"/>
      <c r="C3410" s="190"/>
      <c r="D3410" s="190"/>
      <c r="E3410" s="190"/>
    </row>
    <row r="3411" hidden="1">
      <c r="A3411" s="189"/>
      <c r="B3411" s="189"/>
      <c r="C3411" s="190"/>
      <c r="D3411" s="190"/>
      <c r="E3411" s="190"/>
    </row>
    <row r="3412" hidden="1">
      <c r="A3412" s="189"/>
      <c r="B3412" s="189"/>
      <c r="C3412" s="190"/>
      <c r="D3412" s="190"/>
      <c r="E3412" s="190"/>
    </row>
    <row r="3413" hidden="1">
      <c r="A3413" s="189"/>
      <c r="B3413" s="189"/>
      <c r="C3413" s="190"/>
      <c r="D3413" s="190"/>
      <c r="E3413" s="190"/>
    </row>
    <row r="3414" hidden="1">
      <c r="A3414" s="189"/>
      <c r="B3414" s="189"/>
      <c r="C3414" s="190"/>
      <c r="D3414" s="190"/>
      <c r="E3414" s="190"/>
    </row>
    <row r="3415" hidden="1">
      <c r="A3415" s="189"/>
      <c r="B3415" s="189"/>
      <c r="C3415" s="190"/>
      <c r="D3415" s="190"/>
      <c r="E3415" s="190"/>
    </row>
    <row r="3416" hidden="1">
      <c r="A3416" s="189"/>
      <c r="B3416" s="189"/>
      <c r="C3416" s="190"/>
      <c r="D3416" s="190"/>
      <c r="E3416" s="190"/>
    </row>
    <row r="3417" hidden="1">
      <c r="A3417" s="189"/>
      <c r="B3417" s="189"/>
      <c r="C3417" s="190"/>
      <c r="D3417" s="190"/>
      <c r="E3417" s="190"/>
    </row>
    <row r="3418" hidden="1">
      <c r="A3418" s="189"/>
      <c r="B3418" s="189"/>
      <c r="C3418" s="190"/>
      <c r="D3418" s="190"/>
      <c r="E3418" s="190"/>
    </row>
    <row r="3419" hidden="1">
      <c r="A3419" s="189"/>
      <c r="B3419" s="189"/>
      <c r="C3419" s="190"/>
      <c r="D3419" s="190"/>
      <c r="E3419" s="190"/>
    </row>
    <row r="3420" hidden="1">
      <c r="A3420" s="189"/>
      <c r="B3420" s="189"/>
      <c r="C3420" s="190"/>
      <c r="D3420" s="190"/>
      <c r="E3420" s="190"/>
    </row>
    <row r="3421" hidden="1">
      <c r="A3421" s="189"/>
      <c r="B3421" s="189"/>
      <c r="C3421" s="190"/>
      <c r="D3421" s="190"/>
      <c r="E3421" s="190"/>
    </row>
    <row r="3422" hidden="1">
      <c r="A3422" s="189"/>
      <c r="B3422" s="189"/>
      <c r="C3422" s="190"/>
      <c r="D3422" s="190"/>
      <c r="E3422" s="190"/>
    </row>
    <row r="3423" hidden="1">
      <c r="A3423" s="189"/>
      <c r="B3423" s="189"/>
      <c r="C3423" s="190"/>
      <c r="D3423" s="190"/>
      <c r="E3423" s="190"/>
    </row>
    <row r="3424" hidden="1">
      <c r="A3424" s="189"/>
      <c r="B3424" s="189"/>
      <c r="C3424" s="190"/>
      <c r="D3424" s="190"/>
      <c r="E3424" s="190"/>
    </row>
    <row r="3425" hidden="1">
      <c r="A3425" s="189"/>
      <c r="B3425" s="189"/>
      <c r="C3425" s="190"/>
      <c r="D3425" s="190"/>
      <c r="E3425" s="190"/>
    </row>
    <row r="3426" hidden="1">
      <c r="A3426" s="189"/>
      <c r="B3426" s="189"/>
      <c r="C3426" s="190"/>
      <c r="D3426" s="190"/>
      <c r="E3426" s="190"/>
    </row>
    <row r="3427" hidden="1">
      <c r="A3427" s="189"/>
      <c r="B3427" s="189"/>
      <c r="C3427" s="190"/>
      <c r="D3427" s="190"/>
      <c r="E3427" s="190"/>
    </row>
    <row r="3428" hidden="1">
      <c r="A3428" s="189"/>
      <c r="B3428" s="189"/>
      <c r="C3428" s="190"/>
      <c r="D3428" s="190"/>
      <c r="E3428" s="190"/>
    </row>
    <row r="3429" hidden="1">
      <c r="A3429" s="189"/>
      <c r="B3429" s="189"/>
      <c r="C3429" s="190"/>
      <c r="D3429" s="190"/>
      <c r="E3429" s="190"/>
    </row>
    <row r="3430" hidden="1">
      <c r="A3430" s="189"/>
      <c r="B3430" s="189"/>
      <c r="C3430" s="190"/>
      <c r="D3430" s="190"/>
      <c r="E3430" s="190"/>
    </row>
    <row r="3431" hidden="1">
      <c r="A3431" s="189"/>
      <c r="B3431" s="189"/>
      <c r="C3431" s="190"/>
      <c r="D3431" s="190"/>
      <c r="E3431" s="190"/>
    </row>
    <row r="3432" hidden="1">
      <c r="A3432" s="189"/>
      <c r="B3432" s="189"/>
      <c r="C3432" s="190"/>
      <c r="D3432" s="190"/>
      <c r="E3432" s="190"/>
    </row>
    <row r="3433" hidden="1">
      <c r="A3433" s="189"/>
      <c r="B3433" s="189"/>
      <c r="C3433" s="190"/>
      <c r="D3433" s="190"/>
      <c r="E3433" s="190"/>
    </row>
    <row r="3434" hidden="1">
      <c r="A3434" s="189"/>
      <c r="B3434" s="189"/>
      <c r="C3434" s="190"/>
      <c r="D3434" s="190"/>
      <c r="E3434" s="190"/>
    </row>
    <row r="3435" hidden="1">
      <c r="A3435" s="189"/>
      <c r="B3435" s="189"/>
      <c r="C3435" s="190"/>
      <c r="D3435" s="190"/>
      <c r="E3435" s="190"/>
    </row>
    <row r="3436" hidden="1">
      <c r="A3436" s="189"/>
      <c r="B3436" s="189"/>
      <c r="C3436" s="190"/>
      <c r="D3436" s="190"/>
      <c r="E3436" s="190"/>
    </row>
    <row r="3437" hidden="1">
      <c r="A3437" s="189"/>
      <c r="B3437" s="189"/>
      <c r="C3437" s="190"/>
      <c r="D3437" s="190"/>
      <c r="E3437" s="190"/>
    </row>
    <row r="3438" hidden="1">
      <c r="A3438" s="189"/>
      <c r="B3438" s="189"/>
      <c r="C3438" s="190"/>
      <c r="D3438" s="190"/>
      <c r="E3438" s="190"/>
    </row>
    <row r="3439" hidden="1">
      <c r="A3439" s="189"/>
      <c r="B3439" s="189"/>
      <c r="C3439" s="190"/>
      <c r="D3439" s="190"/>
      <c r="E3439" s="190"/>
    </row>
    <row r="3440" hidden="1">
      <c r="A3440" s="189"/>
      <c r="B3440" s="189"/>
      <c r="C3440" s="190"/>
      <c r="D3440" s="190"/>
      <c r="E3440" s="190"/>
    </row>
    <row r="3441" hidden="1">
      <c r="A3441" s="189"/>
      <c r="B3441" s="189"/>
      <c r="C3441" s="190"/>
      <c r="D3441" s="190"/>
      <c r="E3441" s="190"/>
    </row>
    <row r="3442" hidden="1">
      <c r="A3442" s="189"/>
      <c r="B3442" s="189"/>
      <c r="C3442" s="190"/>
      <c r="D3442" s="190"/>
      <c r="E3442" s="190"/>
    </row>
    <row r="3443" hidden="1">
      <c r="A3443" s="189"/>
      <c r="B3443" s="189"/>
      <c r="C3443" s="190"/>
      <c r="D3443" s="190"/>
      <c r="E3443" s="190"/>
    </row>
    <row r="3444" hidden="1">
      <c r="A3444" s="189"/>
      <c r="B3444" s="189"/>
      <c r="C3444" s="190"/>
      <c r="D3444" s="190"/>
      <c r="E3444" s="190"/>
    </row>
    <row r="3445" hidden="1">
      <c r="A3445" s="189"/>
      <c r="B3445" s="189"/>
      <c r="C3445" s="190"/>
      <c r="D3445" s="190"/>
      <c r="E3445" s="190"/>
    </row>
    <row r="3446" hidden="1">
      <c r="A3446" s="189"/>
      <c r="B3446" s="189"/>
      <c r="C3446" s="190"/>
      <c r="D3446" s="190"/>
      <c r="E3446" s="190"/>
    </row>
    <row r="3447" hidden="1">
      <c r="A3447" s="189"/>
      <c r="B3447" s="189"/>
      <c r="C3447" s="190"/>
      <c r="D3447" s="190"/>
      <c r="E3447" s="190"/>
    </row>
    <row r="3448" hidden="1">
      <c r="A3448" s="189"/>
      <c r="B3448" s="189"/>
      <c r="C3448" s="190"/>
      <c r="D3448" s="190"/>
      <c r="E3448" s="190"/>
    </row>
    <row r="3449" hidden="1">
      <c r="A3449" s="189"/>
      <c r="B3449" s="189"/>
      <c r="C3449" s="190"/>
      <c r="D3449" s="190"/>
      <c r="E3449" s="190"/>
    </row>
    <row r="3450" hidden="1">
      <c r="A3450" s="189"/>
      <c r="B3450" s="189"/>
      <c r="C3450" s="190"/>
      <c r="D3450" s="190"/>
      <c r="E3450" s="190"/>
    </row>
    <row r="3451" hidden="1">
      <c r="A3451" s="189"/>
      <c r="B3451" s="189"/>
      <c r="C3451" s="190"/>
      <c r="D3451" s="190"/>
      <c r="E3451" s="190"/>
    </row>
    <row r="3452" hidden="1">
      <c r="A3452" s="189"/>
      <c r="B3452" s="189"/>
      <c r="C3452" s="190"/>
      <c r="D3452" s="190"/>
      <c r="E3452" s="190"/>
    </row>
    <row r="3453" hidden="1">
      <c r="A3453" s="189"/>
      <c r="B3453" s="189"/>
      <c r="C3453" s="190"/>
      <c r="D3453" s="190"/>
      <c r="E3453" s="190"/>
    </row>
    <row r="3454" hidden="1">
      <c r="A3454" s="189"/>
      <c r="B3454" s="189"/>
      <c r="C3454" s="190"/>
      <c r="D3454" s="190"/>
      <c r="E3454" s="190"/>
    </row>
    <row r="3455" hidden="1">
      <c r="A3455" s="189"/>
      <c r="B3455" s="189"/>
      <c r="C3455" s="190"/>
      <c r="D3455" s="190"/>
      <c r="E3455" s="190"/>
    </row>
    <row r="3456" hidden="1">
      <c r="A3456" s="189"/>
      <c r="B3456" s="189"/>
      <c r="C3456" s="190"/>
      <c r="D3456" s="190"/>
      <c r="E3456" s="190"/>
    </row>
    <row r="3457" hidden="1">
      <c r="A3457" s="189"/>
      <c r="B3457" s="189"/>
      <c r="C3457" s="190"/>
      <c r="D3457" s="190"/>
      <c r="E3457" s="190"/>
    </row>
    <row r="3458" hidden="1">
      <c r="A3458" s="189"/>
      <c r="B3458" s="189"/>
      <c r="C3458" s="190"/>
      <c r="D3458" s="190"/>
      <c r="E3458" s="190"/>
    </row>
    <row r="3459" hidden="1">
      <c r="A3459" s="189"/>
      <c r="B3459" s="189"/>
      <c r="C3459" s="190"/>
      <c r="D3459" s="190"/>
      <c r="E3459" s="190"/>
    </row>
    <row r="3460" hidden="1">
      <c r="A3460" s="189"/>
      <c r="B3460" s="189"/>
      <c r="C3460" s="190"/>
      <c r="D3460" s="190"/>
      <c r="E3460" s="190"/>
    </row>
    <row r="3461" hidden="1">
      <c r="A3461" s="189"/>
      <c r="B3461" s="189"/>
      <c r="C3461" s="190"/>
      <c r="D3461" s="190"/>
      <c r="E3461" s="190"/>
    </row>
    <row r="3462" hidden="1">
      <c r="A3462" s="189"/>
      <c r="B3462" s="189"/>
      <c r="C3462" s="190"/>
      <c r="D3462" s="190"/>
      <c r="E3462" s="190"/>
    </row>
    <row r="3463" hidden="1">
      <c r="A3463" s="189"/>
      <c r="B3463" s="189"/>
      <c r="C3463" s="190"/>
      <c r="D3463" s="190"/>
      <c r="E3463" s="190"/>
    </row>
    <row r="3464" hidden="1">
      <c r="A3464" s="189"/>
      <c r="B3464" s="189"/>
      <c r="C3464" s="190"/>
      <c r="D3464" s="190"/>
      <c r="E3464" s="190"/>
    </row>
    <row r="3465" hidden="1">
      <c r="A3465" s="189"/>
      <c r="B3465" s="189"/>
      <c r="C3465" s="190"/>
      <c r="D3465" s="190"/>
      <c r="E3465" s="190"/>
    </row>
    <row r="3466" hidden="1">
      <c r="A3466" s="189"/>
      <c r="B3466" s="189"/>
      <c r="C3466" s="190"/>
      <c r="D3466" s="190"/>
      <c r="E3466" s="190"/>
    </row>
    <row r="3467" hidden="1">
      <c r="A3467" s="189"/>
      <c r="B3467" s="189"/>
      <c r="C3467" s="190"/>
      <c r="D3467" s="190"/>
      <c r="E3467" s="190"/>
    </row>
    <row r="3468" hidden="1">
      <c r="A3468" s="189"/>
      <c r="B3468" s="189"/>
      <c r="C3468" s="190"/>
      <c r="D3468" s="190"/>
      <c r="E3468" s="190"/>
    </row>
    <row r="3469" hidden="1">
      <c r="A3469" s="189"/>
      <c r="B3469" s="189"/>
      <c r="C3469" s="190"/>
      <c r="D3469" s="190"/>
      <c r="E3469" s="190"/>
    </row>
    <row r="3470" hidden="1">
      <c r="A3470" s="189"/>
      <c r="B3470" s="189"/>
      <c r="C3470" s="190"/>
      <c r="D3470" s="190"/>
      <c r="E3470" s="190"/>
    </row>
    <row r="3471" hidden="1">
      <c r="A3471" s="189"/>
      <c r="B3471" s="189"/>
      <c r="C3471" s="190"/>
      <c r="D3471" s="190"/>
      <c r="E3471" s="190"/>
    </row>
    <row r="3472" hidden="1">
      <c r="A3472" s="189"/>
      <c r="B3472" s="189"/>
      <c r="C3472" s="190"/>
      <c r="D3472" s="190"/>
      <c r="E3472" s="190"/>
    </row>
    <row r="3473" hidden="1">
      <c r="A3473" s="189"/>
      <c r="B3473" s="189"/>
      <c r="C3473" s="190"/>
      <c r="D3473" s="190"/>
      <c r="E3473" s="190"/>
    </row>
    <row r="3474" hidden="1">
      <c r="A3474" s="189"/>
      <c r="B3474" s="189"/>
      <c r="C3474" s="190"/>
      <c r="D3474" s="190"/>
      <c r="E3474" s="190"/>
    </row>
    <row r="3475" hidden="1">
      <c r="A3475" s="189"/>
      <c r="B3475" s="189"/>
      <c r="C3475" s="190"/>
      <c r="D3475" s="190"/>
      <c r="E3475" s="190"/>
    </row>
    <row r="3476" hidden="1">
      <c r="A3476" s="189"/>
      <c r="B3476" s="189"/>
      <c r="C3476" s="190"/>
      <c r="D3476" s="190"/>
      <c r="E3476" s="190"/>
    </row>
    <row r="3477" hidden="1">
      <c r="A3477" s="189"/>
      <c r="B3477" s="189"/>
      <c r="C3477" s="190"/>
      <c r="D3477" s="190"/>
      <c r="E3477" s="190"/>
    </row>
    <row r="3478" hidden="1">
      <c r="A3478" s="189"/>
      <c r="B3478" s="189"/>
      <c r="C3478" s="190"/>
      <c r="D3478" s="190"/>
      <c r="E3478" s="190"/>
    </row>
    <row r="3479" hidden="1">
      <c r="A3479" s="189"/>
      <c r="B3479" s="189"/>
      <c r="C3479" s="190"/>
      <c r="D3479" s="190"/>
      <c r="E3479" s="190"/>
    </row>
    <row r="3480" hidden="1">
      <c r="A3480" s="189"/>
      <c r="B3480" s="189"/>
      <c r="C3480" s="190"/>
      <c r="D3480" s="190"/>
      <c r="E3480" s="190"/>
    </row>
    <row r="3481" hidden="1">
      <c r="A3481" s="189"/>
      <c r="B3481" s="189"/>
      <c r="C3481" s="190"/>
      <c r="D3481" s="190"/>
      <c r="E3481" s="190"/>
    </row>
    <row r="3482" hidden="1">
      <c r="A3482" s="189"/>
      <c r="B3482" s="189"/>
      <c r="C3482" s="190"/>
      <c r="D3482" s="190"/>
      <c r="E3482" s="190"/>
    </row>
    <row r="3483" hidden="1">
      <c r="A3483" s="189"/>
      <c r="B3483" s="189"/>
      <c r="C3483" s="190"/>
      <c r="D3483" s="190"/>
      <c r="E3483" s="190"/>
    </row>
    <row r="3484" hidden="1">
      <c r="A3484" s="189"/>
      <c r="B3484" s="189"/>
      <c r="C3484" s="190"/>
      <c r="D3484" s="190"/>
      <c r="E3484" s="190"/>
    </row>
    <row r="3485" hidden="1">
      <c r="A3485" s="189"/>
      <c r="B3485" s="189"/>
      <c r="C3485" s="190"/>
      <c r="D3485" s="190"/>
      <c r="E3485" s="190"/>
    </row>
    <row r="3486" hidden="1">
      <c r="A3486" s="189"/>
      <c r="B3486" s="189"/>
      <c r="C3486" s="190"/>
      <c r="D3486" s="190"/>
      <c r="E3486" s="190"/>
    </row>
    <row r="3487" hidden="1">
      <c r="A3487" s="189"/>
      <c r="B3487" s="189"/>
      <c r="C3487" s="190"/>
      <c r="D3487" s="190"/>
      <c r="E3487" s="190"/>
    </row>
    <row r="3488" hidden="1">
      <c r="A3488" s="189"/>
      <c r="B3488" s="189"/>
      <c r="C3488" s="190"/>
      <c r="D3488" s="190"/>
      <c r="E3488" s="190"/>
    </row>
    <row r="3489" hidden="1">
      <c r="A3489" s="189"/>
      <c r="B3489" s="189"/>
      <c r="C3489" s="190"/>
      <c r="D3489" s="190"/>
      <c r="E3489" s="190"/>
    </row>
    <row r="3490" hidden="1">
      <c r="A3490" s="189"/>
      <c r="B3490" s="189"/>
      <c r="C3490" s="190"/>
      <c r="D3490" s="190"/>
      <c r="E3490" s="190"/>
    </row>
    <row r="3491" hidden="1">
      <c r="A3491" s="189"/>
      <c r="B3491" s="189"/>
      <c r="C3491" s="190"/>
      <c r="D3491" s="190"/>
      <c r="E3491" s="190"/>
    </row>
    <row r="3492" hidden="1">
      <c r="A3492" s="189"/>
      <c r="B3492" s="189"/>
      <c r="C3492" s="190"/>
      <c r="D3492" s="190"/>
      <c r="E3492" s="190"/>
    </row>
    <row r="3493" hidden="1">
      <c r="A3493" s="189"/>
      <c r="B3493" s="189"/>
      <c r="C3493" s="190"/>
      <c r="D3493" s="190"/>
      <c r="E3493" s="190"/>
    </row>
    <row r="3494" hidden="1">
      <c r="A3494" s="189"/>
      <c r="B3494" s="189"/>
      <c r="C3494" s="190"/>
      <c r="D3494" s="190"/>
      <c r="E3494" s="190"/>
    </row>
    <row r="3495" hidden="1">
      <c r="A3495" s="189"/>
      <c r="B3495" s="189"/>
      <c r="C3495" s="190"/>
      <c r="D3495" s="190"/>
      <c r="E3495" s="190"/>
    </row>
    <row r="3496" hidden="1">
      <c r="A3496" s="189"/>
      <c r="B3496" s="189"/>
      <c r="C3496" s="190"/>
      <c r="D3496" s="190"/>
      <c r="E3496" s="190"/>
    </row>
    <row r="3497" hidden="1">
      <c r="A3497" s="189"/>
      <c r="B3497" s="189"/>
      <c r="C3497" s="190"/>
      <c r="D3497" s="190"/>
      <c r="E3497" s="190"/>
    </row>
    <row r="3498" hidden="1">
      <c r="A3498" s="189"/>
      <c r="B3498" s="189"/>
      <c r="C3498" s="190"/>
      <c r="D3498" s="190"/>
      <c r="E3498" s="190"/>
    </row>
    <row r="3499" hidden="1">
      <c r="A3499" s="189"/>
      <c r="B3499" s="189"/>
      <c r="C3499" s="190"/>
      <c r="D3499" s="190"/>
      <c r="E3499" s="190"/>
    </row>
    <row r="3500" hidden="1">
      <c r="A3500" s="189"/>
      <c r="B3500" s="189"/>
      <c r="C3500" s="190"/>
      <c r="D3500" s="190"/>
      <c r="E3500" s="190"/>
    </row>
    <row r="3501" hidden="1">
      <c r="A3501" s="189"/>
      <c r="B3501" s="189"/>
      <c r="C3501" s="190"/>
      <c r="D3501" s="190"/>
      <c r="E3501" s="190"/>
    </row>
    <row r="3502" hidden="1">
      <c r="A3502" s="189"/>
      <c r="B3502" s="189"/>
      <c r="C3502" s="190"/>
      <c r="D3502" s="190"/>
      <c r="E3502" s="190"/>
    </row>
    <row r="3503" hidden="1">
      <c r="A3503" s="189"/>
      <c r="B3503" s="189"/>
      <c r="C3503" s="190"/>
      <c r="D3503" s="190"/>
      <c r="E3503" s="190"/>
    </row>
    <row r="3504" hidden="1">
      <c r="A3504" s="189"/>
      <c r="B3504" s="189"/>
      <c r="C3504" s="190"/>
      <c r="D3504" s="190"/>
      <c r="E3504" s="190"/>
    </row>
    <row r="3505" hidden="1">
      <c r="A3505" s="189"/>
      <c r="B3505" s="189"/>
      <c r="C3505" s="190"/>
      <c r="D3505" s="190"/>
      <c r="E3505" s="190"/>
    </row>
    <row r="3506" hidden="1">
      <c r="A3506" s="189"/>
      <c r="B3506" s="189"/>
      <c r="C3506" s="190"/>
      <c r="D3506" s="190"/>
      <c r="E3506" s="190"/>
    </row>
    <row r="3507" hidden="1">
      <c r="A3507" s="189"/>
      <c r="B3507" s="189"/>
      <c r="C3507" s="190"/>
      <c r="D3507" s="190"/>
      <c r="E3507" s="190"/>
    </row>
    <row r="3508" hidden="1">
      <c r="A3508" s="189"/>
      <c r="B3508" s="189"/>
      <c r="C3508" s="190"/>
      <c r="D3508" s="190"/>
      <c r="E3508" s="190"/>
    </row>
    <row r="3509" hidden="1">
      <c r="A3509" s="189"/>
      <c r="B3509" s="189"/>
      <c r="C3509" s="190"/>
      <c r="D3509" s="190"/>
      <c r="E3509" s="190"/>
    </row>
    <row r="3510" hidden="1">
      <c r="A3510" s="189"/>
      <c r="B3510" s="189"/>
      <c r="C3510" s="190"/>
      <c r="D3510" s="190"/>
      <c r="E3510" s="190"/>
    </row>
    <row r="3511" hidden="1">
      <c r="A3511" s="189"/>
      <c r="B3511" s="189"/>
      <c r="C3511" s="190"/>
      <c r="D3511" s="190"/>
      <c r="E3511" s="190"/>
    </row>
    <row r="3512" hidden="1">
      <c r="A3512" s="189"/>
      <c r="B3512" s="189"/>
      <c r="C3512" s="190"/>
      <c r="D3512" s="190"/>
      <c r="E3512" s="190"/>
    </row>
    <row r="3513" hidden="1">
      <c r="A3513" s="189"/>
      <c r="B3513" s="189"/>
      <c r="C3513" s="190"/>
      <c r="D3513" s="190"/>
      <c r="E3513" s="190"/>
    </row>
    <row r="3514" hidden="1">
      <c r="A3514" s="189"/>
      <c r="B3514" s="189"/>
      <c r="C3514" s="190"/>
      <c r="D3514" s="190"/>
      <c r="E3514" s="190"/>
    </row>
    <row r="3515" hidden="1">
      <c r="A3515" s="189"/>
      <c r="B3515" s="189"/>
      <c r="C3515" s="190"/>
      <c r="D3515" s="190"/>
      <c r="E3515" s="190"/>
    </row>
    <row r="3516" hidden="1">
      <c r="A3516" s="189"/>
      <c r="B3516" s="189"/>
      <c r="C3516" s="190"/>
      <c r="D3516" s="190"/>
      <c r="E3516" s="190"/>
    </row>
    <row r="3517" hidden="1">
      <c r="A3517" s="189"/>
      <c r="B3517" s="189"/>
      <c r="C3517" s="190"/>
      <c r="D3517" s="190"/>
      <c r="E3517" s="190"/>
    </row>
    <row r="3518" hidden="1">
      <c r="A3518" s="189"/>
      <c r="B3518" s="189"/>
      <c r="C3518" s="190"/>
      <c r="D3518" s="190"/>
      <c r="E3518" s="190"/>
    </row>
    <row r="3519" hidden="1">
      <c r="A3519" s="189"/>
      <c r="B3519" s="189"/>
      <c r="C3519" s="190"/>
      <c r="D3519" s="190"/>
      <c r="E3519" s="190"/>
    </row>
    <row r="3520" hidden="1">
      <c r="A3520" s="189"/>
      <c r="B3520" s="189"/>
      <c r="C3520" s="190"/>
      <c r="D3520" s="190"/>
      <c r="E3520" s="190"/>
    </row>
    <row r="3521" hidden="1">
      <c r="A3521" s="189"/>
      <c r="B3521" s="189"/>
      <c r="C3521" s="190"/>
      <c r="D3521" s="190"/>
      <c r="E3521" s="190"/>
    </row>
    <row r="3522" hidden="1">
      <c r="A3522" s="189"/>
      <c r="B3522" s="189"/>
      <c r="C3522" s="190"/>
      <c r="D3522" s="190"/>
      <c r="E3522" s="190"/>
    </row>
    <row r="3523" hidden="1">
      <c r="A3523" s="189"/>
      <c r="B3523" s="189"/>
      <c r="C3523" s="190"/>
      <c r="D3523" s="190"/>
      <c r="E3523" s="190"/>
    </row>
    <row r="3524" hidden="1">
      <c r="A3524" s="189"/>
      <c r="B3524" s="189"/>
      <c r="C3524" s="190"/>
      <c r="D3524" s="190"/>
      <c r="E3524" s="190"/>
    </row>
    <row r="3525" hidden="1">
      <c r="A3525" s="189"/>
      <c r="B3525" s="189"/>
      <c r="C3525" s="190"/>
      <c r="D3525" s="190"/>
      <c r="E3525" s="190"/>
    </row>
    <row r="3526" hidden="1">
      <c r="A3526" s="189"/>
      <c r="B3526" s="189"/>
      <c r="C3526" s="190"/>
      <c r="D3526" s="190"/>
      <c r="E3526" s="190"/>
    </row>
    <row r="3527" hidden="1">
      <c r="A3527" s="189"/>
      <c r="B3527" s="189"/>
      <c r="C3527" s="190"/>
      <c r="D3527" s="190"/>
      <c r="E3527" s="190"/>
    </row>
    <row r="3528" hidden="1">
      <c r="A3528" s="189"/>
      <c r="B3528" s="189"/>
      <c r="C3528" s="190"/>
      <c r="D3528" s="190"/>
      <c r="E3528" s="190"/>
    </row>
    <row r="3529" hidden="1">
      <c r="A3529" s="189"/>
      <c r="B3529" s="189"/>
      <c r="C3529" s="190"/>
      <c r="D3529" s="190"/>
      <c r="E3529" s="190"/>
    </row>
    <row r="3530" hidden="1">
      <c r="A3530" s="189"/>
      <c r="B3530" s="189"/>
      <c r="C3530" s="190"/>
      <c r="D3530" s="190"/>
      <c r="E3530" s="190"/>
    </row>
    <row r="3531" hidden="1">
      <c r="A3531" s="189"/>
      <c r="B3531" s="189"/>
      <c r="C3531" s="190"/>
      <c r="D3531" s="190"/>
      <c r="E3531" s="190"/>
    </row>
    <row r="3532" hidden="1">
      <c r="A3532" s="189"/>
      <c r="B3532" s="189"/>
      <c r="C3532" s="190"/>
      <c r="D3532" s="190"/>
      <c r="E3532" s="190"/>
    </row>
    <row r="3533" hidden="1">
      <c r="A3533" s="189"/>
      <c r="B3533" s="189"/>
      <c r="C3533" s="190"/>
      <c r="D3533" s="190"/>
      <c r="E3533" s="190"/>
    </row>
    <row r="3534" hidden="1">
      <c r="A3534" s="189"/>
      <c r="B3534" s="189"/>
      <c r="C3534" s="190"/>
      <c r="D3534" s="190"/>
      <c r="E3534" s="190"/>
    </row>
    <row r="3535" hidden="1">
      <c r="A3535" s="189"/>
      <c r="B3535" s="189"/>
      <c r="C3535" s="190"/>
      <c r="D3535" s="190"/>
      <c r="E3535" s="190"/>
    </row>
    <row r="3536" hidden="1">
      <c r="A3536" s="189"/>
      <c r="B3536" s="189"/>
      <c r="C3536" s="190"/>
      <c r="D3536" s="190"/>
      <c r="E3536" s="190"/>
    </row>
    <row r="3537" hidden="1">
      <c r="A3537" s="189"/>
      <c r="B3537" s="189"/>
      <c r="C3537" s="190"/>
      <c r="D3537" s="190"/>
      <c r="E3537" s="190"/>
    </row>
    <row r="3538" hidden="1">
      <c r="A3538" s="189"/>
      <c r="B3538" s="189"/>
      <c r="C3538" s="190"/>
      <c r="D3538" s="190"/>
      <c r="E3538" s="190"/>
    </row>
    <row r="3539" hidden="1">
      <c r="A3539" s="189"/>
      <c r="B3539" s="189"/>
      <c r="C3539" s="190"/>
      <c r="D3539" s="190"/>
      <c r="E3539" s="190"/>
    </row>
    <row r="3540" hidden="1">
      <c r="A3540" s="189"/>
      <c r="B3540" s="189"/>
      <c r="C3540" s="190"/>
      <c r="D3540" s="190"/>
      <c r="E3540" s="190"/>
    </row>
    <row r="3541" hidden="1">
      <c r="A3541" s="189"/>
      <c r="B3541" s="189"/>
      <c r="C3541" s="190"/>
      <c r="D3541" s="190"/>
      <c r="E3541" s="190"/>
    </row>
    <row r="3542" hidden="1">
      <c r="A3542" s="189"/>
      <c r="B3542" s="189"/>
      <c r="C3542" s="190"/>
      <c r="D3542" s="190"/>
      <c r="E3542" s="190"/>
    </row>
    <row r="3543" hidden="1">
      <c r="A3543" s="189"/>
      <c r="B3543" s="189"/>
      <c r="C3543" s="190"/>
      <c r="D3543" s="190"/>
      <c r="E3543" s="190"/>
    </row>
    <row r="3544" hidden="1">
      <c r="A3544" s="189"/>
      <c r="B3544" s="189"/>
      <c r="C3544" s="190"/>
      <c r="D3544" s="190"/>
      <c r="E3544" s="190"/>
    </row>
    <row r="3545" hidden="1">
      <c r="A3545" s="189"/>
      <c r="B3545" s="189"/>
      <c r="C3545" s="190"/>
      <c r="D3545" s="190"/>
      <c r="E3545" s="190"/>
    </row>
    <row r="3546" hidden="1">
      <c r="A3546" s="189"/>
      <c r="B3546" s="189"/>
      <c r="C3546" s="190"/>
      <c r="D3546" s="190"/>
      <c r="E3546" s="190"/>
    </row>
    <row r="3547" hidden="1">
      <c r="A3547" s="189"/>
      <c r="B3547" s="189"/>
      <c r="C3547" s="190"/>
      <c r="D3547" s="190"/>
      <c r="E3547" s="190"/>
    </row>
    <row r="3548" hidden="1">
      <c r="A3548" s="189"/>
      <c r="B3548" s="189"/>
      <c r="C3548" s="190"/>
      <c r="D3548" s="190"/>
      <c r="E3548" s="190"/>
    </row>
    <row r="3549" hidden="1">
      <c r="A3549" s="189"/>
      <c r="B3549" s="189"/>
      <c r="C3549" s="190"/>
      <c r="D3549" s="190"/>
      <c r="E3549" s="190"/>
    </row>
    <row r="3550" hidden="1">
      <c r="A3550" s="189"/>
      <c r="B3550" s="189"/>
      <c r="C3550" s="190"/>
      <c r="D3550" s="190"/>
      <c r="E3550" s="190"/>
    </row>
    <row r="3551" hidden="1">
      <c r="A3551" s="189"/>
      <c r="B3551" s="189"/>
      <c r="C3551" s="190"/>
      <c r="D3551" s="190"/>
      <c r="E3551" s="190"/>
    </row>
    <row r="3552" hidden="1">
      <c r="A3552" s="189"/>
      <c r="B3552" s="189"/>
      <c r="C3552" s="190"/>
      <c r="D3552" s="190"/>
      <c r="E3552" s="190"/>
    </row>
    <row r="3553" hidden="1">
      <c r="A3553" s="189"/>
      <c r="B3553" s="189"/>
      <c r="C3553" s="190"/>
      <c r="D3553" s="190"/>
      <c r="E3553" s="190"/>
    </row>
    <row r="3554" hidden="1">
      <c r="A3554" s="189"/>
      <c r="B3554" s="189"/>
      <c r="C3554" s="190"/>
      <c r="D3554" s="190"/>
      <c r="E3554" s="190"/>
    </row>
    <row r="3555" hidden="1">
      <c r="A3555" s="189"/>
      <c r="B3555" s="189"/>
      <c r="C3555" s="190"/>
      <c r="D3555" s="190"/>
      <c r="E3555" s="190"/>
    </row>
    <row r="3556" hidden="1">
      <c r="A3556" s="189"/>
      <c r="B3556" s="189"/>
      <c r="C3556" s="190"/>
      <c r="D3556" s="190"/>
      <c r="E3556" s="190"/>
    </row>
    <row r="3557" hidden="1">
      <c r="A3557" s="189"/>
      <c r="B3557" s="189"/>
      <c r="C3557" s="190"/>
      <c r="D3557" s="190"/>
      <c r="E3557" s="190"/>
    </row>
    <row r="3558" hidden="1">
      <c r="A3558" s="189"/>
      <c r="B3558" s="189"/>
      <c r="C3558" s="190"/>
      <c r="D3558" s="190"/>
      <c r="E3558" s="190"/>
    </row>
    <row r="3559" hidden="1">
      <c r="A3559" s="189"/>
      <c r="B3559" s="189"/>
      <c r="C3559" s="190"/>
      <c r="D3559" s="190"/>
      <c r="E3559" s="190"/>
    </row>
    <row r="3560" hidden="1">
      <c r="A3560" s="189"/>
      <c r="B3560" s="189"/>
      <c r="C3560" s="190"/>
      <c r="D3560" s="190"/>
      <c r="E3560" s="190"/>
    </row>
    <row r="3561" hidden="1">
      <c r="A3561" s="189"/>
      <c r="B3561" s="189"/>
      <c r="C3561" s="190"/>
      <c r="D3561" s="190"/>
      <c r="E3561" s="190"/>
    </row>
    <row r="3562" hidden="1">
      <c r="A3562" s="189"/>
      <c r="B3562" s="189"/>
      <c r="C3562" s="190"/>
      <c r="D3562" s="190"/>
      <c r="E3562" s="190"/>
    </row>
    <row r="3563" hidden="1">
      <c r="A3563" s="189"/>
      <c r="B3563" s="189"/>
      <c r="C3563" s="190"/>
      <c r="D3563" s="190"/>
      <c r="E3563" s="190"/>
    </row>
    <row r="3564" hidden="1">
      <c r="A3564" s="189"/>
      <c r="B3564" s="189"/>
      <c r="C3564" s="190"/>
      <c r="D3564" s="190"/>
      <c r="E3564" s="190"/>
    </row>
    <row r="3565" hidden="1">
      <c r="A3565" s="189"/>
      <c r="B3565" s="189"/>
      <c r="C3565" s="190"/>
      <c r="D3565" s="190"/>
      <c r="E3565" s="190"/>
    </row>
    <row r="3566" hidden="1">
      <c r="A3566" s="189"/>
      <c r="B3566" s="189"/>
      <c r="C3566" s="190"/>
      <c r="D3566" s="190"/>
      <c r="E3566" s="190"/>
    </row>
    <row r="3567" hidden="1">
      <c r="A3567" s="189"/>
      <c r="B3567" s="189"/>
      <c r="C3567" s="190"/>
      <c r="D3567" s="190"/>
      <c r="E3567" s="190"/>
    </row>
    <row r="3568" hidden="1">
      <c r="A3568" s="189"/>
      <c r="B3568" s="189"/>
      <c r="C3568" s="190"/>
      <c r="D3568" s="190"/>
      <c r="E3568" s="190"/>
    </row>
    <row r="3569" hidden="1">
      <c r="A3569" s="189"/>
      <c r="B3569" s="189"/>
      <c r="C3569" s="190"/>
      <c r="D3569" s="190"/>
      <c r="E3569" s="190"/>
    </row>
    <row r="3570" hidden="1">
      <c r="A3570" s="189"/>
      <c r="B3570" s="189"/>
      <c r="C3570" s="190"/>
      <c r="D3570" s="190"/>
      <c r="E3570" s="190"/>
    </row>
    <row r="3571" hidden="1">
      <c r="A3571" s="189"/>
      <c r="B3571" s="189"/>
      <c r="C3571" s="190"/>
      <c r="D3571" s="190"/>
      <c r="E3571" s="190"/>
    </row>
    <row r="3572" hidden="1">
      <c r="A3572" s="189"/>
      <c r="B3572" s="189"/>
      <c r="C3572" s="190"/>
      <c r="D3572" s="190"/>
      <c r="E3572" s="190"/>
    </row>
    <row r="3573" hidden="1">
      <c r="A3573" s="189"/>
      <c r="B3573" s="189"/>
      <c r="C3573" s="190"/>
      <c r="D3573" s="190"/>
      <c r="E3573" s="190"/>
    </row>
    <row r="3574" hidden="1">
      <c r="A3574" s="189"/>
      <c r="B3574" s="189"/>
      <c r="C3574" s="190"/>
      <c r="D3574" s="190"/>
      <c r="E3574" s="190"/>
    </row>
    <row r="3575" hidden="1">
      <c r="A3575" s="189"/>
      <c r="B3575" s="189"/>
      <c r="C3575" s="190"/>
      <c r="D3575" s="190"/>
      <c r="E3575" s="190"/>
    </row>
    <row r="3576" hidden="1">
      <c r="A3576" s="189"/>
      <c r="B3576" s="189"/>
      <c r="C3576" s="190"/>
      <c r="D3576" s="190"/>
      <c r="E3576" s="190"/>
    </row>
    <row r="3577" hidden="1">
      <c r="A3577" s="189"/>
      <c r="B3577" s="189"/>
      <c r="C3577" s="190"/>
      <c r="D3577" s="190"/>
      <c r="E3577" s="190"/>
    </row>
    <row r="3578" hidden="1">
      <c r="A3578" s="189"/>
      <c r="B3578" s="189"/>
      <c r="C3578" s="190"/>
      <c r="D3578" s="190"/>
      <c r="E3578" s="190"/>
    </row>
    <row r="3579" hidden="1">
      <c r="A3579" s="189"/>
      <c r="B3579" s="189"/>
      <c r="C3579" s="190"/>
      <c r="D3579" s="190"/>
      <c r="E3579" s="190"/>
    </row>
    <row r="3580" hidden="1">
      <c r="A3580" s="189"/>
      <c r="B3580" s="189"/>
      <c r="C3580" s="190"/>
      <c r="D3580" s="190"/>
      <c r="E3580" s="190"/>
    </row>
    <row r="3581" hidden="1">
      <c r="A3581" s="189"/>
      <c r="B3581" s="189"/>
      <c r="C3581" s="190"/>
      <c r="D3581" s="190"/>
      <c r="E3581" s="190"/>
    </row>
    <row r="3582" hidden="1">
      <c r="A3582" s="189"/>
      <c r="B3582" s="189"/>
      <c r="C3582" s="190"/>
      <c r="D3582" s="190"/>
      <c r="E3582" s="190"/>
    </row>
    <row r="3583" hidden="1">
      <c r="A3583" s="189"/>
      <c r="B3583" s="189"/>
      <c r="C3583" s="190"/>
      <c r="D3583" s="190"/>
      <c r="E3583" s="190"/>
    </row>
    <row r="3584" hidden="1">
      <c r="A3584" s="189"/>
      <c r="B3584" s="189"/>
      <c r="C3584" s="190"/>
      <c r="D3584" s="190"/>
      <c r="E3584" s="190"/>
    </row>
    <row r="3585" hidden="1">
      <c r="A3585" s="189"/>
      <c r="B3585" s="189"/>
      <c r="C3585" s="190"/>
      <c r="D3585" s="190"/>
      <c r="E3585" s="190"/>
    </row>
    <row r="3586" hidden="1">
      <c r="A3586" s="189"/>
      <c r="B3586" s="189"/>
      <c r="C3586" s="190"/>
      <c r="D3586" s="190"/>
      <c r="E3586" s="190"/>
    </row>
    <row r="3587" hidden="1">
      <c r="A3587" s="189"/>
      <c r="B3587" s="189"/>
      <c r="C3587" s="190"/>
      <c r="D3587" s="190"/>
      <c r="E3587" s="190"/>
    </row>
    <row r="3588" hidden="1">
      <c r="A3588" s="189"/>
      <c r="B3588" s="189"/>
      <c r="C3588" s="190"/>
      <c r="D3588" s="190"/>
      <c r="E3588" s="190"/>
    </row>
    <row r="3589" hidden="1">
      <c r="A3589" s="189"/>
      <c r="B3589" s="189"/>
      <c r="C3589" s="190"/>
      <c r="D3589" s="190"/>
      <c r="E3589" s="190"/>
    </row>
    <row r="3590" hidden="1">
      <c r="A3590" s="189"/>
      <c r="B3590" s="189"/>
      <c r="C3590" s="190"/>
      <c r="D3590" s="190"/>
      <c r="E3590" s="190"/>
    </row>
    <row r="3591" hidden="1">
      <c r="A3591" s="189"/>
      <c r="B3591" s="189"/>
      <c r="C3591" s="190"/>
      <c r="D3591" s="190"/>
      <c r="E3591" s="190"/>
    </row>
    <row r="3592" hidden="1">
      <c r="A3592" s="189"/>
      <c r="B3592" s="189"/>
      <c r="C3592" s="190"/>
      <c r="D3592" s="190"/>
      <c r="E3592" s="190"/>
    </row>
    <row r="3593" hidden="1">
      <c r="A3593" s="189"/>
      <c r="B3593" s="189"/>
      <c r="C3593" s="190"/>
      <c r="D3593" s="190"/>
      <c r="E3593" s="190"/>
    </row>
    <row r="3594" hidden="1">
      <c r="A3594" s="189"/>
      <c r="B3594" s="189"/>
      <c r="C3594" s="190"/>
      <c r="D3594" s="190"/>
      <c r="E3594" s="190"/>
    </row>
    <row r="3595" hidden="1">
      <c r="A3595" s="189"/>
      <c r="B3595" s="189"/>
      <c r="C3595" s="190"/>
      <c r="D3595" s="190"/>
      <c r="E3595" s="190"/>
    </row>
    <row r="3596" hidden="1">
      <c r="A3596" s="189"/>
      <c r="B3596" s="189"/>
      <c r="C3596" s="190"/>
      <c r="D3596" s="190"/>
      <c r="E3596" s="190"/>
    </row>
    <row r="3597" hidden="1">
      <c r="A3597" s="189"/>
      <c r="B3597" s="189"/>
      <c r="C3597" s="190"/>
      <c r="D3597" s="190"/>
      <c r="E3597" s="190"/>
    </row>
    <row r="3598" hidden="1">
      <c r="A3598" s="189"/>
      <c r="B3598" s="189"/>
      <c r="C3598" s="190"/>
      <c r="D3598" s="190"/>
      <c r="E3598" s="190"/>
    </row>
    <row r="3599" hidden="1">
      <c r="A3599" s="189"/>
      <c r="B3599" s="189"/>
      <c r="C3599" s="190"/>
      <c r="D3599" s="190"/>
      <c r="E3599" s="190"/>
    </row>
    <row r="3600" hidden="1">
      <c r="A3600" s="189"/>
      <c r="B3600" s="189"/>
      <c r="C3600" s="190"/>
      <c r="D3600" s="190"/>
      <c r="E3600" s="190"/>
    </row>
    <row r="3601" hidden="1">
      <c r="A3601" s="189"/>
      <c r="B3601" s="189"/>
      <c r="C3601" s="190"/>
      <c r="D3601" s="190"/>
      <c r="E3601" s="190"/>
    </row>
    <row r="3602" hidden="1">
      <c r="A3602" s="189"/>
      <c r="B3602" s="189"/>
      <c r="C3602" s="190"/>
      <c r="D3602" s="190"/>
      <c r="E3602" s="190"/>
    </row>
    <row r="3603" hidden="1">
      <c r="A3603" s="189"/>
      <c r="B3603" s="189"/>
      <c r="C3603" s="190"/>
      <c r="D3603" s="190"/>
      <c r="E3603" s="190"/>
    </row>
    <row r="3604" hidden="1">
      <c r="A3604" s="189"/>
      <c r="B3604" s="189"/>
      <c r="C3604" s="190"/>
      <c r="D3604" s="190"/>
      <c r="E3604" s="190"/>
    </row>
    <row r="3605" hidden="1">
      <c r="A3605" s="189"/>
      <c r="B3605" s="189"/>
      <c r="C3605" s="190"/>
      <c r="D3605" s="190"/>
      <c r="E3605" s="190"/>
    </row>
    <row r="3606" hidden="1">
      <c r="A3606" s="189"/>
      <c r="B3606" s="189"/>
      <c r="C3606" s="190"/>
      <c r="D3606" s="190"/>
      <c r="E3606" s="190"/>
    </row>
    <row r="3607" hidden="1">
      <c r="A3607" s="189"/>
      <c r="B3607" s="189"/>
      <c r="C3607" s="190"/>
      <c r="D3607" s="190"/>
      <c r="E3607" s="190"/>
    </row>
    <row r="3608" hidden="1">
      <c r="A3608" s="189"/>
      <c r="B3608" s="189"/>
      <c r="C3608" s="190"/>
      <c r="D3608" s="190"/>
      <c r="E3608" s="190"/>
    </row>
    <row r="3609" hidden="1">
      <c r="A3609" s="189"/>
      <c r="B3609" s="189"/>
      <c r="C3609" s="190"/>
      <c r="D3609" s="190"/>
      <c r="E3609" s="190"/>
    </row>
    <row r="3610" hidden="1">
      <c r="A3610" s="189"/>
      <c r="B3610" s="189"/>
      <c r="C3610" s="190"/>
      <c r="D3610" s="190"/>
      <c r="E3610" s="190"/>
    </row>
    <row r="3611" hidden="1">
      <c r="A3611" s="189"/>
      <c r="B3611" s="189"/>
      <c r="C3611" s="190"/>
      <c r="D3611" s="190"/>
      <c r="E3611" s="190"/>
    </row>
    <row r="3612" hidden="1">
      <c r="A3612" s="189"/>
      <c r="B3612" s="189"/>
      <c r="C3612" s="190"/>
      <c r="D3612" s="190"/>
      <c r="E3612" s="190"/>
    </row>
    <row r="3613" hidden="1">
      <c r="A3613" s="189"/>
      <c r="B3613" s="189"/>
      <c r="C3613" s="190"/>
      <c r="D3613" s="190"/>
      <c r="E3613" s="190"/>
    </row>
    <row r="3614" hidden="1">
      <c r="A3614" s="189"/>
      <c r="B3614" s="189"/>
      <c r="C3614" s="190"/>
      <c r="D3614" s="190"/>
      <c r="E3614" s="190"/>
    </row>
    <row r="3615" hidden="1">
      <c r="A3615" s="189"/>
      <c r="B3615" s="189"/>
      <c r="C3615" s="190"/>
      <c r="D3615" s="190"/>
      <c r="E3615" s="190"/>
    </row>
    <row r="3616" hidden="1">
      <c r="A3616" s="189"/>
      <c r="B3616" s="189"/>
      <c r="C3616" s="190"/>
      <c r="D3616" s="190"/>
      <c r="E3616" s="190"/>
    </row>
    <row r="3617" hidden="1">
      <c r="A3617" s="189"/>
      <c r="B3617" s="189"/>
      <c r="C3617" s="190"/>
      <c r="D3617" s="190"/>
      <c r="E3617" s="190"/>
    </row>
    <row r="3618" hidden="1">
      <c r="A3618" s="189"/>
      <c r="B3618" s="189"/>
      <c r="C3618" s="190"/>
      <c r="D3618" s="190"/>
      <c r="E3618" s="190"/>
    </row>
    <row r="3619" hidden="1">
      <c r="A3619" s="189"/>
      <c r="B3619" s="189"/>
      <c r="C3619" s="190"/>
      <c r="D3619" s="190"/>
      <c r="E3619" s="190"/>
    </row>
    <row r="3620" hidden="1">
      <c r="A3620" s="189"/>
      <c r="B3620" s="189"/>
      <c r="C3620" s="190"/>
      <c r="D3620" s="190"/>
      <c r="E3620" s="190"/>
    </row>
    <row r="3621" hidden="1">
      <c r="A3621" s="189"/>
      <c r="B3621" s="189"/>
      <c r="C3621" s="190"/>
      <c r="D3621" s="190"/>
      <c r="E3621" s="190"/>
    </row>
    <row r="3622" hidden="1">
      <c r="A3622" s="189"/>
      <c r="B3622" s="189"/>
      <c r="C3622" s="190"/>
      <c r="D3622" s="190"/>
      <c r="E3622" s="190"/>
    </row>
    <row r="3623" hidden="1">
      <c r="A3623" s="189"/>
      <c r="B3623" s="189"/>
      <c r="C3623" s="190"/>
      <c r="D3623" s="190"/>
      <c r="E3623" s="190"/>
    </row>
    <row r="3624" hidden="1">
      <c r="A3624" s="189"/>
      <c r="B3624" s="189"/>
      <c r="C3624" s="190"/>
      <c r="D3624" s="190"/>
      <c r="E3624" s="190"/>
    </row>
    <row r="3625" hidden="1">
      <c r="A3625" s="189"/>
      <c r="B3625" s="189"/>
      <c r="C3625" s="190"/>
      <c r="D3625" s="190"/>
      <c r="E3625" s="190"/>
    </row>
    <row r="3626" hidden="1">
      <c r="A3626" s="189"/>
      <c r="B3626" s="189"/>
      <c r="C3626" s="190"/>
      <c r="D3626" s="190"/>
      <c r="E3626" s="190"/>
    </row>
    <row r="3627" hidden="1">
      <c r="A3627" s="189"/>
      <c r="B3627" s="189"/>
      <c r="C3627" s="190"/>
      <c r="D3627" s="190"/>
      <c r="E3627" s="190"/>
    </row>
    <row r="3628" hidden="1">
      <c r="A3628" s="189"/>
      <c r="B3628" s="189"/>
      <c r="C3628" s="190"/>
      <c r="D3628" s="190"/>
      <c r="E3628" s="190"/>
    </row>
    <row r="3629" hidden="1">
      <c r="A3629" s="189"/>
      <c r="B3629" s="189"/>
      <c r="C3629" s="190"/>
      <c r="D3629" s="190"/>
      <c r="E3629" s="190"/>
    </row>
    <row r="3630" hidden="1">
      <c r="A3630" s="189"/>
      <c r="B3630" s="189"/>
      <c r="C3630" s="190"/>
      <c r="D3630" s="190"/>
      <c r="E3630" s="190"/>
    </row>
    <row r="3631" hidden="1">
      <c r="A3631" s="189"/>
      <c r="B3631" s="189"/>
      <c r="C3631" s="190"/>
      <c r="D3631" s="190"/>
      <c r="E3631" s="190"/>
    </row>
    <row r="3632" hidden="1">
      <c r="A3632" s="189"/>
      <c r="B3632" s="189"/>
      <c r="C3632" s="190"/>
      <c r="D3632" s="190"/>
      <c r="E3632" s="190"/>
    </row>
    <row r="3633" hidden="1">
      <c r="A3633" s="189"/>
      <c r="B3633" s="189"/>
      <c r="C3633" s="190"/>
      <c r="D3633" s="190"/>
      <c r="E3633" s="190"/>
    </row>
    <row r="3634" hidden="1">
      <c r="A3634" s="189"/>
      <c r="B3634" s="189"/>
      <c r="C3634" s="190"/>
      <c r="D3634" s="190"/>
      <c r="E3634" s="190"/>
    </row>
    <row r="3635" hidden="1">
      <c r="A3635" s="189"/>
      <c r="B3635" s="189"/>
      <c r="C3635" s="190"/>
      <c r="D3635" s="190"/>
      <c r="E3635" s="190"/>
    </row>
    <row r="3636" hidden="1">
      <c r="A3636" s="189"/>
      <c r="B3636" s="189"/>
      <c r="C3636" s="190"/>
      <c r="D3636" s="190"/>
      <c r="E3636" s="190"/>
    </row>
    <row r="3637" hidden="1">
      <c r="A3637" s="189"/>
      <c r="B3637" s="189"/>
      <c r="C3637" s="190"/>
      <c r="D3637" s="190"/>
      <c r="E3637" s="190"/>
    </row>
    <row r="3638" hidden="1">
      <c r="A3638" s="189"/>
      <c r="B3638" s="189"/>
      <c r="C3638" s="190"/>
      <c r="D3638" s="190"/>
      <c r="E3638" s="190"/>
    </row>
    <row r="3639" hidden="1">
      <c r="A3639" s="189"/>
      <c r="B3639" s="189"/>
      <c r="C3639" s="190"/>
      <c r="D3639" s="190"/>
      <c r="E3639" s="190"/>
    </row>
    <row r="3640" hidden="1">
      <c r="A3640" s="189"/>
      <c r="B3640" s="189"/>
      <c r="C3640" s="190"/>
      <c r="D3640" s="190"/>
      <c r="E3640" s="190"/>
    </row>
    <row r="3641" hidden="1">
      <c r="A3641" s="189"/>
      <c r="B3641" s="189"/>
      <c r="C3641" s="190"/>
      <c r="D3641" s="190"/>
      <c r="E3641" s="190"/>
    </row>
    <row r="3642" hidden="1">
      <c r="A3642" s="189"/>
      <c r="B3642" s="189"/>
      <c r="C3642" s="190"/>
      <c r="D3642" s="190"/>
      <c r="E3642" s="190"/>
    </row>
    <row r="3643" hidden="1">
      <c r="A3643" s="189"/>
      <c r="B3643" s="189"/>
      <c r="C3643" s="190"/>
      <c r="D3643" s="190"/>
      <c r="E3643" s="190"/>
    </row>
    <row r="3644" hidden="1">
      <c r="A3644" s="189"/>
      <c r="B3644" s="189"/>
      <c r="C3644" s="190"/>
      <c r="D3644" s="190"/>
      <c r="E3644" s="190"/>
    </row>
    <row r="3645" hidden="1">
      <c r="A3645" s="189"/>
      <c r="B3645" s="189"/>
      <c r="C3645" s="190"/>
      <c r="D3645" s="190"/>
      <c r="E3645" s="190"/>
    </row>
    <row r="3646" hidden="1">
      <c r="A3646" s="189"/>
      <c r="B3646" s="189"/>
      <c r="C3646" s="190"/>
      <c r="D3646" s="190"/>
      <c r="E3646" s="190"/>
    </row>
    <row r="3647" hidden="1">
      <c r="A3647" s="189"/>
      <c r="B3647" s="189"/>
      <c r="C3647" s="190"/>
      <c r="D3647" s="190"/>
      <c r="E3647" s="190"/>
    </row>
    <row r="3648" hidden="1">
      <c r="A3648" s="189"/>
      <c r="B3648" s="189"/>
      <c r="C3648" s="190"/>
      <c r="D3648" s="190"/>
      <c r="E3648" s="190"/>
    </row>
    <row r="3649" hidden="1">
      <c r="A3649" s="189"/>
      <c r="B3649" s="189"/>
      <c r="C3649" s="190"/>
      <c r="D3649" s="190"/>
      <c r="E3649" s="190"/>
    </row>
    <row r="3650" hidden="1">
      <c r="A3650" s="189"/>
      <c r="B3650" s="189"/>
      <c r="C3650" s="190"/>
      <c r="D3650" s="190"/>
      <c r="E3650" s="190"/>
    </row>
    <row r="3651" hidden="1">
      <c r="A3651" s="189"/>
      <c r="B3651" s="189"/>
      <c r="C3651" s="190"/>
      <c r="D3651" s="190"/>
      <c r="E3651" s="190"/>
    </row>
    <row r="3652" hidden="1">
      <c r="A3652" s="189"/>
      <c r="B3652" s="189"/>
      <c r="C3652" s="190"/>
      <c r="D3652" s="190"/>
      <c r="E3652" s="190"/>
    </row>
    <row r="3653" hidden="1">
      <c r="A3653" s="189"/>
      <c r="B3653" s="189"/>
      <c r="C3653" s="190"/>
      <c r="D3653" s="190"/>
      <c r="E3653" s="190"/>
    </row>
    <row r="3654" hidden="1">
      <c r="A3654" s="189"/>
      <c r="B3654" s="189"/>
      <c r="C3654" s="190"/>
      <c r="D3654" s="190"/>
      <c r="E3654" s="190"/>
    </row>
    <row r="3655" hidden="1">
      <c r="A3655" s="189"/>
      <c r="B3655" s="189"/>
      <c r="C3655" s="190"/>
      <c r="D3655" s="190"/>
      <c r="E3655" s="190"/>
    </row>
    <row r="3656" hidden="1">
      <c r="A3656" s="189"/>
      <c r="B3656" s="189"/>
      <c r="C3656" s="190"/>
      <c r="D3656" s="190"/>
      <c r="E3656" s="190"/>
    </row>
    <row r="3657" hidden="1">
      <c r="A3657" s="189"/>
      <c r="B3657" s="189"/>
      <c r="C3657" s="190"/>
      <c r="D3657" s="190"/>
      <c r="E3657" s="190"/>
    </row>
    <row r="3658" hidden="1">
      <c r="A3658" s="189"/>
      <c r="B3658" s="189"/>
      <c r="C3658" s="190"/>
      <c r="D3658" s="190"/>
      <c r="E3658" s="190"/>
    </row>
    <row r="3659" hidden="1">
      <c r="A3659" s="189"/>
      <c r="B3659" s="189"/>
      <c r="C3659" s="190"/>
      <c r="D3659" s="190"/>
      <c r="E3659" s="190"/>
    </row>
    <row r="3660" hidden="1">
      <c r="A3660" s="189"/>
      <c r="B3660" s="189"/>
      <c r="C3660" s="190"/>
      <c r="D3660" s="190"/>
      <c r="E3660" s="190"/>
    </row>
    <row r="3661" hidden="1">
      <c r="A3661" s="189"/>
      <c r="B3661" s="189"/>
      <c r="C3661" s="190"/>
      <c r="D3661" s="190"/>
      <c r="E3661" s="190"/>
    </row>
    <row r="3662" hidden="1">
      <c r="A3662" s="189"/>
      <c r="B3662" s="189"/>
      <c r="C3662" s="190"/>
      <c r="D3662" s="190"/>
      <c r="E3662" s="190"/>
    </row>
    <row r="3663" hidden="1">
      <c r="A3663" s="189"/>
      <c r="B3663" s="189"/>
      <c r="C3663" s="190"/>
      <c r="D3663" s="190"/>
      <c r="E3663" s="190"/>
    </row>
    <row r="3664" hidden="1">
      <c r="A3664" s="189"/>
      <c r="B3664" s="189"/>
      <c r="C3664" s="190"/>
      <c r="D3664" s="190"/>
      <c r="E3664" s="190"/>
    </row>
    <row r="3665" hidden="1">
      <c r="A3665" s="189"/>
      <c r="B3665" s="189"/>
      <c r="C3665" s="190"/>
      <c r="D3665" s="190"/>
      <c r="E3665" s="190"/>
    </row>
    <row r="3666" hidden="1">
      <c r="A3666" s="189"/>
      <c r="B3666" s="189"/>
      <c r="C3666" s="190"/>
      <c r="D3666" s="190"/>
      <c r="E3666" s="190"/>
    </row>
    <row r="3667" hidden="1">
      <c r="A3667" s="189"/>
      <c r="B3667" s="189"/>
      <c r="C3667" s="190"/>
      <c r="D3667" s="190"/>
      <c r="E3667" s="190"/>
    </row>
    <row r="3668" hidden="1">
      <c r="A3668" s="189"/>
      <c r="B3668" s="189"/>
      <c r="C3668" s="190"/>
      <c r="D3668" s="190"/>
      <c r="E3668" s="190"/>
    </row>
    <row r="3669" hidden="1">
      <c r="A3669" s="189"/>
      <c r="B3669" s="189"/>
      <c r="C3669" s="190"/>
      <c r="D3669" s="190"/>
      <c r="E3669" s="190"/>
    </row>
    <row r="3670" hidden="1">
      <c r="A3670" s="189"/>
      <c r="B3670" s="189"/>
      <c r="C3670" s="190"/>
      <c r="D3670" s="190"/>
      <c r="E3670" s="190"/>
    </row>
    <row r="3671" hidden="1">
      <c r="A3671" s="189"/>
      <c r="B3671" s="189"/>
      <c r="C3671" s="190"/>
      <c r="D3671" s="190"/>
      <c r="E3671" s="190"/>
    </row>
    <row r="3672" hidden="1">
      <c r="A3672" s="189"/>
      <c r="B3672" s="189"/>
      <c r="C3672" s="190"/>
      <c r="D3672" s="190"/>
      <c r="E3672" s="190"/>
    </row>
    <row r="3673" hidden="1">
      <c r="A3673" s="189"/>
      <c r="B3673" s="189"/>
      <c r="C3673" s="190"/>
      <c r="D3673" s="190"/>
      <c r="E3673" s="190"/>
    </row>
    <row r="3674" hidden="1">
      <c r="A3674" s="189"/>
      <c r="B3674" s="189"/>
      <c r="C3674" s="190"/>
      <c r="D3674" s="190"/>
      <c r="E3674" s="190"/>
    </row>
    <row r="3675" hidden="1">
      <c r="A3675" s="189"/>
      <c r="B3675" s="189"/>
      <c r="C3675" s="190"/>
      <c r="D3675" s="190"/>
      <c r="E3675" s="190"/>
    </row>
    <row r="3676" hidden="1">
      <c r="A3676" s="189"/>
      <c r="B3676" s="189"/>
      <c r="C3676" s="190"/>
      <c r="D3676" s="190"/>
      <c r="E3676" s="190"/>
    </row>
    <row r="3677" hidden="1">
      <c r="A3677" s="189"/>
      <c r="B3677" s="189"/>
      <c r="C3677" s="190"/>
      <c r="D3677" s="190"/>
      <c r="E3677" s="190"/>
    </row>
    <row r="3678" hidden="1">
      <c r="A3678" s="189"/>
      <c r="B3678" s="189"/>
      <c r="C3678" s="190"/>
      <c r="D3678" s="190"/>
      <c r="E3678" s="190"/>
    </row>
    <row r="3679" hidden="1">
      <c r="A3679" s="189"/>
      <c r="B3679" s="189"/>
      <c r="C3679" s="190"/>
      <c r="D3679" s="190"/>
      <c r="E3679" s="190"/>
    </row>
    <row r="3680" hidden="1">
      <c r="A3680" s="189"/>
      <c r="B3680" s="189"/>
      <c r="C3680" s="190"/>
      <c r="D3680" s="190"/>
      <c r="E3680" s="190"/>
    </row>
    <row r="3681" hidden="1">
      <c r="A3681" s="189"/>
      <c r="B3681" s="189"/>
      <c r="C3681" s="190"/>
      <c r="D3681" s="190"/>
      <c r="E3681" s="190"/>
    </row>
    <row r="3682" hidden="1">
      <c r="A3682" s="189"/>
      <c r="B3682" s="189"/>
      <c r="C3682" s="190"/>
      <c r="D3682" s="190"/>
      <c r="E3682" s="190"/>
    </row>
    <row r="3683" hidden="1">
      <c r="A3683" s="189"/>
      <c r="B3683" s="189"/>
      <c r="C3683" s="190"/>
      <c r="D3683" s="190"/>
      <c r="E3683" s="190"/>
    </row>
    <row r="3684" hidden="1">
      <c r="A3684" s="189"/>
      <c r="B3684" s="189"/>
      <c r="C3684" s="190"/>
      <c r="D3684" s="190"/>
      <c r="E3684" s="190"/>
    </row>
    <row r="3685" hidden="1">
      <c r="A3685" s="189"/>
      <c r="B3685" s="189"/>
      <c r="C3685" s="190"/>
      <c r="D3685" s="190"/>
      <c r="E3685" s="190"/>
    </row>
    <row r="3686" hidden="1">
      <c r="A3686" s="189"/>
      <c r="B3686" s="189"/>
      <c r="C3686" s="190"/>
      <c r="D3686" s="190"/>
      <c r="E3686" s="190"/>
    </row>
    <row r="3687" hidden="1">
      <c r="A3687" s="189"/>
      <c r="B3687" s="189"/>
      <c r="C3687" s="190"/>
      <c r="D3687" s="190"/>
      <c r="E3687" s="190"/>
    </row>
    <row r="3688" hidden="1">
      <c r="A3688" s="189"/>
      <c r="B3688" s="189"/>
      <c r="C3688" s="190"/>
      <c r="D3688" s="190"/>
      <c r="E3688" s="190"/>
    </row>
    <row r="3689" hidden="1">
      <c r="A3689" s="189"/>
      <c r="B3689" s="189"/>
      <c r="C3689" s="190"/>
      <c r="D3689" s="190"/>
      <c r="E3689" s="190"/>
    </row>
    <row r="3690" hidden="1">
      <c r="A3690" s="189"/>
      <c r="B3690" s="189"/>
      <c r="C3690" s="190"/>
      <c r="D3690" s="190"/>
      <c r="E3690" s="190"/>
    </row>
    <row r="3691" hidden="1">
      <c r="A3691" s="189"/>
      <c r="B3691" s="189"/>
      <c r="C3691" s="190"/>
      <c r="D3691" s="190"/>
      <c r="E3691" s="190"/>
    </row>
    <row r="3692" hidden="1">
      <c r="A3692" s="189"/>
      <c r="B3692" s="189"/>
      <c r="C3692" s="190"/>
      <c r="D3692" s="190"/>
      <c r="E3692" s="190"/>
    </row>
    <row r="3693" hidden="1">
      <c r="A3693" s="189"/>
      <c r="B3693" s="189"/>
      <c r="C3693" s="190"/>
      <c r="D3693" s="190"/>
      <c r="E3693" s="190"/>
    </row>
    <row r="3694" hidden="1">
      <c r="A3694" s="189"/>
      <c r="B3694" s="189"/>
      <c r="C3694" s="190"/>
      <c r="D3694" s="190"/>
      <c r="E3694" s="190"/>
    </row>
    <row r="3695" hidden="1">
      <c r="A3695" s="189"/>
      <c r="B3695" s="189"/>
      <c r="C3695" s="190"/>
      <c r="D3695" s="190"/>
      <c r="E3695" s="190"/>
    </row>
    <row r="3696" hidden="1">
      <c r="A3696" s="189"/>
      <c r="B3696" s="189"/>
      <c r="C3696" s="190"/>
      <c r="D3696" s="190"/>
      <c r="E3696" s="190"/>
    </row>
    <row r="3697" hidden="1">
      <c r="A3697" s="189"/>
      <c r="B3697" s="189"/>
      <c r="C3697" s="190"/>
      <c r="D3697" s="190"/>
      <c r="E3697" s="190"/>
    </row>
    <row r="3698" hidden="1">
      <c r="A3698" s="189"/>
      <c r="B3698" s="189"/>
      <c r="C3698" s="190"/>
      <c r="D3698" s="190"/>
      <c r="E3698" s="190"/>
    </row>
    <row r="3699" hidden="1">
      <c r="A3699" s="189"/>
      <c r="B3699" s="189"/>
      <c r="C3699" s="190"/>
      <c r="D3699" s="190"/>
      <c r="E3699" s="190"/>
    </row>
    <row r="3700" hidden="1">
      <c r="A3700" s="189"/>
      <c r="B3700" s="189"/>
      <c r="C3700" s="190"/>
      <c r="D3700" s="190"/>
      <c r="E3700" s="190"/>
    </row>
    <row r="3701" hidden="1">
      <c r="A3701" s="189"/>
      <c r="B3701" s="189"/>
      <c r="C3701" s="190"/>
      <c r="D3701" s="190"/>
      <c r="E3701" s="190"/>
    </row>
    <row r="3702" hidden="1">
      <c r="A3702" s="189"/>
      <c r="B3702" s="189"/>
      <c r="C3702" s="190"/>
      <c r="D3702" s="190"/>
      <c r="E3702" s="190"/>
    </row>
  </sheetData>
  <autoFilter ref="$A$1:$A$3702">
    <filterColumn colId="0">
      <filters>
        <filter val="select_one agree_likert"/>
        <filter val="select_one towns"/>
        <filter val="select_one region"/>
        <filter val="integer"/>
        <filter val="select_multiple emergency"/>
        <filter val="select_one yesno"/>
        <filter val="select_one unit"/>
        <filter val="select_multiple cons_week"/>
        <filter val="select_multiple docs"/>
        <filter val="select_one husbandwife"/>
        <filter val="select_one unavail_why"/>
        <filter val="select_multiple risks"/>
        <filter val="select_multiple towns"/>
        <filter val="text"/>
        <filter val="select_one mig_countries"/>
        <filter val="select_one interest"/>
        <filter val="select_multiple money_transfer"/>
        <filter val="select_one present"/>
        <filter val="select_multiple fail_reason"/>
        <filter val="select_one locality"/>
        <filter val="select_multiple assets"/>
        <filter val="select_one opinion_important"/>
        <filter val="select_multiple crops"/>
        <filter val="select_multiple savings_reasons"/>
        <filter val="select_one members"/>
        <filter val="select_one enum"/>
        <filter val="select_one yesnodk"/>
        <filter val="select_one countries"/>
        <filter val="select_multiple cons_month"/>
        <filter val="decimal"/>
        <filter val="select_one education"/>
        <filter val="select_one freq"/>
        <filter val="select_one resp"/>
        <filter val="note"/>
        <filter val="select_one worries"/>
        <filter val="select_one id"/>
        <filter val="select_one sex"/>
        <filter val="select_multiple changes"/>
        <filter val="select_one state_likert"/>
        <filter val="select_one purpose"/>
        <filter val="select_one statement"/>
        <filter val="select_one team"/>
        <filter val="select_one relation"/>
        <filter val="select_one commune"/>
        <filter val="select_multiple goods_transfer"/>
        <filter val="select_multiple mitigate"/>
        <filter val="select_multiple topics"/>
        <filter val="select_one schools"/>
        <filter val="select_one call"/>
        <filter val="select_one live_home"/>
        <filter val="select_one patient"/>
        <filter val="select_multiple purchases"/>
        <filter val="select_multiple illness"/>
        <filter val="select_one live_away"/>
        <filter val="select_multiple support"/>
        <filter val="select_multiple transmit"/>
        <filter val="select_multiple countries"/>
        <filter val="select_one contact_relation"/>
        <filter val="select_multiple vax"/>
        <filter val="select_one health"/>
        <filter val="select_one whyno_in"/>
        <filter val="select_multiple region"/>
        <filter val="select_multiple livestock"/>
        <filter val="select_one illness"/>
        <filter val="select_multiple savings"/>
        <filter val="select_one comprehension"/>
        <filter val="select_one activities"/>
      </filters>
    </filterColumn>
  </autoFilter>
  <conditionalFormatting sqref="B2001:C3702 D2001:E2512 D2992:E3702">
    <cfRule type="expression" dxfId="0" priority="1" stopIfTrue="1">
      <formula>$A2001="begin group"</formula>
    </cfRule>
  </conditionalFormatting>
  <conditionalFormatting sqref="B2001:C3702 D2001:E2512 D2992:E3702">
    <cfRule type="expression" dxfId="1" priority="2" stopIfTrue="1">
      <formula>$A2001="begin repeat"</formula>
    </cfRule>
  </conditionalFormatting>
  <conditionalFormatting sqref="B2001:E3702">
    <cfRule type="expression" dxfId="31" priority="3" stopIfTrue="1">
      <formula>$A2001="enumerator"</formula>
    </cfRule>
  </conditionalFormatting>
  <conditionalFormatting sqref="B2001:E3702">
    <cfRule type="expression" dxfId="2" priority="4" stopIfTrue="1">
      <formula>$A2001="text"</formula>
    </cfRule>
  </conditionalFormatting>
  <conditionalFormatting sqref="B2001:E3702">
    <cfRule type="expression" dxfId="3" priority="5" stopIfTrue="1">
      <formula>$A2001="integer"</formula>
    </cfRule>
  </conditionalFormatting>
  <conditionalFormatting sqref="B2001:E3702">
    <cfRule type="expression" dxfId="4" priority="6" stopIfTrue="1">
      <formula>$A2001="decimal"</formula>
    </cfRule>
  </conditionalFormatting>
  <conditionalFormatting sqref="B2001:C3702 D2001:E2512 D2992:E3702">
    <cfRule type="expression" dxfId="5" priority="7" stopIfTrue="1">
      <formula>OR(AND(LEFT($A2001, 16)="select_multiple ", LEN($A2001)&gt;16, NOT(ISNUMBER(SEARCH(" ", $A2001, 17)))), AND(LEFT($A2001, 11)="select_one ", LEN($A2001)&gt;11, NOT(ISNUMBER(SEARCH(" ", $A2001, 12)))))</formula>
    </cfRule>
  </conditionalFormatting>
  <conditionalFormatting sqref="B2001:B3702 C2125:E2125 C3121:C3123">
    <cfRule type="expression" dxfId="6" priority="8" stopIfTrue="1">
      <formula>OR($A2001="audio audit", $A2001="text audit", $A2001="speed violations count", $A2001="speed violations list", $A2001="speed violations audit")</formula>
    </cfRule>
  </conditionalFormatting>
  <conditionalFormatting sqref="B2001:C3702 D2001:E2512 D2992:E3702">
    <cfRule type="expression" dxfId="32" priority="9" stopIfTrue="1">
      <formula>$A2001="file"</formula>
    </cfRule>
  </conditionalFormatting>
  <conditionalFormatting sqref="B2001:C3702 D2001:E2512 D2992:E3702">
    <cfRule type="expression" dxfId="7" priority="10" stopIfTrue="1">
      <formula>$A2001="note"</formula>
    </cfRule>
  </conditionalFormatting>
  <conditionalFormatting sqref="B2001:C3702 D2001:E2512 D2992:E3702">
    <cfRule type="expression" dxfId="8" priority="11" stopIfTrue="1">
      <formula>$A2001="barcode"</formula>
    </cfRule>
  </conditionalFormatting>
  <conditionalFormatting sqref="B2001:C3702 D2001:E2512 D2992:E3702">
    <cfRule type="expression" dxfId="9" priority="12" stopIfTrue="1">
      <formula>OR($A2001="geopoint", $A2001="geoshape", $A2001="geotrace")</formula>
    </cfRule>
  </conditionalFormatting>
  <conditionalFormatting sqref="B2001:B3702 C2125:E2125 C3121:C3123">
    <cfRule type="expression" dxfId="10" priority="13" stopIfTrue="1">
      <formula>OR($A2001="calculate", $A2001="calculate_here")</formula>
    </cfRule>
  </conditionalFormatting>
  <conditionalFormatting sqref="B2001:C3702 D2001:E2512 D2992:E3702">
    <cfRule type="expression" dxfId="11" priority="14" stopIfTrue="1">
      <formula>OR($A2001="date", $A2001="datetime", $A2001="time")</formula>
    </cfRule>
  </conditionalFormatting>
  <conditionalFormatting sqref="B2001:C3702 D2001:E2512 D2992:E3702">
    <cfRule type="expression" dxfId="12" priority="15" stopIfTrue="1">
      <formula>$A2001="image"</formula>
    </cfRule>
  </conditionalFormatting>
  <conditionalFormatting sqref="B2001:C3702 D2001:E2512 D2992:E3702">
    <cfRule type="expression" dxfId="13" priority="16" stopIfTrue="1">
      <formula>OR($A2001="audio", $A2001="video")</formula>
    </cfRule>
  </conditionalFormatting>
  <conditionalFormatting sqref="B2001:E3702">
    <cfRule type="expression" dxfId="33" priority="17" stopIfTrue="1">
      <formula>$A2001="file"</formula>
    </cfRule>
  </conditionalFormatting>
  <conditionalFormatting sqref="B2001:E3702">
    <cfRule type="expression" dxfId="34" priority="18" stopIfTrue="1">
      <formula>$A2001="enumerator"</formula>
    </cfRule>
  </conditionalFormatting>
  <conditionalFormatting sqref="B2001:E3702">
    <cfRule type="expression" dxfId="35" priority="19" stopIfTrue="1">
      <formula>OR(AND(LEFT($A2001, 14)="sensor_stream ", LEN($A2001)&gt;14, NOT(ISNUMBER(SEARCH(" ", $A2001, 15)))), AND(LEFT($A2001, 17)="sensor_statistic ", LEN($A2001)&gt;17, NOT(ISNUMBER(SEARCH(" ", $A2001, 18)))))</formula>
    </cfRule>
  </conditionalFormatting>
  <conditionalFormatting sqref="B2001:E3702">
    <cfRule type="expression" dxfId="14" priority="20" stopIfTrue="1">
      <formula>$A2001="comments"</formula>
    </cfRule>
  </conditionalFormatting>
  <conditionalFormatting sqref="B2001:E3702">
    <cfRule type="expression" dxfId="15" priority="21" stopIfTrue="1">
      <formula>OR($A2001="audio", $A2001="video")</formula>
    </cfRule>
  </conditionalFormatting>
  <conditionalFormatting sqref="B2001:E3702">
    <cfRule type="expression" dxfId="16" priority="22" stopIfTrue="1">
      <formula>$A2001="image"</formula>
    </cfRule>
  </conditionalFormatting>
  <conditionalFormatting sqref="B2001:E3702">
    <cfRule type="expression" dxfId="17" priority="23" stopIfTrue="1">
      <formula>OR($A2001="date", $A2001="datetime", $A2001="time")</formula>
    </cfRule>
  </conditionalFormatting>
  <conditionalFormatting sqref="B2001:E3702">
    <cfRule type="expression" dxfId="18" priority="24" stopIfTrue="1">
      <formula>OR($A2001="calculate", $A2001="calculate_here")</formula>
    </cfRule>
  </conditionalFormatting>
  <conditionalFormatting sqref="B2001:E3702">
    <cfRule type="expression" dxfId="19" priority="25" stopIfTrue="1">
      <formula>$A2001="note"</formula>
    </cfRule>
  </conditionalFormatting>
  <conditionalFormatting sqref="B2001:E3702">
    <cfRule type="expression" dxfId="20" priority="26" stopIfTrue="1">
      <formula>$A2001="barcode"</formula>
    </cfRule>
  </conditionalFormatting>
  <conditionalFormatting sqref="B2001:E3702">
    <cfRule type="expression" dxfId="21" priority="27" stopIfTrue="1">
      <formula>OR($A2001="geopoint", $A2001="geoshape", $A2001="geotrace")</formula>
    </cfRule>
  </conditionalFormatting>
  <conditionalFormatting sqref="B2001:E3702">
    <cfRule type="expression" dxfId="22" priority="28" stopIfTrue="1">
      <formula>OR($A2001="audio audit", $A2001="text audit", $A2001="speed violations count", $A2001="speed violations list", $A2001="speed violations audit")</formula>
    </cfRule>
  </conditionalFormatting>
  <conditionalFormatting sqref="B2001:E3702">
    <cfRule type="expression" dxfId="23" priority="29" stopIfTrue="1">
      <formula>OR($A2001="username", $A2001="phonenumber", $A2001="start", $A2001="end", $A2001="deviceid", $A2001="subscriberid", $A2001="simserial", $A2001="caseid")</formula>
    </cfRule>
  </conditionalFormatting>
  <conditionalFormatting sqref="B2001:E3702">
    <cfRule type="expression" dxfId="24" priority="30" stopIfTrue="1">
      <formula>OR(AND(LEFT($A2001, 16)="select_multiple ", LEN($A2001)&gt;16, NOT(ISNUMBER(SEARCH(" ", $A2001, 17)))), AND(LEFT($A2001, 11)="select_one ", LEN($A2001)&gt;11, NOT(ISNUMBER(SEARCH(" ", $A2001, 12)))))</formula>
    </cfRule>
  </conditionalFormatting>
  <conditionalFormatting sqref="B2001:E3702">
    <cfRule type="expression" dxfId="25" priority="31" stopIfTrue="1">
      <formula>$A2001="decimal"</formula>
    </cfRule>
  </conditionalFormatting>
  <conditionalFormatting sqref="B2001:E3702">
    <cfRule type="expression" dxfId="26" priority="32" stopIfTrue="1">
      <formula>$A2001="integer"</formula>
    </cfRule>
  </conditionalFormatting>
  <conditionalFormatting sqref="B2001:E3702">
    <cfRule type="expression" dxfId="27" priority="33" stopIfTrue="1">
      <formula>$A2001="text"</formula>
    </cfRule>
  </conditionalFormatting>
  <conditionalFormatting sqref="B2001:E3702">
    <cfRule type="expression" dxfId="28" priority="34" stopIfTrue="1">
      <formula>$A2001="end repeat"</formula>
    </cfRule>
  </conditionalFormatting>
  <conditionalFormatting sqref="B2001:E3702">
    <cfRule type="expression" dxfId="28" priority="35" stopIfTrue="1">
      <formula>$A2001="begin repeat"</formula>
    </cfRule>
  </conditionalFormatting>
  <conditionalFormatting sqref="B2001:E3702">
    <cfRule type="expression" dxfId="29" priority="36" stopIfTrue="1">
      <formula>$A2001="end group"</formula>
    </cfRule>
  </conditionalFormatting>
  <conditionalFormatting sqref="B2001:E3702">
    <cfRule type="expression" dxfId="29" priority="37" stopIfTrue="1">
      <formula>$A2001="begin group"</formula>
    </cfRule>
  </conditionalFormatting>
  <conditionalFormatting sqref="B2001:B3702 C2125:E2125 C3121:C3123">
    <cfRule type="expression" dxfId="30" priority="38" stopIfTrue="1">
      <formula>$A2001="comments"</formula>
    </cfRule>
  </conditionalFormatting>
  <conditionalFormatting sqref="B2001:B3702 C2125:E2125 C3121:C3123">
    <cfRule type="expression" dxfId="36" priority="39" stopIfTrue="1">
      <formula>OR(AND(LEFT($A2001, 14)="sensor_stream ", LEN($A2001)&gt;14, NOT(ISNUMBER(SEARCH(" ", $A2001, 15)))), AND(LEFT($A2001, 17)="sensor_statistic ", LEN($A2001)&gt;17, NOT(ISNUMBER(SEARCH(" ", $A2001, 18)))))</formula>
    </cfRule>
  </conditionalFormatting>
  <conditionalFormatting sqref="B1:E1630">
    <cfRule type="expression" dxfId="0" priority="40" stopIfTrue="1">
      <formula>$A1="begin group"</formula>
    </cfRule>
  </conditionalFormatting>
  <conditionalFormatting sqref="B1:E1630">
    <cfRule type="expression" dxfId="1" priority="41" stopIfTrue="1">
      <formula>$A1="begin repeat"</formula>
    </cfRule>
  </conditionalFormatting>
  <conditionalFormatting sqref="B1:E1630">
    <cfRule type="expression" dxfId="31" priority="42" stopIfTrue="1">
      <formula>$A1="enumerator"</formula>
    </cfRule>
  </conditionalFormatting>
  <conditionalFormatting sqref="B1:E1630">
    <cfRule type="expression" dxfId="2" priority="43" stopIfTrue="1">
      <formula>$A1="text"</formula>
    </cfRule>
  </conditionalFormatting>
  <conditionalFormatting sqref="B1:E1630">
    <cfRule type="expression" dxfId="3" priority="44" stopIfTrue="1">
      <formula>$A1="integer"</formula>
    </cfRule>
  </conditionalFormatting>
  <conditionalFormatting sqref="B1:E1630">
    <cfRule type="expression" dxfId="4" priority="45" stopIfTrue="1">
      <formula>$A1="decimal"</formula>
    </cfRule>
  </conditionalFormatting>
  <conditionalFormatting sqref="B1:E1630">
    <cfRule type="expression" dxfId="5" priority="46" stopIfTrue="1">
      <formula>OR(AND(LEFT($A1, 16)="select_multiple ", LEN($A1)&gt;16, NOT(ISNUMBER(SEARCH(" ", $A1, 17)))), AND(LEFT($A1, 11)="select_one ", LEN($A1)&gt;11, NOT(ISNUMBER(SEARCH(" ", $A1, 12)))))</formula>
    </cfRule>
  </conditionalFormatting>
  <conditionalFormatting sqref="B1:B1630 C1:E1 C759:E759 C1049:C1051">
    <cfRule type="expression" dxfId="6" priority="47" stopIfTrue="1">
      <formula>OR($A1="audio audit", $A1="text audit", $A1="speed violations count", $A1="speed violations list", $A1="speed violations audit")</formula>
    </cfRule>
  </conditionalFormatting>
  <conditionalFormatting sqref="B1:E1630">
    <cfRule type="expression" dxfId="32" priority="48" stopIfTrue="1">
      <formula>$A1="file"</formula>
    </cfRule>
  </conditionalFormatting>
  <conditionalFormatting sqref="B1:E1630">
    <cfRule type="expression" dxfId="7" priority="49" stopIfTrue="1">
      <formula>$A1="note"</formula>
    </cfRule>
  </conditionalFormatting>
  <conditionalFormatting sqref="B1:E1630">
    <cfRule type="expression" dxfId="8" priority="50" stopIfTrue="1">
      <formula>$A1="barcode"</formula>
    </cfRule>
  </conditionalFormatting>
  <conditionalFormatting sqref="B1:E1630">
    <cfRule type="expression" dxfId="9" priority="51" stopIfTrue="1">
      <formula>OR($A1="geopoint", $A1="geoshape", $A1="geotrace")</formula>
    </cfRule>
  </conditionalFormatting>
  <conditionalFormatting sqref="B1:B1630 C1:E1 A324 A350 A355 A369 C759:E759 C1049:C1051">
    <cfRule type="expression" dxfId="10" priority="52" stopIfTrue="1">
      <formula>OR($A1="calculate", $A1="calculate_here")</formula>
    </cfRule>
  </conditionalFormatting>
  <conditionalFormatting sqref="B1:E1630">
    <cfRule type="expression" dxfId="11" priority="53" stopIfTrue="1">
      <formula>OR($A1="date", $A1="datetime", $A1="time")</formula>
    </cfRule>
  </conditionalFormatting>
  <conditionalFormatting sqref="B1:E1630">
    <cfRule type="expression" dxfId="12" priority="54" stopIfTrue="1">
      <formula>$A1="image"</formula>
    </cfRule>
  </conditionalFormatting>
  <conditionalFormatting sqref="B1:E1630">
    <cfRule type="expression" dxfId="13" priority="55" stopIfTrue="1">
      <formula>OR($A1="audio", $A1="video")</formula>
    </cfRule>
  </conditionalFormatting>
  <conditionalFormatting sqref="A1:E1630">
    <cfRule type="expression" dxfId="33" priority="56" stopIfTrue="1">
      <formula>$A1="file"</formula>
    </cfRule>
  </conditionalFormatting>
  <conditionalFormatting sqref="A1:E1630">
    <cfRule type="expression" dxfId="34" priority="57" stopIfTrue="1">
      <formula>$A1="enumerator"</formula>
    </cfRule>
  </conditionalFormatting>
  <conditionalFormatting sqref="A1:E1630">
    <cfRule type="expression" dxfId="35" priority="58" stopIfTrue="1">
      <formula>OR(AND(LEFT($A1, 14)="sensor_stream ", LEN($A1)&gt;14, NOT(ISNUMBER(SEARCH(" ", $A1, 15)))), AND(LEFT($A1, 17)="sensor_statistic ", LEN($A1)&gt;17, NOT(ISNUMBER(SEARCH(" ", $A1, 18)))))</formula>
    </cfRule>
  </conditionalFormatting>
  <conditionalFormatting sqref="A1:E1630">
    <cfRule type="expression" dxfId="14" priority="59" stopIfTrue="1">
      <formula>$A1="comments"</formula>
    </cfRule>
  </conditionalFormatting>
  <conditionalFormatting sqref="A1:E1630">
    <cfRule type="expression" dxfId="15" priority="60" stopIfTrue="1">
      <formula>OR($A1="audio", $A1="video")</formula>
    </cfRule>
  </conditionalFormatting>
  <conditionalFormatting sqref="A1:E1630">
    <cfRule type="expression" dxfId="16" priority="61" stopIfTrue="1">
      <formula>$A1="image"</formula>
    </cfRule>
  </conditionalFormatting>
  <conditionalFormatting sqref="A1:E1630">
    <cfRule type="expression" dxfId="17" priority="62" stopIfTrue="1">
      <formula>OR($A1="date", $A1="datetime", $A1="time")</formula>
    </cfRule>
  </conditionalFormatting>
  <conditionalFormatting sqref="A1:E1630">
    <cfRule type="expression" dxfId="18" priority="63" stopIfTrue="1">
      <formula>OR($A1="calculate", $A1="calculate_here")</formula>
    </cfRule>
  </conditionalFormatting>
  <conditionalFormatting sqref="A1:E1630">
    <cfRule type="expression" dxfId="19" priority="64" stopIfTrue="1">
      <formula>$A1="note"</formula>
    </cfRule>
  </conditionalFormatting>
  <conditionalFormatting sqref="A1:E1630">
    <cfRule type="expression" dxfId="20" priority="65" stopIfTrue="1">
      <formula>$A1="barcode"</formula>
    </cfRule>
  </conditionalFormatting>
  <conditionalFormatting sqref="A1:E1630">
    <cfRule type="expression" dxfId="21" priority="66" stopIfTrue="1">
      <formula>OR($A1="geopoint", $A1="geoshape", $A1="geotrace")</formula>
    </cfRule>
  </conditionalFormatting>
  <conditionalFormatting sqref="A1:E1630">
    <cfRule type="expression" dxfId="22" priority="67" stopIfTrue="1">
      <formula>OR($A1="audio audit", $A1="text audit", $A1="speed violations count", $A1="speed violations list", $A1="speed violations audit")</formula>
    </cfRule>
  </conditionalFormatting>
  <conditionalFormatting sqref="A1:E1630">
    <cfRule type="expression" dxfId="23" priority="68" stopIfTrue="1">
      <formula>OR($A1="username", $A1="phonenumber", $A1="start", $A1="end", $A1="deviceid", $A1="subscriberid", $A1="simserial", $A1="caseid")</formula>
    </cfRule>
  </conditionalFormatting>
  <conditionalFormatting sqref="A1:E1630">
    <cfRule type="expression" dxfId="24" priority="69" stopIfTrue="1">
      <formula>OR(AND(LEFT($A1, 16)="select_multiple ", LEN($A1)&gt;16, NOT(ISNUMBER(SEARCH(" ", $A1, 17)))), AND(LEFT($A1, 11)="select_one ", LEN($A1)&gt;11, NOT(ISNUMBER(SEARCH(" ", $A1, 12)))))</formula>
    </cfRule>
  </conditionalFormatting>
  <conditionalFormatting sqref="A1:E1630">
    <cfRule type="expression" dxfId="25" priority="70" stopIfTrue="1">
      <formula>$A1="decimal"</formula>
    </cfRule>
  </conditionalFormatting>
  <conditionalFormatting sqref="A1:E1630">
    <cfRule type="expression" dxfId="26" priority="71" stopIfTrue="1">
      <formula>$A1="integer"</formula>
    </cfRule>
  </conditionalFormatting>
  <conditionalFormatting sqref="A1:E1630">
    <cfRule type="expression" dxfId="27" priority="72" stopIfTrue="1">
      <formula>$A1="text"</formula>
    </cfRule>
  </conditionalFormatting>
  <conditionalFormatting sqref="A1:E1630">
    <cfRule type="expression" dxfId="28" priority="73" stopIfTrue="1">
      <formula>$A1="end repeat"</formula>
    </cfRule>
  </conditionalFormatting>
  <conditionalFormatting sqref="A1:E1630">
    <cfRule type="expression" dxfId="28" priority="74" stopIfTrue="1">
      <formula>$A1="begin repeat"</formula>
    </cfRule>
  </conditionalFormatting>
  <conditionalFormatting sqref="A1:E1630">
    <cfRule type="expression" dxfId="29" priority="75" stopIfTrue="1">
      <formula>$A1="end group"</formula>
    </cfRule>
  </conditionalFormatting>
  <conditionalFormatting sqref="A1:E1630">
    <cfRule type="expression" dxfId="29" priority="76" stopIfTrue="1">
      <formula>$A1="begin group"</formula>
    </cfRule>
  </conditionalFormatting>
  <conditionalFormatting sqref="B1:B354 C1:E1 B356:B1630 C759:E759 C1049:C1051">
    <cfRule type="expression" dxfId="30" priority="77" stopIfTrue="1">
      <formula>$A1="comments"</formula>
    </cfRule>
  </conditionalFormatting>
  <conditionalFormatting sqref="B1:B1630 C1:E1 C759:E759 C1049:C1051">
    <cfRule type="expression" dxfId="36" priority="78" stopIfTrue="1">
      <formula>OR(AND(LEFT($A1, 14)="sensor_stream ", LEN($A1)&gt;14, NOT(ISNUMBER(SEARCH(" ", $A1, 15)))), AND(LEFT($A1, 17)="sensor_statistic ", LEN($A1)&gt;17, NOT(ISNUMBER(SEARCH(" ", $A1, 18)))))</formula>
    </cfRule>
  </conditionalFormatting>
  <conditionalFormatting sqref="B992:C996 D992:E996">
    <cfRule type="expression" dxfId="0" priority="79" stopIfTrue="1">
      <formula>$A992="begin group"</formula>
    </cfRule>
  </conditionalFormatting>
  <conditionalFormatting sqref="B992:C996 D992:E996">
    <cfRule type="expression" dxfId="1" priority="80" stopIfTrue="1">
      <formula>$A992="begin repeat"</formula>
    </cfRule>
  </conditionalFormatting>
  <conditionalFormatting sqref="B992:E996">
    <cfRule type="expression" dxfId="31" priority="81" stopIfTrue="1">
      <formula>$A992="enumerator"</formula>
    </cfRule>
  </conditionalFormatting>
  <conditionalFormatting sqref="B992:E996">
    <cfRule type="expression" dxfId="2" priority="82" stopIfTrue="1">
      <formula>$A992="text"</formula>
    </cfRule>
  </conditionalFormatting>
  <conditionalFormatting sqref="B992:E996">
    <cfRule type="expression" dxfId="3" priority="83" stopIfTrue="1">
      <formula>$A992="integer"</formula>
    </cfRule>
  </conditionalFormatting>
  <conditionalFormatting sqref="B992:E996">
    <cfRule type="expression" dxfId="4" priority="84" stopIfTrue="1">
      <formula>$A992="decimal"</formula>
    </cfRule>
  </conditionalFormatting>
  <conditionalFormatting sqref="B992:C996 D992:E996">
    <cfRule type="expression" dxfId="5" priority="85" stopIfTrue="1">
      <formula>OR(AND(LEFT($A992, 16)="select_multiple ", LEN($A992)&gt;16, NOT(ISNUMBER(SEARCH(" ", $A992, 17)))), AND(LEFT($A992, 11)="select_one ", LEN($A992)&gt;11, NOT(ISNUMBER(SEARCH(" ", $A992, 12)))))</formula>
    </cfRule>
  </conditionalFormatting>
  <conditionalFormatting sqref="B992:B996">
    <cfRule type="expression" dxfId="6" priority="86" stopIfTrue="1">
      <formula>OR($A992="audio audit", $A992="text audit", $A992="speed violations count", $A992="speed violations list", $A992="speed violations audit")</formula>
    </cfRule>
  </conditionalFormatting>
  <conditionalFormatting sqref="B992:C996 D992:E996">
    <cfRule type="expression" dxfId="32" priority="87" stopIfTrue="1">
      <formula>$A992="file"</formula>
    </cfRule>
  </conditionalFormatting>
  <conditionalFormatting sqref="B992:C996 D992:E996">
    <cfRule type="expression" dxfId="7" priority="88" stopIfTrue="1">
      <formula>$A992="note"</formula>
    </cfRule>
  </conditionalFormatting>
  <conditionalFormatting sqref="B992:C996 D992:E996">
    <cfRule type="expression" dxfId="8" priority="89" stopIfTrue="1">
      <formula>$A992="barcode"</formula>
    </cfRule>
  </conditionalFormatting>
  <conditionalFormatting sqref="B992:C996 D992:E996">
    <cfRule type="expression" dxfId="9" priority="90" stopIfTrue="1">
      <formula>OR($A992="geopoint", $A992="geoshape", $A992="geotrace")</formula>
    </cfRule>
  </conditionalFormatting>
  <conditionalFormatting sqref="B992:B996">
    <cfRule type="expression" dxfId="10" priority="91" stopIfTrue="1">
      <formula>OR($A992="calculate", $A992="calculate_here")</formula>
    </cfRule>
  </conditionalFormatting>
  <conditionalFormatting sqref="B992:C996 D992:E996">
    <cfRule type="expression" dxfId="11" priority="92" stopIfTrue="1">
      <formula>OR($A992="date", $A992="datetime", $A992="time")</formula>
    </cfRule>
  </conditionalFormatting>
  <conditionalFormatting sqref="B992:C996 D992:E996">
    <cfRule type="expression" dxfId="12" priority="93" stopIfTrue="1">
      <formula>$A992="image"</formula>
    </cfRule>
  </conditionalFormatting>
  <conditionalFormatting sqref="B992:C996 D992:E996">
    <cfRule type="expression" dxfId="13" priority="94" stopIfTrue="1">
      <formula>OR($A992="audio", $A992="video")</formula>
    </cfRule>
  </conditionalFormatting>
  <conditionalFormatting sqref="B992:E996">
    <cfRule type="expression" dxfId="33" priority="95" stopIfTrue="1">
      <formula>$A992="file"</formula>
    </cfRule>
  </conditionalFormatting>
  <conditionalFormatting sqref="B992:E996">
    <cfRule type="expression" dxfId="34" priority="96" stopIfTrue="1">
      <formula>$A992="enumerator"</formula>
    </cfRule>
  </conditionalFormatting>
  <conditionalFormatting sqref="B992:E996">
    <cfRule type="expression" dxfId="35" priority="97" stopIfTrue="1">
      <formula>OR(AND(LEFT($A992, 14)="sensor_stream ", LEN($A992)&gt;14, NOT(ISNUMBER(SEARCH(" ", $A992, 15)))), AND(LEFT($A992, 17)="sensor_statistic ", LEN($A992)&gt;17, NOT(ISNUMBER(SEARCH(" ", $A992, 18)))))</formula>
    </cfRule>
  </conditionalFormatting>
  <conditionalFormatting sqref="B992:E996">
    <cfRule type="expression" dxfId="14" priority="98" stopIfTrue="1">
      <formula>$A992="comments"</formula>
    </cfRule>
  </conditionalFormatting>
  <conditionalFormatting sqref="B992:E996">
    <cfRule type="expression" dxfId="15" priority="99" stopIfTrue="1">
      <formula>OR($A992="audio", $A992="video")</formula>
    </cfRule>
  </conditionalFormatting>
  <conditionalFormatting sqref="B992:E996">
    <cfRule type="expression" dxfId="16" priority="100" stopIfTrue="1">
      <formula>$A992="image"</formula>
    </cfRule>
  </conditionalFormatting>
  <conditionalFormatting sqref="B992:E996">
    <cfRule type="expression" dxfId="17" priority="101" stopIfTrue="1">
      <formula>OR($A992="date", $A992="datetime", $A992="time")</formula>
    </cfRule>
  </conditionalFormatting>
  <conditionalFormatting sqref="B992:E996">
    <cfRule type="expression" dxfId="18" priority="102" stopIfTrue="1">
      <formula>OR($A992="calculate", $A992="calculate_here")</formula>
    </cfRule>
  </conditionalFormatting>
  <conditionalFormatting sqref="B992:E996">
    <cfRule type="expression" dxfId="19" priority="103" stopIfTrue="1">
      <formula>$A992="note"</formula>
    </cfRule>
  </conditionalFormatting>
  <conditionalFormatting sqref="B992:E996">
    <cfRule type="expression" dxfId="20" priority="104" stopIfTrue="1">
      <formula>$A992="barcode"</formula>
    </cfRule>
  </conditionalFormatting>
  <conditionalFormatting sqref="B992:E996">
    <cfRule type="expression" dxfId="21" priority="105" stopIfTrue="1">
      <formula>OR($A992="geopoint", $A992="geoshape", $A992="geotrace")</formula>
    </cfRule>
  </conditionalFormatting>
  <conditionalFormatting sqref="B992:E996">
    <cfRule type="expression" dxfId="22" priority="106" stopIfTrue="1">
      <formula>OR($A992="audio audit", $A992="text audit", $A992="speed violations count", $A992="speed violations list", $A992="speed violations audit")</formula>
    </cfRule>
  </conditionalFormatting>
  <conditionalFormatting sqref="B992:E996">
    <cfRule type="expression" dxfId="23" priority="107" stopIfTrue="1">
      <formula>OR($A992="username", $A992="phonenumber", $A992="start", $A992="end", $A992="deviceid", $A992="subscriberid", $A992="simserial", $A992="caseid")</formula>
    </cfRule>
  </conditionalFormatting>
  <conditionalFormatting sqref="B992:E996">
    <cfRule type="expression" dxfId="24" priority="108" stopIfTrue="1">
      <formula>OR(AND(LEFT($A992, 16)="select_multiple ", LEN($A992)&gt;16, NOT(ISNUMBER(SEARCH(" ", $A992, 17)))), AND(LEFT($A992, 11)="select_one ", LEN($A992)&gt;11, NOT(ISNUMBER(SEARCH(" ", $A992, 12)))))</formula>
    </cfRule>
  </conditionalFormatting>
  <conditionalFormatting sqref="B992:E996">
    <cfRule type="expression" dxfId="25" priority="109" stopIfTrue="1">
      <formula>$A992="decimal"</formula>
    </cfRule>
  </conditionalFormatting>
  <conditionalFormatting sqref="B992:E996">
    <cfRule type="expression" dxfId="26" priority="110" stopIfTrue="1">
      <formula>$A992="integer"</formula>
    </cfRule>
  </conditionalFormatting>
  <conditionalFormatting sqref="B992:E996">
    <cfRule type="expression" dxfId="27" priority="111" stopIfTrue="1">
      <formula>$A992="text"</formula>
    </cfRule>
  </conditionalFormatting>
  <conditionalFormatting sqref="B992:E996">
    <cfRule type="expression" dxfId="28" priority="112" stopIfTrue="1">
      <formula>$A992="end repeat"</formula>
    </cfRule>
  </conditionalFormatting>
  <conditionalFormatting sqref="B992:E996">
    <cfRule type="expression" dxfId="28" priority="113" stopIfTrue="1">
      <formula>$A992="begin repeat"</formula>
    </cfRule>
  </conditionalFormatting>
  <conditionalFormatting sqref="B992:E996">
    <cfRule type="expression" dxfId="29" priority="114" stopIfTrue="1">
      <formula>$A992="end group"</formula>
    </cfRule>
  </conditionalFormatting>
  <conditionalFormatting sqref="B992:E996">
    <cfRule type="expression" dxfId="29" priority="115" stopIfTrue="1">
      <formula>$A992="begin group"</formula>
    </cfRule>
  </conditionalFormatting>
  <conditionalFormatting sqref="B992:B996">
    <cfRule type="expression" dxfId="30" priority="116" stopIfTrue="1">
      <formula>$A992="comments"</formula>
    </cfRule>
  </conditionalFormatting>
  <conditionalFormatting sqref="B992:B996">
    <cfRule type="expression" dxfId="36" priority="117" stopIfTrue="1">
      <formula>OR(AND(LEFT($A992, 14)="sensor_stream ", LEN($A992)&gt;14, NOT(ISNUMBER(SEARCH(" ", $A992, 15)))), AND(LEFT($A992, 17)="sensor_statistic ", LEN($A992)&gt;17, NOT(ISNUMBER(SEARCH(" ", $A992, 18)))))</formula>
    </cfRule>
  </conditionalFormatting>
  <conditionalFormatting sqref="B983:C988 D983:E988">
    <cfRule type="expression" dxfId="0" priority="118" stopIfTrue="1">
      <formula>$A983="begin group"</formula>
    </cfRule>
  </conditionalFormatting>
  <conditionalFormatting sqref="B983:C988 D983:E988">
    <cfRule type="expression" dxfId="1" priority="119" stopIfTrue="1">
      <formula>$A983="begin repeat"</formula>
    </cfRule>
  </conditionalFormatting>
  <conditionalFormatting sqref="B983:E988">
    <cfRule type="expression" dxfId="31" priority="120" stopIfTrue="1">
      <formula>$A983="enumerator"</formula>
    </cfRule>
  </conditionalFormatting>
  <conditionalFormatting sqref="B983:E988">
    <cfRule type="expression" dxfId="2" priority="121" stopIfTrue="1">
      <formula>$A983="text"</formula>
    </cfRule>
  </conditionalFormatting>
  <conditionalFormatting sqref="B983:E988">
    <cfRule type="expression" dxfId="3" priority="122" stopIfTrue="1">
      <formula>$A983="integer"</formula>
    </cfRule>
  </conditionalFormatting>
  <conditionalFormatting sqref="B983:E988">
    <cfRule type="expression" dxfId="4" priority="123" stopIfTrue="1">
      <formula>$A983="decimal"</formula>
    </cfRule>
  </conditionalFormatting>
  <conditionalFormatting sqref="B983:C988 D983:E988">
    <cfRule type="expression" dxfId="5" priority="124" stopIfTrue="1">
      <formula>OR(AND(LEFT($A983, 16)="select_multiple ", LEN($A983)&gt;16, NOT(ISNUMBER(SEARCH(" ", $A983, 17)))), AND(LEFT($A983, 11)="select_one ", LEN($A983)&gt;11, NOT(ISNUMBER(SEARCH(" ", $A983, 12)))))</formula>
    </cfRule>
  </conditionalFormatting>
  <conditionalFormatting sqref="B983:B988">
    <cfRule type="expression" dxfId="6" priority="125" stopIfTrue="1">
      <formula>OR($A983="audio audit", $A983="text audit", $A983="speed violations count", $A983="speed violations list", $A983="speed violations audit")</formula>
    </cfRule>
  </conditionalFormatting>
  <conditionalFormatting sqref="B983:C988 D983:E988">
    <cfRule type="expression" dxfId="32" priority="126" stopIfTrue="1">
      <formula>$A983="file"</formula>
    </cfRule>
  </conditionalFormatting>
  <conditionalFormatting sqref="B983:C988 D983:E988">
    <cfRule type="expression" dxfId="7" priority="127" stopIfTrue="1">
      <formula>$A983="note"</formula>
    </cfRule>
  </conditionalFormatting>
  <conditionalFormatting sqref="B983:C988 D983:E988">
    <cfRule type="expression" dxfId="8" priority="128" stopIfTrue="1">
      <formula>$A983="barcode"</formula>
    </cfRule>
  </conditionalFormatting>
  <conditionalFormatting sqref="B983:C988 D983:E988">
    <cfRule type="expression" dxfId="9" priority="129" stopIfTrue="1">
      <formula>OR($A983="geopoint", $A983="geoshape", $A983="geotrace")</formula>
    </cfRule>
  </conditionalFormatting>
  <conditionalFormatting sqref="B983:B988">
    <cfRule type="expression" dxfId="10" priority="130" stopIfTrue="1">
      <formula>OR($A983="calculate", $A983="calculate_here")</formula>
    </cfRule>
  </conditionalFormatting>
  <conditionalFormatting sqref="B983:C988 D983:E988">
    <cfRule type="expression" dxfId="11" priority="131" stopIfTrue="1">
      <formula>OR($A983="date", $A983="datetime", $A983="time")</formula>
    </cfRule>
  </conditionalFormatting>
  <conditionalFormatting sqref="B983:C988 D983:E988">
    <cfRule type="expression" dxfId="12" priority="132" stopIfTrue="1">
      <formula>$A983="image"</formula>
    </cfRule>
  </conditionalFormatting>
  <conditionalFormatting sqref="B983:C988 D983:E988">
    <cfRule type="expression" dxfId="13" priority="133" stopIfTrue="1">
      <formula>OR($A983="audio", $A983="video")</formula>
    </cfRule>
  </conditionalFormatting>
  <conditionalFormatting sqref="B983:E988">
    <cfRule type="expression" dxfId="33" priority="134" stopIfTrue="1">
      <formula>$A983="file"</formula>
    </cfRule>
  </conditionalFormatting>
  <conditionalFormatting sqref="B983:E988">
    <cfRule type="expression" dxfId="34" priority="135" stopIfTrue="1">
      <formula>$A983="enumerator"</formula>
    </cfRule>
  </conditionalFormatting>
  <conditionalFormatting sqref="B983:E988">
    <cfRule type="expression" dxfId="35" priority="136" stopIfTrue="1">
      <formula>OR(AND(LEFT($A983, 14)="sensor_stream ", LEN($A983)&gt;14, NOT(ISNUMBER(SEARCH(" ", $A983, 15)))), AND(LEFT($A983, 17)="sensor_statistic ", LEN($A983)&gt;17, NOT(ISNUMBER(SEARCH(" ", $A983, 18)))))</formula>
    </cfRule>
  </conditionalFormatting>
  <conditionalFormatting sqref="B983:E988">
    <cfRule type="expression" dxfId="14" priority="137" stopIfTrue="1">
      <formula>$A983="comments"</formula>
    </cfRule>
  </conditionalFormatting>
  <conditionalFormatting sqref="B983:E988">
    <cfRule type="expression" dxfId="15" priority="138" stopIfTrue="1">
      <formula>OR($A983="audio", $A983="video")</formula>
    </cfRule>
  </conditionalFormatting>
  <conditionalFormatting sqref="B983:E988">
    <cfRule type="expression" dxfId="16" priority="139" stopIfTrue="1">
      <formula>$A983="image"</formula>
    </cfRule>
  </conditionalFormatting>
  <conditionalFormatting sqref="B983:E988">
    <cfRule type="expression" dxfId="17" priority="140" stopIfTrue="1">
      <formula>OR($A983="date", $A983="datetime", $A983="time")</formula>
    </cfRule>
  </conditionalFormatting>
  <conditionalFormatting sqref="B983:E988">
    <cfRule type="expression" dxfId="18" priority="141" stopIfTrue="1">
      <formula>OR($A983="calculate", $A983="calculate_here")</formula>
    </cfRule>
  </conditionalFormatting>
  <conditionalFormatting sqref="B983:E988">
    <cfRule type="expression" dxfId="19" priority="142" stopIfTrue="1">
      <formula>$A983="note"</formula>
    </cfRule>
  </conditionalFormatting>
  <conditionalFormatting sqref="B983:E988">
    <cfRule type="expression" dxfId="20" priority="143" stopIfTrue="1">
      <formula>$A983="barcode"</formula>
    </cfRule>
  </conditionalFormatting>
  <conditionalFormatting sqref="B983:E988">
    <cfRule type="expression" dxfId="21" priority="144" stopIfTrue="1">
      <formula>OR($A983="geopoint", $A983="geoshape", $A983="geotrace")</formula>
    </cfRule>
  </conditionalFormatting>
  <conditionalFormatting sqref="B983:E988">
    <cfRule type="expression" dxfId="22" priority="145" stopIfTrue="1">
      <formula>OR($A983="audio audit", $A983="text audit", $A983="speed violations count", $A983="speed violations list", $A983="speed violations audit")</formula>
    </cfRule>
  </conditionalFormatting>
  <conditionalFormatting sqref="B983:E988">
    <cfRule type="expression" dxfId="23" priority="146" stopIfTrue="1">
      <formula>OR($A983="username", $A983="phonenumber", $A983="start", $A983="end", $A983="deviceid", $A983="subscriberid", $A983="simserial", $A983="caseid")</formula>
    </cfRule>
  </conditionalFormatting>
  <conditionalFormatting sqref="B983:E988">
    <cfRule type="expression" dxfId="24" priority="147" stopIfTrue="1">
      <formula>OR(AND(LEFT($A983, 16)="select_multiple ", LEN($A983)&gt;16, NOT(ISNUMBER(SEARCH(" ", $A983, 17)))), AND(LEFT($A983, 11)="select_one ", LEN($A983)&gt;11, NOT(ISNUMBER(SEARCH(" ", $A983, 12)))))</formula>
    </cfRule>
  </conditionalFormatting>
  <conditionalFormatting sqref="B983:E988">
    <cfRule type="expression" dxfId="25" priority="148" stopIfTrue="1">
      <formula>$A983="decimal"</formula>
    </cfRule>
  </conditionalFormatting>
  <conditionalFormatting sqref="B983:E988">
    <cfRule type="expression" dxfId="26" priority="149" stopIfTrue="1">
      <formula>$A983="integer"</formula>
    </cfRule>
  </conditionalFormatting>
  <conditionalFormatting sqref="B983:E988">
    <cfRule type="expression" dxfId="27" priority="150" stopIfTrue="1">
      <formula>$A983="text"</formula>
    </cfRule>
  </conditionalFormatting>
  <conditionalFormatting sqref="B983:E988">
    <cfRule type="expression" dxfId="28" priority="151" stopIfTrue="1">
      <formula>$A983="end repeat"</formula>
    </cfRule>
  </conditionalFormatting>
  <conditionalFormatting sqref="B983:E988">
    <cfRule type="expression" dxfId="28" priority="152" stopIfTrue="1">
      <formula>$A983="begin repeat"</formula>
    </cfRule>
  </conditionalFormatting>
  <conditionalFormatting sqref="B983:E988">
    <cfRule type="expression" dxfId="29" priority="153" stopIfTrue="1">
      <formula>$A983="end group"</formula>
    </cfRule>
  </conditionalFormatting>
  <conditionalFormatting sqref="B983:E988">
    <cfRule type="expression" dxfId="29" priority="154" stopIfTrue="1">
      <formula>$A983="begin group"</formula>
    </cfRule>
  </conditionalFormatting>
  <conditionalFormatting sqref="B983:B988">
    <cfRule type="expression" dxfId="30" priority="155" stopIfTrue="1">
      <formula>$A983="comments"</formula>
    </cfRule>
  </conditionalFormatting>
  <conditionalFormatting sqref="B983:B988">
    <cfRule type="expression" dxfId="36" priority="156" stopIfTrue="1">
      <formula>OR(AND(LEFT($A983, 14)="sensor_stream ", LEN($A983)&gt;14, NOT(ISNUMBER(SEARCH(" ", $A983, 15)))), AND(LEFT($A983, 17)="sensor_statistic ", LEN($A983)&gt;17, NOT(ISNUMBER(SEARCH(" ", $A983, 18)))))</formula>
    </cfRule>
  </conditionalFormatting>
  <conditionalFormatting sqref="B979:C980 D979:E980">
    <cfRule type="expression" dxfId="0" priority="157" stopIfTrue="1">
      <formula>$A979="begin group"</formula>
    </cfRule>
  </conditionalFormatting>
  <conditionalFormatting sqref="B979:C980 D979:E980">
    <cfRule type="expression" dxfId="1" priority="158" stopIfTrue="1">
      <formula>$A979="begin repeat"</formula>
    </cfRule>
  </conditionalFormatting>
  <conditionalFormatting sqref="B979:E980">
    <cfRule type="expression" dxfId="31" priority="159" stopIfTrue="1">
      <formula>$A979="enumerator"</formula>
    </cfRule>
  </conditionalFormatting>
  <conditionalFormatting sqref="B979:E980">
    <cfRule type="expression" dxfId="2" priority="160" stopIfTrue="1">
      <formula>$A979="text"</formula>
    </cfRule>
  </conditionalFormatting>
  <conditionalFormatting sqref="B979:E980">
    <cfRule type="expression" dxfId="3" priority="161" stopIfTrue="1">
      <formula>$A979="integer"</formula>
    </cfRule>
  </conditionalFormatting>
  <conditionalFormatting sqref="B979:E980">
    <cfRule type="expression" dxfId="4" priority="162" stopIfTrue="1">
      <formula>$A979="decimal"</formula>
    </cfRule>
  </conditionalFormatting>
  <conditionalFormatting sqref="B979:C980 D979:E980">
    <cfRule type="expression" dxfId="5" priority="163" stopIfTrue="1">
      <formula>OR(AND(LEFT($A979, 16)="select_multiple ", LEN($A979)&gt;16, NOT(ISNUMBER(SEARCH(" ", $A979, 17)))), AND(LEFT($A979, 11)="select_one ", LEN($A979)&gt;11, NOT(ISNUMBER(SEARCH(" ", $A979, 12)))))</formula>
    </cfRule>
  </conditionalFormatting>
  <conditionalFormatting sqref="B979:B980">
    <cfRule type="expression" dxfId="6" priority="164" stopIfTrue="1">
      <formula>OR($A979="audio audit", $A979="text audit", $A979="speed violations count", $A979="speed violations list", $A979="speed violations audit")</formula>
    </cfRule>
  </conditionalFormatting>
  <conditionalFormatting sqref="B979:C980 D979:E980">
    <cfRule type="expression" dxfId="32" priority="165" stopIfTrue="1">
      <formula>$A979="file"</formula>
    </cfRule>
  </conditionalFormatting>
  <conditionalFormatting sqref="B979:C980 D979:E980">
    <cfRule type="expression" dxfId="7" priority="166" stopIfTrue="1">
      <formula>$A979="note"</formula>
    </cfRule>
  </conditionalFormatting>
  <conditionalFormatting sqref="B979:C980 D979:E980">
    <cfRule type="expression" dxfId="8" priority="167" stopIfTrue="1">
      <formula>$A979="barcode"</formula>
    </cfRule>
  </conditionalFormatting>
  <conditionalFormatting sqref="B979:C980 D979:E980">
    <cfRule type="expression" dxfId="9" priority="168" stopIfTrue="1">
      <formula>OR($A979="geopoint", $A979="geoshape", $A979="geotrace")</formula>
    </cfRule>
  </conditionalFormatting>
  <conditionalFormatting sqref="B979:B980">
    <cfRule type="expression" dxfId="10" priority="169" stopIfTrue="1">
      <formula>OR($A979="calculate", $A979="calculate_here")</formula>
    </cfRule>
  </conditionalFormatting>
  <conditionalFormatting sqref="B979:C980 D979:E980">
    <cfRule type="expression" dxfId="11" priority="170" stopIfTrue="1">
      <formula>OR($A979="date", $A979="datetime", $A979="time")</formula>
    </cfRule>
  </conditionalFormatting>
  <conditionalFormatting sqref="B979:C980 D979:E980">
    <cfRule type="expression" dxfId="12" priority="171" stopIfTrue="1">
      <formula>$A979="image"</formula>
    </cfRule>
  </conditionalFormatting>
  <conditionalFormatting sqref="B979:C980 D979:E980">
    <cfRule type="expression" dxfId="13" priority="172" stopIfTrue="1">
      <formula>OR($A979="audio", $A979="video")</formula>
    </cfRule>
  </conditionalFormatting>
  <conditionalFormatting sqref="B979:E980">
    <cfRule type="expression" dxfId="33" priority="173" stopIfTrue="1">
      <formula>$A979="file"</formula>
    </cfRule>
  </conditionalFormatting>
  <conditionalFormatting sqref="B979:E980">
    <cfRule type="expression" dxfId="34" priority="174" stopIfTrue="1">
      <formula>$A979="enumerator"</formula>
    </cfRule>
  </conditionalFormatting>
  <conditionalFormatting sqref="B979:E980">
    <cfRule type="expression" dxfId="35" priority="175" stopIfTrue="1">
      <formula>OR(AND(LEFT($A979, 14)="sensor_stream ", LEN($A979)&gt;14, NOT(ISNUMBER(SEARCH(" ", $A979, 15)))), AND(LEFT($A979, 17)="sensor_statistic ", LEN($A979)&gt;17, NOT(ISNUMBER(SEARCH(" ", $A979, 18)))))</formula>
    </cfRule>
  </conditionalFormatting>
  <conditionalFormatting sqref="B979:E980">
    <cfRule type="expression" dxfId="14" priority="176" stopIfTrue="1">
      <formula>$A979="comments"</formula>
    </cfRule>
  </conditionalFormatting>
  <conditionalFormatting sqref="B979:E980">
    <cfRule type="expression" dxfId="15" priority="177" stopIfTrue="1">
      <formula>OR($A979="audio", $A979="video")</formula>
    </cfRule>
  </conditionalFormatting>
  <conditionalFormatting sqref="B979:E980">
    <cfRule type="expression" dxfId="16" priority="178" stopIfTrue="1">
      <formula>$A979="image"</formula>
    </cfRule>
  </conditionalFormatting>
  <conditionalFormatting sqref="B979:E980">
    <cfRule type="expression" dxfId="17" priority="179" stopIfTrue="1">
      <formula>OR($A979="date", $A979="datetime", $A979="time")</formula>
    </cfRule>
  </conditionalFormatting>
  <conditionalFormatting sqref="B979:E980">
    <cfRule type="expression" dxfId="18" priority="180" stopIfTrue="1">
      <formula>OR($A979="calculate", $A979="calculate_here")</formula>
    </cfRule>
  </conditionalFormatting>
  <conditionalFormatting sqref="B979:E980">
    <cfRule type="expression" dxfId="19" priority="181" stopIfTrue="1">
      <formula>$A979="note"</formula>
    </cfRule>
  </conditionalFormatting>
  <conditionalFormatting sqref="B979:E980">
    <cfRule type="expression" dxfId="20" priority="182" stopIfTrue="1">
      <formula>$A979="barcode"</formula>
    </cfRule>
  </conditionalFormatting>
  <conditionalFormatting sqref="B979:E980">
    <cfRule type="expression" dxfId="21" priority="183" stopIfTrue="1">
      <formula>OR($A979="geopoint", $A979="geoshape", $A979="geotrace")</formula>
    </cfRule>
  </conditionalFormatting>
  <conditionalFormatting sqref="B979:E980">
    <cfRule type="expression" dxfId="22" priority="184" stopIfTrue="1">
      <formula>OR($A979="audio audit", $A979="text audit", $A979="speed violations count", $A979="speed violations list", $A979="speed violations audit")</formula>
    </cfRule>
  </conditionalFormatting>
  <conditionalFormatting sqref="B979:E980">
    <cfRule type="expression" dxfId="23" priority="185" stopIfTrue="1">
      <formula>OR($A979="username", $A979="phonenumber", $A979="start", $A979="end", $A979="deviceid", $A979="subscriberid", $A979="simserial", $A979="caseid")</formula>
    </cfRule>
  </conditionalFormatting>
  <conditionalFormatting sqref="B979:E980">
    <cfRule type="expression" dxfId="24" priority="186" stopIfTrue="1">
      <formula>OR(AND(LEFT($A979, 16)="select_multiple ", LEN($A979)&gt;16, NOT(ISNUMBER(SEARCH(" ", $A979, 17)))), AND(LEFT($A979, 11)="select_one ", LEN($A979)&gt;11, NOT(ISNUMBER(SEARCH(" ", $A979, 12)))))</formula>
    </cfRule>
  </conditionalFormatting>
  <conditionalFormatting sqref="B979:E980">
    <cfRule type="expression" dxfId="25" priority="187" stopIfTrue="1">
      <formula>$A979="decimal"</formula>
    </cfRule>
  </conditionalFormatting>
  <conditionalFormatting sqref="B979:E980">
    <cfRule type="expression" dxfId="26" priority="188" stopIfTrue="1">
      <formula>$A979="integer"</formula>
    </cfRule>
  </conditionalFormatting>
  <conditionalFormatting sqref="B979:E980">
    <cfRule type="expression" dxfId="27" priority="189" stopIfTrue="1">
      <formula>$A979="text"</formula>
    </cfRule>
  </conditionalFormatting>
  <conditionalFormatting sqref="B979:E980">
    <cfRule type="expression" dxfId="28" priority="190" stopIfTrue="1">
      <formula>$A979="end repeat"</formula>
    </cfRule>
  </conditionalFormatting>
  <conditionalFormatting sqref="B979:E980">
    <cfRule type="expression" dxfId="28" priority="191" stopIfTrue="1">
      <formula>$A979="begin repeat"</formula>
    </cfRule>
  </conditionalFormatting>
  <conditionalFormatting sqref="B979:E980">
    <cfRule type="expression" dxfId="29" priority="192" stopIfTrue="1">
      <formula>$A979="end group"</formula>
    </cfRule>
  </conditionalFormatting>
  <conditionalFormatting sqref="B979:E980">
    <cfRule type="expression" dxfId="29" priority="193" stopIfTrue="1">
      <formula>$A979="begin group"</formula>
    </cfRule>
  </conditionalFormatting>
  <conditionalFormatting sqref="B979:B980">
    <cfRule type="expression" dxfId="30" priority="194" stopIfTrue="1">
      <formula>$A979="comments"</formula>
    </cfRule>
  </conditionalFormatting>
  <conditionalFormatting sqref="B979:B980">
    <cfRule type="expression" dxfId="36" priority="195" stopIfTrue="1">
      <formula>OR(AND(LEFT($A979, 14)="sensor_stream ", LEN($A979)&gt;14, NOT(ISNUMBER(SEARCH(" ", $A979, 15)))), AND(LEFT($A979, 17)="sensor_statistic ", LEN($A979)&gt;17, NOT(ISNUMBER(SEARCH(" ", $A979, 18)))))</formula>
    </cfRule>
  </conditionalFormatting>
  <conditionalFormatting sqref="B971:C977 D971:E977">
    <cfRule type="expression" dxfId="0" priority="196" stopIfTrue="1">
      <formula>$A971="begin group"</formula>
    </cfRule>
  </conditionalFormatting>
  <conditionalFormatting sqref="B971:C977 D971:E977">
    <cfRule type="expression" dxfId="1" priority="197" stopIfTrue="1">
      <formula>$A971="begin repeat"</formula>
    </cfRule>
  </conditionalFormatting>
  <conditionalFormatting sqref="B971:E977">
    <cfRule type="expression" dxfId="31" priority="198" stopIfTrue="1">
      <formula>$A971="enumerator"</formula>
    </cfRule>
  </conditionalFormatting>
  <conditionalFormatting sqref="B971:E977">
    <cfRule type="expression" dxfId="2" priority="199" stopIfTrue="1">
      <formula>$A971="text"</formula>
    </cfRule>
  </conditionalFormatting>
  <conditionalFormatting sqref="B971:E977">
    <cfRule type="expression" dxfId="3" priority="200" stopIfTrue="1">
      <formula>$A971="integer"</formula>
    </cfRule>
  </conditionalFormatting>
  <conditionalFormatting sqref="B971:E977">
    <cfRule type="expression" dxfId="4" priority="201" stopIfTrue="1">
      <formula>$A971="decimal"</formula>
    </cfRule>
  </conditionalFormatting>
  <conditionalFormatting sqref="B971:C977 D971:E977">
    <cfRule type="expression" dxfId="5" priority="202" stopIfTrue="1">
      <formula>OR(AND(LEFT($A971, 16)="select_multiple ", LEN($A971)&gt;16, NOT(ISNUMBER(SEARCH(" ", $A971, 17)))), AND(LEFT($A971, 11)="select_one ", LEN($A971)&gt;11, NOT(ISNUMBER(SEARCH(" ", $A971, 12)))))</formula>
    </cfRule>
  </conditionalFormatting>
  <conditionalFormatting sqref="B971:B977">
    <cfRule type="expression" dxfId="6" priority="203" stopIfTrue="1">
      <formula>OR($A971="audio audit", $A971="text audit", $A971="speed violations count", $A971="speed violations list", $A971="speed violations audit")</formula>
    </cfRule>
  </conditionalFormatting>
  <conditionalFormatting sqref="B971:C977 D971:E977">
    <cfRule type="expression" dxfId="32" priority="204" stopIfTrue="1">
      <formula>$A971="file"</formula>
    </cfRule>
  </conditionalFormatting>
  <conditionalFormatting sqref="B971:C977 D971:E977">
    <cfRule type="expression" dxfId="7" priority="205" stopIfTrue="1">
      <formula>$A971="note"</formula>
    </cfRule>
  </conditionalFormatting>
  <conditionalFormatting sqref="B971:C977 D971:E977">
    <cfRule type="expression" dxfId="8" priority="206" stopIfTrue="1">
      <formula>$A971="barcode"</formula>
    </cfRule>
  </conditionalFormatting>
  <conditionalFormatting sqref="B971:C977 D971:E977">
    <cfRule type="expression" dxfId="9" priority="207" stopIfTrue="1">
      <formula>OR($A971="geopoint", $A971="geoshape", $A971="geotrace")</formula>
    </cfRule>
  </conditionalFormatting>
  <conditionalFormatting sqref="B971:B977">
    <cfRule type="expression" dxfId="10" priority="208" stopIfTrue="1">
      <formula>OR($A971="calculate", $A971="calculate_here")</formula>
    </cfRule>
  </conditionalFormatting>
  <conditionalFormatting sqref="B971:C977 D971:E977">
    <cfRule type="expression" dxfId="11" priority="209" stopIfTrue="1">
      <formula>OR($A971="date", $A971="datetime", $A971="time")</formula>
    </cfRule>
  </conditionalFormatting>
  <conditionalFormatting sqref="B971:C977 D971:E977">
    <cfRule type="expression" dxfId="12" priority="210" stopIfTrue="1">
      <formula>$A971="image"</formula>
    </cfRule>
  </conditionalFormatting>
  <conditionalFormatting sqref="B971:C977 D971:E977">
    <cfRule type="expression" dxfId="13" priority="211" stopIfTrue="1">
      <formula>OR($A971="audio", $A971="video")</formula>
    </cfRule>
  </conditionalFormatting>
  <conditionalFormatting sqref="B971:E977">
    <cfRule type="expression" dxfId="33" priority="212" stopIfTrue="1">
      <formula>$A971="file"</formula>
    </cfRule>
  </conditionalFormatting>
  <conditionalFormatting sqref="B971:E977">
    <cfRule type="expression" dxfId="34" priority="213" stopIfTrue="1">
      <formula>$A971="enumerator"</formula>
    </cfRule>
  </conditionalFormatting>
  <conditionalFormatting sqref="B971:E977">
    <cfRule type="expression" dxfId="35" priority="214" stopIfTrue="1">
      <formula>OR(AND(LEFT($A971, 14)="sensor_stream ", LEN($A971)&gt;14, NOT(ISNUMBER(SEARCH(" ", $A971, 15)))), AND(LEFT($A971, 17)="sensor_statistic ", LEN($A971)&gt;17, NOT(ISNUMBER(SEARCH(" ", $A971, 18)))))</formula>
    </cfRule>
  </conditionalFormatting>
  <conditionalFormatting sqref="B971:E977">
    <cfRule type="expression" dxfId="14" priority="215" stopIfTrue="1">
      <formula>$A971="comments"</formula>
    </cfRule>
  </conditionalFormatting>
  <conditionalFormatting sqref="B971:E977">
    <cfRule type="expression" dxfId="15" priority="216" stopIfTrue="1">
      <formula>OR($A971="audio", $A971="video")</formula>
    </cfRule>
  </conditionalFormatting>
  <conditionalFormatting sqref="B971:E977">
    <cfRule type="expression" dxfId="16" priority="217" stopIfTrue="1">
      <formula>$A971="image"</formula>
    </cfRule>
  </conditionalFormatting>
  <conditionalFormatting sqref="B971:E977">
    <cfRule type="expression" dxfId="17" priority="218" stopIfTrue="1">
      <formula>OR($A971="date", $A971="datetime", $A971="time")</formula>
    </cfRule>
  </conditionalFormatting>
  <conditionalFormatting sqref="B971:E977">
    <cfRule type="expression" dxfId="18" priority="219" stopIfTrue="1">
      <formula>OR($A971="calculate", $A971="calculate_here")</formula>
    </cfRule>
  </conditionalFormatting>
  <conditionalFormatting sqref="B971:E977">
    <cfRule type="expression" dxfId="19" priority="220" stopIfTrue="1">
      <formula>$A971="note"</formula>
    </cfRule>
  </conditionalFormatting>
  <conditionalFormatting sqref="B971:E977">
    <cfRule type="expression" dxfId="20" priority="221" stopIfTrue="1">
      <formula>$A971="barcode"</formula>
    </cfRule>
  </conditionalFormatting>
  <conditionalFormatting sqref="B971:E977">
    <cfRule type="expression" dxfId="21" priority="222" stopIfTrue="1">
      <formula>OR($A971="geopoint", $A971="geoshape", $A971="geotrace")</formula>
    </cfRule>
  </conditionalFormatting>
  <conditionalFormatting sqref="B971:E977">
    <cfRule type="expression" dxfId="22" priority="223" stopIfTrue="1">
      <formula>OR($A971="audio audit", $A971="text audit", $A971="speed violations count", $A971="speed violations list", $A971="speed violations audit")</formula>
    </cfRule>
  </conditionalFormatting>
  <conditionalFormatting sqref="B971:E977">
    <cfRule type="expression" dxfId="23" priority="224" stopIfTrue="1">
      <formula>OR($A971="username", $A971="phonenumber", $A971="start", $A971="end", $A971="deviceid", $A971="subscriberid", $A971="simserial", $A971="caseid")</formula>
    </cfRule>
  </conditionalFormatting>
  <conditionalFormatting sqref="B971:E977">
    <cfRule type="expression" dxfId="24" priority="225" stopIfTrue="1">
      <formula>OR(AND(LEFT($A971, 16)="select_multiple ", LEN($A971)&gt;16, NOT(ISNUMBER(SEARCH(" ", $A971, 17)))), AND(LEFT($A971, 11)="select_one ", LEN($A971)&gt;11, NOT(ISNUMBER(SEARCH(" ", $A971, 12)))))</formula>
    </cfRule>
  </conditionalFormatting>
  <conditionalFormatting sqref="B971:E977">
    <cfRule type="expression" dxfId="25" priority="226" stopIfTrue="1">
      <formula>$A971="decimal"</formula>
    </cfRule>
  </conditionalFormatting>
  <conditionalFormatting sqref="B971:E977">
    <cfRule type="expression" dxfId="26" priority="227" stopIfTrue="1">
      <formula>$A971="integer"</formula>
    </cfRule>
  </conditionalFormatting>
  <conditionalFormatting sqref="B971:E977">
    <cfRule type="expression" dxfId="27" priority="228" stopIfTrue="1">
      <formula>$A971="text"</formula>
    </cfRule>
  </conditionalFormatting>
  <conditionalFormatting sqref="B971:E977">
    <cfRule type="expression" dxfId="28" priority="229" stopIfTrue="1">
      <formula>$A971="end repeat"</formula>
    </cfRule>
  </conditionalFormatting>
  <conditionalFormatting sqref="B971:E977">
    <cfRule type="expression" dxfId="28" priority="230" stopIfTrue="1">
      <formula>$A971="begin repeat"</formula>
    </cfRule>
  </conditionalFormatting>
  <conditionalFormatting sqref="B971:E977">
    <cfRule type="expression" dxfId="29" priority="231" stopIfTrue="1">
      <formula>$A971="end group"</formula>
    </cfRule>
  </conditionalFormatting>
  <conditionalFormatting sqref="B971:E977">
    <cfRule type="expression" dxfId="29" priority="232" stopIfTrue="1">
      <formula>$A971="begin group"</formula>
    </cfRule>
  </conditionalFormatting>
  <conditionalFormatting sqref="B971:B977">
    <cfRule type="expression" dxfId="30" priority="233" stopIfTrue="1">
      <formula>$A971="comments"</formula>
    </cfRule>
  </conditionalFormatting>
  <conditionalFormatting sqref="B971:B977">
    <cfRule type="expression" dxfId="36" priority="234" stopIfTrue="1">
      <formula>OR(AND(LEFT($A971, 14)="sensor_stream ", LEN($A971)&gt;14, NOT(ISNUMBER(SEARCH(" ", $A971, 15)))), AND(LEFT($A971, 17)="sensor_statistic ", LEN($A971)&gt;17, NOT(ISNUMBER(SEARCH(" ", $A971, 18)))))</formula>
    </cfRule>
  </conditionalFormatting>
  <conditionalFormatting sqref="B967:C968 D967:E968">
    <cfRule type="expression" dxfId="0" priority="235" stopIfTrue="1">
      <formula>$A967="begin group"</formula>
    </cfRule>
  </conditionalFormatting>
  <conditionalFormatting sqref="B967:C968 D967:E968">
    <cfRule type="expression" dxfId="1" priority="236" stopIfTrue="1">
      <formula>$A967="begin repeat"</formula>
    </cfRule>
  </conditionalFormatting>
  <conditionalFormatting sqref="B967:E968">
    <cfRule type="expression" dxfId="31" priority="237" stopIfTrue="1">
      <formula>$A967="enumerator"</formula>
    </cfRule>
  </conditionalFormatting>
  <conditionalFormatting sqref="B967:E968">
    <cfRule type="expression" dxfId="2" priority="238" stopIfTrue="1">
      <formula>$A967="text"</formula>
    </cfRule>
  </conditionalFormatting>
  <conditionalFormatting sqref="B967:E968">
    <cfRule type="expression" dxfId="3" priority="239" stopIfTrue="1">
      <formula>$A967="integer"</formula>
    </cfRule>
  </conditionalFormatting>
  <conditionalFormatting sqref="B967:E968">
    <cfRule type="expression" dxfId="4" priority="240" stopIfTrue="1">
      <formula>$A967="decimal"</formula>
    </cfRule>
  </conditionalFormatting>
  <conditionalFormatting sqref="B967:C968 D967:E968">
    <cfRule type="expression" dxfId="5" priority="241" stopIfTrue="1">
      <formula>OR(AND(LEFT($A967, 16)="select_multiple ", LEN($A967)&gt;16, NOT(ISNUMBER(SEARCH(" ", $A967, 17)))), AND(LEFT($A967, 11)="select_one ", LEN($A967)&gt;11, NOT(ISNUMBER(SEARCH(" ", $A967, 12)))))</formula>
    </cfRule>
  </conditionalFormatting>
  <conditionalFormatting sqref="B967:B968">
    <cfRule type="expression" dxfId="6" priority="242" stopIfTrue="1">
      <formula>OR($A967="audio audit", $A967="text audit", $A967="speed violations count", $A967="speed violations list", $A967="speed violations audit")</formula>
    </cfRule>
  </conditionalFormatting>
  <conditionalFormatting sqref="B967:C968 D967:E968">
    <cfRule type="expression" dxfId="32" priority="243" stopIfTrue="1">
      <formula>$A967="file"</formula>
    </cfRule>
  </conditionalFormatting>
  <conditionalFormatting sqref="B967:C968 D967:E968">
    <cfRule type="expression" dxfId="7" priority="244" stopIfTrue="1">
      <formula>$A967="note"</formula>
    </cfRule>
  </conditionalFormatting>
  <conditionalFormatting sqref="B967:C968 D967:E968">
    <cfRule type="expression" dxfId="8" priority="245" stopIfTrue="1">
      <formula>$A967="barcode"</formula>
    </cfRule>
  </conditionalFormatting>
  <conditionalFormatting sqref="B967:C968 D967:E968">
    <cfRule type="expression" dxfId="9" priority="246" stopIfTrue="1">
      <formula>OR($A967="geopoint", $A967="geoshape", $A967="geotrace")</formula>
    </cfRule>
  </conditionalFormatting>
  <conditionalFormatting sqref="B967:B968">
    <cfRule type="expression" dxfId="10" priority="247" stopIfTrue="1">
      <formula>OR($A967="calculate", $A967="calculate_here")</formula>
    </cfRule>
  </conditionalFormatting>
  <conditionalFormatting sqref="B967:C968 D967:E968">
    <cfRule type="expression" dxfId="11" priority="248" stopIfTrue="1">
      <formula>OR($A967="date", $A967="datetime", $A967="time")</formula>
    </cfRule>
  </conditionalFormatting>
  <conditionalFormatting sqref="B967:C968 D967:E968">
    <cfRule type="expression" dxfId="12" priority="249" stopIfTrue="1">
      <formula>$A967="image"</formula>
    </cfRule>
  </conditionalFormatting>
  <conditionalFormatting sqref="B967:C968 D967:E968">
    <cfRule type="expression" dxfId="13" priority="250" stopIfTrue="1">
      <formula>OR($A967="audio", $A967="video")</formula>
    </cfRule>
  </conditionalFormatting>
  <conditionalFormatting sqref="B967:E968">
    <cfRule type="expression" dxfId="33" priority="251" stopIfTrue="1">
      <formula>$A967="file"</formula>
    </cfRule>
  </conditionalFormatting>
  <conditionalFormatting sqref="B967:E968">
    <cfRule type="expression" dxfId="34" priority="252" stopIfTrue="1">
      <formula>$A967="enumerator"</formula>
    </cfRule>
  </conditionalFormatting>
  <conditionalFormatting sqref="B967:E968">
    <cfRule type="expression" dxfId="35" priority="253" stopIfTrue="1">
      <formula>OR(AND(LEFT($A967, 14)="sensor_stream ", LEN($A967)&gt;14, NOT(ISNUMBER(SEARCH(" ", $A967, 15)))), AND(LEFT($A967, 17)="sensor_statistic ", LEN($A967)&gt;17, NOT(ISNUMBER(SEARCH(" ", $A967, 18)))))</formula>
    </cfRule>
  </conditionalFormatting>
  <conditionalFormatting sqref="B967:E968">
    <cfRule type="expression" dxfId="14" priority="254" stopIfTrue="1">
      <formula>$A967="comments"</formula>
    </cfRule>
  </conditionalFormatting>
  <conditionalFormatting sqref="B967:E968">
    <cfRule type="expression" dxfId="15" priority="255" stopIfTrue="1">
      <formula>OR($A967="audio", $A967="video")</formula>
    </cfRule>
  </conditionalFormatting>
  <conditionalFormatting sqref="B967:E968">
    <cfRule type="expression" dxfId="16" priority="256" stopIfTrue="1">
      <formula>$A967="image"</formula>
    </cfRule>
  </conditionalFormatting>
  <conditionalFormatting sqref="B967:E968">
    <cfRule type="expression" dxfId="17" priority="257" stopIfTrue="1">
      <formula>OR($A967="date", $A967="datetime", $A967="time")</formula>
    </cfRule>
  </conditionalFormatting>
  <conditionalFormatting sqref="B967:E968">
    <cfRule type="expression" dxfId="18" priority="258" stopIfTrue="1">
      <formula>OR($A967="calculate", $A967="calculate_here")</formula>
    </cfRule>
  </conditionalFormatting>
  <conditionalFormatting sqref="B967:E968">
    <cfRule type="expression" dxfId="19" priority="259" stopIfTrue="1">
      <formula>$A967="note"</formula>
    </cfRule>
  </conditionalFormatting>
  <conditionalFormatting sqref="B967:E968">
    <cfRule type="expression" dxfId="20" priority="260" stopIfTrue="1">
      <formula>$A967="barcode"</formula>
    </cfRule>
  </conditionalFormatting>
  <conditionalFormatting sqref="B967:E968">
    <cfRule type="expression" dxfId="21" priority="261" stopIfTrue="1">
      <formula>OR($A967="geopoint", $A967="geoshape", $A967="geotrace")</formula>
    </cfRule>
  </conditionalFormatting>
  <conditionalFormatting sqref="B967:E968">
    <cfRule type="expression" dxfId="22" priority="262" stopIfTrue="1">
      <formula>OR($A967="audio audit", $A967="text audit", $A967="speed violations count", $A967="speed violations list", $A967="speed violations audit")</formula>
    </cfRule>
  </conditionalFormatting>
  <conditionalFormatting sqref="B967:E968">
    <cfRule type="expression" dxfId="23" priority="263" stopIfTrue="1">
      <formula>OR($A967="username", $A967="phonenumber", $A967="start", $A967="end", $A967="deviceid", $A967="subscriberid", $A967="simserial", $A967="caseid")</formula>
    </cfRule>
  </conditionalFormatting>
  <conditionalFormatting sqref="B967:E968">
    <cfRule type="expression" dxfId="24" priority="264" stopIfTrue="1">
      <formula>OR(AND(LEFT($A967, 16)="select_multiple ", LEN($A967)&gt;16, NOT(ISNUMBER(SEARCH(" ", $A967, 17)))), AND(LEFT($A967, 11)="select_one ", LEN($A967)&gt;11, NOT(ISNUMBER(SEARCH(" ", $A967, 12)))))</formula>
    </cfRule>
  </conditionalFormatting>
  <conditionalFormatting sqref="B967:E968">
    <cfRule type="expression" dxfId="25" priority="265" stopIfTrue="1">
      <formula>$A967="decimal"</formula>
    </cfRule>
  </conditionalFormatting>
  <conditionalFormatting sqref="B967:E968">
    <cfRule type="expression" dxfId="26" priority="266" stopIfTrue="1">
      <formula>$A967="integer"</formula>
    </cfRule>
  </conditionalFormatting>
  <conditionalFormatting sqref="B967:E968">
    <cfRule type="expression" dxfId="27" priority="267" stopIfTrue="1">
      <formula>$A967="text"</formula>
    </cfRule>
  </conditionalFormatting>
  <conditionalFormatting sqref="B967:E968">
    <cfRule type="expression" dxfId="28" priority="268" stopIfTrue="1">
      <formula>$A967="end repeat"</formula>
    </cfRule>
  </conditionalFormatting>
  <conditionalFormatting sqref="B967:E968">
    <cfRule type="expression" dxfId="28" priority="269" stopIfTrue="1">
      <formula>$A967="begin repeat"</formula>
    </cfRule>
  </conditionalFormatting>
  <conditionalFormatting sqref="B967:E968">
    <cfRule type="expression" dxfId="29" priority="270" stopIfTrue="1">
      <formula>$A967="end group"</formula>
    </cfRule>
  </conditionalFormatting>
  <conditionalFormatting sqref="B967:E968">
    <cfRule type="expression" dxfId="29" priority="271" stopIfTrue="1">
      <formula>$A967="begin group"</formula>
    </cfRule>
  </conditionalFormatting>
  <conditionalFormatting sqref="B967:B968">
    <cfRule type="expression" dxfId="30" priority="272" stopIfTrue="1">
      <formula>$A967="comments"</formula>
    </cfRule>
  </conditionalFormatting>
  <conditionalFormatting sqref="B967:B968">
    <cfRule type="expression" dxfId="36" priority="273" stopIfTrue="1">
      <formula>OR(AND(LEFT($A967, 14)="sensor_stream ", LEN($A967)&gt;14, NOT(ISNUMBER(SEARCH(" ", $A967, 15)))), AND(LEFT($A967, 17)="sensor_statistic ", LEN($A967)&gt;17, NOT(ISNUMBER(SEARCH(" ", $A967, 18)))))</formula>
    </cfRule>
  </conditionalFormatting>
  <conditionalFormatting sqref="B965:C965 D965:E965">
    <cfRule type="expression" dxfId="0" priority="274" stopIfTrue="1">
      <formula>$A965="begin group"</formula>
    </cfRule>
  </conditionalFormatting>
  <conditionalFormatting sqref="B965:C965 D965:E965">
    <cfRule type="expression" dxfId="1" priority="275" stopIfTrue="1">
      <formula>$A965="begin repeat"</formula>
    </cfRule>
  </conditionalFormatting>
  <conditionalFormatting sqref="B965:E965">
    <cfRule type="expression" dxfId="31" priority="276" stopIfTrue="1">
      <formula>$A965="enumerator"</formula>
    </cfRule>
  </conditionalFormatting>
  <conditionalFormatting sqref="B965:E965">
    <cfRule type="expression" dxfId="2" priority="277" stopIfTrue="1">
      <formula>$A965="text"</formula>
    </cfRule>
  </conditionalFormatting>
  <conditionalFormatting sqref="B965:E965">
    <cfRule type="expression" dxfId="3" priority="278" stopIfTrue="1">
      <formula>$A965="integer"</formula>
    </cfRule>
  </conditionalFormatting>
  <conditionalFormatting sqref="B965:E965">
    <cfRule type="expression" dxfId="4" priority="279" stopIfTrue="1">
      <formula>$A965="decimal"</formula>
    </cfRule>
  </conditionalFormatting>
  <conditionalFormatting sqref="B965:C965 D965:E965">
    <cfRule type="expression" dxfId="5" priority="280" stopIfTrue="1">
      <formula>OR(AND(LEFT($A965, 16)="select_multiple ", LEN($A965)&gt;16, NOT(ISNUMBER(SEARCH(" ", $A965, 17)))), AND(LEFT($A965, 11)="select_one ", LEN($A965)&gt;11, NOT(ISNUMBER(SEARCH(" ", $A965, 12)))))</formula>
    </cfRule>
  </conditionalFormatting>
  <conditionalFormatting sqref="B965">
    <cfRule type="expression" dxfId="6" priority="281" stopIfTrue="1">
      <formula>OR($A965="audio audit", $A965="text audit", $A965="speed violations count", $A965="speed violations list", $A965="speed violations audit")</formula>
    </cfRule>
  </conditionalFormatting>
  <conditionalFormatting sqref="B965:C965 D965:E965">
    <cfRule type="expression" dxfId="32" priority="282" stopIfTrue="1">
      <formula>$A965="file"</formula>
    </cfRule>
  </conditionalFormatting>
  <conditionalFormatting sqref="B965:C965 D965:E965">
    <cfRule type="expression" dxfId="7" priority="283" stopIfTrue="1">
      <formula>$A965="note"</formula>
    </cfRule>
  </conditionalFormatting>
  <conditionalFormatting sqref="B965:C965 D965:E965">
    <cfRule type="expression" dxfId="8" priority="284" stopIfTrue="1">
      <formula>$A965="barcode"</formula>
    </cfRule>
  </conditionalFormatting>
  <conditionalFormatting sqref="B965:C965 D965:E965">
    <cfRule type="expression" dxfId="9" priority="285" stopIfTrue="1">
      <formula>OR($A965="geopoint", $A965="geoshape", $A965="geotrace")</formula>
    </cfRule>
  </conditionalFormatting>
  <conditionalFormatting sqref="B965">
    <cfRule type="expression" dxfId="10" priority="286" stopIfTrue="1">
      <formula>OR($A965="calculate", $A965="calculate_here")</formula>
    </cfRule>
  </conditionalFormatting>
  <conditionalFormatting sqref="B965:C965 D965:E965">
    <cfRule type="expression" dxfId="11" priority="287" stopIfTrue="1">
      <formula>OR($A965="date", $A965="datetime", $A965="time")</formula>
    </cfRule>
  </conditionalFormatting>
  <conditionalFormatting sqref="B965:C965 D965:E965">
    <cfRule type="expression" dxfId="12" priority="288" stopIfTrue="1">
      <formula>$A965="image"</formula>
    </cfRule>
  </conditionalFormatting>
  <conditionalFormatting sqref="B965:C965 D965:E965">
    <cfRule type="expression" dxfId="13" priority="289" stopIfTrue="1">
      <formula>OR($A965="audio", $A965="video")</formula>
    </cfRule>
  </conditionalFormatting>
  <conditionalFormatting sqref="B965:E965">
    <cfRule type="expression" dxfId="33" priority="290" stopIfTrue="1">
      <formula>$A965="file"</formula>
    </cfRule>
  </conditionalFormatting>
  <conditionalFormatting sqref="B965:E965">
    <cfRule type="expression" dxfId="34" priority="291" stopIfTrue="1">
      <formula>$A965="enumerator"</formula>
    </cfRule>
  </conditionalFormatting>
  <conditionalFormatting sqref="B965:E965">
    <cfRule type="expression" dxfId="35" priority="292" stopIfTrue="1">
      <formula>OR(AND(LEFT($A965, 14)="sensor_stream ", LEN($A965)&gt;14, NOT(ISNUMBER(SEARCH(" ", $A965, 15)))), AND(LEFT($A965, 17)="sensor_statistic ", LEN($A965)&gt;17, NOT(ISNUMBER(SEARCH(" ", $A965, 18)))))</formula>
    </cfRule>
  </conditionalFormatting>
  <conditionalFormatting sqref="B965:E965">
    <cfRule type="expression" dxfId="14" priority="293" stopIfTrue="1">
      <formula>$A965="comments"</formula>
    </cfRule>
  </conditionalFormatting>
  <conditionalFormatting sqref="B965:E965">
    <cfRule type="expression" dxfId="15" priority="294" stopIfTrue="1">
      <formula>OR($A965="audio", $A965="video")</formula>
    </cfRule>
  </conditionalFormatting>
  <conditionalFormatting sqref="B965:E965">
    <cfRule type="expression" dxfId="16" priority="295" stopIfTrue="1">
      <formula>$A965="image"</formula>
    </cfRule>
  </conditionalFormatting>
  <conditionalFormatting sqref="B965:E965">
    <cfRule type="expression" dxfId="17" priority="296" stopIfTrue="1">
      <formula>OR($A965="date", $A965="datetime", $A965="time")</formula>
    </cfRule>
  </conditionalFormatting>
  <conditionalFormatting sqref="B965:E965">
    <cfRule type="expression" dxfId="18" priority="297" stopIfTrue="1">
      <formula>OR($A965="calculate", $A965="calculate_here")</formula>
    </cfRule>
  </conditionalFormatting>
  <conditionalFormatting sqref="B965:E965">
    <cfRule type="expression" dxfId="19" priority="298" stopIfTrue="1">
      <formula>$A965="note"</formula>
    </cfRule>
  </conditionalFormatting>
  <conditionalFormatting sqref="B965:E965">
    <cfRule type="expression" dxfId="20" priority="299" stopIfTrue="1">
      <formula>$A965="barcode"</formula>
    </cfRule>
  </conditionalFormatting>
  <conditionalFormatting sqref="B965:E965">
    <cfRule type="expression" dxfId="21" priority="300" stopIfTrue="1">
      <formula>OR($A965="geopoint", $A965="geoshape", $A965="geotrace")</formula>
    </cfRule>
  </conditionalFormatting>
  <conditionalFormatting sqref="B965:E965">
    <cfRule type="expression" dxfId="22" priority="301" stopIfTrue="1">
      <formula>OR($A965="audio audit", $A965="text audit", $A965="speed violations count", $A965="speed violations list", $A965="speed violations audit")</formula>
    </cfRule>
  </conditionalFormatting>
  <conditionalFormatting sqref="B965:E965">
    <cfRule type="expression" dxfId="23" priority="302" stopIfTrue="1">
      <formula>OR($A965="username", $A965="phonenumber", $A965="start", $A965="end", $A965="deviceid", $A965="subscriberid", $A965="simserial", $A965="caseid")</formula>
    </cfRule>
  </conditionalFormatting>
  <conditionalFormatting sqref="B965:E965">
    <cfRule type="expression" dxfId="24" priority="303" stopIfTrue="1">
      <formula>OR(AND(LEFT($A965, 16)="select_multiple ", LEN($A965)&gt;16, NOT(ISNUMBER(SEARCH(" ", $A965, 17)))), AND(LEFT($A965, 11)="select_one ", LEN($A965)&gt;11, NOT(ISNUMBER(SEARCH(" ", $A965, 12)))))</formula>
    </cfRule>
  </conditionalFormatting>
  <conditionalFormatting sqref="B965:E965">
    <cfRule type="expression" dxfId="25" priority="304" stopIfTrue="1">
      <formula>$A965="decimal"</formula>
    </cfRule>
  </conditionalFormatting>
  <conditionalFormatting sqref="B965:E965">
    <cfRule type="expression" dxfId="26" priority="305" stopIfTrue="1">
      <formula>$A965="integer"</formula>
    </cfRule>
  </conditionalFormatting>
  <conditionalFormatting sqref="B965:E965">
    <cfRule type="expression" dxfId="27" priority="306" stopIfTrue="1">
      <formula>$A965="text"</formula>
    </cfRule>
  </conditionalFormatting>
  <conditionalFormatting sqref="B965:E965">
    <cfRule type="expression" dxfId="28" priority="307" stopIfTrue="1">
      <formula>$A965="end repeat"</formula>
    </cfRule>
  </conditionalFormatting>
  <conditionalFormatting sqref="B965:E965">
    <cfRule type="expression" dxfId="28" priority="308" stopIfTrue="1">
      <formula>$A965="begin repeat"</formula>
    </cfRule>
  </conditionalFormatting>
  <conditionalFormatting sqref="B965:E965">
    <cfRule type="expression" dxfId="29" priority="309" stopIfTrue="1">
      <formula>$A965="end group"</formula>
    </cfRule>
  </conditionalFormatting>
  <conditionalFormatting sqref="B965:E965">
    <cfRule type="expression" dxfId="29" priority="310" stopIfTrue="1">
      <formula>$A965="begin group"</formula>
    </cfRule>
  </conditionalFormatting>
  <conditionalFormatting sqref="B965">
    <cfRule type="expression" dxfId="30" priority="311" stopIfTrue="1">
      <formula>$A965="comments"</formula>
    </cfRule>
  </conditionalFormatting>
  <conditionalFormatting sqref="B965">
    <cfRule type="expression" dxfId="36" priority="312" stopIfTrue="1">
      <formula>OR(AND(LEFT($A965, 14)="sensor_stream ", LEN($A965)&gt;14, NOT(ISNUMBER(SEARCH(" ", $A965, 15)))), AND(LEFT($A965, 17)="sensor_statistic ", LEN($A965)&gt;17, NOT(ISNUMBER(SEARCH(" ", $A965, 18)))))</formula>
    </cfRule>
  </conditionalFormatting>
  <conditionalFormatting sqref="B963:C963 D963:E963">
    <cfRule type="expression" dxfId="0" priority="313" stopIfTrue="1">
      <formula>$A963="begin group"</formula>
    </cfRule>
  </conditionalFormatting>
  <conditionalFormatting sqref="B963:C963 D963:E963">
    <cfRule type="expression" dxfId="1" priority="314" stopIfTrue="1">
      <formula>$A963="begin repeat"</formula>
    </cfRule>
  </conditionalFormatting>
  <conditionalFormatting sqref="B963:E963">
    <cfRule type="expression" dxfId="31" priority="315" stopIfTrue="1">
      <formula>$A963="enumerator"</formula>
    </cfRule>
  </conditionalFormatting>
  <conditionalFormatting sqref="B963:E963">
    <cfRule type="expression" dxfId="2" priority="316" stopIfTrue="1">
      <formula>$A963="text"</formula>
    </cfRule>
  </conditionalFormatting>
  <conditionalFormatting sqref="B963:E963">
    <cfRule type="expression" dxfId="3" priority="317" stopIfTrue="1">
      <formula>$A963="integer"</formula>
    </cfRule>
  </conditionalFormatting>
  <conditionalFormatting sqref="B963:E963">
    <cfRule type="expression" dxfId="4" priority="318" stopIfTrue="1">
      <formula>$A963="decimal"</formula>
    </cfRule>
  </conditionalFormatting>
  <conditionalFormatting sqref="B963:C963 D963:E963">
    <cfRule type="expression" dxfId="5" priority="319" stopIfTrue="1">
      <formula>OR(AND(LEFT($A963, 16)="select_multiple ", LEN($A963)&gt;16, NOT(ISNUMBER(SEARCH(" ", $A963, 17)))), AND(LEFT($A963, 11)="select_one ", LEN($A963)&gt;11, NOT(ISNUMBER(SEARCH(" ", $A963, 12)))))</formula>
    </cfRule>
  </conditionalFormatting>
  <conditionalFormatting sqref="B963">
    <cfRule type="expression" dxfId="6" priority="320" stopIfTrue="1">
      <formula>OR($A963="audio audit", $A963="text audit", $A963="speed violations count", $A963="speed violations list", $A963="speed violations audit")</formula>
    </cfRule>
  </conditionalFormatting>
  <conditionalFormatting sqref="B963:C963 D963:E963">
    <cfRule type="expression" dxfId="32" priority="321" stopIfTrue="1">
      <formula>$A963="file"</formula>
    </cfRule>
  </conditionalFormatting>
  <conditionalFormatting sqref="B963:C963 D963:E963">
    <cfRule type="expression" dxfId="7" priority="322" stopIfTrue="1">
      <formula>$A963="note"</formula>
    </cfRule>
  </conditionalFormatting>
  <conditionalFormatting sqref="B963:C963 D963:E963">
    <cfRule type="expression" dxfId="8" priority="323" stopIfTrue="1">
      <formula>$A963="barcode"</formula>
    </cfRule>
  </conditionalFormatting>
  <conditionalFormatting sqref="B963:C963 D963:E963">
    <cfRule type="expression" dxfId="9" priority="324" stopIfTrue="1">
      <formula>OR($A963="geopoint", $A963="geoshape", $A963="geotrace")</formula>
    </cfRule>
  </conditionalFormatting>
  <conditionalFormatting sqref="B963">
    <cfRule type="expression" dxfId="10" priority="325" stopIfTrue="1">
      <formula>OR($A963="calculate", $A963="calculate_here")</formula>
    </cfRule>
  </conditionalFormatting>
  <conditionalFormatting sqref="B963:C963 D963:E963">
    <cfRule type="expression" dxfId="11" priority="326" stopIfTrue="1">
      <formula>OR($A963="date", $A963="datetime", $A963="time")</formula>
    </cfRule>
  </conditionalFormatting>
  <conditionalFormatting sqref="B963:C963 D963:E963">
    <cfRule type="expression" dxfId="12" priority="327" stopIfTrue="1">
      <formula>$A963="image"</formula>
    </cfRule>
  </conditionalFormatting>
  <conditionalFormatting sqref="B963:C963 D963:E963">
    <cfRule type="expression" dxfId="13" priority="328" stopIfTrue="1">
      <formula>OR($A963="audio", $A963="video")</formula>
    </cfRule>
  </conditionalFormatting>
  <conditionalFormatting sqref="B963:E963">
    <cfRule type="expression" dxfId="33" priority="329" stopIfTrue="1">
      <formula>$A963="file"</formula>
    </cfRule>
  </conditionalFormatting>
  <conditionalFormatting sqref="B963:E963">
    <cfRule type="expression" dxfId="34" priority="330" stopIfTrue="1">
      <formula>$A963="enumerator"</formula>
    </cfRule>
  </conditionalFormatting>
  <conditionalFormatting sqref="B963:E963">
    <cfRule type="expression" dxfId="35" priority="331" stopIfTrue="1">
      <formula>OR(AND(LEFT($A963, 14)="sensor_stream ", LEN($A963)&gt;14, NOT(ISNUMBER(SEARCH(" ", $A963, 15)))), AND(LEFT($A963, 17)="sensor_statistic ", LEN($A963)&gt;17, NOT(ISNUMBER(SEARCH(" ", $A963, 18)))))</formula>
    </cfRule>
  </conditionalFormatting>
  <conditionalFormatting sqref="B963:E963">
    <cfRule type="expression" dxfId="14" priority="332" stopIfTrue="1">
      <formula>$A963="comments"</formula>
    </cfRule>
  </conditionalFormatting>
  <conditionalFormatting sqref="B963:E963">
    <cfRule type="expression" dxfId="15" priority="333" stopIfTrue="1">
      <formula>OR($A963="audio", $A963="video")</formula>
    </cfRule>
  </conditionalFormatting>
  <conditionalFormatting sqref="B963:E963">
    <cfRule type="expression" dxfId="16" priority="334" stopIfTrue="1">
      <formula>$A963="image"</formula>
    </cfRule>
  </conditionalFormatting>
  <conditionalFormatting sqref="B963:E963">
    <cfRule type="expression" dxfId="17" priority="335" stopIfTrue="1">
      <formula>OR($A963="date", $A963="datetime", $A963="time")</formula>
    </cfRule>
  </conditionalFormatting>
  <conditionalFormatting sqref="B963:E963">
    <cfRule type="expression" dxfId="18" priority="336" stopIfTrue="1">
      <formula>OR($A963="calculate", $A963="calculate_here")</formula>
    </cfRule>
  </conditionalFormatting>
  <conditionalFormatting sqref="B963:E963">
    <cfRule type="expression" dxfId="19" priority="337" stopIfTrue="1">
      <formula>$A963="note"</formula>
    </cfRule>
  </conditionalFormatting>
  <conditionalFormatting sqref="B963:E963">
    <cfRule type="expression" dxfId="20" priority="338" stopIfTrue="1">
      <formula>$A963="barcode"</formula>
    </cfRule>
  </conditionalFormatting>
  <conditionalFormatting sqref="B963:E963">
    <cfRule type="expression" dxfId="21" priority="339" stopIfTrue="1">
      <formula>OR($A963="geopoint", $A963="geoshape", $A963="geotrace")</formula>
    </cfRule>
  </conditionalFormatting>
  <conditionalFormatting sqref="B963:E963">
    <cfRule type="expression" dxfId="22" priority="340" stopIfTrue="1">
      <formula>OR($A963="audio audit", $A963="text audit", $A963="speed violations count", $A963="speed violations list", $A963="speed violations audit")</formula>
    </cfRule>
  </conditionalFormatting>
  <conditionalFormatting sqref="B963:E963">
    <cfRule type="expression" dxfId="23" priority="341" stopIfTrue="1">
      <formula>OR($A963="username", $A963="phonenumber", $A963="start", $A963="end", $A963="deviceid", $A963="subscriberid", $A963="simserial", $A963="caseid")</formula>
    </cfRule>
  </conditionalFormatting>
  <conditionalFormatting sqref="B963:E963">
    <cfRule type="expression" dxfId="24" priority="342" stopIfTrue="1">
      <formula>OR(AND(LEFT($A963, 16)="select_multiple ", LEN($A963)&gt;16, NOT(ISNUMBER(SEARCH(" ", $A963, 17)))), AND(LEFT($A963, 11)="select_one ", LEN($A963)&gt;11, NOT(ISNUMBER(SEARCH(" ", $A963, 12)))))</formula>
    </cfRule>
  </conditionalFormatting>
  <conditionalFormatting sqref="B963:E963">
    <cfRule type="expression" dxfId="25" priority="343" stopIfTrue="1">
      <formula>$A963="decimal"</formula>
    </cfRule>
  </conditionalFormatting>
  <conditionalFormatting sqref="B963:E963">
    <cfRule type="expression" dxfId="26" priority="344" stopIfTrue="1">
      <formula>$A963="integer"</formula>
    </cfRule>
  </conditionalFormatting>
  <conditionalFormatting sqref="B963:E963">
    <cfRule type="expression" dxfId="27" priority="345" stopIfTrue="1">
      <formula>$A963="text"</formula>
    </cfRule>
  </conditionalFormatting>
  <conditionalFormatting sqref="B963:E963">
    <cfRule type="expression" dxfId="28" priority="346" stopIfTrue="1">
      <formula>$A963="end repeat"</formula>
    </cfRule>
  </conditionalFormatting>
  <conditionalFormatting sqref="B963:E963">
    <cfRule type="expression" dxfId="28" priority="347" stopIfTrue="1">
      <formula>$A963="begin repeat"</formula>
    </cfRule>
  </conditionalFormatting>
  <conditionalFormatting sqref="B963:E963">
    <cfRule type="expression" dxfId="29" priority="348" stopIfTrue="1">
      <formula>$A963="end group"</formula>
    </cfRule>
  </conditionalFormatting>
  <conditionalFormatting sqref="B963:E963">
    <cfRule type="expression" dxfId="29" priority="349" stopIfTrue="1">
      <formula>$A963="begin group"</formula>
    </cfRule>
  </conditionalFormatting>
  <conditionalFormatting sqref="B963">
    <cfRule type="expression" dxfId="30" priority="350" stopIfTrue="1">
      <formula>$A963="comments"</formula>
    </cfRule>
  </conditionalFormatting>
  <conditionalFormatting sqref="B963">
    <cfRule type="expression" dxfId="36" priority="351" stopIfTrue="1">
      <formula>OR(AND(LEFT($A963, 14)="sensor_stream ", LEN($A963)&gt;14, NOT(ISNUMBER(SEARCH(" ", $A963, 15)))), AND(LEFT($A963, 17)="sensor_statistic ", LEN($A963)&gt;17, NOT(ISNUMBER(SEARCH(" ", $A963, 18)))))</formula>
    </cfRule>
  </conditionalFormatting>
  <conditionalFormatting sqref="B949:C961 D949:E961">
    <cfRule type="expression" dxfId="0" priority="352" stopIfTrue="1">
      <formula>$A949="begin group"</formula>
    </cfRule>
  </conditionalFormatting>
  <conditionalFormatting sqref="B949:C961 D949:E961">
    <cfRule type="expression" dxfId="1" priority="353" stopIfTrue="1">
      <formula>$A949="begin repeat"</formula>
    </cfRule>
  </conditionalFormatting>
  <conditionalFormatting sqref="B949:E961">
    <cfRule type="expression" dxfId="31" priority="354" stopIfTrue="1">
      <formula>$A949="enumerator"</formula>
    </cfRule>
  </conditionalFormatting>
  <conditionalFormatting sqref="B949:E961">
    <cfRule type="expression" dxfId="2" priority="355" stopIfTrue="1">
      <formula>$A949="text"</formula>
    </cfRule>
  </conditionalFormatting>
  <conditionalFormatting sqref="B949:E961">
    <cfRule type="expression" dxfId="3" priority="356" stopIfTrue="1">
      <formula>$A949="integer"</formula>
    </cfRule>
  </conditionalFormatting>
  <conditionalFormatting sqref="B949:E961">
    <cfRule type="expression" dxfId="4" priority="357" stopIfTrue="1">
      <formula>$A949="decimal"</formula>
    </cfRule>
  </conditionalFormatting>
  <conditionalFormatting sqref="B949:C961 D949:E961">
    <cfRule type="expression" dxfId="5" priority="358" stopIfTrue="1">
      <formula>OR(AND(LEFT($A949, 16)="select_multiple ", LEN($A949)&gt;16, NOT(ISNUMBER(SEARCH(" ", $A949, 17)))), AND(LEFT($A949, 11)="select_one ", LEN($A949)&gt;11, NOT(ISNUMBER(SEARCH(" ", $A949, 12)))))</formula>
    </cfRule>
  </conditionalFormatting>
  <conditionalFormatting sqref="B949:B961">
    <cfRule type="expression" dxfId="6" priority="359" stopIfTrue="1">
      <formula>OR($A949="audio audit", $A949="text audit", $A949="speed violations count", $A949="speed violations list", $A949="speed violations audit")</formula>
    </cfRule>
  </conditionalFormatting>
  <conditionalFormatting sqref="B949:C961 D949:E961">
    <cfRule type="expression" dxfId="32" priority="360" stopIfTrue="1">
      <formula>$A949="file"</formula>
    </cfRule>
  </conditionalFormatting>
  <conditionalFormatting sqref="B949:C961 D949:E961">
    <cfRule type="expression" dxfId="7" priority="361" stopIfTrue="1">
      <formula>$A949="note"</formula>
    </cfRule>
  </conditionalFormatting>
  <conditionalFormatting sqref="B949:C961 D949:E961">
    <cfRule type="expression" dxfId="8" priority="362" stopIfTrue="1">
      <formula>$A949="barcode"</formula>
    </cfRule>
  </conditionalFormatting>
  <conditionalFormatting sqref="B949:C961 D949:E961">
    <cfRule type="expression" dxfId="9" priority="363" stopIfTrue="1">
      <formula>OR($A949="geopoint", $A949="geoshape", $A949="geotrace")</formula>
    </cfRule>
  </conditionalFormatting>
  <conditionalFormatting sqref="B949:B961">
    <cfRule type="expression" dxfId="10" priority="364" stopIfTrue="1">
      <formula>OR($A949="calculate", $A949="calculate_here")</formula>
    </cfRule>
  </conditionalFormatting>
  <conditionalFormatting sqref="B949:C961 D949:E961">
    <cfRule type="expression" dxfId="11" priority="365" stopIfTrue="1">
      <formula>OR($A949="date", $A949="datetime", $A949="time")</formula>
    </cfRule>
  </conditionalFormatting>
  <conditionalFormatting sqref="B949:C961 D949:E961">
    <cfRule type="expression" dxfId="12" priority="366" stopIfTrue="1">
      <formula>$A949="image"</formula>
    </cfRule>
  </conditionalFormatting>
  <conditionalFormatting sqref="B949:C961 D949:E961">
    <cfRule type="expression" dxfId="13" priority="367" stopIfTrue="1">
      <formula>OR($A949="audio", $A949="video")</formula>
    </cfRule>
  </conditionalFormatting>
  <conditionalFormatting sqref="B949:E961">
    <cfRule type="expression" dxfId="33" priority="368" stopIfTrue="1">
      <formula>$A949="file"</formula>
    </cfRule>
  </conditionalFormatting>
  <conditionalFormatting sqref="B949:E961">
    <cfRule type="expression" dxfId="34" priority="369" stopIfTrue="1">
      <formula>$A949="enumerator"</formula>
    </cfRule>
  </conditionalFormatting>
  <conditionalFormatting sqref="B949:E961">
    <cfRule type="expression" dxfId="35" priority="370" stopIfTrue="1">
      <formula>OR(AND(LEFT($A949, 14)="sensor_stream ", LEN($A949)&gt;14, NOT(ISNUMBER(SEARCH(" ", $A949, 15)))), AND(LEFT($A949, 17)="sensor_statistic ", LEN($A949)&gt;17, NOT(ISNUMBER(SEARCH(" ", $A949, 18)))))</formula>
    </cfRule>
  </conditionalFormatting>
  <conditionalFormatting sqref="B949:E961">
    <cfRule type="expression" dxfId="14" priority="371" stopIfTrue="1">
      <formula>$A949="comments"</formula>
    </cfRule>
  </conditionalFormatting>
  <conditionalFormatting sqref="B949:E961">
    <cfRule type="expression" dxfId="15" priority="372" stopIfTrue="1">
      <formula>OR($A949="audio", $A949="video")</formula>
    </cfRule>
  </conditionalFormatting>
  <conditionalFormatting sqref="B949:E961">
    <cfRule type="expression" dxfId="16" priority="373" stopIfTrue="1">
      <formula>$A949="image"</formula>
    </cfRule>
  </conditionalFormatting>
  <conditionalFormatting sqref="B949:E961">
    <cfRule type="expression" dxfId="17" priority="374" stopIfTrue="1">
      <formula>OR($A949="date", $A949="datetime", $A949="time")</formula>
    </cfRule>
  </conditionalFormatting>
  <conditionalFormatting sqref="B949:E961">
    <cfRule type="expression" dxfId="18" priority="375" stopIfTrue="1">
      <formula>OR($A949="calculate", $A949="calculate_here")</formula>
    </cfRule>
  </conditionalFormatting>
  <conditionalFormatting sqref="B949:E961">
    <cfRule type="expression" dxfId="19" priority="376" stopIfTrue="1">
      <formula>$A949="note"</formula>
    </cfRule>
  </conditionalFormatting>
  <conditionalFormatting sqref="B949:E961">
    <cfRule type="expression" dxfId="20" priority="377" stopIfTrue="1">
      <formula>$A949="barcode"</formula>
    </cfRule>
  </conditionalFormatting>
  <conditionalFormatting sqref="B949:E961">
    <cfRule type="expression" dxfId="21" priority="378" stopIfTrue="1">
      <formula>OR($A949="geopoint", $A949="geoshape", $A949="geotrace")</formula>
    </cfRule>
  </conditionalFormatting>
  <conditionalFormatting sqref="B949:E961">
    <cfRule type="expression" dxfId="22" priority="379" stopIfTrue="1">
      <formula>OR($A949="audio audit", $A949="text audit", $A949="speed violations count", $A949="speed violations list", $A949="speed violations audit")</formula>
    </cfRule>
  </conditionalFormatting>
  <conditionalFormatting sqref="B949:E961">
    <cfRule type="expression" dxfId="23" priority="380" stopIfTrue="1">
      <formula>OR($A949="username", $A949="phonenumber", $A949="start", $A949="end", $A949="deviceid", $A949="subscriberid", $A949="simserial", $A949="caseid")</formula>
    </cfRule>
  </conditionalFormatting>
  <conditionalFormatting sqref="B949:E961">
    <cfRule type="expression" dxfId="24" priority="381" stopIfTrue="1">
      <formula>OR(AND(LEFT($A949, 16)="select_multiple ", LEN($A949)&gt;16, NOT(ISNUMBER(SEARCH(" ", $A949, 17)))), AND(LEFT($A949, 11)="select_one ", LEN($A949)&gt;11, NOT(ISNUMBER(SEARCH(" ", $A949, 12)))))</formula>
    </cfRule>
  </conditionalFormatting>
  <conditionalFormatting sqref="B949:E961">
    <cfRule type="expression" dxfId="25" priority="382" stopIfTrue="1">
      <formula>$A949="decimal"</formula>
    </cfRule>
  </conditionalFormatting>
  <conditionalFormatting sqref="B949:E961">
    <cfRule type="expression" dxfId="26" priority="383" stopIfTrue="1">
      <formula>$A949="integer"</formula>
    </cfRule>
  </conditionalFormatting>
  <conditionalFormatting sqref="B949:E961">
    <cfRule type="expression" dxfId="27" priority="384" stopIfTrue="1">
      <formula>$A949="text"</formula>
    </cfRule>
  </conditionalFormatting>
  <conditionalFormatting sqref="B949:E961">
    <cfRule type="expression" dxfId="28" priority="385" stopIfTrue="1">
      <formula>$A949="end repeat"</formula>
    </cfRule>
  </conditionalFormatting>
  <conditionalFormatting sqref="B949:E961">
    <cfRule type="expression" dxfId="28" priority="386" stopIfTrue="1">
      <formula>$A949="begin repeat"</formula>
    </cfRule>
  </conditionalFormatting>
  <conditionalFormatting sqref="B949:E961">
    <cfRule type="expression" dxfId="29" priority="387" stopIfTrue="1">
      <formula>$A949="end group"</formula>
    </cfRule>
  </conditionalFormatting>
  <conditionalFormatting sqref="B949:E961">
    <cfRule type="expression" dxfId="29" priority="388" stopIfTrue="1">
      <formula>$A949="begin group"</formula>
    </cfRule>
  </conditionalFormatting>
  <conditionalFormatting sqref="B949:B961">
    <cfRule type="expression" dxfId="30" priority="389" stopIfTrue="1">
      <formula>$A949="comments"</formula>
    </cfRule>
  </conditionalFormatting>
  <conditionalFormatting sqref="B949:B961">
    <cfRule type="expression" dxfId="36" priority="390" stopIfTrue="1">
      <formula>OR(AND(LEFT($A949, 14)="sensor_stream ", LEN($A949)&gt;14, NOT(ISNUMBER(SEARCH(" ", $A949, 15)))), AND(LEFT($A949, 17)="sensor_statistic ", LEN($A949)&gt;17, NOT(ISNUMBER(SEARCH(" ", $A949, 18)))))</formula>
    </cfRule>
  </conditionalFormatting>
  <conditionalFormatting sqref="B932:C936 D932:E936">
    <cfRule type="expression" dxfId="0" priority="391" stopIfTrue="1">
      <formula>$A932="begin group"</formula>
    </cfRule>
  </conditionalFormatting>
  <conditionalFormatting sqref="B932:C936 D932:E936">
    <cfRule type="expression" dxfId="1" priority="392" stopIfTrue="1">
      <formula>$A932="begin repeat"</formula>
    </cfRule>
  </conditionalFormatting>
  <conditionalFormatting sqref="B932:E936">
    <cfRule type="expression" dxfId="31" priority="393" stopIfTrue="1">
      <formula>$A932="enumerator"</formula>
    </cfRule>
  </conditionalFormatting>
  <conditionalFormatting sqref="B932:E936">
    <cfRule type="expression" dxfId="2" priority="394" stopIfTrue="1">
      <formula>$A932="text"</formula>
    </cfRule>
  </conditionalFormatting>
  <conditionalFormatting sqref="B932:E936">
    <cfRule type="expression" dxfId="3" priority="395" stopIfTrue="1">
      <formula>$A932="integer"</formula>
    </cfRule>
  </conditionalFormatting>
  <conditionalFormatting sqref="B932:E936">
    <cfRule type="expression" dxfId="4" priority="396" stopIfTrue="1">
      <formula>$A932="decimal"</formula>
    </cfRule>
  </conditionalFormatting>
  <conditionalFormatting sqref="B932:C936 D932:E936">
    <cfRule type="expression" dxfId="5" priority="397" stopIfTrue="1">
      <formula>OR(AND(LEFT($A932, 16)="select_multiple ", LEN($A932)&gt;16, NOT(ISNUMBER(SEARCH(" ", $A932, 17)))), AND(LEFT($A932, 11)="select_one ", LEN($A932)&gt;11, NOT(ISNUMBER(SEARCH(" ", $A932, 12)))))</formula>
    </cfRule>
  </conditionalFormatting>
  <conditionalFormatting sqref="B932:B936">
    <cfRule type="expression" dxfId="6" priority="398" stopIfTrue="1">
      <formula>OR($A932="audio audit", $A932="text audit", $A932="speed violations count", $A932="speed violations list", $A932="speed violations audit")</formula>
    </cfRule>
  </conditionalFormatting>
  <conditionalFormatting sqref="B932:C936 D932:E936">
    <cfRule type="expression" dxfId="32" priority="399" stopIfTrue="1">
      <formula>$A932="file"</formula>
    </cfRule>
  </conditionalFormatting>
  <conditionalFormatting sqref="B932:C936 D932:E936">
    <cfRule type="expression" dxfId="7" priority="400" stopIfTrue="1">
      <formula>$A932="note"</formula>
    </cfRule>
  </conditionalFormatting>
  <conditionalFormatting sqref="B932:C936 D932:E936">
    <cfRule type="expression" dxfId="8" priority="401" stopIfTrue="1">
      <formula>$A932="barcode"</formula>
    </cfRule>
  </conditionalFormatting>
  <conditionalFormatting sqref="B932:C936 D932:E936">
    <cfRule type="expression" dxfId="9" priority="402" stopIfTrue="1">
      <formula>OR($A932="geopoint", $A932="geoshape", $A932="geotrace")</formula>
    </cfRule>
  </conditionalFormatting>
  <conditionalFormatting sqref="B932:B936">
    <cfRule type="expression" dxfId="10" priority="403" stopIfTrue="1">
      <formula>OR($A932="calculate", $A932="calculate_here")</formula>
    </cfRule>
  </conditionalFormatting>
  <conditionalFormatting sqref="B932:C936 D932:E936">
    <cfRule type="expression" dxfId="11" priority="404" stopIfTrue="1">
      <formula>OR($A932="date", $A932="datetime", $A932="time")</formula>
    </cfRule>
  </conditionalFormatting>
  <conditionalFormatting sqref="B932:C936 D932:E936">
    <cfRule type="expression" dxfId="12" priority="405" stopIfTrue="1">
      <formula>$A932="image"</formula>
    </cfRule>
  </conditionalFormatting>
  <conditionalFormatting sqref="B932:C936 D932:E936">
    <cfRule type="expression" dxfId="13" priority="406" stopIfTrue="1">
      <formula>OR($A932="audio", $A932="video")</formula>
    </cfRule>
  </conditionalFormatting>
  <conditionalFormatting sqref="B932:E936">
    <cfRule type="expression" dxfId="33" priority="407" stopIfTrue="1">
      <formula>$A932="file"</formula>
    </cfRule>
  </conditionalFormatting>
  <conditionalFormatting sqref="B932:E936">
    <cfRule type="expression" dxfId="34" priority="408" stopIfTrue="1">
      <formula>$A932="enumerator"</formula>
    </cfRule>
  </conditionalFormatting>
  <conditionalFormatting sqref="B932:E936">
    <cfRule type="expression" dxfId="35" priority="409" stopIfTrue="1">
      <formula>OR(AND(LEFT($A932, 14)="sensor_stream ", LEN($A932)&gt;14, NOT(ISNUMBER(SEARCH(" ", $A932, 15)))), AND(LEFT($A932, 17)="sensor_statistic ", LEN($A932)&gt;17, NOT(ISNUMBER(SEARCH(" ", $A932, 18)))))</formula>
    </cfRule>
  </conditionalFormatting>
  <conditionalFormatting sqref="B932:E936">
    <cfRule type="expression" dxfId="14" priority="410" stopIfTrue="1">
      <formula>$A932="comments"</formula>
    </cfRule>
  </conditionalFormatting>
  <conditionalFormatting sqref="B932:E936">
    <cfRule type="expression" dxfId="15" priority="411" stopIfTrue="1">
      <formula>OR($A932="audio", $A932="video")</formula>
    </cfRule>
  </conditionalFormatting>
  <conditionalFormatting sqref="B932:E936">
    <cfRule type="expression" dxfId="16" priority="412" stopIfTrue="1">
      <formula>$A932="image"</formula>
    </cfRule>
  </conditionalFormatting>
  <conditionalFormatting sqref="B932:E936">
    <cfRule type="expression" dxfId="17" priority="413" stopIfTrue="1">
      <formula>OR($A932="date", $A932="datetime", $A932="time")</formula>
    </cfRule>
  </conditionalFormatting>
  <conditionalFormatting sqref="B932:E936">
    <cfRule type="expression" dxfId="18" priority="414" stopIfTrue="1">
      <formula>OR($A932="calculate", $A932="calculate_here")</formula>
    </cfRule>
  </conditionalFormatting>
  <conditionalFormatting sqref="B932:E936">
    <cfRule type="expression" dxfId="19" priority="415" stopIfTrue="1">
      <formula>$A932="note"</formula>
    </cfRule>
  </conditionalFormatting>
  <conditionalFormatting sqref="B932:E936">
    <cfRule type="expression" dxfId="20" priority="416" stopIfTrue="1">
      <formula>$A932="barcode"</formula>
    </cfRule>
  </conditionalFormatting>
  <conditionalFormatting sqref="B932:E936">
    <cfRule type="expression" dxfId="21" priority="417" stopIfTrue="1">
      <formula>OR($A932="geopoint", $A932="geoshape", $A932="geotrace")</formula>
    </cfRule>
  </conditionalFormatting>
  <conditionalFormatting sqref="B932:E936">
    <cfRule type="expression" dxfId="22" priority="418" stopIfTrue="1">
      <formula>OR($A932="audio audit", $A932="text audit", $A932="speed violations count", $A932="speed violations list", $A932="speed violations audit")</formula>
    </cfRule>
  </conditionalFormatting>
  <conditionalFormatting sqref="B932:E936">
    <cfRule type="expression" dxfId="23" priority="419" stopIfTrue="1">
      <formula>OR($A932="username", $A932="phonenumber", $A932="start", $A932="end", $A932="deviceid", $A932="subscriberid", $A932="simserial", $A932="caseid")</formula>
    </cfRule>
  </conditionalFormatting>
  <conditionalFormatting sqref="B932:E936">
    <cfRule type="expression" dxfId="24" priority="420" stopIfTrue="1">
      <formula>OR(AND(LEFT($A932, 16)="select_multiple ", LEN($A932)&gt;16, NOT(ISNUMBER(SEARCH(" ", $A932, 17)))), AND(LEFT($A932, 11)="select_one ", LEN($A932)&gt;11, NOT(ISNUMBER(SEARCH(" ", $A932, 12)))))</formula>
    </cfRule>
  </conditionalFormatting>
  <conditionalFormatting sqref="B932:E936">
    <cfRule type="expression" dxfId="25" priority="421" stopIfTrue="1">
      <formula>$A932="decimal"</formula>
    </cfRule>
  </conditionalFormatting>
  <conditionalFormatting sqref="B932:E936">
    <cfRule type="expression" dxfId="26" priority="422" stopIfTrue="1">
      <formula>$A932="integer"</formula>
    </cfRule>
  </conditionalFormatting>
  <conditionalFormatting sqref="B932:E936">
    <cfRule type="expression" dxfId="27" priority="423" stopIfTrue="1">
      <formula>$A932="text"</formula>
    </cfRule>
  </conditionalFormatting>
  <conditionalFormatting sqref="B932:E936">
    <cfRule type="expression" dxfId="28" priority="424" stopIfTrue="1">
      <formula>$A932="end repeat"</formula>
    </cfRule>
  </conditionalFormatting>
  <conditionalFormatting sqref="B932:E936">
    <cfRule type="expression" dxfId="28" priority="425" stopIfTrue="1">
      <formula>$A932="begin repeat"</formula>
    </cfRule>
  </conditionalFormatting>
  <conditionalFormatting sqref="B932:E936">
    <cfRule type="expression" dxfId="29" priority="426" stopIfTrue="1">
      <formula>$A932="end group"</formula>
    </cfRule>
  </conditionalFormatting>
  <conditionalFormatting sqref="B932:E936">
    <cfRule type="expression" dxfId="29" priority="427" stopIfTrue="1">
      <formula>$A932="begin group"</formula>
    </cfRule>
  </conditionalFormatting>
  <conditionalFormatting sqref="B932:B936">
    <cfRule type="expression" dxfId="30" priority="428" stopIfTrue="1">
      <formula>$A932="comments"</formula>
    </cfRule>
  </conditionalFormatting>
  <conditionalFormatting sqref="B932:B936">
    <cfRule type="expression" dxfId="36" priority="429" stopIfTrue="1">
      <formula>OR(AND(LEFT($A932, 14)="sensor_stream ", LEN($A932)&gt;14, NOT(ISNUMBER(SEARCH(" ", $A932, 15)))), AND(LEFT($A932, 17)="sensor_statistic ", LEN($A932)&gt;17, NOT(ISNUMBER(SEARCH(" ", $A932, 18)))))</formula>
    </cfRule>
  </conditionalFormatting>
  <conditionalFormatting sqref="B929:C929 D929:E929">
    <cfRule type="expression" dxfId="0" priority="430" stopIfTrue="1">
      <formula>$A929="begin group"</formula>
    </cfRule>
  </conditionalFormatting>
  <conditionalFormatting sqref="B929:C929 D929:E929">
    <cfRule type="expression" dxfId="1" priority="431" stopIfTrue="1">
      <formula>$A929="begin repeat"</formula>
    </cfRule>
  </conditionalFormatting>
  <conditionalFormatting sqref="B929:E929">
    <cfRule type="expression" dxfId="31" priority="432" stopIfTrue="1">
      <formula>$A929="enumerator"</formula>
    </cfRule>
  </conditionalFormatting>
  <conditionalFormatting sqref="B929:E929">
    <cfRule type="expression" dxfId="2" priority="433" stopIfTrue="1">
      <formula>$A929="text"</formula>
    </cfRule>
  </conditionalFormatting>
  <conditionalFormatting sqref="B929:E929">
    <cfRule type="expression" dxfId="3" priority="434" stopIfTrue="1">
      <formula>$A929="integer"</formula>
    </cfRule>
  </conditionalFormatting>
  <conditionalFormatting sqref="B929:E929">
    <cfRule type="expression" dxfId="4" priority="435" stopIfTrue="1">
      <formula>$A929="decimal"</formula>
    </cfRule>
  </conditionalFormatting>
  <conditionalFormatting sqref="B929:C929 D929:E929">
    <cfRule type="expression" dxfId="5" priority="436" stopIfTrue="1">
      <formula>OR(AND(LEFT($A929, 16)="select_multiple ", LEN($A929)&gt;16, NOT(ISNUMBER(SEARCH(" ", $A929, 17)))), AND(LEFT($A929, 11)="select_one ", LEN($A929)&gt;11, NOT(ISNUMBER(SEARCH(" ", $A929, 12)))))</formula>
    </cfRule>
  </conditionalFormatting>
  <conditionalFormatting sqref="B929">
    <cfRule type="expression" dxfId="6" priority="437" stopIfTrue="1">
      <formula>OR($A929="audio audit", $A929="text audit", $A929="speed violations count", $A929="speed violations list", $A929="speed violations audit")</formula>
    </cfRule>
  </conditionalFormatting>
  <conditionalFormatting sqref="B929:C929 D929:E929">
    <cfRule type="expression" dxfId="32" priority="438" stopIfTrue="1">
      <formula>$A929="file"</formula>
    </cfRule>
  </conditionalFormatting>
  <conditionalFormatting sqref="B929:C929 D929:E929">
    <cfRule type="expression" dxfId="7" priority="439" stopIfTrue="1">
      <formula>$A929="note"</formula>
    </cfRule>
  </conditionalFormatting>
  <conditionalFormatting sqref="B929:C929 D929:E929">
    <cfRule type="expression" dxfId="8" priority="440" stopIfTrue="1">
      <formula>$A929="barcode"</formula>
    </cfRule>
  </conditionalFormatting>
  <conditionalFormatting sqref="B929:C929 D929:E929">
    <cfRule type="expression" dxfId="9" priority="441" stopIfTrue="1">
      <formula>OR($A929="geopoint", $A929="geoshape", $A929="geotrace")</formula>
    </cfRule>
  </conditionalFormatting>
  <conditionalFormatting sqref="B929">
    <cfRule type="expression" dxfId="10" priority="442" stopIfTrue="1">
      <formula>OR($A929="calculate", $A929="calculate_here")</formula>
    </cfRule>
  </conditionalFormatting>
  <conditionalFormatting sqref="B929:C929 D929:E929">
    <cfRule type="expression" dxfId="11" priority="443" stopIfTrue="1">
      <formula>OR($A929="date", $A929="datetime", $A929="time")</formula>
    </cfRule>
  </conditionalFormatting>
  <conditionalFormatting sqref="B929:C929 D929:E929">
    <cfRule type="expression" dxfId="12" priority="444" stopIfTrue="1">
      <formula>$A929="image"</formula>
    </cfRule>
  </conditionalFormatting>
  <conditionalFormatting sqref="B929:C929 D929:E929">
    <cfRule type="expression" dxfId="13" priority="445" stopIfTrue="1">
      <formula>OR($A929="audio", $A929="video")</formula>
    </cfRule>
  </conditionalFormatting>
  <conditionalFormatting sqref="B929:E929">
    <cfRule type="expression" dxfId="33" priority="446" stopIfTrue="1">
      <formula>$A929="file"</formula>
    </cfRule>
  </conditionalFormatting>
  <conditionalFormatting sqref="B929:E929">
    <cfRule type="expression" dxfId="34" priority="447" stopIfTrue="1">
      <formula>$A929="enumerator"</formula>
    </cfRule>
  </conditionalFormatting>
  <conditionalFormatting sqref="B929:E929">
    <cfRule type="expression" dxfId="35" priority="448" stopIfTrue="1">
      <formula>OR(AND(LEFT($A929, 14)="sensor_stream ", LEN($A929)&gt;14, NOT(ISNUMBER(SEARCH(" ", $A929, 15)))), AND(LEFT($A929, 17)="sensor_statistic ", LEN($A929)&gt;17, NOT(ISNUMBER(SEARCH(" ", $A929, 18)))))</formula>
    </cfRule>
  </conditionalFormatting>
  <conditionalFormatting sqref="B929:E929">
    <cfRule type="expression" dxfId="14" priority="449" stopIfTrue="1">
      <formula>$A929="comments"</formula>
    </cfRule>
  </conditionalFormatting>
  <conditionalFormatting sqref="B929:E929">
    <cfRule type="expression" dxfId="15" priority="450" stopIfTrue="1">
      <formula>OR($A929="audio", $A929="video")</formula>
    </cfRule>
  </conditionalFormatting>
  <conditionalFormatting sqref="B929:E929">
    <cfRule type="expression" dxfId="16" priority="451" stopIfTrue="1">
      <formula>$A929="image"</formula>
    </cfRule>
  </conditionalFormatting>
  <conditionalFormatting sqref="B929:E929">
    <cfRule type="expression" dxfId="17" priority="452" stopIfTrue="1">
      <formula>OR($A929="date", $A929="datetime", $A929="time")</formula>
    </cfRule>
  </conditionalFormatting>
  <conditionalFormatting sqref="B929:E929">
    <cfRule type="expression" dxfId="18" priority="453" stopIfTrue="1">
      <formula>OR($A929="calculate", $A929="calculate_here")</formula>
    </cfRule>
  </conditionalFormatting>
  <conditionalFormatting sqref="B929:E929">
    <cfRule type="expression" dxfId="19" priority="454" stopIfTrue="1">
      <formula>$A929="note"</formula>
    </cfRule>
  </conditionalFormatting>
  <conditionalFormatting sqref="B929:E929">
    <cfRule type="expression" dxfId="20" priority="455" stopIfTrue="1">
      <formula>$A929="barcode"</formula>
    </cfRule>
  </conditionalFormatting>
  <conditionalFormatting sqref="B929:E929">
    <cfRule type="expression" dxfId="21" priority="456" stopIfTrue="1">
      <formula>OR($A929="geopoint", $A929="geoshape", $A929="geotrace")</formula>
    </cfRule>
  </conditionalFormatting>
  <conditionalFormatting sqref="B929:E929">
    <cfRule type="expression" dxfId="22" priority="457" stopIfTrue="1">
      <formula>OR($A929="audio audit", $A929="text audit", $A929="speed violations count", $A929="speed violations list", $A929="speed violations audit")</formula>
    </cfRule>
  </conditionalFormatting>
  <conditionalFormatting sqref="B929:E929">
    <cfRule type="expression" dxfId="23" priority="458" stopIfTrue="1">
      <formula>OR($A929="username", $A929="phonenumber", $A929="start", $A929="end", $A929="deviceid", $A929="subscriberid", $A929="simserial", $A929="caseid")</formula>
    </cfRule>
  </conditionalFormatting>
  <conditionalFormatting sqref="B929:E929">
    <cfRule type="expression" dxfId="24" priority="459" stopIfTrue="1">
      <formula>OR(AND(LEFT($A929, 16)="select_multiple ", LEN($A929)&gt;16, NOT(ISNUMBER(SEARCH(" ", $A929, 17)))), AND(LEFT($A929, 11)="select_one ", LEN($A929)&gt;11, NOT(ISNUMBER(SEARCH(" ", $A929, 12)))))</formula>
    </cfRule>
  </conditionalFormatting>
  <conditionalFormatting sqref="B929:E929">
    <cfRule type="expression" dxfId="25" priority="460" stopIfTrue="1">
      <formula>$A929="decimal"</formula>
    </cfRule>
  </conditionalFormatting>
  <conditionalFormatting sqref="B929:E929">
    <cfRule type="expression" dxfId="26" priority="461" stopIfTrue="1">
      <formula>$A929="integer"</formula>
    </cfRule>
  </conditionalFormatting>
  <conditionalFormatting sqref="B929:E929">
    <cfRule type="expression" dxfId="27" priority="462" stopIfTrue="1">
      <formula>$A929="text"</formula>
    </cfRule>
  </conditionalFormatting>
  <conditionalFormatting sqref="B929:E929">
    <cfRule type="expression" dxfId="28" priority="463" stopIfTrue="1">
      <formula>$A929="end repeat"</formula>
    </cfRule>
  </conditionalFormatting>
  <conditionalFormatting sqref="B929:E929">
    <cfRule type="expression" dxfId="28" priority="464" stopIfTrue="1">
      <formula>$A929="begin repeat"</formula>
    </cfRule>
  </conditionalFormatting>
  <conditionalFormatting sqref="B929:E929">
    <cfRule type="expression" dxfId="29" priority="465" stopIfTrue="1">
      <formula>$A929="end group"</formula>
    </cfRule>
  </conditionalFormatting>
  <conditionalFormatting sqref="B929:E929">
    <cfRule type="expression" dxfId="29" priority="466" stopIfTrue="1">
      <formula>$A929="begin group"</formula>
    </cfRule>
  </conditionalFormatting>
  <conditionalFormatting sqref="B929">
    <cfRule type="expression" dxfId="30" priority="467" stopIfTrue="1">
      <formula>$A929="comments"</formula>
    </cfRule>
  </conditionalFormatting>
  <conditionalFormatting sqref="B929">
    <cfRule type="expression" dxfId="36" priority="468" stopIfTrue="1">
      <formula>OR(AND(LEFT($A929, 14)="sensor_stream ", LEN($A929)&gt;14, NOT(ISNUMBER(SEARCH(" ", $A929, 15)))), AND(LEFT($A929, 17)="sensor_statistic ", LEN($A929)&gt;17, NOT(ISNUMBER(SEARCH(" ", $A929, 18)))))</formula>
    </cfRule>
  </conditionalFormatting>
  <conditionalFormatting sqref="B926:C926 D926:E926">
    <cfRule type="expression" dxfId="0" priority="469" stopIfTrue="1">
      <formula>$A926="begin group"</formula>
    </cfRule>
  </conditionalFormatting>
  <conditionalFormatting sqref="B926:C926 D926:E926">
    <cfRule type="expression" dxfId="1" priority="470" stopIfTrue="1">
      <formula>$A926="begin repeat"</formula>
    </cfRule>
  </conditionalFormatting>
  <conditionalFormatting sqref="B926:E926">
    <cfRule type="expression" dxfId="31" priority="471" stopIfTrue="1">
      <formula>$A926="enumerator"</formula>
    </cfRule>
  </conditionalFormatting>
  <conditionalFormatting sqref="B926:E926">
    <cfRule type="expression" dxfId="2" priority="472" stopIfTrue="1">
      <formula>$A926="text"</formula>
    </cfRule>
  </conditionalFormatting>
  <conditionalFormatting sqref="B926:E926">
    <cfRule type="expression" dxfId="3" priority="473" stopIfTrue="1">
      <formula>$A926="integer"</formula>
    </cfRule>
  </conditionalFormatting>
  <conditionalFormatting sqref="B926:E926">
    <cfRule type="expression" dxfId="4" priority="474" stopIfTrue="1">
      <formula>$A926="decimal"</formula>
    </cfRule>
  </conditionalFormatting>
  <conditionalFormatting sqref="B926:C926 D926:E926">
    <cfRule type="expression" dxfId="5" priority="475" stopIfTrue="1">
      <formula>OR(AND(LEFT($A926, 16)="select_multiple ", LEN($A926)&gt;16, NOT(ISNUMBER(SEARCH(" ", $A926, 17)))), AND(LEFT($A926, 11)="select_one ", LEN($A926)&gt;11, NOT(ISNUMBER(SEARCH(" ", $A926, 12)))))</formula>
    </cfRule>
  </conditionalFormatting>
  <conditionalFormatting sqref="B926">
    <cfRule type="expression" dxfId="6" priority="476" stopIfTrue="1">
      <formula>OR($A926="audio audit", $A926="text audit", $A926="speed violations count", $A926="speed violations list", $A926="speed violations audit")</formula>
    </cfRule>
  </conditionalFormatting>
  <conditionalFormatting sqref="B926:C926 D926:E926">
    <cfRule type="expression" dxfId="32" priority="477" stopIfTrue="1">
      <formula>$A926="file"</formula>
    </cfRule>
  </conditionalFormatting>
  <conditionalFormatting sqref="B926:C926 D926:E926">
    <cfRule type="expression" dxfId="7" priority="478" stopIfTrue="1">
      <formula>$A926="note"</formula>
    </cfRule>
  </conditionalFormatting>
  <conditionalFormatting sqref="B926:C926 D926:E926">
    <cfRule type="expression" dxfId="8" priority="479" stopIfTrue="1">
      <formula>$A926="barcode"</formula>
    </cfRule>
  </conditionalFormatting>
  <conditionalFormatting sqref="B926:C926 D926:E926">
    <cfRule type="expression" dxfId="9" priority="480" stopIfTrue="1">
      <formula>OR($A926="geopoint", $A926="geoshape", $A926="geotrace")</formula>
    </cfRule>
  </conditionalFormatting>
  <conditionalFormatting sqref="B926">
    <cfRule type="expression" dxfId="10" priority="481" stopIfTrue="1">
      <formula>OR($A926="calculate", $A926="calculate_here")</formula>
    </cfRule>
  </conditionalFormatting>
  <conditionalFormatting sqref="B926:C926 D926:E926">
    <cfRule type="expression" dxfId="11" priority="482" stopIfTrue="1">
      <formula>OR($A926="date", $A926="datetime", $A926="time")</formula>
    </cfRule>
  </conditionalFormatting>
  <conditionalFormatting sqref="B926:C926 D926:E926">
    <cfRule type="expression" dxfId="12" priority="483" stopIfTrue="1">
      <formula>$A926="image"</formula>
    </cfRule>
  </conditionalFormatting>
  <conditionalFormatting sqref="B926:C926 D926:E926">
    <cfRule type="expression" dxfId="13" priority="484" stopIfTrue="1">
      <formula>OR($A926="audio", $A926="video")</formula>
    </cfRule>
  </conditionalFormatting>
  <conditionalFormatting sqref="B926:E926">
    <cfRule type="expression" dxfId="33" priority="485" stopIfTrue="1">
      <formula>$A926="file"</formula>
    </cfRule>
  </conditionalFormatting>
  <conditionalFormatting sqref="B926:E926">
    <cfRule type="expression" dxfId="34" priority="486" stopIfTrue="1">
      <formula>$A926="enumerator"</formula>
    </cfRule>
  </conditionalFormatting>
  <conditionalFormatting sqref="B926:E926">
    <cfRule type="expression" dxfId="35" priority="487" stopIfTrue="1">
      <formula>OR(AND(LEFT($A926, 14)="sensor_stream ", LEN($A926)&gt;14, NOT(ISNUMBER(SEARCH(" ", $A926, 15)))), AND(LEFT($A926, 17)="sensor_statistic ", LEN($A926)&gt;17, NOT(ISNUMBER(SEARCH(" ", $A926, 18)))))</formula>
    </cfRule>
  </conditionalFormatting>
  <conditionalFormatting sqref="B926:E926">
    <cfRule type="expression" dxfId="14" priority="488" stopIfTrue="1">
      <formula>$A926="comments"</formula>
    </cfRule>
  </conditionalFormatting>
  <conditionalFormatting sqref="B926:E926">
    <cfRule type="expression" dxfId="15" priority="489" stopIfTrue="1">
      <formula>OR($A926="audio", $A926="video")</formula>
    </cfRule>
  </conditionalFormatting>
  <conditionalFormatting sqref="B926:E926">
    <cfRule type="expression" dxfId="16" priority="490" stopIfTrue="1">
      <formula>$A926="image"</formula>
    </cfRule>
  </conditionalFormatting>
  <conditionalFormatting sqref="B926:E926">
    <cfRule type="expression" dxfId="17" priority="491" stopIfTrue="1">
      <formula>OR($A926="date", $A926="datetime", $A926="time")</formula>
    </cfRule>
  </conditionalFormatting>
  <conditionalFormatting sqref="B926:E926">
    <cfRule type="expression" dxfId="18" priority="492" stopIfTrue="1">
      <formula>OR($A926="calculate", $A926="calculate_here")</formula>
    </cfRule>
  </conditionalFormatting>
  <conditionalFormatting sqref="B926:E926">
    <cfRule type="expression" dxfId="19" priority="493" stopIfTrue="1">
      <formula>$A926="note"</formula>
    </cfRule>
  </conditionalFormatting>
  <conditionalFormatting sqref="B926:E926">
    <cfRule type="expression" dxfId="20" priority="494" stopIfTrue="1">
      <formula>$A926="barcode"</formula>
    </cfRule>
  </conditionalFormatting>
  <conditionalFormatting sqref="B926:E926">
    <cfRule type="expression" dxfId="21" priority="495" stopIfTrue="1">
      <formula>OR($A926="geopoint", $A926="geoshape", $A926="geotrace")</formula>
    </cfRule>
  </conditionalFormatting>
  <conditionalFormatting sqref="B926:E926">
    <cfRule type="expression" dxfId="22" priority="496" stopIfTrue="1">
      <formula>OR($A926="audio audit", $A926="text audit", $A926="speed violations count", $A926="speed violations list", $A926="speed violations audit")</formula>
    </cfRule>
  </conditionalFormatting>
  <conditionalFormatting sqref="B926:E926">
    <cfRule type="expression" dxfId="23" priority="497" stopIfTrue="1">
      <formula>OR($A926="username", $A926="phonenumber", $A926="start", $A926="end", $A926="deviceid", $A926="subscriberid", $A926="simserial", $A926="caseid")</formula>
    </cfRule>
  </conditionalFormatting>
  <conditionalFormatting sqref="B926:E926">
    <cfRule type="expression" dxfId="24" priority="498" stopIfTrue="1">
      <formula>OR(AND(LEFT($A926, 16)="select_multiple ", LEN($A926)&gt;16, NOT(ISNUMBER(SEARCH(" ", $A926, 17)))), AND(LEFT($A926, 11)="select_one ", LEN($A926)&gt;11, NOT(ISNUMBER(SEARCH(" ", $A926, 12)))))</formula>
    </cfRule>
  </conditionalFormatting>
  <conditionalFormatting sqref="B926:E926">
    <cfRule type="expression" dxfId="25" priority="499" stopIfTrue="1">
      <formula>$A926="decimal"</formula>
    </cfRule>
  </conditionalFormatting>
  <conditionalFormatting sqref="B926:E926">
    <cfRule type="expression" dxfId="26" priority="500" stopIfTrue="1">
      <formula>$A926="integer"</formula>
    </cfRule>
  </conditionalFormatting>
  <conditionalFormatting sqref="B926:E926">
    <cfRule type="expression" dxfId="27" priority="501" stopIfTrue="1">
      <formula>$A926="text"</formula>
    </cfRule>
  </conditionalFormatting>
  <conditionalFormatting sqref="B926:E926">
    <cfRule type="expression" dxfId="28" priority="502" stopIfTrue="1">
      <formula>$A926="end repeat"</formula>
    </cfRule>
  </conditionalFormatting>
  <conditionalFormatting sqref="B926:E926">
    <cfRule type="expression" dxfId="28" priority="503" stopIfTrue="1">
      <formula>$A926="begin repeat"</formula>
    </cfRule>
  </conditionalFormatting>
  <conditionalFormatting sqref="B926:E926">
    <cfRule type="expression" dxfId="29" priority="504" stopIfTrue="1">
      <formula>$A926="end group"</formula>
    </cfRule>
  </conditionalFormatting>
  <conditionalFormatting sqref="B926:E926">
    <cfRule type="expression" dxfId="29" priority="505" stopIfTrue="1">
      <formula>$A926="begin group"</formula>
    </cfRule>
  </conditionalFormatting>
  <conditionalFormatting sqref="B926">
    <cfRule type="expression" dxfId="30" priority="506" stopIfTrue="1">
      <formula>$A926="comments"</formula>
    </cfRule>
  </conditionalFormatting>
  <conditionalFormatting sqref="B926">
    <cfRule type="expression" dxfId="36" priority="507" stopIfTrue="1">
      <formula>OR(AND(LEFT($A926, 14)="sensor_stream ", LEN($A926)&gt;14, NOT(ISNUMBER(SEARCH(" ", $A926, 15)))), AND(LEFT($A926, 17)="sensor_statistic ", LEN($A926)&gt;17, NOT(ISNUMBER(SEARCH(" ", $A926, 18)))))</formula>
    </cfRule>
  </conditionalFormatting>
  <conditionalFormatting sqref="B924:C924 D924:E924">
    <cfRule type="expression" dxfId="0" priority="508" stopIfTrue="1">
      <formula>$A924="begin group"</formula>
    </cfRule>
  </conditionalFormatting>
  <conditionalFormatting sqref="B924:C924 D924:E924">
    <cfRule type="expression" dxfId="1" priority="509" stopIfTrue="1">
      <formula>$A924="begin repeat"</formula>
    </cfRule>
  </conditionalFormatting>
  <conditionalFormatting sqref="B924:E924">
    <cfRule type="expression" dxfId="31" priority="510" stopIfTrue="1">
      <formula>$A924="enumerator"</formula>
    </cfRule>
  </conditionalFormatting>
  <conditionalFormatting sqref="B924:E924">
    <cfRule type="expression" dxfId="2" priority="511" stopIfTrue="1">
      <formula>$A924="text"</formula>
    </cfRule>
  </conditionalFormatting>
  <conditionalFormatting sqref="B924:E924">
    <cfRule type="expression" dxfId="3" priority="512" stopIfTrue="1">
      <formula>$A924="integer"</formula>
    </cfRule>
  </conditionalFormatting>
  <conditionalFormatting sqref="B924:E924">
    <cfRule type="expression" dxfId="4" priority="513" stopIfTrue="1">
      <formula>$A924="decimal"</formula>
    </cfRule>
  </conditionalFormatting>
  <conditionalFormatting sqref="B924:C924 D924:E924">
    <cfRule type="expression" dxfId="5" priority="514" stopIfTrue="1">
      <formula>OR(AND(LEFT($A924, 16)="select_multiple ", LEN($A924)&gt;16, NOT(ISNUMBER(SEARCH(" ", $A924, 17)))), AND(LEFT($A924, 11)="select_one ", LEN($A924)&gt;11, NOT(ISNUMBER(SEARCH(" ", $A924, 12)))))</formula>
    </cfRule>
  </conditionalFormatting>
  <conditionalFormatting sqref="B924">
    <cfRule type="expression" dxfId="6" priority="515" stopIfTrue="1">
      <formula>OR($A924="audio audit", $A924="text audit", $A924="speed violations count", $A924="speed violations list", $A924="speed violations audit")</formula>
    </cfRule>
  </conditionalFormatting>
  <conditionalFormatting sqref="B924:C924 D924:E924">
    <cfRule type="expression" dxfId="32" priority="516" stopIfTrue="1">
      <formula>$A924="file"</formula>
    </cfRule>
  </conditionalFormatting>
  <conditionalFormatting sqref="B924:C924 D924:E924">
    <cfRule type="expression" dxfId="7" priority="517" stopIfTrue="1">
      <formula>$A924="note"</formula>
    </cfRule>
  </conditionalFormatting>
  <conditionalFormatting sqref="B924:C924 D924:E924">
    <cfRule type="expression" dxfId="8" priority="518" stopIfTrue="1">
      <formula>$A924="barcode"</formula>
    </cfRule>
  </conditionalFormatting>
  <conditionalFormatting sqref="B924:C924 D924:E924">
    <cfRule type="expression" dxfId="9" priority="519" stopIfTrue="1">
      <formula>OR($A924="geopoint", $A924="geoshape", $A924="geotrace")</formula>
    </cfRule>
  </conditionalFormatting>
  <conditionalFormatting sqref="B924">
    <cfRule type="expression" dxfId="10" priority="520" stopIfTrue="1">
      <formula>OR($A924="calculate", $A924="calculate_here")</formula>
    </cfRule>
  </conditionalFormatting>
  <conditionalFormatting sqref="B924:C924 D924:E924">
    <cfRule type="expression" dxfId="11" priority="521" stopIfTrue="1">
      <formula>OR($A924="date", $A924="datetime", $A924="time")</formula>
    </cfRule>
  </conditionalFormatting>
  <conditionalFormatting sqref="B924:C924 D924:E924">
    <cfRule type="expression" dxfId="12" priority="522" stopIfTrue="1">
      <formula>$A924="image"</formula>
    </cfRule>
  </conditionalFormatting>
  <conditionalFormatting sqref="B924:C924 D924:E924">
    <cfRule type="expression" dxfId="13" priority="523" stopIfTrue="1">
      <formula>OR($A924="audio", $A924="video")</formula>
    </cfRule>
  </conditionalFormatting>
  <conditionalFormatting sqref="B924:E924">
    <cfRule type="expression" dxfId="33" priority="524" stopIfTrue="1">
      <formula>$A924="file"</formula>
    </cfRule>
  </conditionalFormatting>
  <conditionalFormatting sqref="B924:E924">
    <cfRule type="expression" dxfId="34" priority="525" stopIfTrue="1">
      <formula>$A924="enumerator"</formula>
    </cfRule>
  </conditionalFormatting>
  <conditionalFormatting sqref="B924:E924">
    <cfRule type="expression" dxfId="35" priority="526" stopIfTrue="1">
      <formula>OR(AND(LEFT($A924, 14)="sensor_stream ", LEN($A924)&gt;14, NOT(ISNUMBER(SEARCH(" ", $A924, 15)))), AND(LEFT($A924, 17)="sensor_statistic ", LEN($A924)&gt;17, NOT(ISNUMBER(SEARCH(" ", $A924, 18)))))</formula>
    </cfRule>
  </conditionalFormatting>
  <conditionalFormatting sqref="B924:E924">
    <cfRule type="expression" dxfId="14" priority="527" stopIfTrue="1">
      <formula>$A924="comments"</formula>
    </cfRule>
  </conditionalFormatting>
  <conditionalFormatting sqref="B924:E924">
    <cfRule type="expression" dxfId="15" priority="528" stopIfTrue="1">
      <formula>OR($A924="audio", $A924="video")</formula>
    </cfRule>
  </conditionalFormatting>
  <conditionalFormatting sqref="B924:E924">
    <cfRule type="expression" dxfId="16" priority="529" stopIfTrue="1">
      <formula>$A924="image"</formula>
    </cfRule>
  </conditionalFormatting>
  <conditionalFormatting sqref="B924:E924">
    <cfRule type="expression" dxfId="17" priority="530" stopIfTrue="1">
      <formula>OR($A924="date", $A924="datetime", $A924="time")</formula>
    </cfRule>
  </conditionalFormatting>
  <conditionalFormatting sqref="B924:E924">
    <cfRule type="expression" dxfId="18" priority="531" stopIfTrue="1">
      <formula>OR($A924="calculate", $A924="calculate_here")</formula>
    </cfRule>
  </conditionalFormatting>
  <conditionalFormatting sqref="B924:E924">
    <cfRule type="expression" dxfId="19" priority="532" stopIfTrue="1">
      <formula>$A924="note"</formula>
    </cfRule>
  </conditionalFormatting>
  <conditionalFormatting sqref="B924:E924">
    <cfRule type="expression" dxfId="20" priority="533" stopIfTrue="1">
      <formula>$A924="barcode"</formula>
    </cfRule>
  </conditionalFormatting>
  <conditionalFormatting sqref="B924:E924">
    <cfRule type="expression" dxfId="21" priority="534" stopIfTrue="1">
      <formula>OR($A924="geopoint", $A924="geoshape", $A924="geotrace")</formula>
    </cfRule>
  </conditionalFormatting>
  <conditionalFormatting sqref="B924:E924">
    <cfRule type="expression" dxfId="22" priority="535" stopIfTrue="1">
      <formula>OR($A924="audio audit", $A924="text audit", $A924="speed violations count", $A924="speed violations list", $A924="speed violations audit")</formula>
    </cfRule>
  </conditionalFormatting>
  <conditionalFormatting sqref="B924:E924">
    <cfRule type="expression" dxfId="23" priority="536" stopIfTrue="1">
      <formula>OR($A924="username", $A924="phonenumber", $A924="start", $A924="end", $A924="deviceid", $A924="subscriberid", $A924="simserial", $A924="caseid")</formula>
    </cfRule>
  </conditionalFormatting>
  <conditionalFormatting sqref="B924:E924">
    <cfRule type="expression" dxfId="24" priority="537" stopIfTrue="1">
      <formula>OR(AND(LEFT($A924, 16)="select_multiple ", LEN($A924)&gt;16, NOT(ISNUMBER(SEARCH(" ", $A924, 17)))), AND(LEFT($A924, 11)="select_one ", LEN($A924)&gt;11, NOT(ISNUMBER(SEARCH(" ", $A924, 12)))))</formula>
    </cfRule>
  </conditionalFormatting>
  <conditionalFormatting sqref="B924:E924">
    <cfRule type="expression" dxfId="25" priority="538" stopIfTrue="1">
      <formula>$A924="decimal"</formula>
    </cfRule>
  </conditionalFormatting>
  <conditionalFormatting sqref="B924:E924">
    <cfRule type="expression" dxfId="26" priority="539" stopIfTrue="1">
      <formula>$A924="integer"</formula>
    </cfRule>
  </conditionalFormatting>
  <conditionalFormatting sqref="B924:E924">
    <cfRule type="expression" dxfId="27" priority="540" stopIfTrue="1">
      <formula>$A924="text"</formula>
    </cfRule>
  </conditionalFormatting>
  <conditionalFormatting sqref="B924:E924">
    <cfRule type="expression" dxfId="28" priority="541" stopIfTrue="1">
      <formula>$A924="end repeat"</formula>
    </cfRule>
  </conditionalFormatting>
  <conditionalFormatting sqref="B924:E924">
    <cfRule type="expression" dxfId="28" priority="542" stopIfTrue="1">
      <formula>$A924="begin repeat"</formula>
    </cfRule>
  </conditionalFormatting>
  <conditionalFormatting sqref="B924:E924">
    <cfRule type="expression" dxfId="29" priority="543" stopIfTrue="1">
      <formula>$A924="end group"</formula>
    </cfRule>
  </conditionalFormatting>
  <conditionalFormatting sqref="B924:E924">
    <cfRule type="expression" dxfId="29" priority="544" stopIfTrue="1">
      <formula>$A924="begin group"</formula>
    </cfRule>
  </conditionalFormatting>
  <conditionalFormatting sqref="B924">
    <cfRule type="expression" dxfId="30" priority="545" stopIfTrue="1">
      <formula>$A924="comments"</formula>
    </cfRule>
  </conditionalFormatting>
  <conditionalFormatting sqref="B924">
    <cfRule type="expression" dxfId="36" priority="546" stopIfTrue="1">
      <formula>OR(AND(LEFT($A924, 14)="sensor_stream ", LEN($A924)&gt;14, NOT(ISNUMBER(SEARCH(" ", $A924, 15)))), AND(LEFT($A924, 17)="sensor_statistic ", LEN($A924)&gt;17, NOT(ISNUMBER(SEARCH(" ", $A924, 18)))))</formula>
    </cfRule>
  </conditionalFormatting>
  <conditionalFormatting sqref="B921:C921 D921:E921">
    <cfRule type="expression" dxfId="0" priority="547" stopIfTrue="1">
      <formula>$A921="begin group"</formula>
    </cfRule>
  </conditionalFormatting>
  <conditionalFormatting sqref="B921:C921 D921:E921">
    <cfRule type="expression" dxfId="1" priority="548" stopIfTrue="1">
      <formula>$A921="begin repeat"</formula>
    </cfRule>
  </conditionalFormatting>
  <conditionalFormatting sqref="B921:E921">
    <cfRule type="expression" dxfId="31" priority="549" stopIfTrue="1">
      <formula>$A921="enumerator"</formula>
    </cfRule>
  </conditionalFormatting>
  <conditionalFormatting sqref="B921:E921">
    <cfRule type="expression" dxfId="2" priority="550" stopIfTrue="1">
      <formula>$A921="text"</formula>
    </cfRule>
  </conditionalFormatting>
  <conditionalFormatting sqref="B921:E921">
    <cfRule type="expression" dxfId="3" priority="551" stopIfTrue="1">
      <formula>$A921="integer"</formula>
    </cfRule>
  </conditionalFormatting>
  <conditionalFormatting sqref="B921:E921">
    <cfRule type="expression" dxfId="4" priority="552" stopIfTrue="1">
      <formula>$A921="decimal"</formula>
    </cfRule>
  </conditionalFormatting>
  <conditionalFormatting sqref="B921:C921 D921:E921">
    <cfRule type="expression" dxfId="5" priority="553" stopIfTrue="1">
      <formula>OR(AND(LEFT($A921, 16)="select_multiple ", LEN($A921)&gt;16, NOT(ISNUMBER(SEARCH(" ", $A921, 17)))), AND(LEFT($A921, 11)="select_one ", LEN($A921)&gt;11, NOT(ISNUMBER(SEARCH(" ", $A921, 12)))))</formula>
    </cfRule>
  </conditionalFormatting>
  <conditionalFormatting sqref="B921">
    <cfRule type="expression" dxfId="6" priority="554" stopIfTrue="1">
      <formula>OR($A921="audio audit", $A921="text audit", $A921="speed violations count", $A921="speed violations list", $A921="speed violations audit")</formula>
    </cfRule>
  </conditionalFormatting>
  <conditionalFormatting sqref="B921:C921 D921:E921">
    <cfRule type="expression" dxfId="32" priority="555" stopIfTrue="1">
      <formula>$A921="file"</formula>
    </cfRule>
  </conditionalFormatting>
  <conditionalFormatting sqref="B921:C921 D921:E921">
    <cfRule type="expression" dxfId="7" priority="556" stopIfTrue="1">
      <formula>$A921="note"</formula>
    </cfRule>
  </conditionalFormatting>
  <conditionalFormatting sqref="B921:C921 D921:E921">
    <cfRule type="expression" dxfId="8" priority="557" stopIfTrue="1">
      <formula>$A921="barcode"</formula>
    </cfRule>
  </conditionalFormatting>
  <conditionalFormatting sqref="B921:C921 D921:E921">
    <cfRule type="expression" dxfId="9" priority="558" stopIfTrue="1">
      <formula>OR($A921="geopoint", $A921="geoshape", $A921="geotrace")</formula>
    </cfRule>
  </conditionalFormatting>
  <conditionalFormatting sqref="B921">
    <cfRule type="expression" dxfId="10" priority="559" stopIfTrue="1">
      <formula>OR($A921="calculate", $A921="calculate_here")</formula>
    </cfRule>
  </conditionalFormatting>
  <conditionalFormatting sqref="B921:C921 D921:E921">
    <cfRule type="expression" dxfId="11" priority="560" stopIfTrue="1">
      <formula>OR($A921="date", $A921="datetime", $A921="time")</formula>
    </cfRule>
  </conditionalFormatting>
  <conditionalFormatting sqref="B921:C921 D921:E921">
    <cfRule type="expression" dxfId="12" priority="561" stopIfTrue="1">
      <formula>$A921="image"</formula>
    </cfRule>
  </conditionalFormatting>
  <conditionalFormatting sqref="B921:C921 D921:E921">
    <cfRule type="expression" dxfId="13" priority="562" stopIfTrue="1">
      <formula>OR($A921="audio", $A921="video")</formula>
    </cfRule>
  </conditionalFormatting>
  <conditionalFormatting sqref="B921:E921">
    <cfRule type="expression" dxfId="33" priority="563" stopIfTrue="1">
      <formula>$A921="file"</formula>
    </cfRule>
  </conditionalFormatting>
  <conditionalFormatting sqref="B921:E921">
    <cfRule type="expression" dxfId="34" priority="564" stopIfTrue="1">
      <formula>$A921="enumerator"</formula>
    </cfRule>
  </conditionalFormatting>
  <conditionalFormatting sqref="B921:E921">
    <cfRule type="expression" dxfId="35" priority="565" stopIfTrue="1">
      <formula>OR(AND(LEFT($A921, 14)="sensor_stream ", LEN($A921)&gt;14, NOT(ISNUMBER(SEARCH(" ", $A921, 15)))), AND(LEFT($A921, 17)="sensor_statistic ", LEN($A921)&gt;17, NOT(ISNUMBER(SEARCH(" ", $A921, 18)))))</formula>
    </cfRule>
  </conditionalFormatting>
  <conditionalFormatting sqref="B921:E921">
    <cfRule type="expression" dxfId="14" priority="566" stopIfTrue="1">
      <formula>$A921="comments"</formula>
    </cfRule>
  </conditionalFormatting>
  <conditionalFormatting sqref="B921:E921">
    <cfRule type="expression" dxfId="15" priority="567" stopIfTrue="1">
      <formula>OR($A921="audio", $A921="video")</formula>
    </cfRule>
  </conditionalFormatting>
  <conditionalFormatting sqref="B921:E921">
    <cfRule type="expression" dxfId="16" priority="568" stopIfTrue="1">
      <formula>$A921="image"</formula>
    </cfRule>
  </conditionalFormatting>
  <conditionalFormatting sqref="B921:E921">
    <cfRule type="expression" dxfId="17" priority="569" stopIfTrue="1">
      <formula>OR($A921="date", $A921="datetime", $A921="time")</formula>
    </cfRule>
  </conditionalFormatting>
  <conditionalFormatting sqref="B921:E921">
    <cfRule type="expression" dxfId="18" priority="570" stopIfTrue="1">
      <formula>OR($A921="calculate", $A921="calculate_here")</formula>
    </cfRule>
  </conditionalFormatting>
  <conditionalFormatting sqref="B921:E921">
    <cfRule type="expression" dxfId="19" priority="571" stopIfTrue="1">
      <formula>$A921="note"</formula>
    </cfRule>
  </conditionalFormatting>
  <conditionalFormatting sqref="B921:E921">
    <cfRule type="expression" dxfId="20" priority="572" stopIfTrue="1">
      <formula>$A921="barcode"</formula>
    </cfRule>
  </conditionalFormatting>
  <conditionalFormatting sqref="B921:E921">
    <cfRule type="expression" dxfId="21" priority="573" stopIfTrue="1">
      <formula>OR($A921="geopoint", $A921="geoshape", $A921="geotrace")</formula>
    </cfRule>
  </conditionalFormatting>
  <conditionalFormatting sqref="B921:E921">
    <cfRule type="expression" dxfId="22" priority="574" stopIfTrue="1">
      <formula>OR($A921="audio audit", $A921="text audit", $A921="speed violations count", $A921="speed violations list", $A921="speed violations audit")</formula>
    </cfRule>
  </conditionalFormatting>
  <conditionalFormatting sqref="B921:E921">
    <cfRule type="expression" dxfId="23" priority="575" stopIfTrue="1">
      <formula>OR($A921="username", $A921="phonenumber", $A921="start", $A921="end", $A921="deviceid", $A921="subscriberid", $A921="simserial", $A921="caseid")</formula>
    </cfRule>
  </conditionalFormatting>
  <conditionalFormatting sqref="B921:E921">
    <cfRule type="expression" dxfId="24" priority="576" stopIfTrue="1">
      <formula>OR(AND(LEFT($A921, 16)="select_multiple ", LEN($A921)&gt;16, NOT(ISNUMBER(SEARCH(" ", $A921, 17)))), AND(LEFT($A921, 11)="select_one ", LEN($A921)&gt;11, NOT(ISNUMBER(SEARCH(" ", $A921, 12)))))</formula>
    </cfRule>
  </conditionalFormatting>
  <conditionalFormatting sqref="B921:E921">
    <cfRule type="expression" dxfId="25" priority="577" stopIfTrue="1">
      <formula>$A921="decimal"</formula>
    </cfRule>
  </conditionalFormatting>
  <conditionalFormatting sqref="B921:E921">
    <cfRule type="expression" dxfId="26" priority="578" stopIfTrue="1">
      <formula>$A921="integer"</formula>
    </cfRule>
  </conditionalFormatting>
  <conditionalFormatting sqref="B921:E921">
    <cfRule type="expression" dxfId="27" priority="579" stopIfTrue="1">
      <formula>$A921="text"</formula>
    </cfRule>
  </conditionalFormatting>
  <conditionalFormatting sqref="B921:E921">
    <cfRule type="expression" dxfId="28" priority="580" stopIfTrue="1">
      <formula>$A921="end repeat"</formula>
    </cfRule>
  </conditionalFormatting>
  <conditionalFormatting sqref="B921:E921">
    <cfRule type="expression" dxfId="28" priority="581" stopIfTrue="1">
      <formula>$A921="begin repeat"</formula>
    </cfRule>
  </conditionalFormatting>
  <conditionalFormatting sqref="B921:E921">
    <cfRule type="expression" dxfId="29" priority="582" stopIfTrue="1">
      <formula>$A921="end group"</formula>
    </cfRule>
  </conditionalFormatting>
  <conditionalFormatting sqref="B921:E921">
    <cfRule type="expression" dxfId="29" priority="583" stopIfTrue="1">
      <formula>$A921="begin group"</formula>
    </cfRule>
  </conditionalFormatting>
  <conditionalFormatting sqref="B921">
    <cfRule type="expression" dxfId="30" priority="584" stopIfTrue="1">
      <formula>$A921="comments"</formula>
    </cfRule>
  </conditionalFormatting>
  <conditionalFormatting sqref="B921">
    <cfRule type="expression" dxfId="36" priority="585" stopIfTrue="1">
      <formula>OR(AND(LEFT($A921, 14)="sensor_stream ", LEN($A921)&gt;14, NOT(ISNUMBER(SEARCH(" ", $A921, 15)))), AND(LEFT($A921, 17)="sensor_statistic ", LEN($A921)&gt;17, NOT(ISNUMBER(SEARCH(" ", $A921, 18)))))</formula>
    </cfRule>
  </conditionalFormatting>
  <conditionalFormatting sqref="B905:C915 D905:E915">
    <cfRule type="expression" dxfId="0" priority="586" stopIfTrue="1">
      <formula>$A905="begin group"</formula>
    </cfRule>
  </conditionalFormatting>
  <conditionalFormatting sqref="B905:C915 D905:E915">
    <cfRule type="expression" dxfId="1" priority="587" stopIfTrue="1">
      <formula>$A905="begin repeat"</formula>
    </cfRule>
  </conditionalFormatting>
  <conditionalFormatting sqref="B905:E915">
    <cfRule type="expression" dxfId="31" priority="588" stopIfTrue="1">
      <formula>$A905="enumerator"</formula>
    </cfRule>
  </conditionalFormatting>
  <conditionalFormatting sqref="B905:E915">
    <cfRule type="expression" dxfId="2" priority="589" stopIfTrue="1">
      <formula>$A905="text"</formula>
    </cfRule>
  </conditionalFormatting>
  <conditionalFormatting sqref="B905:E915">
    <cfRule type="expression" dxfId="3" priority="590" stopIfTrue="1">
      <formula>$A905="integer"</formula>
    </cfRule>
  </conditionalFormatting>
  <conditionalFormatting sqref="B905:E915">
    <cfRule type="expression" dxfId="4" priority="591" stopIfTrue="1">
      <formula>$A905="decimal"</formula>
    </cfRule>
  </conditionalFormatting>
  <conditionalFormatting sqref="B905:C915 D905:E915">
    <cfRule type="expression" dxfId="5" priority="592" stopIfTrue="1">
      <formula>OR(AND(LEFT($A905, 16)="select_multiple ", LEN($A905)&gt;16, NOT(ISNUMBER(SEARCH(" ", $A905, 17)))), AND(LEFT($A905, 11)="select_one ", LEN($A905)&gt;11, NOT(ISNUMBER(SEARCH(" ", $A905, 12)))))</formula>
    </cfRule>
  </conditionalFormatting>
  <conditionalFormatting sqref="B905:B915">
    <cfRule type="expression" dxfId="6" priority="593" stopIfTrue="1">
      <formula>OR($A905="audio audit", $A905="text audit", $A905="speed violations count", $A905="speed violations list", $A905="speed violations audit")</formula>
    </cfRule>
  </conditionalFormatting>
  <conditionalFormatting sqref="B905:C915 D905:E915">
    <cfRule type="expression" dxfId="32" priority="594" stopIfTrue="1">
      <formula>$A905="file"</formula>
    </cfRule>
  </conditionalFormatting>
  <conditionalFormatting sqref="B905:C915 D905:E915">
    <cfRule type="expression" dxfId="7" priority="595" stopIfTrue="1">
      <formula>$A905="note"</formula>
    </cfRule>
  </conditionalFormatting>
  <conditionalFormatting sqref="B905:C915 D905:E915">
    <cfRule type="expression" dxfId="8" priority="596" stopIfTrue="1">
      <formula>$A905="barcode"</formula>
    </cfRule>
  </conditionalFormatting>
  <conditionalFormatting sqref="B905:C915 D905:E915">
    <cfRule type="expression" dxfId="9" priority="597" stopIfTrue="1">
      <formula>OR($A905="geopoint", $A905="geoshape", $A905="geotrace")</formula>
    </cfRule>
  </conditionalFormatting>
  <conditionalFormatting sqref="B905:B915">
    <cfRule type="expression" dxfId="10" priority="598" stopIfTrue="1">
      <formula>OR($A905="calculate", $A905="calculate_here")</formula>
    </cfRule>
  </conditionalFormatting>
  <conditionalFormatting sqref="B905:C915 D905:E915">
    <cfRule type="expression" dxfId="11" priority="599" stopIfTrue="1">
      <formula>OR($A905="date", $A905="datetime", $A905="time")</formula>
    </cfRule>
  </conditionalFormatting>
  <conditionalFormatting sqref="B905:C915 D905:E915">
    <cfRule type="expression" dxfId="12" priority="600" stopIfTrue="1">
      <formula>$A905="image"</formula>
    </cfRule>
  </conditionalFormatting>
  <conditionalFormatting sqref="B905:C915 D905:E915">
    <cfRule type="expression" dxfId="13" priority="601" stopIfTrue="1">
      <formula>OR($A905="audio", $A905="video")</formula>
    </cfRule>
  </conditionalFormatting>
  <conditionalFormatting sqref="B905:E915">
    <cfRule type="expression" dxfId="33" priority="602" stopIfTrue="1">
      <formula>$A905="file"</formula>
    </cfRule>
  </conditionalFormatting>
  <conditionalFormatting sqref="B905:E915">
    <cfRule type="expression" dxfId="34" priority="603" stopIfTrue="1">
      <formula>$A905="enumerator"</formula>
    </cfRule>
  </conditionalFormatting>
  <conditionalFormatting sqref="B905:E915">
    <cfRule type="expression" dxfId="35" priority="604" stopIfTrue="1">
      <formula>OR(AND(LEFT($A905, 14)="sensor_stream ", LEN($A905)&gt;14, NOT(ISNUMBER(SEARCH(" ", $A905, 15)))), AND(LEFT($A905, 17)="sensor_statistic ", LEN($A905)&gt;17, NOT(ISNUMBER(SEARCH(" ", $A905, 18)))))</formula>
    </cfRule>
  </conditionalFormatting>
  <conditionalFormatting sqref="B905:E915">
    <cfRule type="expression" dxfId="14" priority="605" stopIfTrue="1">
      <formula>$A905="comments"</formula>
    </cfRule>
  </conditionalFormatting>
  <conditionalFormatting sqref="B905:E915">
    <cfRule type="expression" dxfId="15" priority="606" stopIfTrue="1">
      <formula>OR($A905="audio", $A905="video")</formula>
    </cfRule>
  </conditionalFormatting>
  <conditionalFormatting sqref="B905:E915">
    <cfRule type="expression" dxfId="16" priority="607" stopIfTrue="1">
      <formula>$A905="image"</formula>
    </cfRule>
  </conditionalFormatting>
  <conditionalFormatting sqref="B905:E915">
    <cfRule type="expression" dxfId="17" priority="608" stopIfTrue="1">
      <formula>OR($A905="date", $A905="datetime", $A905="time")</formula>
    </cfRule>
  </conditionalFormatting>
  <conditionalFormatting sqref="B905:E915">
    <cfRule type="expression" dxfId="18" priority="609" stopIfTrue="1">
      <formula>OR($A905="calculate", $A905="calculate_here")</formula>
    </cfRule>
  </conditionalFormatting>
  <conditionalFormatting sqref="B905:E915">
    <cfRule type="expression" dxfId="19" priority="610" stopIfTrue="1">
      <formula>$A905="note"</formula>
    </cfRule>
  </conditionalFormatting>
  <conditionalFormatting sqref="B905:E915">
    <cfRule type="expression" dxfId="20" priority="611" stopIfTrue="1">
      <formula>$A905="barcode"</formula>
    </cfRule>
  </conditionalFormatting>
  <conditionalFormatting sqref="B905:E915">
    <cfRule type="expression" dxfId="21" priority="612" stopIfTrue="1">
      <formula>OR($A905="geopoint", $A905="geoshape", $A905="geotrace")</formula>
    </cfRule>
  </conditionalFormatting>
  <conditionalFormatting sqref="B905:E915">
    <cfRule type="expression" dxfId="22" priority="613" stopIfTrue="1">
      <formula>OR($A905="audio audit", $A905="text audit", $A905="speed violations count", $A905="speed violations list", $A905="speed violations audit")</formula>
    </cfRule>
  </conditionalFormatting>
  <conditionalFormatting sqref="B905:E915">
    <cfRule type="expression" dxfId="23" priority="614" stopIfTrue="1">
      <formula>OR($A905="username", $A905="phonenumber", $A905="start", $A905="end", $A905="deviceid", $A905="subscriberid", $A905="simserial", $A905="caseid")</formula>
    </cfRule>
  </conditionalFormatting>
  <conditionalFormatting sqref="B905:E915">
    <cfRule type="expression" dxfId="24" priority="615" stopIfTrue="1">
      <formula>OR(AND(LEFT($A905, 16)="select_multiple ", LEN($A905)&gt;16, NOT(ISNUMBER(SEARCH(" ", $A905, 17)))), AND(LEFT($A905, 11)="select_one ", LEN($A905)&gt;11, NOT(ISNUMBER(SEARCH(" ", $A905, 12)))))</formula>
    </cfRule>
  </conditionalFormatting>
  <conditionalFormatting sqref="B905:E915">
    <cfRule type="expression" dxfId="25" priority="616" stopIfTrue="1">
      <formula>$A905="decimal"</formula>
    </cfRule>
  </conditionalFormatting>
  <conditionalFormatting sqref="B905:E915">
    <cfRule type="expression" dxfId="26" priority="617" stopIfTrue="1">
      <formula>$A905="integer"</formula>
    </cfRule>
  </conditionalFormatting>
  <conditionalFormatting sqref="B905:E915">
    <cfRule type="expression" dxfId="27" priority="618" stopIfTrue="1">
      <formula>$A905="text"</formula>
    </cfRule>
  </conditionalFormatting>
  <conditionalFormatting sqref="B905:E915">
    <cfRule type="expression" dxfId="28" priority="619" stopIfTrue="1">
      <formula>$A905="end repeat"</formula>
    </cfRule>
  </conditionalFormatting>
  <conditionalFormatting sqref="B905:E915">
    <cfRule type="expression" dxfId="28" priority="620" stopIfTrue="1">
      <formula>$A905="begin repeat"</formula>
    </cfRule>
  </conditionalFormatting>
  <conditionalFormatting sqref="B905:E915">
    <cfRule type="expression" dxfId="29" priority="621" stopIfTrue="1">
      <formula>$A905="end group"</formula>
    </cfRule>
  </conditionalFormatting>
  <conditionalFormatting sqref="B905:E915">
    <cfRule type="expression" dxfId="29" priority="622" stopIfTrue="1">
      <formula>$A905="begin group"</formula>
    </cfRule>
  </conditionalFormatting>
  <conditionalFormatting sqref="B905:B915">
    <cfRule type="expression" dxfId="30" priority="623" stopIfTrue="1">
      <formula>$A905="comments"</formula>
    </cfRule>
  </conditionalFormatting>
  <conditionalFormatting sqref="B905:B915">
    <cfRule type="expression" dxfId="36" priority="624" stopIfTrue="1">
      <formula>OR(AND(LEFT($A905, 14)="sensor_stream ", LEN($A905)&gt;14, NOT(ISNUMBER(SEARCH(" ", $A905, 15)))), AND(LEFT($A905, 17)="sensor_statistic ", LEN($A905)&gt;17, NOT(ISNUMBER(SEARCH(" ", $A905, 18)))))</formula>
    </cfRule>
  </conditionalFormatting>
  <conditionalFormatting sqref="B895:C901 D895:E901">
    <cfRule type="expression" dxfId="0" priority="625" stopIfTrue="1">
      <formula>$A895="begin group"</formula>
    </cfRule>
  </conditionalFormatting>
  <conditionalFormatting sqref="B895:C901 D895:E901">
    <cfRule type="expression" dxfId="1" priority="626" stopIfTrue="1">
      <formula>$A895="begin repeat"</formula>
    </cfRule>
  </conditionalFormatting>
  <conditionalFormatting sqref="B895:E901">
    <cfRule type="expression" dxfId="31" priority="627" stopIfTrue="1">
      <formula>$A895="enumerator"</formula>
    </cfRule>
  </conditionalFormatting>
  <conditionalFormatting sqref="B895:E901">
    <cfRule type="expression" dxfId="2" priority="628" stopIfTrue="1">
      <formula>$A895="text"</formula>
    </cfRule>
  </conditionalFormatting>
  <conditionalFormatting sqref="B895:E901">
    <cfRule type="expression" dxfId="3" priority="629" stopIfTrue="1">
      <formula>$A895="integer"</formula>
    </cfRule>
  </conditionalFormatting>
  <conditionalFormatting sqref="B895:E901">
    <cfRule type="expression" dxfId="4" priority="630" stopIfTrue="1">
      <formula>$A895="decimal"</formula>
    </cfRule>
  </conditionalFormatting>
  <conditionalFormatting sqref="B895:C901 D895:E901">
    <cfRule type="expression" dxfId="5" priority="631" stopIfTrue="1">
      <formula>OR(AND(LEFT($A895, 16)="select_multiple ", LEN($A895)&gt;16, NOT(ISNUMBER(SEARCH(" ", $A895, 17)))), AND(LEFT($A895, 11)="select_one ", LEN($A895)&gt;11, NOT(ISNUMBER(SEARCH(" ", $A895, 12)))))</formula>
    </cfRule>
  </conditionalFormatting>
  <conditionalFormatting sqref="B895:B901">
    <cfRule type="expression" dxfId="6" priority="632" stopIfTrue="1">
      <formula>OR($A895="audio audit", $A895="text audit", $A895="speed violations count", $A895="speed violations list", $A895="speed violations audit")</formula>
    </cfRule>
  </conditionalFormatting>
  <conditionalFormatting sqref="B895:C901 D895:E901">
    <cfRule type="expression" dxfId="32" priority="633" stopIfTrue="1">
      <formula>$A895="file"</formula>
    </cfRule>
  </conditionalFormatting>
  <conditionalFormatting sqref="B895:C901 D895:E901">
    <cfRule type="expression" dxfId="7" priority="634" stopIfTrue="1">
      <formula>$A895="note"</formula>
    </cfRule>
  </conditionalFormatting>
  <conditionalFormatting sqref="B895:C901 D895:E901">
    <cfRule type="expression" dxfId="8" priority="635" stopIfTrue="1">
      <formula>$A895="barcode"</formula>
    </cfRule>
  </conditionalFormatting>
  <conditionalFormatting sqref="B895:C901 D895:E901">
    <cfRule type="expression" dxfId="9" priority="636" stopIfTrue="1">
      <formula>OR($A895="geopoint", $A895="geoshape", $A895="geotrace")</formula>
    </cfRule>
  </conditionalFormatting>
  <conditionalFormatting sqref="B895:B901">
    <cfRule type="expression" dxfId="10" priority="637" stopIfTrue="1">
      <formula>OR($A895="calculate", $A895="calculate_here")</formula>
    </cfRule>
  </conditionalFormatting>
  <conditionalFormatting sqref="B895:C901 D895:E901">
    <cfRule type="expression" dxfId="11" priority="638" stopIfTrue="1">
      <formula>OR($A895="date", $A895="datetime", $A895="time")</formula>
    </cfRule>
  </conditionalFormatting>
  <conditionalFormatting sqref="B895:C901 D895:E901">
    <cfRule type="expression" dxfId="12" priority="639" stopIfTrue="1">
      <formula>$A895="image"</formula>
    </cfRule>
  </conditionalFormatting>
  <conditionalFormatting sqref="B895:C901 D895:E901">
    <cfRule type="expression" dxfId="13" priority="640" stopIfTrue="1">
      <formula>OR($A895="audio", $A895="video")</formula>
    </cfRule>
  </conditionalFormatting>
  <conditionalFormatting sqref="B895:E901">
    <cfRule type="expression" dxfId="33" priority="641" stopIfTrue="1">
      <formula>$A895="file"</formula>
    </cfRule>
  </conditionalFormatting>
  <conditionalFormatting sqref="B895:E901">
    <cfRule type="expression" dxfId="34" priority="642" stopIfTrue="1">
      <formula>$A895="enumerator"</formula>
    </cfRule>
  </conditionalFormatting>
  <conditionalFormatting sqref="B895:E901">
    <cfRule type="expression" dxfId="35" priority="643" stopIfTrue="1">
      <formula>OR(AND(LEFT($A895, 14)="sensor_stream ", LEN($A895)&gt;14, NOT(ISNUMBER(SEARCH(" ", $A895, 15)))), AND(LEFT($A895, 17)="sensor_statistic ", LEN($A895)&gt;17, NOT(ISNUMBER(SEARCH(" ", $A895, 18)))))</formula>
    </cfRule>
  </conditionalFormatting>
  <conditionalFormatting sqref="B895:E901">
    <cfRule type="expression" dxfId="14" priority="644" stopIfTrue="1">
      <formula>$A895="comments"</formula>
    </cfRule>
  </conditionalFormatting>
  <conditionalFormatting sqref="B895:E901">
    <cfRule type="expression" dxfId="15" priority="645" stopIfTrue="1">
      <formula>OR($A895="audio", $A895="video")</formula>
    </cfRule>
  </conditionalFormatting>
  <conditionalFormatting sqref="B895:E901">
    <cfRule type="expression" dxfId="16" priority="646" stopIfTrue="1">
      <formula>$A895="image"</formula>
    </cfRule>
  </conditionalFormatting>
  <conditionalFormatting sqref="B895:E901">
    <cfRule type="expression" dxfId="17" priority="647" stopIfTrue="1">
      <formula>OR($A895="date", $A895="datetime", $A895="time")</formula>
    </cfRule>
  </conditionalFormatting>
  <conditionalFormatting sqref="B895:E901">
    <cfRule type="expression" dxfId="18" priority="648" stopIfTrue="1">
      <formula>OR($A895="calculate", $A895="calculate_here")</formula>
    </cfRule>
  </conditionalFormatting>
  <conditionalFormatting sqref="B895:E901">
    <cfRule type="expression" dxfId="19" priority="649" stopIfTrue="1">
      <formula>$A895="note"</formula>
    </cfRule>
  </conditionalFormatting>
  <conditionalFormatting sqref="B895:E901">
    <cfRule type="expression" dxfId="20" priority="650" stopIfTrue="1">
      <formula>$A895="barcode"</formula>
    </cfRule>
  </conditionalFormatting>
  <conditionalFormatting sqref="B895:E901">
    <cfRule type="expression" dxfId="21" priority="651" stopIfTrue="1">
      <formula>OR($A895="geopoint", $A895="geoshape", $A895="geotrace")</formula>
    </cfRule>
  </conditionalFormatting>
  <conditionalFormatting sqref="B895:E901">
    <cfRule type="expression" dxfId="22" priority="652" stopIfTrue="1">
      <formula>OR($A895="audio audit", $A895="text audit", $A895="speed violations count", $A895="speed violations list", $A895="speed violations audit")</formula>
    </cfRule>
  </conditionalFormatting>
  <conditionalFormatting sqref="B895:E901">
    <cfRule type="expression" dxfId="23" priority="653" stopIfTrue="1">
      <formula>OR($A895="username", $A895="phonenumber", $A895="start", $A895="end", $A895="deviceid", $A895="subscriberid", $A895="simserial", $A895="caseid")</formula>
    </cfRule>
  </conditionalFormatting>
  <conditionalFormatting sqref="B895:E901">
    <cfRule type="expression" dxfId="24" priority="654" stopIfTrue="1">
      <formula>OR(AND(LEFT($A895, 16)="select_multiple ", LEN($A895)&gt;16, NOT(ISNUMBER(SEARCH(" ", $A895, 17)))), AND(LEFT($A895, 11)="select_one ", LEN($A895)&gt;11, NOT(ISNUMBER(SEARCH(" ", $A895, 12)))))</formula>
    </cfRule>
  </conditionalFormatting>
  <conditionalFormatting sqref="B895:E901">
    <cfRule type="expression" dxfId="25" priority="655" stopIfTrue="1">
      <formula>$A895="decimal"</formula>
    </cfRule>
  </conditionalFormatting>
  <conditionalFormatting sqref="B895:E901">
    <cfRule type="expression" dxfId="26" priority="656" stopIfTrue="1">
      <formula>$A895="integer"</formula>
    </cfRule>
  </conditionalFormatting>
  <conditionalFormatting sqref="B895:E901">
    <cfRule type="expression" dxfId="27" priority="657" stopIfTrue="1">
      <formula>$A895="text"</formula>
    </cfRule>
  </conditionalFormatting>
  <conditionalFormatting sqref="B895:E901">
    <cfRule type="expression" dxfId="28" priority="658" stopIfTrue="1">
      <formula>$A895="end repeat"</formula>
    </cfRule>
  </conditionalFormatting>
  <conditionalFormatting sqref="B895:E901">
    <cfRule type="expression" dxfId="28" priority="659" stopIfTrue="1">
      <formula>$A895="begin repeat"</formula>
    </cfRule>
  </conditionalFormatting>
  <conditionalFormatting sqref="B895:E901">
    <cfRule type="expression" dxfId="29" priority="660" stopIfTrue="1">
      <formula>$A895="end group"</formula>
    </cfRule>
  </conditionalFormatting>
  <conditionalFormatting sqref="B895:E901">
    <cfRule type="expression" dxfId="29" priority="661" stopIfTrue="1">
      <formula>$A895="begin group"</formula>
    </cfRule>
  </conditionalFormatting>
  <conditionalFormatting sqref="B895:B901">
    <cfRule type="expression" dxfId="30" priority="662" stopIfTrue="1">
      <formula>$A895="comments"</formula>
    </cfRule>
  </conditionalFormatting>
  <conditionalFormatting sqref="B895:B901">
    <cfRule type="expression" dxfId="36" priority="663" stopIfTrue="1">
      <formula>OR(AND(LEFT($A895, 14)="sensor_stream ", LEN($A895)&gt;14, NOT(ISNUMBER(SEARCH(" ", $A895, 15)))), AND(LEFT($A895, 17)="sensor_statistic ", LEN($A895)&gt;17, NOT(ISNUMBER(SEARCH(" ", $A895, 18)))))</formula>
    </cfRule>
  </conditionalFormatting>
  <conditionalFormatting sqref="B886:C889 D886:E889">
    <cfRule type="expression" dxfId="0" priority="664" stopIfTrue="1">
      <formula>$A886="begin group"</formula>
    </cfRule>
  </conditionalFormatting>
  <conditionalFormatting sqref="B886:C889 D886:E889">
    <cfRule type="expression" dxfId="1" priority="665" stopIfTrue="1">
      <formula>$A886="begin repeat"</formula>
    </cfRule>
  </conditionalFormatting>
  <conditionalFormatting sqref="B886:E889">
    <cfRule type="expression" dxfId="31" priority="666" stopIfTrue="1">
      <formula>$A886="enumerator"</formula>
    </cfRule>
  </conditionalFormatting>
  <conditionalFormatting sqref="B886:E889">
    <cfRule type="expression" dxfId="2" priority="667" stopIfTrue="1">
      <formula>$A886="text"</formula>
    </cfRule>
  </conditionalFormatting>
  <conditionalFormatting sqref="B886:E889">
    <cfRule type="expression" dxfId="3" priority="668" stopIfTrue="1">
      <formula>$A886="integer"</formula>
    </cfRule>
  </conditionalFormatting>
  <conditionalFormatting sqref="B886:E889">
    <cfRule type="expression" dxfId="4" priority="669" stopIfTrue="1">
      <formula>$A886="decimal"</formula>
    </cfRule>
  </conditionalFormatting>
  <conditionalFormatting sqref="B886:C889 D886:E889">
    <cfRule type="expression" dxfId="5" priority="670" stopIfTrue="1">
      <formula>OR(AND(LEFT($A886, 16)="select_multiple ", LEN($A886)&gt;16, NOT(ISNUMBER(SEARCH(" ", $A886, 17)))), AND(LEFT($A886, 11)="select_one ", LEN($A886)&gt;11, NOT(ISNUMBER(SEARCH(" ", $A886, 12)))))</formula>
    </cfRule>
  </conditionalFormatting>
  <conditionalFormatting sqref="B886:B889">
    <cfRule type="expression" dxfId="6" priority="671" stopIfTrue="1">
      <formula>OR($A886="audio audit", $A886="text audit", $A886="speed violations count", $A886="speed violations list", $A886="speed violations audit")</formula>
    </cfRule>
  </conditionalFormatting>
  <conditionalFormatting sqref="B886:C889 D886:E889">
    <cfRule type="expression" dxfId="32" priority="672" stopIfTrue="1">
      <formula>$A886="file"</formula>
    </cfRule>
  </conditionalFormatting>
  <conditionalFormatting sqref="B886:C889 D886:E889">
    <cfRule type="expression" dxfId="7" priority="673" stopIfTrue="1">
      <formula>$A886="note"</formula>
    </cfRule>
  </conditionalFormatting>
  <conditionalFormatting sqref="B886:C889 D886:E889">
    <cfRule type="expression" dxfId="8" priority="674" stopIfTrue="1">
      <formula>$A886="barcode"</formula>
    </cfRule>
  </conditionalFormatting>
  <conditionalFormatting sqref="B886:C889 D886:E889">
    <cfRule type="expression" dxfId="9" priority="675" stopIfTrue="1">
      <formula>OR($A886="geopoint", $A886="geoshape", $A886="geotrace")</formula>
    </cfRule>
  </conditionalFormatting>
  <conditionalFormatting sqref="B886:B889">
    <cfRule type="expression" dxfId="10" priority="676" stopIfTrue="1">
      <formula>OR($A886="calculate", $A886="calculate_here")</formula>
    </cfRule>
  </conditionalFormatting>
  <conditionalFormatting sqref="B886:C889 D886:E889">
    <cfRule type="expression" dxfId="11" priority="677" stopIfTrue="1">
      <formula>OR($A886="date", $A886="datetime", $A886="time")</formula>
    </cfRule>
  </conditionalFormatting>
  <conditionalFormatting sqref="B886:C889 D886:E889">
    <cfRule type="expression" dxfId="12" priority="678" stopIfTrue="1">
      <formula>$A886="image"</formula>
    </cfRule>
  </conditionalFormatting>
  <conditionalFormatting sqref="B886:C889 D886:E889">
    <cfRule type="expression" dxfId="13" priority="679" stopIfTrue="1">
      <formula>OR($A886="audio", $A886="video")</formula>
    </cfRule>
  </conditionalFormatting>
  <conditionalFormatting sqref="B886:E889">
    <cfRule type="expression" dxfId="33" priority="680" stopIfTrue="1">
      <formula>$A886="file"</formula>
    </cfRule>
  </conditionalFormatting>
  <conditionalFormatting sqref="B886:E889">
    <cfRule type="expression" dxfId="34" priority="681" stopIfTrue="1">
      <formula>$A886="enumerator"</formula>
    </cfRule>
  </conditionalFormatting>
  <conditionalFormatting sqref="B886:E889">
    <cfRule type="expression" dxfId="35" priority="682" stopIfTrue="1">
      <formula>OR(AND(LEFT($A886, 14)="sensor_stream ", LEN($A886)&gt;14, NOT(ISNUMBER(SEARCH(" ", $A886, 15)))), AND(LEFT($A886, 17)="sensor_statistic ", LEN($A886)&gt;17, NOT(ISNUMBER(SEARCH(" ", $A886, 18)))))</formula>
    </cfRule>
  </conditionalFormatting>
  <conditionalFormatting sqref="B886:E889">
    <cfRule type="expression" dxfId="14" priority="683" stopIfTrue="1">
      <formula>$A886="comments"</formula>
    </cfRule>
  </conditionalFormatting>
  <conditionalFormatting sqref="B886:E889">
    <cfRule type="expression" dxfId="15" priority="684" stopIfTrue="1">
      <formula>OR($A886="audio", $A886="video")</formula>
    </cfRule>
  </conditionalFormatting>
  <conditionalFormatting sqref="B886:E889">
    <cfRule type="expression" dxfId="16" priority="685" stopIfTrue="1">
      <formula>$A886="image"</formula>
    </cfRule>
  </conditionalFormatting>
  <conditionalFormatting sqref="B886:E889">
    <cfRule type="expression" dxfId="17" priority="686" stopIfTrue="1">
      <formula>OR($A886="date", $A886="datetime", $A886="time")</formula>
    </cfRule>
  </conditionalFormatting>
  <conditionalFormatting sqref="B886:E889">
    <cfRule type="expression" dxfId="18" priority="687" stopIfTrue="1">
      <formula>OR($A886="calculate", $A886="calculate_here")</formula>
    </cfRule>
  </conditionalFormatting>
  <conditionalFormatting sqref="B886:E889">
    <cfRule type="expression" dxfId="19" priority="688" stopIfTrue="1">
      <formula>$A886="note"</formula>
    </cfRule>
  </conditionalFormatting>
  <conditionalFormatting sqref="B886:E889">
    <cfRule type="expression" dxfId="20" priority="689" stopIfTrue="1">
      <formula>$A886="barcode"</formula>
    </cfRule>
  </conditionalFormatting>
  <conditionalFormatting sqref="B886:E889">
    <cfRule type="expression" dxfId="21" priority="690" stopIfTrue="1">
      <formula>OR($A886="geopoint", $A886="geoshape", $A886="geotrace")</formula>
    </cfRule>
  </conditionalFormatting>
  <conditionalFormatting sqref="B886:E889">
    <cfRule type="expression" dxfId="22" priority="691" stopIfTrue="1">
      <formula>OR($A886="audio audit", $A886="text audit", $A886="speed violations count", $A886="speed violations list", $A886="speed violations audit")</formula>
    </cfRule>
  </conditionalFormatting>
  <conditionalFormatting sqref="B886:E889">
    <cfRule type="expression" dxfId="23" priority="692" stopIfTrue="1">
      <formula>OR($A886="username", $A886="phonenumber", $A886="start", $A886="end", $A886="deviceid", $A886="subscriberid", $A886="simserial", $A886="caseid")</formula>
    </cfRule>
  </conditionalFormatting>
  <conditionalFormatting sqref="B886:E889">
    <cfRule type="expression" dxfId="24" priority="693" stopIfTrue="1">
      <formula>OR(AND(LEFT($A886, 16)="select_multiple ", LEN($A886)&gt;16, NOT(ISNUMBER(SEARCH(" ", $A886, 17)))), AND(LEFT($A886, 11)="select_one ", LEN($A886)&gt;11, NOT(ISNUMBER(SEARCH(" ", $A886, 12)))))</formula>
    </cfRule>
  </conditionalFormatting>
  <conditionalFormatting sqref="B886:E889">
    <cfRule type="expression" dxfId="25" priority="694" stopIfTrue="1">
      <formula>$A886="decimal"</formula>
    </cfRule>
  </conditionalFormatting>
  <conditionalFormatting sqref="B886:E889">
    <cfRule type="expression" dxfId="26" priority="695" stopIfTrue="1">
      <formula>$A886="integer"</formula>
    </cfRule>
  </conditionalFormatting>
  <conditionalFormatting sqref="B886:E889">
    <cfRule type="expression" dxfId="27" priority="696" stopIfTrue="1">
      <formula>$A886="text"</formula>
    </cfRule>
  </conditionalFormatting>
  <conditionalFormatting sqref="B886:E889">
    <cfRule type="expression" dxfId="28" priority="697" stopIfTrue="1">
      <formula>$A886="end repeat"</formula>
    </cfRule>
  </conditionalFormatting>
  <conditionalFormatting sqref="B886:E889">
    <cfRule type="expression" dxfId="28" priority="698" stopIfTrue="1">
      <formula>$A886="begin repeat"</formula>
    </cfRule>
  </conditionalFormatting>
  <conditionalFormatting sqref="B886:E889">
    <cfRule type="expression" dxfId="29" priority="699" stopIfTrue="1">
      <formula>$A886="end group"</formula>
    </cfRule>
  </conditionalFormatting>
  <conditionalFormatting sqref="B886:E889">
    <cfRule type="expression" dxfId="29" priority="700" stopIfTrue="1">
      <formula>$A886="begin group"</formula>
    </cfRule>
  </conditionalFormatting>
  <conditionalFormatting sqref="B886:B889">
    <cfRule type="expression" dxfId="30" priority="701" stopIfTrue="1">
      <formula>$A886="comments"</formula>
    </cfRule>
  </conditionalFormatting>
  <conditionalFormatting sqref="B886:B889">
    <cfRule type="expression" dxfId="36" priority="702" stopIfTrue="1">
      <formula>OR(AND(LEFT($A886, 14)="sensor_stream ", LEN($A886)&gt;14, NOT(ISNUMBER(SEARCH(" ", $A886, 15)))), AND(LEFT($A886, 17)="sensor_statistic ", LEN($A886)&gt;17, NOT(ISNUMBER(SEARCH(" ", $A886, 18)))))</formula>
    </cfRule>
  </conditionalFormatting>
  <conditionalFormatting sqref="B879:C883 D879:E883">
    <cfRule type="expression" dxfId="0" priority="703" stopIfTrue="1">
      <formula>$A879="begin group"</formula>
    </cfRule>
  </conditionalFormatting>
  <conditionalFormatting sqref="B879:C883 D879:E883">
    <cfRule type="expression" dxfId="1" priority="704" stopIfTrue="1">
      <formula>$A879="begin repeat"</formula>
    </cfRule>
  </conditionalFormatting>
  <conditionalFormatting sqref="B879:E883">
    <cfRule type="expression" dxfId="31" priority="705" stopIfTrue="1">
      <formula>$A879="enumerator"</formula>
    </cfRule>
  </conditionalFormatting>
  <conditionalFormatting sqref="B879:E883">
    <cfRule type="expression" dxfId="2" priority="706" stopIfTrue="1">
      <formula>$A879="text"</formula>
    </cfRule>
  </conditionalFormatting>
  <conditionalFormatting sqref="B879:E883">
    <cfRule type="expression" dxfId="3" priority="707" stopIfTrue="1">
      <formula>$A879="integer"</formula>
    </cfRule>
  </conditionalFormatting>
  <conditionalFormatting sqref="B879:E883">
    <cfRule type="expression" dxfId="4" priority="708" stopIfTrue="1">
      <formula>$A879="decimal"</formula>
    </cfRule>
  </conditionalFormatting>
  <conditionalFormatting sqref="B879:C883 D879:E883">
    <cfRule type="expression" dxfId="5" priority="709" stopIfTrue="1">
      <formula>OR(AND(LEFT($A879, 16)="select_multiple ", LEN($A879)&gt;16, NOT(ISNUMBER(SEARCH(" ", $A879, 17)))), AND(LEFT($A879, 11)="select_one ", LEN($A879)&gt;11, NOT(ISNUMBER(SEARCH(" ", $A879, 12)))))</formula>
    </cfRule>
  </conditionalFormatting>
  <conditionalFormatting sqref="B879:B883">
    <cfRule type="expression" dxfId="6" priority="710" stopIfTrue="1">
      <formula>OR($A879="audio audit", $A879="text audit", $A879="speed violations count", $A879="speed violations list", $A879="speed violations audit")</formula>
    </cfRule>
  </conditionalFormatting>
  <conditionalFormatting sqref="B879:C883 D879:E883">
    <cfRule type="expression" dxfId="32" priority="711" stopIfTrue="1">
      <formula>$A879="file"</formula>
    </cfRule>
  </conditionalFormatting>
  <conditionalFormatting sqref="B879:C883 D879:E883">
    <cfRule type="expression" dxfId="7" priority="712" stopIfTrue="1">
      <formula>$A879="note"</formula>
    </cfRule>
  </conditionalFormatting>
  <conditionalFormatting sqref="B879:C883 D879:E883">
    <cfRule type="expression" dxfId="8" priority="713" stopIfTrue="1">
      <formula>$A879="barcode"</formula>
    </cfRule>
  </conditionalFormatting>
  <conditionalFormatting sqref="B879:C883 D879:E883">
    <cfRule type="expression" dxfId="9" priority="714" stopIfTrue="1">
      <formula>OR($A879="geopoint", $A879="geoshape", $A879="geotrace")</formula>
    </cfRule>
  </conditionalFormatting>
  <conditionalFormatting sqref="B879:B883">
    <cfRule type="expression" dxfId="10" priority="715" stopIfTrue="1">
      <formula>OR($A879="calculate", $A879="calculate_here")</formula>
    </cfRule>
  </conditionalFormatting>
  <conditionalFormatting sqref="B879:C883 D879:E883">
    <cfRule type="expression" dxfId="11" priority="716" stopIfTrue="1">
      <formula>OR($A879="date", $A879="datetime", $A879="time")</formula>
    </cfRule>
  </conditionalFormatting>
  <conditionalFormatting sqref="B879:C883 D879:E883">
    <cfRule type="expression" dxfId="12" priority="717" stopIfTrue="1">
      <formula>$A879="image"</formula>
    </cfRule>
  </conditionalFormatting>
  <conditionalFormatting sqref="B879:C883 D879:E883">
    <cfRule type="expression" dxfId="13" priority="718" stopIfTrue="1">
      <formula>OR($A879="audio", $A879="video")</formula>
    </cfRule>
  </conditionalFormatting>
  <conditionalFormatting sqref="B879:E883">
    <cfRule type="expression" dxfId="33" priority="719" stopIfTrue="1">
      <formula>$A879="file"</formula>
    </cfRule>
  </conditionalFormatting>
  <conditionalFormatting sqref="B879:E883">
    <cfRule type="expression" dxfId="34" priority="720" stopIfTrue="1">
      <formula>$A879="enumerator"</formula>
    </cfRule>
  </conditionalFormatting>
  <conditionalFormatting sqref="B879:E883">
    <cfRule type="expression" dxfId="35" priority="721" stopIfTrue="1">
      <formula>OR(AND(LEFT($A879, 14)="sensor_stream ", LEN($A879)&gt;14, NOT(ISNUMBER(SEARCH(" ", $A879, 15)))), AND(LEFT($A879, 17)="sensor_statistic ", LEN($A879)&gt;17, NOT(ISNUMBER(SEARCH(" ", $A879, 18)))))</formula>
    </cfRule>
  </conditionalFormatting>
  <conditionalFormatting sqref="B879:E883">
    <cfRule type="expression" dxfId="14" priority="722" stopIfTrue="1">
      <formula>$A879="comments"</formula>
    </cfRule>
  </conditionalFormatting>
  <conditionalFormatting sqref="B879:E883">
    <cfRule type="expression" dxfId="15" priority="723" stopIfTrue="1">
      <formula>OR($A879="audio", $A879="video")</formula>
    </cfRule>
  </conditionalFormatting>
  <conditionalFormatting sqref="B879:E883">
    <cfRule type="expression" dxfId="16" priority="724" stopIfTrue="1">
      <formula>$A879="image"</formula>
    </cfRule>
  </conditionalFormatting>
  <conditionalFormatting sqref="B879:E883">
    <cfRule type="expression" dxfId="17" priority="725" stopIfTrue="1">
      <formula>OR($A879="date", $A879="datetime", $A879="time")</formula>
    </cfRule>
  </conditionalFormatting>
  <conditionalFormatting sqref="B879:E883">
    <cfRule type="expression" dxfId="18" priority="726" stopIfTrue="1">
      <formula>OR($A879="calculate", $A879="calculate_here")</formula>
    </cfRule>
  </conditionalFormatting>
  <conditionalFormatting sqref="B879:E883">
    <cfRule type="expression" dxfId="19" priority="727" stopIfTrue="1">
      <formula>$A879="note"</formula>
    </cfRule>
  </conditionalFormatting>
  <conditionalFormatting sqref="B879:E883">
    <cfRule type="expression" dxfId="20" priority="728" stopIfTrue="1">
      <formula>$A879="barcode"</formula>
    </cfRule>
  </conditionalFormatting>
  <conditionalFormatting sqref="B879:E883">
    <cfRule type="expression" dxfId="21" priority="729" stopIfTrue="1">
      <formula>OR($A879="geopoint", $A879="geoshape", $A879="geotrace")</formula>
    </cfRule>
  </conditionalFormatting>
  <conditionalFormatting sqref="B879:E883">
    <cfRule type="expression" dxfId="22" priority="730" stopIfTrue="1">
      <formula>OR($A879="audio audit", $A879="text audit", $A879="speed violations count", $A879="speed violations list", $A879="speed violations audit")</formula>
    </cfRule>
  </conditionalFormatting>
  <conditionalFormatting sqref="B879:E883">
    <cfRule type="expression" dxfId="23" priority="731" stopIfTrue="1">
      <formula>OR($A879="username", $A879="phonenumber", $A879="start", $A879="end", $A879="deviceid", $A879="subscriberid", $A879="simserial", $A879="caseid")</formula>
    </cfRule>
  </conditionalFormatting>
  <conditionalFormatting sqref="B879:E883">
    <cfRule type="expression" dxfId="24" priority="732" stopIfTrue="1">
      <formula>OR(AND(LEFT($A879, 16)="select_multiple ", LEN($A879)&gt;16, NOT(ISNUMBER(SEARCH(" ", $A879, 17)))), AND(LEFT($A879, 11)="select_one ", LEN($A879)&gt;11, NOT(ISNUMBER(SEARCH(" ", $A879, 12)))))</formula>
    </cfRule>
  </conditionalFormatting>
  <conditionalFormatting sqref="B879:E883">
    <cfRule type="expression" dxfId="25" priority="733" stopIfTrue="1">
      <formula>$A879="decimal"</formula>
    </cfRule>
  </conditionalFormatting>
  <conditionalFormatting sqref="B879:E883">
    <cfRule type="expression" dxfId="26" priority="734" stopIfTrue="1">
      <formula>$A879="integer"</formula>
    </cfRule>
  </conditionalFormatting>
  <conditionalFormatting sqref="B879:E883">
    <cfRule type="expression" dxfId="27" priority="735" stopIfTrue="1">
      <formula>$A879="text"</formula>
    </cfRule>
  </conditionalFormatting>
  <conditionalFormatting sqref="B879:E883">
    <cfRule type="expression" dxfId="28" priority="736" stopIfTrue="1">
      <formula>$A879="end repeat"</formula>
    </cfRule>
  </conditionalFormatting>
  <conditionalFormatting sqref="B879:E883">
    <cfRule type="expression" dxfId="28" priority="737" stopIfTrue="1">
      <formula>$A879="begin repeat"</formula>
    </cfRule>
  </conditionalFormatting>
  <conditionalFormatting sqref="B879:E883">
    <cfRule type="expression" dxfId="29" priority="738" stopIfTrue="1">
      <formula>$A879="end group"</formula>
    </cfRule>
  </conditionalFormatting>
  <conditionalFormatting sqref="B879:E883">
    <cfRule type="expression" dxfId="29" priority="739" stopIfTrue="1">
      <formula>$A879="begin group"</formula>
    </cfRule>
  </conditionalFormatting>
  <conditionalFormatting sqref="B879:B883">
    <cfRule type="expression" dxfId="30" priority="740" stopIfTrue="1">
      <formula>$A879="comments"</formula>
    </cfRule>
  </conditionalFormatting>
  <conditionalFormatting sqref="B879:B883">
    <cfRule type="expression" dxfId="36" priority="741" stopIfTrue="1">
      <formula>OR(AND(LEFT($A879, 14)="sensor_stream ", LEN($A879)&gt;14, NOT(ISNUMBER(SEARCH(" ", $A879, 15)))), AND(LEFT($A879, 17)="sensor_statistic ", LEN($A879)&gt;17, NOT(ISNUMBER(SEARCH(" ", $A879, 18)))))</formula>
    </cfRule>
  </conditionalFormatting>
  <conditionalFormatting sqref="B873:C874 D873:E874">
    <cfRule type="expression" dxfId="0" priority="742" stopIfTrue="1">
      <formula>$A873="begin group"</formula>
    </cfRule>
  </conditionalFormatting>
  <conditionalFormatting sqref="B873:C874 D873:E874">
    <cfRule type="expression" dxfId="1" priority="743" stopIfTrue="1">
      <formula>$A873="begin repeat"</formula>
    </cfRule>
  </conditionalFormatting>
  <conditionalFormatting sqref="B873:E874">
    <cfRule type="expression" dxfId="31" priority="744" stopIfTrue="1">
      <formula>$A873="enumerator"</formula>
    </cfRule>
  </conditionalFormatting>
  <conditionalFormatting sqref="B873:E874">
    <cfRule type="expression" dxfId="2" priority="745" stopIfTrue="1">
      <formula>$A873="text"</formula>
    </cfRule>
  </conditionalFormatting>
  <conditionalFormatting sqref="B873:E874">
    <cfRule type="expression" dxfId="3" priority="746" stopIfTrue="1">
      <formula>$A873="integer"</formula>
    </cfRule>
  </conditionalFormatting>
  <conditionalFormatting sqref="B873:E874">
    <cfRule type="expression" dxfId="4" priority="747" stopIfTrue="1">
      <formula>$A873="decimal"</formula>
    </cfRule>
  </conditionalFormatting>
  <conditionalFormatting sqref="B873:C874 D873:E874">
    <cfRule type="expression" dxfId="5" priority="748" stopIfTrue="1">
      <formula>OR(AND(LEFT($A873, 16)="select_multiple ", LEN($A873)&gt;16, NOT(ISNUMBER(SEARCH(" ", $A873, 17)))), AND(LEFT($A873, 11)="select_one ", LEN($A873)&gt;11, NOT(ISNUMBER(SEARCH(" ", $A873, 12)))))</formula>
    </cfRule>
  </conditionalFormatting>
  <conditionalFormatting sqref="B873:B874">
    <cfRule type="expression" dxfId="6" priority="749" stopIfTrue="1">
      <formula>OR($A873="audio audit", $A873="text audit", $A873="speed violations count", $A873="speed violations list", $A873="speed violations audit")</formula>
    </cfRule>
  </conditionalFormatting>
  <conditionalFormatting sqref="B873:C874 D873:E874">
    <cfRule type="expression" dxfId="32" priority="750" stopIfTrue="1">
      <formula>$A873="file"</formula>
    </cfRule>
  </conditionalFormatting>
  <conditionalFormatting sqref="B873:C874 D873:E874">
    <cfRule type="expression" dxfId="7" priority="751" stopIfTrue="1">
      <formula>$A873="note"</formula>
    </cfRule>
  </conditionalFormatting>
  <conditionalFormatting sqref="B873:C874 D873:E874">
    <cfRule type="expression" dxfId="8" priority="752" stopIfTrue="1">
      <formula>$A873="barcode"</formula>
    </cfRule>
  </conditionalFormatting>
  <conditionalFormatting sqref="B873:C874 D873:E874">
    <cfRule type="expression" dxfId="9" priority="753" stopIfTrue="1">
      <formula>OR($A873="geopoint", $A873="geoshape", $A873="geotrace")</formula>
    </cfRule>
  </conditionalFormatting>
  <conditionalFormatting sqref="B873:B874">
    <cfRule type="expression" dxfId="10" priority="754" stopIfTrue="1">
      <formula>OR($A873="calculate", $A873="calculate_here")</formula>
    </cfRule>
  </conditionalFormatting>
  <conditionalFormatting sqref="B873:C874 D873:E874">
    <cfRule type="expression" dxfId="11" priority="755" stopIfTrue="1">
      <formula>OR($A873="date", $A873="datetime", $A873="time")</formula>
    </cfRule>
  </conditionalFormatting>
  <conditionalFormatting sqref="B873:C874 D873:E874">
    <cfRule type="expression" dxfId="12" priority="756" stopIfTrue="1">
      <formula>$A873="image"</formula>
    </cfRule>
  </conditionalFormatting>
  <conditionalFormatting sqref="B873:C874 D873:E874">
    <cfRule type="expression" dxfId="13" priority="757" stopIfTrue="1">
      <formula>OR($A873="audio", $A873="video")</formula>
    </cfRule>
  </conditionalFormatting>
  <conditionalFormatting sqref="B873:E874">
    <cfRule type="expression" dxfId="33" priority="758" stopIfTrue="1">
      <formula>$A873="file"</formula>
    </cfRule>
  </conditionalFormatting>
  <conditionalFormatting sqref="B873:E874">
    <cfRule type="expression" dxfId="34" priority="759" stopIfTrue="1">
      <formula>$A873="enumerator"</formula>
    </cfRule>
  </conditionalFormatting>
  <conditionalFormatting sqref="B873:E874">
    <cfRule type="expression" dxfId="35" priority="760" stopIfTrue="1">
      <formula>OR(AND(LEFT($A873, 14)="sensor_stream ", LEN($A873)&gt;14, NOT(ISNUMBER(SEARCH(" ", $A873, 15)))), AND(LEFT($A873, 17)="sensor_statistic ", LEN($A873)&gt;17, NOT(ISNUMBER(SEARCH(" ", $A873, 18)))))</formula>
    </cfRule>
  </conditionalFormatting>
  <conditionalFormatting sqref="B873:E874">
    <cfRule type="expression" dxfId="14" priority="761" stopIfTrue="1">
      <formula>$A873="comments"</formula>
    </cfRule>
  </conditionalFormatting>
  <conditionalFormatting sqref="B873:E874">
    <cfRule type="expression" dxfId="15" priority="762" stopIfTrue="1">
      <formula>OR($A873="audio", $A873="video")</formula>
    </cfRule>
  </conditionalFormatting>
  <conditionalFormatting sqref="B873:E874">
    <cfRule type="expression" dxfId="16" priority="763" stopIfTrue="1">
      <formula>$A873="image"</formula>
    </cfRule>
  </conditionalFormatting>
  <conditionalFormatting sqref="B873:E874">
    <cfRule type="expression" dxfId="17" priority="764" stopIfTrue="1">
      <formula>OR($A873="date", $A873="datetime", $A873="time")</formula>
    </cfRule>
  </conditionalFormatting>
  <conditionalFormatting sqref="B873:E874">
    <cfRule type="expression" dxfId="18" priority="765" stopIfTrue="1">
      <formula>OR($A873="calculate", $A873="calculate_here")</formula>
    </cfRule>
  </conditionalFormatting>
  <conditionalFormatting sqref="B873:E874">
    <cfRule type="expression" dxfId="19" priority="766" stopIfTrue="1">
      <formula>$A873="note"</formula>
    </cfRule>
  </conditionalFormatting>
  <conditionalFormatting sqref="B873:E874">
    <cfRule type="expression" dxfId="20" priority="767" stopIfTrue="1">
      <formula>$A873="barcode"</formula>
    </cfRule>
  </conditionalFormatting>
  <conditionalFormatting sqref="B873:E874">
    <cfRule type="expression" dxfId="21" priority="768" stopIfTrue="1">
      <formula>OR($A873="geopoint", $A873="geoshape", $A873="geotrace")</formula>
    </cfRule>
  </conditionalFormatting>
  <conditionalFormatting sqref="B873:E874">
    <cfRule type="expression" dxfId="22" priority="769" stopIfTrue="1">
      <formula>OR($A873="audio audit", $A873="text audit", $A873="speed violations count", $A873="speed violations list", $A873="speed violations audit")</formula>
    </cfRule>
  </conditionalFormatting>
  <conditionalFormatting sqref="B873:E874">
    <cfRule type="expression" dxfId="23" priority="770" stopIfTrue="1">
      <formula>OR($A873="username", $A873="phonenumber", $A873="start", $A873="end", $A873="deviceid", $A873="subscriberid", $A873="simserial", $A873="caseid")</formula>
    </cfRule>
  </conditionalFormatting>
  <conditionalFormatting sqref="B873:E874">
    <cfRule type="expression" dxfId="24" priority="771" stopIfTrue="1">
      <formula>OR(AND(LEFT($A873, 16)="select_multiple ", LEN($A873)&gt;16, NOT(ISNUMBER(SEARCH(" ", $A873, 17)))), AND(LEFT($A873, 11)="select_one ", LEN($A873)&gt;11, NOT(ISNUMBER(SEARCH(" ", $A873, 12)))))</formula>
    </cfRule>
  </conditionalFormatting>
  <conditionalFormatting sqref="B873:E874">
    <cfRule type="expression" dxfId="25" priority="772" stopIfTrue="1">
      <formula>$A873="decimal"</formula>
    </cfRule>
  </conditionalFormatting>
  <conditionalFormatting sqref="B873:E874">
    <cfRule type="expression" dxfId="26" priority="773" stopIfTrue="1">
      <formula>$A873="integer"</formula>
    </cfRule>
  </conditionalFormatting>
  <conditionalFormatting sqref="B873:E874">
    <cfRule type="expression" dxfId="27" priority="774" stopIfTrue="1">
      <formula>$A873="text"</formula>
    </cfRule>
  </conditionalFormatting>
  <conditionalFormatting sqref="B873:E874">
    <cfRule type="expression" dxfId="28" priority="775" stopIfTrue="1">
      <formula>$A873="end repeat"</formula>
    </cfRule>
  </conditionalFormatting>
  <conditionalFormatting sqref="B873:E874">
    <cfRule type="expression" dxfId="28" priority="776" stopIfTrue="1">
      <formula>$A873="begin repeat"</formula>
    </cfRule>
  </conditionalFormatting>
  <conditionalFormatting sqref="B873:E874">
    <cfRule type="expression" dxfId="29" priority="777" stopIfTrue="1">
      <formula>$A873="end group"</formula>
    </cfRule>
  </conditionalFormatting>
  <conditionalFormatting sqref="B873:E874">
    <cfRule type="expression" dxfId="29" priority="778" stopIfTrue="1">
      <formula>$A873="begin group"</formula>
    </cfRule>
  </conditionalFormatting>
  <conditionalFormatting sqref="B873:B874">
    <cfRule type="expression" dxfId="30" priority="779" stopIfTrue="1">
      <formula>$A873="comments"</formula>
    </cfRule>
  </conditionalFormatting>
  <conditionalFormatting sqref="B873:B874">
    <cfRule type="expression" dxfId="36" priority="780" stopIfTrue="1">
      <formula>OR(AND(LEFT($A873, 14)="sensor_stream ", LEN($A873)&gt;14, NOT(ISNUMBER(SEARCH(" ", $A873, 15)))), AND(LEFT($A873, 17)="sensor_statistic ", LEN($A873)&gt;17, NOT(ISNUMBER(SEARCH(" ", $A873, 18)))))</formula>
    </cfRule>
  </conditionalFormatting>
  <conditionalFormatting sqref="B871:C871 D871:E871">
    <cfRule type="expression" dxfId="0" priority="781" stopIfTrue="1">
      <formula>$A871="begin group"</formula>
    </cfRule>
  </conditionalFormatting>
  <conditionalFormatting sqref="B871:C871 D871:E871">
    <cfRule type="expression" dxfId="1" priority="782" stopIfTrue="1">
      <formula>$A871="begin repeat"</formula>
    </cfRule>
  </conditionalFormatting>
  <conditionalFormatting sqref="B871:E871">
    <cfRule type="expression" dxfId="31" priority="783" stopIfTrue="1">
      <formula>$A871="enumerator"</formula>
    </cfRule>
  </conditionalFormatting>
  <conditionalFormatting sqref="B871:E871">
    <cfRule type="expression" dxfId="2" priority="784" stopIfTrue="1">
      <formula>$A871="text"</formula>
    </cfRule>
  </conditionalFormatting>
  <conditionalFormatting sqref="B871:E871">
    <cfRule type="expression" dxfId="3" priority="785" stopIfTrue="1">
      <formula>$A871="integer"</formula>
    </cfRule>
  </conditionalFormatting>
  <conditionalFormatting sqref="B871:E871">
    <cfRule type="expression" dxfId="4" priority="786" stopIfTrue="1">
      <formula>$A871="decimal"</formula>
    </cfRule>
  </conditionalFormatting>
  <conditionalFormatting sqref="B871:C871 D871:E871">
    <cfRule type="expression" dxfId="5" priority="787" stopIfTrue="1">
      <formula>OR(AND(LEFT($A871, 16)="select_multiple ", LEN($A871)&gt;16, NOT(ISNUMBER(SEARCH(" ", $A871, 17)))), AND(LEFT($A871, 11)="select_one ", LEN($A871)&gt;11, NOT(ISNUMBER(SEARCH(" ", $A871, 12)))))</formula>
    </cfRule>
  </conditionalFormatting>
  <conditionalFormatting sqref="B871">
    <cfRule type="expression" dxfId="6" priority="788" stopIfTrue="1">
      <formula>OR($A871="audio audit", $A871="text audit", $A871="speed violations count", $A871="speed violations list", $A871="speed violations audit")</formula>
    </cfRule>
  </conditionalFormatting>
  <conditionalFormatting sqref="B871:C871 D871:E871">
    <cfRule type="expression" dxfId="32" priority="789" stopIfTrue="1">
      <formula>$A871="file"</formula>
    </cfRule>
  </conditionalFormatting>
  <conditionalFormatting sqref="B871:C871 D871:E871">
    <cfRule type="expression" dxfId="7" priority="790" stopIfTrue="1">
      <formula>$A871="note"</formula>
    </cfRule>
  </conditionalFormatting>
  <conditionalFormatting sqref="B871:C871 D871:E871">
    <cfRule type="expression" dxfId="8" priority="791" stopIfTrue="1">
      <formula>$A871="barcode"</formula>
    </cfRule>
  </conditionalFormatting>
  <conditionalFormatting sqref="B871:C871 D871:E871">
    <cfRule type="expression" dxfId="9" priority="792" stopIfTrue="1">
      <formula>OR($A871="geopoint", $A871="geoshape", $A871="geotrace")</formula>
    </cfRule>
  </conditionalFormatting>
  <conditionalFormatting sqref="B871">
    <cfRule type="expression" dxfId="10" priority="793" stopIfTrue="1">
      <formula>OR($A871="calculate", $A871="calculate_here")</formula>
    </cfRule>
  </conditionalFormatting>
  <conditionalFormatting sqref="B871:C871 D871:E871">
    <cfRule type="expression" dxfId="11" priority="794" stopIfTrue="1">
      <formula>OR($A871="date", $A871="datetime", $A871="time")</formula>
    </cfRule>
  </conditionalFormatting>
  <conditionalFormatting sqref="B871:C871 D871:E871">
    <cfRule type="expression" dxfId="12" priority="795" stopIfTrue="1">
      <formula>$A871="image"</formula>
    </cfRule>
  </conditionalFormatting>
  <conditionalFormatting sqref="B871:C871 D871:E871">
    <cfRule type="expression" dxfId="13" priority="796" stopIfTrue="1">
      <formula>OR($A871="audio", $A871="video")</formula>
    </cfRule>
  </conditionalFormatting>
  <conditionalFormatting sqref="B871:E871">
    <cfRule type="expression" dxfId="33" priority="797" stopIfTrue="1">
      <formula>$A871="file"</formula>
    </cfRule>
  </conditionalFormatting>
  <conditionalFormatting sqref="B871:E871">
    <cfRule type="expression" dxfId="34" priority="798" stopIfTrue="1">
      <formula>$A871="enumerator"</formula>
    </cfRule>
  </conditionalFormatting>
  <conditionalFormatting sqref="B871:E871">
    <cfRule type="expression" dxfId="35" priority="799" stopIfTrue="1">
      <formula>OR(AND(LEFT($A871, 14)="sensor_stream ", LEN($A871)&gt;14, NOT(ISNUMBER(SEARCH(" ", $A871, 15)))), AND(LEFT($A871, 17)="sensor_statistic ", LEN($A871)&gt;17, NOT(ISNUMBER(SEARCH(" ", $A871, 18)))))</formula>
    </cfRule>
  </conditionalFormatting>
  <conditionalFormatting sqref="B871:E871">
    <cfRule type="expression" dxfId="14" priority="800" stopIfTrue="1">
      <formula>$A871="comments"</formula>
    </cfRule>
  </conditionalFormatting>
  <conditionalFormatting sqref="B871:E871">
    <cfRule type="expression" dxfId="15" priority="801" stopIfTrue="1">
      <formula>OR($A871="audio", $A871="video")</formula>
    </cfRule>
  </conditionalFormatting>
  <conditionalFormatting sqref="B871:E871">
    <cfRule type="expression" dxfId="16" priority="802" stopIfTrue="1">
      <formula>$A871="image"</formula>
    </cfRule>
  </conditionalFormatting>
  <conditionalFormatting sqref="B871:E871">
    <cfRule type="expression" dxfId="17" priority="803" stopIfTrue="1">
      <formula>OR($A871="date", $A871="datetime", $A871="time")</formula>
    </cfRule>
  </conditionalFormatting>
  <conditionalFormatting sqref="B871:E871">
    <cfRule type="expression" dxfId="18" priority="804" stopIfTrue="1">
      <formula>OR($A871="calculate", $A871="calculate_here")</formula>
    </cfRule>
  </conditionalFormatting>
  <conditionalFormatting sqref="B871:E871">
    <cfRule type="expression" dxfId="19" priority="805" stopIfTrue="1">
      <formula>$A871="note"</formula>
    </cfRule>
  </conditionalFormatting>
  <conditionalFormatting sqref="B871:E871">
    <cfRule type="expression" dxfId="20" priority="806" stopIfTrue="1">
      <formula>$A871="barcode"</formula>
    </cfRule>
  </conditionalFormatting>
  <conditionalFormatting sqref="B871:E871">
    <cfRule type="expression" dxfId="21" priority="807" stopIfTrue="1">
      <formula>OR($A871="geopoint", $A871="geoshape", $A871="geotrace")</formula>
    </cfRule>
  </conditionalFormatting>
  <conditionalFormatting sqref="B871:E871">
    <cfRule type="expression" dxfId="22" priority="808" stopIfTrue="1">
      <formula>OR($A871="audio audit", $A871="text audit", $A871="speed violations count", $A871="speed violations list", $A871="speed violations audit")</formula>
    </cfRule>
  </conditionalFormatting>
  <conditionalFormatting sqref="B871:E871">
    <cfRule type="expression" dxfId="23" priority="809" stopIfTrue="1">
      <formula>OR($A871="username", $A871="phonenumber", $A871="start", $A871="end", $A871="deviceid", $A871="subscriberid", $A871="simserial", $A871="caseid")</formula>
    </cfRule>
  </conditionalFormatting>
  <conditionalFormatting sqref="B871:E871">
    <cfRule type="expression" dxfId="24" priority="810" stopIfTrue="1">
      <formula>OR(AND(LEFT($A871, 16)="select_multiple ", LEN($A871)&gt;16, NOT(ISNUMBER(SEARCH(" ", $A871, 17)))), AND(LEFT($A871, 11)="select_one ", LEN($A871)&gt;11, NOT(ISNUMBER(SEARCH(" ", $A871, 12)))))</formula>
    </cfRule>
  </conditionalFormatting>
  <conditionalFormatting sqref="B871:E871">
    <cfRule type="expression" dxfId="25" priority="811" stopIfTrue="1">
      <formula>$A871="decimal"</formula>
    </cfRule>
  </conditionalFormatting>
  <conditionalFormatting sqref="B871:E871">
    <cfRule type="expression" dxfId="26" priority="812" stopIfTrue="1">
      <formula>$A871="integer"</formula>
    </cfRule>
  </conditionalFormatting>
  <conditionalFormatting sqref="B871:E871">
    <cfRule type="expression" dxfId="27" priority="813" stopIfTrue="1">
      <formula>$A871="text"</formula>
    </cfRule>
  </conditionalFormatting>
  <conditionalFormatting sqref="B871:E871">
    <cfRule type="expression" dxfId="28" priority="814" stopIfTrue="1">
      <formula>$A871="end repeat"</formula>
    </cfRule>
  </conditionalFormatting>
  <conditionalFormatting sqref="B871:E871">
    <cfRule type="expression" dxfId="28" priority="815" stopIfTrue="1">
      <formula>$A871="begin repeat"</formula>
    </cfRule>
  </conditionalFormatting>
  <conditionalFormatting sqref="B871:E871">
    <cfRule type="expression" dxfId="29" priority="816" stopIfTrue="1">
      <formula>$A871="end group"</formula>
    </cfRule>
  </conditionalFormatting>
  <conditionalFormatting sqref="B871:E871">
    <cfRule type="expression" dxfId="29" priority="817" stopIfTrue="1">
      <formula>$A871="begin group"</formula>
    </cfRule>
  </conditionalFormatting>
  <conditionalFormatting sqref="B871">
    <cfRule type="expression" dxfId="30" priority="818" stopIfTrue="1">
      <formula>$A871="comments"</formula>
    </cfRule>
  </conditionalFormatting>
  <conditionalFormatting sqref="B871">
    <cfRule type="expression" dxfId="36" priority="819" stopIfTrue="1">
      <formula>OR(AND(LEFT($A871, 14)="sensor_stream ", LEN($A871)&gt;14, NOT(ISNUMBER(SEARCH(" ", $A871, 15)))), AND(LEFT($A871, 17)="sensor_statistic ", LEN($A871)&gt;17, NOT(ISNUMBER(SEARCH(" ", $A871, 18)))))</formula>
    </cfRule>
  </conditionalFormatting>
  <conditionalFormatting sqref="B865:C866 D865:E866">
    <cfRule type="expression" dxfId="0" priority="820" stopIfTrue="1">
      <formula>$A865="begin group"</formula>
    </cfRule>
  </conditionalFormatting>
  <conditionalFormatting sqref="B865:C866 D865:E866">
    <cfRule type="expression" dxfId="1" priority="821" stopIfTrue="1">
      <formula>$A865="begin repeat"</formula>
    </cfRule>
  </conditionalFormatting>
  <conditionalFormatting sqref="B865:E866">
    <cfRule type="expression" dxfId="31" priority="822" stopIfTrue="1">
      <formula>$A865="enumerator"</formula>
    </cfRule>
  </conditionalFormatting>
  <conditionalFormatting sqref="B865:E866">
    <cfRule type="expression" dxfId="2" priority="823" stopIfTrue="1">
      <formula>$A865="text"</formula>
    </cfRule>
  </conditionalFormatting>
  <conditionalFormatting sqref="B865:E866">
    <cfRule type="expression" dxfId="3" priority="824" stopIfTrue="1">
      <formula>$A865="integer"</formula>
    </cfRule>
  </conditionalFormatting>
  <conditionalFormatting sqref="B865:E866">
    <cfRule type="expression" dxfId="4" priority="825" stopIfTrue="1">
      <formula>$A865="decimal"</formula>
    </cfRule>
  </conditionalFormatting>
  <conditionalFormatting sqref="B865:C866 D865:E866">
    <cfRule type="expression" dxfId="5" priority="826" stopIfTrue="1">
      <formula>OR(AND(LEFT($A865, 16)="select_multiple ", LEN($A865)&gt;16, NOT(ISNUMBER(SEARCH(" ", $A865, 17)))), AND(LEFT($A865, 11)="select_one ", LEN($A865)&gt;11, NOT(ISNUMBER(SEARCH(" ", $A865, 12)))))</formula>
    </cfRule>
  </conditionalFormatting>
  <conditionalFormatting sqref="B865:B866">
    <cfRule type="expression" dxfId="6" priority="827" stopIfTrue="1">
      <formula>OR($A865="audio audit", $A865="text audit", $A865="speed violations count", $A865="speed violations list", $A865="speed violations audit")</formula>
    </cfRule>
  </conditionalFormatting>
  <conditionalFormatting sqref="B865:C866 D865:E866">
    <cfRule type="expression" dxfId="32" priority="828" stopIfTrue="1">
      <formula>$A865="file"</formula>
    </cfRule>
  </conditionalFormatting>
  <conditionalFormatting sqref="B865:C866 D865:E866">
    <cfRule type="expression" dxfId="7" priority="829" stopIfTrue="1">
      <formula>$A865="note"</formula>
    </cfRule>
  </conditionalFormatting>
  <conditionalFormatting sqref="B865:C866 D865:E866">
    <cfRule type="expression" dxfId="8" priority="830" stopIfTrue="1">
      <formula>$A865="barcode"</formula>
    </cfRule>
  </conditionalFormatting>
  <conditionalFormatting sqref="B865:C866 D865:E866">
    <cfRule type="expression" dxfId="9" priority="831" stopIfTrue="1">
      <formula>OR($A865="geopoint", $A865="geoshape", $A865="geotrace")</formula>
    </cfRule>
  </conditionalFormatting>
  <conditionalFormatting sqref="B865:B866">
    <cfRule type="expression" dxfId="10" priority="832" stopIfTrue="1">
      <formula>OR($A865="calculate", $A865="calculate_here")</formula>
    </cfRule>
  </conditionalFormatting>
  <conditionalFormatting sqref="B865:C866 D865:E866">
    <cfRule type="expression" dxfId="11" priority="833" stopIfTrue="1">
      <formula>OR($A865="date", $A865="datetime", $A865="time")</formula>
    </cfRule>
  </conditionalFormatting>
  <conditionalFormatting sqref="B865:C866 D865:E866">
    <cfRule type="expression" dxfId="12" priority="834" stopIfTrue="1">
      <formula>$A865="image"</formula>
    </cfRule>
  </conditionalFormatting>
  <conditionalFormatting sqref="B865:C866 D865:E866">
    <cfRule type="expression" dxfId="13" priority="835" stopIfTrue="1">
      <formula>OR($A865="audio", $A865="video")</formula>
    </cfRule>
  </conditionalFormatting>
  <conditionalFormatting sqref="B865:E866">
    <cfRule type="expression" dxfId="33" priority="836" stopIfTrue="1">
      <formula>$A865="file"</formula>
    </cfRule>
  </conditionalFormatting>
  <conditionalFormatting sqref="B865:E866">
    <cfRule type="expression" dxfId="34" priority="837" stopIfTrue="1">
      <formula>$A865="enumerator"</formula>
    </cfRule>
  </conditionalFormatting>
  <conditionalFormatting sqref="B865:E866">
    <cfRule type="expression" dxfId="35" priority="838" stopIfTrue="1">
      <formula>OR(AND(LEFT($A865, 14)="sensor_stream ", LEN($A865)&gt;14, NOT(ISNUMBER(SEARCH(" ", $A865, 15)))), AND(LEFT($A865, 17)="sensor_statistic ", LEN($A865)&gt;17, NOT(ISNUMBER(SEARCH(" ", $A865, 18)))))</formula>
    </cfRule>
  </conditionalFormatting>
  <conditionalFormatting sqref="B865:E866">
    <cfRule type="expression" dxfId="14" priority="839" stopIfTrue="1">
      <formula>$A865="comments"</formula>
    </cfRule>
  </conditionalFormatting>
  <conditionalFormatting sqref="B865:E866">
    <cfRule type="expression" dxfId="15" priority="840" stopIfTrue="1">
      <formula>OR($A865="audio", $A865="video")</formula>
    </cfRule>
  </conditionalFormatting>
  <conditionalFormatting sqref="B865:E866">
    <cfRule type="expression" dxfId="16" priority="841" stopIfTrue="1">
      <formula>$A865="image"</formula>
    </cfRule>
  </conditionalFormatting>
  <conditionalFormatting sqref="B865:E866">
    <cfRule type="expression" dxfId="17" priority="842" stopIfTrue="1">
      <formula>OR($A865="date", $A865="datetime", $A865="time")</formula>
    </cfRule>
  </conditionalFormatting>
  <conditionalFormatting sqref="B865:E866">
    <cfRule type="expression" dxfId="18" priority="843" stopIfTrue="1">
      <formula>OR($A865="calculate", $A865="calculate_here")</formula>
    </cfRule>
  </conditionalFormatting>
  <conditionalFormatting sqref="B865:E866">
    <cfRule type="expression" dxfId="19" priority="844" stopIfTrue="1">
      <formula>$A865="note"</formula>
    </cfRule>
  </conditionalFormatting>
  <conditionalFormatting sqref="B865:E866">
    <cfRule type="expression" dxfId="20" priority="845" stopIfTrue="1">
      <formula>$A865="barcode"</formula>
    </cfRule>
  </conditionalFormatting>
  <conditionalFormatting sqref="B865:E866">
    <cfRule type="expression" dxfId="21" priority="846" stopIfTrue="1">
      <formula>OR($A865="geopoint", $A865="geoshape", $A865="geotrace")</formula>
    </cfRule>
  </conditionalFormatting>
  <conditionalFormatting sqref="B865:E866">
    <cfRule type="expression" dxfId="22" priority="847" stopIfTrue="1">
      <formula>OR($A865="audio audit", $A865="text audit", $A865="speed violations count", $A865="speed violations list", $A865="speed violations audit")</formula>
    </cfRule>
  </conditionalFormatting>
  <conditionalFormatting sqref="B865:E866">
    <cfRule type="expression" dxfId="23" priority="848" stopIfTrue="1">
      <formula>OR($A865="username", $A865="phonenumber", $A865="start", $A865="end", $A865="deviceid", $A865="subscriberid", $A865="simserial", $A865="caseid")</formula>
    </cfRule>
  </conditionalFormatting>
  <conditionalFormatting sqref="B865:E866">
    <cfRule type="expression" dxfId="24" priority="849" stopIfTrue="1">
      <formula>OR(AND(LEFT($A865, 16)="select_multiple ", LEN($A865)&gt;16, NOT(ISNUMBER(SEARCH(" ", $A865, 17)))), AND(LEFT($A865, 11)="select_one ", LEN($A865)&gt;11, NOT(ISNUMBER(SEARCH(" ", $A865, 12)))))</formula>
    </cfRule>
  </conditionalFormatting>
  <conditionalFormatting sqref="B865:E866">
    <cfRule type="expression" dxfId="25" priority="850" stopIfTrue="1">
      <formula>$A865="decimal"</formula>
    </cfRule>
  </conditionalFormatting>
  <conditionalFormatting sqref="B865:E866">
    <cfRule type="expression" dxfId="26" priority="851" stopIfTrue="1">
      <formula>$A865="integer"</formula>
    </cfRule>
  </conditionalFormatting>
  <conditionalFormatting sqref="B865:E866">
    <cfRule type="expression" dxfId="27" priority="852" stopIfTrue="1">
      <formula>$A865="text"</formula>
    </cfRule>
  </conditionalFormatting>
  <conditionalFormatting sqref="B865:E866">
    <cfRule type="expression" dxfId="28" priority="853" stopIfTrue="1">
      <formula>$A865="end repeat"</formula>
    </cfRule>
  </conditionalFormatting>
  <conditionalFormatting sqref="B865:E866">
    <cfRule type="expression" dxfId="28" priority="854" stopIfTrue="1">
      <formula>$A865="begin repeat"</formula>
    </cfRule>
  </conditionalFormatting>
  <conditionalFormatting sqref="B865:E866">
    <cfRule type="expression" dxfId="29" priority="855" stopIfTrue="1">
      <formula>$A865="end group"</formula>
    </cfRule>
  </conditionalFormatting>
  <conditionalFormatting sqref="B865:E866">
    <cfRule type="expression" dxfId="29" priority="856" stopIfTrue="1">
      <formula>$A865="begin group"</formula>
    </cfRule>
  </conditionalFormatting>
  <conditionalFormatting sqref="B865:B866">
    <cfRule type="expression" dxfId="30" priority="857" stopIfTrue="1">
      <formula>$A865="comments"</formula>
    </cfRule>
  </conditionalFormatting>
  <conditionalFormatting sqref="B865:B866">
    <cfRule type="expression" dxfId="36" priority="858" stopIfTrue="1">
      <formula>OR(AND(LEFT($A865, 14)="sensor_stream ", LEN($A865)&gt;14, NOT(ISNUMBER(SEARCH(" ", $A865, 15)))), AND(LEFT($A865, 17)="sensor_statistic ", LEN($A865)&gt;17, NOT(ISNUMBER(SEARCH(" ", $A865, 18)))))</formula>
    </cfRule>
  </conditionalFormatting>
  <conditionalFormatting sqref="B859:C861 D859:E861">
    <cfRule type="expression" dxfId="0" priority="859" stopIfTrue="1">
      <formula>$A859="begin group"</formula>
    </cfRule>
  </conditionalFormatting>
  <conditionalFormatting sqref="B859:C861 D859:E861">
    <cfRule type="expression" dxfId="1" priority="860" stopIfTrue="1">
      <formula>$A859="begin repeat"</formula>
    </cfRule>
  </conditionalFormatting>
  <conditionalFormatting sqref="B859:E861">
    <cfRule type="expression" dxfId="31" priority="861" stopIfTrue="1">
      <formula>$A859="enumerator"</formula>
    </cfRule>
  </conditionalFormatting>
  <conditionalFormatting sqref="B859:E861">
    <cfRule type="expression" dxfId="2" priority="862" stopIfTrue="1">
      <formula>$A859="text"</formula>
    </cfRule>
  </conditionalFormatting>
  <conditionalFormatting sqref="B859:E861">
    <cfRule type="expression" dxfId="3" priority="863" stopIfTrue="1">
      <formula>$A859="integer"</formula>
    </cfRule>
  </conditionalFormatting>
  <conditionalFormatting sqref="B859:E861">
    <cfRule type="expression" dxfId="4" priority="864" stopIfTrue="1">
      <formula>$A859="decimal"</formula>
    </cfRule>
  </conditionalFormatting>
  <conditionalFormatting sqref="B859:C861 D859:E861">
    <cfRule type="expression" dxfId="5" priority="865" stopIfTrue="1">
      <formula>OR(AND(LEFT($A859, 16)="select_multiple ", LEN($A859)&gt;16, NOT(ISNUMBER(SEARCH(" ", $A859, 17)))), AND(LEFT($A859, 11)="select_one ", LEN($A859)&gt;11, NOT(ISNUMBER(SEARCH(" ", $A859, 12)))))</formula>
    </cfRule>
  </conditionalFormatting>
  <conditionalFormatting sqref="B859:B861">
    <cfRule type="expression" dxfId="6" priority="866" stopIfTrue="1">
      <formula>OR($A859="audio audit", $A859="text audit", $A859="speed violations count", $A859="speed violations list", $A859="speed violations audit")</formula>
    </cfRule>
  </conditionalFormatting>
  <conditionalFormatting sqref="B859:C861 D859:E861">
    <cfRule type="expression" dxfId="32" priority="867" stopIfTrue="1">
      <formula>$A859="file"</formula>
    </cfRule>
  </conditionalFormatting>
  <conditionalFormatting sqref="B859:C861 D859:E861">
    <cfRule type="expression" dxfId="7" priority="868" stopIfTrue="1">
      <formula>$A859="note"</formula>
    </cfRule>
  </conditionalFormatting>
  <conditionalFormatting sqref="B859:C861 D859:E861">
    <cfRule type="expression" dxfId="8" priority="869" stopIfTrue="1">
      <formula>$A859="barcode"</formula>
    </cfRule>
  </conditionalFormatting>
  <conditionalFormatting sqref="B859:C861 D859:E861">
    <cfRule type="expression" dxfId="9" priority="870" stopIfTrue="1">
      <formula>OR($A859="geopoint", $A859="geoshape", $A859="geotrace")</formula>
    </cfRule>
  </conditionalFormatting>
  <conditionalFormatting sqref="B859:B861">
    <cfRule type="expression" dxfId="10" priority="871" stopIfTrue="1">
      <formula>OR($A859="calculate", $A859="calculate_here")</formula>
    </cfRule>
  </conditionalFormatting>
  <conditionalFormatting sqref="B859:C861 D859:E861">
    <cfRule type="expression" dxfId="11" priority="872" stopIfTrue="1">
      <formula>OR($A859="date", $A859="datetime", $A859="time")</formula>
    </cfRule>
  </conditionalFormatting>
  <conditionalFormatting sqref="B859:C861 D859:E861">
    <cfRule type="expression" dxfId="12" priority="873" stopIfTrue="1">
      <formula>$A859="image"</formula>
    </cfRule>
  </conditionalFormatting>
  <conditionalFormatting sqref="B859:C861 D859:E861">
    <cfRule type="expression" dxfId="13" priority="874" stopIfTrue="1">
      <formula>OR($A859="audio", $A859="video")</formula>
    </cfRule>
  </conditionalFormatting>
  <conditionalFormatting sqref="B859:E861">
    <cfRule type="expression" dxfId="33" priority="875" stopIfTrue="1">
      <formula>$A859="file"</formula>
    </cfRule>
  </conditionalFormatting>
  <conditionalFormatting sqref="B859:E861">
    <cfRule type="expression" dxfId="34" priority="876" stopIfTrue="1">
      <formula>$A859="enumerator"</formula>
    </cfRule>
  </conditionalFormatting>
  <conditionalFormatting sqref="B859:E861">
    <cfRule type="expression" dxfId="35" priority="877" stopIfTrue="1">
      <formula>OR(AND(LEFT($A859, 14)="sensor_stream ", LEN($A859)&gt;14, NOT(ISNUMBER(SEARCH(" ", $A859, 15)))), AND(LEFT($A859, 17)="sensor_statistic ", LEN($A859)&gt;17, NOT(ISNUMBER(SEARCH(" ", $A859, 18)))))</formula>
    </cfRule>
  </conditionalFormatting>
  <conditionalFormatting sqref="B859:E861">
    <cfRule type="expression" dxfId="14" priority="878" stopIfTrue="1">
      <formula>$A859="comments"</formula>
    </cfRule>
  </conditionalFormatting>
  <conditionalFormatting sqref="B859:E861">
    <cfRule type="expression" dxfId="15" priority="879" stopIfTrue="1">
      <formula>OR($A859="audio", $A859="video")</formula>
    </cfRule>
  </conditionalFormatting>
  <conditionalFormatting sqref="B859:E861">
    <cfRule type="expression" dxfId="16" priority="880" stopIfTrue="1">
      <formula>$A859="image"</formula>
    </cfRule>
  </conditionalFormatting>
  <conditionalFormatting sqref="B859:E861">
    <cfRule type="expression" dxfId="17" priority="881" stopIfTrue="1">
      <formula>OR($A859="date", $A859="datetime", $A859="time")</formula>
    </cfRule>
  </conditionalFormatting>
  <conditionalFormatting sqref="B859:E861">
    <cfRule type="expression" dxfId="18" priority="882" stopIfTrue="1">
      <formula>OR($A859="calculate", $A859="calculate_here")</formula>
    </cfRule>
  </conditionalFormatting>
  <conditionalFormatting sqref="B859:E861">
    <cfRule type="expression" dxfId="19" priority="883" stopIfTrue="1">
      <formula>$A859="note"</formula>
    </cfRule>
  </conditionalFormatting>
  <conditionalFormatting sqref="B859:E861">
    <cfRule type="expression" dxfId="20" priority="884" stopIfTrue="1">
      <formula>$A859="barcode"</formula>
    </cfRule>
  </conditionalFormatting>
  <conditionalFormatting sqref="B859:E861">
    <cfRule type="expression" dxfId="21" priority="885" stopIfTrue="1">
      <formula>OR($A859="geopoint", $A859="geoshape", $A859="geotrace")</formula>
    </cfRule>
  </conditionalFormatting>
  <conditionalFormatting sqref="B859:E861">
    <cfRule type="expression" dxfId="22" priority="886" stopIfTrue="1">
      <formula>OR($A859="audio audit", $A859="text audit", $A859="speed violations count", $A859="speed violations list", $A859="speed violations audit")</formula>
    </cfRule>
  </conditionalFormatting>
  <conditionalFormatting sqref="B859:E861">
    <cfRule type="expression" dxfId="23" priority="887" stopIfTrue="1">
      <formula>OR($A859="username", $A859="phonenumber", $A859="start", $A859="end", $A859="deviceid", $A859="subscriberid", $A859="simserial", $A859="caseid")</formula>
    </cfRule>
  </conditionalFormatting>
  <conditionalFormatting sqref="B859:E861">
    <cfRule type="expression" dxfId="24" priority="888" stopIfTrue="1">
      <formula>OR(AND(LEFT($A859, 16)="select_multiple ", LEN($A859)&gt;16, NOT(ISNUMBER(SEARCH(" ", $A859, 17)))), AND(LEFT($A859, 11)="select_one ", LEN($A859)&gt;11, NOT(ISNUMBER(SEARCH(" ", $A859, 12)))))</formula>
    </cfRule>
  </conditionalFormatting>
  <conditionalFormatting sqref="B859:E861">
    <cfRule type="expression" dxfId="25" priority="889" stopIfTrue="1">
      <formula>$A859="decimal"</formula>
    </cfRule>
  </conditionalFormatting>
  <conditionalFormatting sqref="B859:E861">
    <cfRule type="expression" dxfId="26" priority="890" stopIfTrue="1">
      <formula>$A859="integer"</formula>
    </cfRule>
  </conditionalFormatting>
  <conditionalFormatting sqref="B859:E861">
    <cfRule type="expression" dxfId="27" priority="891" stopIfTrue="1">
      <formula>$A859="text"</formula>
    </cfRule>
  </conditionalFormatting>
  <conditionalFormatting sqref="B859:E861">
    <cfRule type="expression" dxfId="28" priority="892" stopIfTrue="1">
      <formula>$A859="end repeat"</formula>
    </cfRule>
  </conditionalFormatting>
  <conditionalFormatting sqref="B859:E861">
    <cfRule type="expression" dxfId="28" priority="893" stopIfTrue="1">
      <formula>$A859="begin repeat"</formula>
    </cfRule>
  </conditionalFormatting>
  <conditionalFormatting sqref="B859:E861">
    <cfRule type="expression" dxfId="29" priority="894" stopIfTrue="1">
      <formula>$A859="end group"</formula>
    </cfRule>
  </conditionalFormatting>
  <conditionalFormatting sqref="B859:E861">
    <cfRule type="expression" dxfId="29" priority="895" stopIfTrue="1">
      <formula>$A859="begin group"</formula>
    </cfRule>
  </conditionalFormatting>
  <conditionalFormatting sqref="B859:B861">
    <cfRule type="expression" dxfId="30" priority="896" stopIfTrue="1">
      <formula>$A859="comments"</formula>
    </cfRule>
  </conditionalFormatting>
  <conditionalFormatting sqref="B859:B861">
    <cfRule type="expression" dxfId="36" priority="897" stopIfTrue="1">
      <formula>OR(AND(LEFT($A859, 14)="sensor_stream ", LEN($A859)&gt;14, NOT(ISNUMBER(SEARCH(" ", $A859, 15)))), AND(LEFT($A859, 17)="sensor_statistic ", LEN($A859)&gt;17, NOT(ISNUMBER(SEARCH(" ", $A859, 18)))))</formula>
    </cfRule>
  </conditionalFormatting>
  <conditionalFormatting sqref="B850:C855 D850:E855">
    <cfRule type="expression" dxfId="0" priority="898" stopIfTrue="1">
      <formula>$A850="begin group"</formula>
    </cfRule>
  </conditionalFormatting>
  <conditionalFormatting sqref="B850:C855 D850:E855">
    <cfRule type="expression" dxfId="1" priority="899" stopIfTrue="1">
      <formula>$A850="begin repeat"</formula>
    </cfRule>
  </conditionalFormatting>
  <conditionalFormatting sqref="B850:E855">
    <cfRule type="expression" dxfId="31" priority="900" stopIfTrue="1">
      <formula>$A850="enumerator"</formula>
    </cfRule>
  </conditionalFormatting>
  <conditionalFormatting sqref="B850:E855">
    <cfRule type="expression" dxfId="2" priority="901" stopIfTrue="1">
      <formula>$A850="text"</formula>
    </cfRule>
  </conditionalFormatting>
  <conditionalFormatting sqref="B850:E855">
    <cfRule type="expression" dxfId="3" priority="902" stopIfTrue="1">
      <formula>$A850="integer"</formula>
    </cfRule>
  </conditionalFormatting>
  <conditionalFormatting sqref="B850:E855">
    <cfRule type="expression" dxfId="4" priority="903" stopIfTrue="1">
      <formula>$A850="decimal"</formula>
    </cfRule>
  </conditionalFormatting>
  <conditionalFormatting sqref="B850:C855 D850:E855">
    <cfRule type="expression" dxfId="5" priority="904" stopIfTrue="1">
      <formula>OR(AND(LEFT($A850, 16)="select_multiple ", LEN($A850)&gt;16, NOT(ISNUMBER(SEARCH(" ", $A850, 17)))), AND(LEFT($A850, 11)="select_one ", LEN($A850)&gt;11, NOT(ISNUMBER(SEARCH(" ", $A850, 12)))))</formula>
    </cfRule>
  </conditionalFormatting>
  <conditionalFormatting sqref="B850:B855">
    <cfRule type="expression" dxfId="6" priority="905" stopIfTrue="1">
      <formula>OR($A850="audio audit", $A850="text audit", $A850="speed violations count", $A850="speed violations list", $A850="speed violations audit")</formula>
    </cfRule>
  </conditionalFormatting>
  <conditionalFormatting sqref="B850:C855 D850:E855">
    <cfRule type="expression" dxfId="32" priority="906" stopIfTrue="1">
      <formula>$A850="file"</formula>
    </cfRule>
  </conditionalFormatting>
  <conditionalFormatting sqref="B850:C855 D850:E855">
    <cfRule type="expression" dxfId="7" priority="907" stopIfTrue="1">
      <formula>$A850="note"</formula>
    </cfRule>
  </conditionalFormatting>
  <conditionalFormatting sqref="B850:C855 D850:E855">
    <cfRule type="expression" dxfId="8" priority="908" stopIfTrue="1">
      <formula>$A850="barcode"</formula>
    </cfRule>
  </conditionalFormatting>
  <conditionalFormatting sqref="B850:C855 D850:E855">
    <cfRule type="expression" dxfId="9" priority="909" stopIfTrue="1">
      <formula>OR($A850="geopoint", $A850="geoshape", $A850="geotrace")</formula>
    </cfRule>
  </conditionalFormatting>
  <conditionalFormatting sqref="B850:B855">
    <cfRule type="expression" dxfId="10" priority="910" stopIfTrue="1">
      <formula>OR($A850="calculate", $A850="calculate_here")</formula>
    </cfRule>
  </conditionalFormatting>
  <conditionalFormatting sqref="B850:C855 D850:E855">
    <cfRule type="expression" dxfId="11" priority="911" stopIfTrue="1">
      <formula>OR($A850="date", $A850="datetime", $A850="time")</formula>
    </cfRule>
  </conditionalFormatting>
  <conditionalFormatting sqref="B850:C855 D850:E855">
    <cfRule type="expression" dxfId="12" priority="912" stopIfTrue="1">
      <formula>$A850="image"</formula>
    </cfRule>
  </conditionalFormatting>
  <conditionalFormatting sqref="B850:C855 D850:E855">
    <cfRule type="expression" dxfId="13" priority="913" stopIfTrue="1">
      <formula>OR($A850="audio", $A850="video")</formula>
    </cfRule>
  </conditionalFormatting>
  <conditionalFormatting sqref="B850:E855">
    <cfRule type="expression" dxfId="33" priority="914" stopIfTrue="1">
      <formula>$A850="file"</formula>
    </cfRule>
  </conditionalFormatting>
  <conditionalFormatting sqref="B850:E855">
    <cfRule type="expression" dxfId="34" priority="915" stopIfTrue="1">
      <formula>$A850="enumerator"</formula>
    </cfRule>
  </conditionalFormatting>
  <conditionalFormatting sqref="B850:E855">
    <cfRule type="expression" dxfId="35" priority="916" stopIfTrue="1">
      <formula>OR(AND(LEFT($A850, 14)="sensor_stream ", LEN($A850)&gt;14, NOT(ISNUMBER(SEARCH(" ", $A850, 15)))), AND(LEFT($A850, 17)="sensor_statistic ", LEN($A850)&gt;17, NOT(ISNUMBER(SEARCH(" ", $A850, 18)))))</formula>
    </cfRule>
  </conditionalFormatting>
  <conditionalFormatting sqref="B850:E855">
    <cfRule type="expression" dxfId="14" priority="917" stopIfTrue="1">
      <formula>$A850="comments"</formula>
    </cfRule>
  </conditionalFormatting>
  <conditionalFormatting sqref="B850:E855">
    <cfRule type="expression" dxfId="15" priority="918" stopIfTrue="1">
      <formula>OR($A850="audio", $A850="video")</formula>
    </cfRule>
  </conditionalFormatting>
  <conditionalFormatting sqref="B850:E855">
    <cfRule type="expression" dxfId="16" priority="919" stopIfTrue="1">
      <formula>$A850="image"</formula>
    </cfRule>
  </conditionalFormatting>
  <conditionalFormatting sqref="B850:E855">
    <cfRule type="expression" dxfId="17" priority="920" stopIfTrue="1">
      <formula>OR($A850="date", $A850="datetime", $A850="time")</formula>
    </cfRule>
  </conditionalFormatting>
  <conditionalFormatting sqref="B850:E855">
    <cfRule type="expression" dxfId="18" priority="921" stopIfTrue="1">
      <formula>OR($A850="calculate", $A850="calculate_here")</formula>
    </cfRule>
  </conditionalFormatting>
  <conditionalFormatting sqref="B850:E855">
    <cfRule type="expression" dxfId="19" priority="922" stopIfTrue="1">
      <formula>$A850="note"</formula>
    </cfRule>
  </conditionalFormatting>
  <conditionalFormatting sqref="B850:E855">
    <cfRule type="expression" dxfId="20" priority="923" stopIfTrue="1">
      <formula>$A850="barcode"</formula>
    </cfRule>
  </conditionalFormatting>
  <conditionalFormatting sqref="B850:E855">
    <cfRule type="expression" dxfId="21" priority="924" stopIfTrue="1">
      <formula>OR($A850="geopoint", $A850="geoshape", $A850="geotrace")</formula>
    </cfRule>
  </conditionalFormatting>
  <conditionalFormatting sqref="B850:E855">
    <cfRule type="expression" dxfId="22" priority="925" stopIfTrue="1">
      <formula>OR($A850="audio audit", $A850="text audit", $A850="speed violations count", $A850="speed violations list", $A850="speed violations audit")</formula>
    </cfRule>
  </conditionalFormatting>
  <conditionalFormatting sqref="B850:E855">
    <cfRule type="expression" dxfId="23" priority="926" stopIfTrue="1">
      <formula>OR($A850="username", $A850="phonenumber", $A850="start", $A850="end", $A850="deviceid", $A850="subscriberid", $A850="simserial", $A850="caseid")</formula>
    </cfRule>
  </conditionalFormatting>
  <conditionalFormatting sqref="B850:E855">
    <cfRule type="expression" dxfId="24" priority="927" stopIfTrue="1">
      <formula>OR(AND(LEFT($A850, 16)="select_multiple ", LEN($A850)&gt;16, NOT(ISNUMBER(SEARCH(" ", $A850, 17)))), AND(LEFT($A850, 11)="select_one ", LEN($A850)&gt;11, NOT(ISNUMBER(SEARCH(" ", $A850, 12)))))</formula>
    </cfRule>
  </conditionalFormatting>
  <conditionalFormatting sqref="B850:E855">
    <cfRule type="expression" dxfId="25" priority="928" stopIfTrue="1">
      <formula>$A850="decimal"</formula>
    </cfRule>
  </conditionalFormatting>
  <conditionalFormatting sqref="B850:E855">
    <cfRule type="expression" dxfId="26" priority="929" stopIfTrue="1">
      <formula>$A850="integer"</formula>
    </cfRule>
  </conditionalFormatting>
  <conditionalFormatting sqref="B850:E855">
    <cfRule type="expression" dxfId="27" priority="930" stopIfTrue="1">
      <formula>$A850="text"</formula>
    </cfRule>
  </conditionalFormatting>
  <conditionalFormatting sqref="B850:E855">
    <cfRule type="expression" dxfId="28" priority="931" stopIfTrue="1">
      <formula>$A850="end repeat"</formula>
    </cfRule>
  </conditionalFormatting>
  <conditionalFormatting sqref="B850:E855">
    <cfRule type="expression" dxfId="28" priority="932" stopIfTrue="1">
      <formula>$A850="begin repeat"</formula>
    </cfRule>
  </conditionalFormatting>
  <conditionalFormatting sqref="B850:E855">
    <cfRule type="expression" dxfId="29" priority="933" stopIfTrue="1">
      <formula>$A850="end group"</formula>
    </cfRule>
  </conditionalFormatting>
  <conditionalFormatting sqref="B850:E855">
    <cfRule type="expression" dxfId="29" priority="934" stopIfTrue="1">
      <formula>$A850="begin group"</formula>
    </cfRule>
  </conditionalFormatting>
  <conditionalFormatting sqref="B850:B855">
    <cfRule type="expression" dxfId="30" priority="935" stopIfTrue="1">
      <formula>$A850="comments"</formula>
    </cfRule>
  </conditionalFormatting>
  <conditionalFormatting sqref="B850:B855">
    <cfRule type="expression" dxfId="36" priority="936" stopIfTrue="1">
      <formula>OR(AND(LEFT($A850, 14)="sensor_stream ", LEN($A850)&gt;14, NOT(ISNUMBER(SEARCH(" ", $A850, 15)))), AND(LEFT($A850, 17)="sensor_statistic ", LEN($A850)&gt;17, NOT(ISNUMBER(SEARCH(" ", $A850, 18)))))</formula>
    </cfRule>
  </conditionalFormatting>
  <conditionalFormatting sqref="B843:C848 D843:E848">
    <cfRule type="expression" dxfId="0" priority="937" stopIfTrue="1">
      <formula>$A843="begin group"</formula>
    </cfRule>
  </conditionalFormatting>
  <conditionalFormatting sqref="B843:C848 D843:E848">
    <cfRule type="expression" dxfId="1" priority="938" stopIfTrue="1">
      <formula>$A843="begin repeat"</formula>
    </cfRule>
  </conditionalFormatting>
  <conditionalFormatting sqref="B843:E848">
    <cfRule type="expression" dxfId="31" priority="939" stopIfTrue="1">
      <formula>$A843="enumerator"</formula>
    </cfRule>
  </conditionalFormatting>
  <conditionalFormatting sqref="B843:E848">
    <cfRule type="expression" dxfId="2" priority="940" stopIfTrue="1">
      <formula>$A843="text"</formula>
    </cfRule>
  </conditionalFormatting>
  <conditionalFormatting sqref="B843:E848">
    <cfRule type="expression" dxfId="3" priority="941" stopIfTrue="1">
      <formula>$A843="integer"</formula>
    </cfRule>
  </conditionalFormatting>
  <conditionalFormatting sqref="B843:E848">
    <cfRule type="expression" dxfId="4" priority="942" stopIfTrue="1">
      <formula>$A843="decimal"</formula>
    </cfRule>
  </conditionalFormatting>
  <conditionalFormatting sqref="B843:C848 D843:E848">
    <cfRule type="expression" dxfId="5" priority="943" stopIfTrue="1">
      <formula>OR(AND(LEFT($A843, 16)="select_multiple ", LEN($A843)&gt;16, NOT(ISNUMBER(SEARCH(" ", $A843, 17)))), AND(LEFT($A843, 11)="select_one ", LEN($A843)&gt;11, NOT(ISNUMBER(SEARCH(" ", $A843, 12)))))</formula>
    </cfRule>
  </conditionalFormatting>
  <conditionalFormatting sqref="B843:B848">
    <cfRule type="expression" dxfId="6" priority="944" stopIfTrue="1">
      <formula>OR($A843="audio audit", $A843="text audit", $A843="speed violations count", $A843="speed violations list", $A843="speed violations audit")</formula>
    </cfRule>
  </conditionalFormatting>
  <conditionalFormatting sqref="B843:C848 D843:E848">
    <cfRule type="expression" dxfId="32" priority="945" stopIfTrue="1">
      <formula>$A843="file"</formula>
    </cfRule>
  </conditionalFormatting>
  <conditionalFormatting sqref="B843:C848 D843:E848">
    <cfRule type="expression" dxfId="7" priority="946" stopIfTrue="1">
      <formula>$A843="note"</formula>
    </cfRule>
  </conditionalFormatting>
  <conditionalFormatting sqref="B843:C848 D843:E848">
    <cfRule type="expression" dxfId="8" priority="947" stopIfTrue="1">
      <formula>$A843="barcode"</formula>
    </cfRule>
  </conditionalFormatting>
  <conditionalFormatting sqref="B843:C848 D843:E848">
    <cfRule type="expression" dxfId="9" priority="948" stopIfTrue="1">
      <formula>OR($A843="geopoint", $A843="geoshape", $A843="geotrace")</formula>
    </cfRule>
  </conditionalFormatting>
  <conditionalFormatting sqref="B843:B848">
    <cfRule type="expression" dxfId="10" priority="949" stopIfTrue="1">
      <formula>OR($A843="calculate", $A843="calculate_here")</formula>
    </cfRule>
  </conditionalFormatting>
  <conditionalFormatting sqref="B843:C848 D843:E848">
    <cfRule type="expression" dxfId="11" priority="950" stopIfTrue="1">
      <formula>OR($A843="date", $A843="datetime", $A843="time")</formula>
    </cfRule>
  </conditionalFormatting>
  <conditionalFormatting sqref="B843:C848 D843:E848">
    <cfRule type="expression" dxfId="12" priority="951" stopIfTrue="1">
      <formula>$A843="image"</formula>
    </cfRule>
  </conditionalFormatting>
  <conditionalFormatting sqref="B843:C848 D843:E848">
    <cfRule type="expression" dxfId="13" priority="952" stopIfTrue="1">
      <formula>OR($A843="audio", $A843="video")</formula>
    </cfRule>
  </conditionalFormatting>
  <conditionalFormatting sqref="B843:E848">
    <cfRule type="expression" dxfId="33" priority="953" stopIfTrue="1">
      <formula>$A843="file"</formula>
    </cfRule>
  </conditionalFormatting>
  <conditionalFormatting sqref="B843:E848">
    <cfRule type="expression" dxfId="34" priority="954" stopIfTrue="1">
      <formula>$A843="enumerator"</formula>
    </cfRule>
  </conditionalFormatting>
  <conditionalFormatting sqref="B843:E848">
    <cfRule type="expression" dxfId="35" priority="955" stopIfTrue="1">
      <formula>OR(AND(LEFT($A843, 14)="sensor_stream ", LEN($A843)&gt;14, NOT(ISNUMBER(SEARCH(" ", $A843, 15)))), AND(LEFT($A843, 17)="sensor_statistic ", LEN($A843)&gt;17, NOT(ISNUMBER(SEARCH(" ", $A843, 18)))))</formula>
    </cfRule>
  </conditionalFormatting>
  <conditionalFormatting sqref="B843:E848">
    <cfRule type="expression" dxfId="14" priority="956" stopIfTrue="1">
      <formula>$A843="comments"</formula>
    </cfRule>
  </conditionalFormatting>
  <conditionalFormatting sqref="B843:E848">
    <cfRule type="expression" dxfId="15" priority="957" stopIfTrue="1">
      <formula>OR($A843="audio", $A843="video")</formula>
    </cfRule>
  </conditionalFormatting>
  <conditionalFormatting sqref="B843:E848">
    <cfRule type="expression" dxfId="16" priority="958" stopIfTrue="1">
      <formula>$A843="image"</formula>
    </cfRule>
  </conditionalFormatting>
  <conditionalFormatting sqref="B843:E848">
    <cfRule type="expression" dxfId="17" priority="959" stopIfTrue="1">
      <formula>OR($A843="date", $A843="datetime", $A843="time")</formula>
    </cfRule>
  </conditionalFormatting>
  <conditionalFormatting sqref="B843:E848">
    <cfRule type="expression" dxfId="18" priority="960" stopIfTrue="1">
      <formula>OR($A843="calculate", $A843="calculate_here")</formula>
    </cfRule>
  </conditionalFormatting>
  <conditionalFormatting sqref="B843:E848">
    <cfRule type="expression" dxfId="19" priority="961" stopIfTrue="1">
      <formula>$A843="note"</formula>
    </cfRule>
  </conditionalFormatting>
  <conditionalFormatting sqref="B843:E848">
    <cfRule type="expression" dxfId="20" priority="962" stopIfTrue="1">
      <formula>$A843="barcode"</formula>
    </cfRule>
  </conditionalFormatting>
  <conditionalFormatting sqref="B843:E848">
    <cfRule type="expression" dxfId="21" priority="963" stopIfTrue="1">
      <formula>OR($A843="geopoint", $A843="geoshape", $A843="geotrace")</formula>
    </cfRule>
  </conditionalFormatting>
  <conditionalFormatting sqref="B843:E848">
    <cfRule type="expression" dxfId="22" priority="964" stopIfTrue="1">
      <formula>OR($A843="audio audit", $A843="text audit", $A843="speed violations count", $A843="speed violations list", $A843="speed violations audit")</formula>
    </cfRule>
  </conditionalFormatting>
  <conditionalFormatting sqref="B843:E848">
    <cfRule type="expression" dxfId="23" priority="965" stopIfTrue="1">
      <formula>OR($A843="username", $A843="phonenumber", $A843="start", $A843="end", $A843="deviceid", $A843="subscriberid", $A843="simserial", $A843="caseid")</formula>
    </cfRule>
  </conditionalFormatting>
  <conditionalFormatting sqref="B843:E848">
    <cfRule type="expression" dxfId="24" priority="966" stopIfTrue="1">
      <formula>OR(AND(LEFT($A843, 16)="select_multiple ", LEN($A843)&gt;16, NOT(ISNUMBER(SEARCH(" ", $A843, 17)))), AND(LEFT($A843, 11)="select_one ", LEN($A843)&gt;11, NOT(ISNUMBER(SEARCH(" ", $A843, 12)))))</formula>
    </cfRule>
  </conditionalFormatting>
  <conditionalFormatting sqref="B843:E848">
    <cfRule type="expression" dxfId="25" priority="967" stopIfTrue="1">
      <formula>$A843="decimal"</formula>
    </cfRule>
  </conditionalFormatting>
  <conditionalFormatting sqref="B843:E848">
    <cfRule type="expression" dxfId="26" priority="968" stopIfTrue="1">
      <formula>$A843="integer"</formula>
    </cfRule>
  </conditionalFormatting>
  <conditionalFormatting sqref="B843:E848">
    <cfRule type="expression" dxfId="27" priority="969" stopIfTrue="1">
      <formula>$A843="text"</formula>
    </cfRule>
  </conditionalFormatting>
  <conditionalFormatting sqref="B843:E848">
    <cfRule type="expression" dxfId="28" priority="970" stopIfTrue="1">
      <formula>$A843="end repeat"</formula>
    </cfRule>
  </conditionalFormatting>
  <conditionalFormatting sqref="B843:E848">
    <cfRule type="expression" dxfId="28" priority="971" stopIfTrue="1">
      <formula>$A843="begin repeat"</formula>
    </cfRule>
  </conditionalFormatting>
  <conditionalFormatting sqref="B843:E848">
    <cfRule type="expression" dxfId="29" priority="972" stopIfTrue="1">
      <formula>$A843="end group"</formula>
    </cfRule>
  </conditionalFormatting>
  <conditionalFormatting sqref="B843:E848">
    <cfRule type="expression" dxfId="29" priority="973" stopIfTrue="1">
      <formula>$A843="begin group"</formula>
    </cfRule>
  </conditionalFormatting>
  <conditionalFormatting sqref="B843:B848">
    <cfRule type="expression" dxfId="30" priority="974" stopIfTrue="1">
      <formula>$A843="comments"</formula>
    </cfRule>
  </conditionalFormatting>
  <conditionalFormatting sqref="B843:B848">
    <cfRule type="expression" dxfId="36" priority="975" stopIfTrue="1">
      <formula>OR(AND(LEFT($A843, 14)="sensor_stream ", LEN($A843)&gt;14, NOT(ISNUMBER(SEARCH(" ", $A843, 15)))), AND(LEFT($A843, 17)="sensor_statistic ", LEN($A843)&gt;17, NOT(ISNUMBER(SEARCH(" ", $A843, 18)))))</formula>
    </cfRule>
  </conditionalFormatting>
  <conditionalFormatting sqref="B803:C837 D803:E837">
    <cfRule type="expression" dxfId="0" priority="976" stopIfTrue="1">
      <formula>$A803="begin group"</formula>
    </cfRule>
  </conditionalFormatting>
  <conditionalFormatting sqref="B803:C837 D803:E837">
    <cfRule type="expression" dxfId="1" priority="977" stopIfTrue="1">
      <formula>$A803="begin repeat"</formula>
    </cfRule>
  </conditionalFormatting>
  <conditionalFormatting sqref="B803:E837">
    <cfRule type="expression" dxfId="31" priority="978" stopIfTrue="1">
      <formula>$A803="enumerator"</formula>
    </cfRule>
  </conditionalFormatting>
  <conditionalFormatting sqref="B803:E837">
    <cfRule type="expression" dxfId="2" priority="979" stopIfTrue="1">
      <formula>$A803="text"</formula>
    </cfRule>
  </conditionalFormatting>
  <conditionalFormatting sqref="B803:E837">
    <cfRule type="expression" dxfId="3" priority="980" stopIfTrue="1">
      <formula>$A803="integer"</formula>
    </cfRule>
  </conditionalFormatting>
  <conditionalFormatting sqref="B803:E837">
    <cfRule type="expression" dxfId="4" priority="981" stopIfTrue="1">
      <formula>$A803="decimal"</formula>
    </cfRule>
  </conditionalFormatting>
  <conditionalFormatting sqref="B803:C837 D803:E837">
    <cfRule type="expression" dxfId="5" priority="982" stopIfTrue="1">
      <formula>OR(AND(LEFT($A803, 16)="select_multiple ", LEN($A803)&gt;16, NOT(ISNUMBER(SEARCH(" ", $A803, 17)))), AND(LEFT($A803, 11)="select_one ", LEN($A803)&gt;11, NOT(ISNUMBER(SEARCH(" ", $A803, 12)))))</formula>
    </cfRule>
  </conditionalFormatting>
  <conditionalFormatting sqref="B803:B837">
    <cfRule type="expression" dxfId="6" priority="983" stopIfTrue="1">
      <formula>OR($A803="audio audit", $A803="text audit", $A803="speed violations count", $A803="speed violations list", $A803="speed violations audit")</formula>
    </cfRule>
  </conditionalFormatting>
  <conditionalFormatting sqref="B803:C837 D803:E837">
    <cfRule type="expression" dxfId="32" priority="984" stopIfTrue="1">
      <formula>$A803="file"</formula>
    </cfRule>
  </conditionalFormatting>
  <conditionalFormatting sqref="B803:C837 D803:E837">
    <cfRule type="expression" dxfId="7" priority="985" stopIfTrue="1">
      <formula>$A803="note"</formula>
    </cfRule>
  </conditionalFormatting>
  <conditionalFormatting sqref="B803:C837 D803:E837">
    <cfRule type="expression" dxfId="8" priority="986" stopIfTrue="1">
      <formula>$A803="barcode"</formula>
    </cfRule>
  </conditionalFormatting>
  <conditionalFormatting sqref="B803:C837 D803:E837">
    <cfRule type="expression" dxfId="9" priority="987" stopIfTrue="1">
      <formula>OR($A803="geopoint", $A803="geoshape", $A803="geotrace")</formula>
    </cfRule>
  </conditionalFormatting>
  <conditionalFormatting sqref="B803:B837">
    <cfRule type="expression" dxfId="10" priority="988" stopIfTrue="1">
      <formula>OR($A803="calculate", $A803="calculate_here")</formula>
    </cfRule>
  </conditionalFormatting>
  <conditionalFormatting sqref="B803:C837 D803:E837">
    <cfRule type="expression" dxfId="11" priority="989" stopIfTrue="1">
      <formula>OR($A803="date", $A803="datetime", $A803="time")</formula>
    </cfRule>
  </conditionalFormatting>
  <conditionalFormatting sqref="B803:C837 D803:E837">
    <cfRule type="expression" dxfId="12" priority="990" stopIfTrue="1">
      <formula>$A803="image"</formula>
    </cfRule>
  </conditionalFormatting>
  <conditionalFormatting sqref="B803:C837 D803:E837">
    <cfRule type="expression" dxfId="13" priority="991" stopIfTrue="1">
      <formula>OR($A803="audio", $A803="video")</formula>
    </cfRule>
  </conditionalFormatting>
  <conditionalFormatting sqref="B803:E837">
    <cfRule type="expression" dxfId="33" priority="992" stopIfTrue="1">
      <formula>$A803="file"</formula>
    </cfRule>
  </conditionalFormatting>
  <conditionalFormatting sqref="B803:E837">
    <cfRule type="expression" dxfId="34" priority="993" stopIfTrue="1">
      <formula>$A803="enumerator"</formula>
    </cfRule>
  </conditionalFormatting>
  <conditionalFormatting sqref="B803:E837">
    <cfRule type="expression" dxfId="35" priority="994" stopIfTrue="1">
      <formula>OR(AND(LEFT($A803, 14)="sensor_stream ", LEN($A803)&gt;14, NOT(ISNUMBER(SEARCH(" ", $A803, 15)))), AND(LEFT($A803, 17)="sensor_statistic ", LEN($A803)&gt;17, NOT(ISNUMBER(SEARCH(" ", $A803, 18)))))</formula>
    </cfRule>
  </conditionalFormatting>
  <conditionalFormatting sqref="B803:E837">
    <cfRule type="expression" dxfId="14" priority="995" stopIfTrue="1">
      <formula>$A803="comments"</formula>
    </cfRule>
  </conditionalFormatting>
  <conditionalFormatting sqref="B803:E837">
    <cfRule type="expression" dxfId="15" priority="996" stopIfTrue="1">
      <formula>OR($A803="audio", $A803="video")</formula>
    </cfRule>
  </conditionalFormatting>
  <conditionalFormatting sqref="B803:E837">
    <cfRule type="expression" dxfId="16" priority="997" stopIfTrue="1">
      <formula>$A803="image"</formula>
    </cfRule>
  </conditionalFormatting>
  <conditionalFormatting sqref="B803:E837">
    <cfRule type="expression" dxfId="17" priority="998" stopIfTrue="1">
      <formula>OR($A803="date", $A803="datetime", $A803="time")</formula>
    </cfRule>
  </conditionalFormatting>
  <conditionalFormatting sqref="B803:E837">
    <cfRule type="expression" dxfId="18" priority="999" stopIfTrue="1">
      <formula>OR($A803="calculate", $A803="calculate_here")</formula>
    </cfRule>
  </conditionalFormatting>
  <conditionalFormatting sqref="B803:E837">
    <cfRule type="expression" dxfId="19" priority="1000" stopIfTrue="1">
      <formula>$A803="note"</formula>
    </cfRule>
  </conditionalFormatting>
  <conditionalFormatting sqref="B803:E837">
    <cfRule type="expression" dxfId="20" priority="1001" stopIfTrue="1">
      <formula>$A803="barcode"</formula>
    </cfRule>
  </conditionalFormatting>
  <conditionalFormatting sqref="B803:E837">
    <cfRule type="expression" dxfId="21" priority="1002" stopIfTrue="1">
      <formula>OR($A803="geopoint", $A803="geoshape", $A803="geotrace")</formula>
    </cfRule>
  </conditionalFormatting>
  <conditionalFormatting sqref="B803:E837">
    <cfRule type="expression" dxfId="22" priority="1003" stopIfTrue="1">
      <formula>OR($A803="audio audit", $A803="text audit", $A803="speed violations count", $A803="speed violations list", $A803="speed violations audit")</formula>
    </cfRule>
  </conditionalFormatting>
  <conditionalFormatting sqref="B803:E837">
    <cfRule type="expression" dxfId="23" priority="1004" stopIfTrue="1">
      <formula>OR($A803="username", $A803="phonenumber", $A803="start", $A803="end", $A803="deviceid", $A803="subscriberid", $A803="simserial", $A803="caseid")</formula>
    </cfRule>
  </conditionalFormatting>
  <conditionalFormatting sqref="B803:E837">
    <cfRule type="expression" dxfId="24" priority="1005" stopIfTrue="1">
      <formula>OR(AND(LEFT($A803, 16)="select_multiple ", LEN($A803)&gt;16, NOT(ISNUMBER(SEARCH(" ", $A803, 17)))), AND(LEFT($A803, 11)="select_one ", LEN($A803)&gt;11, NOT(ISNUMBER(SEARCH(" ", $A803, 12)))))</formula>
    </cfRule>
  </conditionalFormatting>
  <conditionalFormatting sqref="B803:E837">
    <cfRule type="expression" dxfId="25" priority="1006" stopIfTrue="1">
      <formula>$A803="decimal"</formula>
    </cfRule>
  </conditionalFormatting>
  <conditionalFormatting sqref="B803:E837">
    <cfRule type="expression" dxfId="26" priority="1007" stopIfTrue="1">
      <formula>$A803="integer"</formula>
    </cfRule>
  </conditionalFormatting>
  <conditionalFormatting sqref="B803:E837">
    <cfRule type="expression" dxfId="27" priority="1008" stopIfTrue="1">
      <formula>$A803="text"</formula>
    </cfRule>
  </conditionalFormatting>
  <conditionalFormatting sqref="B803:E837">
    <cfRule type="expression" dxfId="28" priority="1009" stopIfTrue="1">
      <formula>$A803="end repeat"</formula>
    </cfRule>
  </conditionalFormatting>
  <conditionalFormatting sqref="B803:E837">
    <cfRule type="expression" dxfId="28" priority="1010" stopIfTrue="1">
      <formula>$A803="begin repeat"</formula>
    </cfRule>
  </conditionalFormatting>
  <conditionalFormatting sqref="B803:E837">
    <cfRule type="expression" dxfId="29" priority="1011" stopIfTrue="1">
      <formula>$A803="end group"</formula>
    </cfRule>
  </conditionalFormatting>
  <conditionalFormatting sqref="B803:E837">
    <cfRule type="expression" dxfId="29" priority="1012" stopIfTrue="1">
      <formula>$A803="begin group"</formula>
    </cfRule>
  </conditionalFormatting>
  <conditionalFormatting sqref="B803:B837">
    <cfRule type="expression" dxfId="30" priority="1013" stopIfTrue="1">
      <formula>$A803="comments"</formula>
    </cfRule>
  </conditionalFormatting>
  <conditionalFormatting sqref="B803:B837">
    <cfRule type="expression" dxfId="36" priority="1014" stopIfTrue="1">
      <formula>OR(AND(LEFT($A803, 14)="sensor_stream ", LEN($A803)&gt;14, NOT(ISNUMBER(SEARCH(" ", $A803, 15)))), AND(LEFT($A803, 17)="sensor_statistic ", LEN($A803)&gt;17, NOT(ISNUMBER(SEARCH(" ", $A803, 18)))))</formula>
    </cfRule>
  </conditionalFormatting>
  <conditionalFormatting sqref="B794:C796 D794:E796">
    <cfRule type="expression" dxfId="0" priority="1015" stopIfTrue="1">
      <formula>$A794="begin group"</formula>
    </cfRule>
  </conditionalFormatting>
  <conditionalFormatting sqref="B794:C796 D794:E796">
    <cfRule type="expression" dxfId="1" priority="1016" stopIfTrue="1">
      <formula>$A794="begin repeat"</formula>
    </cfRule>
  </conditionalFormatting>
  <conditionalFormatting sqref="B794:E796">
    <cfRule type="expression" dxfId="31" priority="1017" stopIfTrue="1">
      <formula>$A794="enumerator"</formula>
    </cfRule>
  </conditionalFormatting>
  <conditionalFormatting sqref="B794:E796">
    <cfRule type="expression" dxfId="2" priority="1018" stopIfTrue="1">
      <formula>$A794="text"</formula>
    </cfRule>
  </conditionalFormatting>
  <conditionalFormatting sqref="B794:E796">
    <cfRule type="expression" dxfId="3" priority="1019" stopIfTrue="1">
      <formula>$A794="integer"</formula>
    </cfRule>
  </conditionalFormatting>
  <conditionalFormatting sqref="B794:E796">
    <cfRule type="expression" dxfId="4" priority="1020" stopIfTrue="1">
      <formula>$A794="decimal"</formula>
    </cfRule>
  </conditionalFormatting>
  <conditionalFormatting sqref="B794:C796 D794:E796">
    <cfRule type="expression" dxfId="5" priority="1021" stopIfTrue="1">
      <formula>OR(AND(LEFT($A794, 16)="select_multiple ", LEN($A794)&gt;16, NOT(ISNUMBER(SEARCH(" ", $A794, 17)))), AND(LEFT($A794, 11)="select_one ", LEN($A794)&gt;11, NOT(ISNUMBER(SEARCH(" ", $A794, 12)))))</formula>
    </cfRule>
  </conditionalFormatting>
  <conditionalFormatting sqref="B794:B796">
    <cfRule type="expression" dxfId="6" priority="1022" stopIfTrue="1">
      <formula>OR($A794="audio audit", $A794="text audit", $A794="speed violations count", $A794="speed violations list", $A794="speed violations audit")</formula>
    </cfRule>
  </conditionalFormatting>
  <conditionalFormatting sqref="B794:C796 D794:E796">
    <cfRule type="expression" dxfId="32" priority="1023" stopIfTrue="1">
      <formula>$A794="file"</formula>
    </cfRule>
  </conditionalFormatting>
  <conditionalFormatting sqref="B794:C796 D794:E796">
    <cfRule type="expression" dxfId="7" priority="1024" stopIfTrue="1">
      <formula>$A794="note"</formula>
    </cfRule>
  </conditionalFormatting>
  <conditionalFormatting sqref="B794:C796 D794:E796">
    <cfRule type="expression" dxfId="8" priority="1025" stopIfTrue="1">
      <formula>$A794="barcode"</formula>
    </cfRule>
  </conditionalFormatting>
  <conditionalFormatting sqref="B794:C796 D794:E796">
    <cfRule type="expression" dxfId="9" priority="1026" stopIfTrue="1">
      <formula>OR($A794="geopoint", $A794="geoshape", $A794="geotrace")</formula>
    </cfRule>
  </conditionalFormatting>
  <conditionalFormatting sqref="B794:B796">
    <cfRule type="expression" dxfId="10" priority="1027" stopIfTrue="1">
      <formula>OR($A794="calculate", $A794="calculate_here")</formula>
    </cfRule>
  </conditionalFormatting>
  <conditionalFormatting sqref="B794:C796 D794:E796">
    <cfRule type="expression" dxfId="11" priority="1028" stopIfTrue="1">
      <formula>OR($A794="date", $A794="datetime", $A794="time")</formula>
    </cfRule>
  </conditionalFormatting>
  <conditionalFormatting sqref="B794:C796 D794:E796">
    <cfRule type="expression" dxfId="12" priority="1029" stopIfTrue="1">
      <formula>$A794="image"</formula>
    </cfRule>
  </conditionalFormatting>
  <conditionalFormatting sqref="B794:C796 D794:E796">
    <cfRule type="expression" dxfId="13" priority="1030" stopIfTrue="1">
      <formula>OR($A794="audio", $A794="video")</formula>
    </cfRule>
  </conditionalFormatting>
  <conditionalFormatting sqref="B794:E796">
    <cfRule type="expression" dxfId="33" priority="1031" stopIfTrue="1">
      <formula>$A794="file"</formula>
    </cfRule>
  </conditionalFormatting>
  <conditionalFormatting sqref="B794:E796">
    <cfRule type="expression" dxfId="34" priority="1032" stopIfTrue="1">
      <formula>$A794="enumerator"</formula>
    </cfRule>
  </conditionalFormatting>
  <conditionalFormatting sqref="B794:E796">
    <cfRule type="expression" dxfId="35" priority="1033" stopIfTrue="1">
      <formula>OR(AND(LEFT($A794, 14)="sensor_stream ", LEN($A794)&gt;14, NOT(ISNUMBER(SEARCH(" ", $A794, 15)))), AND(LEFT($A794, 17)="sensor_statistic ", LEN($A794)&gt;17, NOT(ISNUMBER(SEARCH(" ", $A794, 18)))))</formula>
    </cfRule>
  </conditionalFormatting>
  <conditionalFormatting sqref="B794:E796">
    <cfRule type="expression" dxfId="14" priority="1034" stopIfTrue="1">
      <formula>$A794="comments"</formula>
    </cfRule>
  </conditionalFormatting>
  <conditionalFormatting sqref="B794:E796">
    <cfRule type="expression" dxfId="15" priority="1035" stopIfTrue="1">
      <formula>OR($A794="audio", $A794="video")</formula>
    </cfRule>
  </conditionalFormatting>
  <conditionalFormatting sqref="B794:E796">
    <cfRule type="expression" dxfId="16" priority="1036" stopIfTrue="1">
      <formula>$A794="image"</formula>
    </cfRule>
  </conditionalFormatting>
  <conditionalFormatting sqref="B794:E796">
    <cfRule type="expression" dxfId="17" priority="1037" stopIfTrue="1">
      <formula>OR($A794="date", $A794="datetime", $A794="time")</formula>
    </cfRule>
  </conditionalFormatting>
  <conditionalFormatting sqref="B794:E796">
    <cfRule type="expression" dxfId="18" priority="1038" stopIfTrue="1">
      <formula>OR($A794="calculate", $A794="calculate_here")</formula>
    </cfRule>
  </conditionalFormatting>
  <conditionalFormatting sqref="B794:E796">
    <cfRule type="expression" dxfId="19" priority="1039" stopIfTrue="1">
      <formula>$A794="note"</formula>
    </cfRule>
  </conditionalFormatting>
  <conditionalFormatting sqref="B794:E796">
    <cfRule type="expression" dxfId="20" priority="1040" stopIfTrue="1">
      <formula>$A794="barcode"</formula>
    </cfRule>
  </conditionalFormatting>
  <conditionalFormatting sqref="B794:E796">
    <cfRule type="expression" dxfId="21" priority="1041" stopIfTrue="1">
      <formula>OR($A794="geopoint", $A794="geoshape", $A794="geotrace")</formula>
    </cfRule>
  </conditionalFormatting>
  <conditionalFormatting sqref="B794:E796">
    <cfRule type="expression" dxfId="22" priority="1042" stopIfTrue="1">
      <formula>OR($A794="audio audit", $A794="text audit", $A794="speed violations count", $A794="speed violations list", $A794="speed violations audit")</formula>
    </cfRule>
  </conditionalFormatting>
  <conditionalFormatting sqref="B794:E796">
    <cfRule type="expression" dxfId="23" priority="1043" stopIfTrue="1">
      <formula>OR($A794="username", $A794="phonenumber", $A794="start", $A794="end", $A794="deviceid", $A794="subscriberid", $A794="simserial", $A794="caseid")</formula>
    </cfRule>
  </conditionalFormatting>
  <conditionalFormatting sqref="B794:E796">
    <cfRule type="expression" dxfId="24" priority="1044" stopIfTrue="1">
      <formula>OR(AND(LEFT($A794, 16)="select_multiple ", LEN($A794)&gt;16, NOT(ISNUMBER(SEARCH(" ", $A794, 17)))), AND(LEFT($A794, 11)="select_one ", LEN($A794)&gt;11, NOT(ISNUMBER(SEARCH(" ", $A794, 12)))))</formula>
    </cfRule>
  </conditionalFormatting>
  <conditionalFormatting sqref="B794:E796">
    <cfRule type="expression" dxfId="25" priority="1045" stopIfTrue="1">
      <formula>$A794="decimal"</formula>
    </cfRule>
  </conditionalFormatting>
  <conditionalFormatting sqref="B794:E796">
    <cfRule type="expression" dxfId="26" priority="1046" stopIfTrue="1">
      <formula>$A794="integer"</formula>
    </cfRule>
  </conditionalFormatting>
  <conditionalFormatting sqref="B794:E796">
    <cfRule type="expression" dxfId="27" priority="1047" stopIfTrue="1">
      <formula>$A794="text"</formula>
    </cfRule>
  </conditionalFormatting>
  <conditionalFormatting sqref="B794:E796">
    <cfRule type="expression" dxfId="28" priority="1048" stopIfTrue="1">
      <formula>$A794="end repeat"</formula>
    </cfRule>
  </conditionalFormatting>
  <conditionalFormatting sqref="B794:E796">
    <cfRule type="expression" dxfId="28" priority="1049" stopIfTrue="1">
      <formula>$A794="begin repeat"</formula>
    </cfRule>
  </conditionalFormatting>
  <conditionalFormatting sqref="B794:E796">
    <cfRule type="expression" dxfId="29" priority="1050" stopIfTrue="1">
      <formula>$A794="end group"</formula>
    </cfRule>
  </conditionalFormatting>
  <conditionalFormatting sqref="B794:E796">
    <cfRule type="expression" dxfId="29" priority="1051" stopIfTrue="1">
      <formula>$A794="begin group"</formula>
    </cfRule>
  </conditionalFormatting>
  <conditionalFormatting sqref="B794:B796">
    <cfRule type="expression" dxfId="30" priority="1052" stopIfTrue="1">
      <formula>$A794="comments"</formula>
    </cfRule>
  </conditionalFormatting>
  <conditionalFormatting sqref="B794:B796">
    <cfRule type="expression" dxfId="36" priority="1053" stopIfTrue="1">
      <formula>OR(AND(LEFT($A794, 14)="sensor_stream ", LEN($A794)&gt;14, NOT(ISNUMBER(SEARCH(" ", $A794, 15)))), AND(LEFT($A794, 17)="sensor_statistic ", LEN($A794)&gt;17, NOT(ISNUMBER(SEARCH(" ", $A794, 18)))))</formula>
    </cfRule>
  </conditionalFormatting>
  <conditionalFormatting sqref="B790:C792 D790:E792">
    <cfRule type="expression" dxfId="0" priority="1054" stopIfTrue="1">
      <formula>$A790="begin group"</formula>
    </cfRule>
  </conditionalFormatting>
  <conditionalFormatting sqref="B790:C792 D790:E792">
    <cfRule type="expression" dxfId="1" priority="1055" stopIfTrue="1">
      <formula>$A790="begin repeat"</formula>
    </cfRule>
  </conditionalFormatting>
  <conditionalFormatting sqref="B790:E792">
    <cfRule type="expression" dxfId="31" priority="1056" stopIfTrue="1">
      <formula>$A790="enumerator"</formula>
    </cfRule>
  </conditionalFormatting>
  <conditionalFormatting sqref="B790:E792">
    <cfRule type="expression" dxfId="2" priority="1057" stopIfTrue="1">
      <formula>$A790="text"</formula>
    </cfRule>
  </conditionalFormatting>
  <conditionalFormatting sqref="B790:E792">
    <cfRule type="expression" dxfId="3" priority="1058" stopIfTrue="1">
      <formula>$A790="integer"</formula>
    </cfRule>
  </conditionalFormatting>
  <conditionalFormatting sqref="B790:E792">
    <cfRule type="expression" dxfId="4" priority="1059" stopIfTrue="1">
      <formula>$A790="decimal"</formula>
    </cfRule>
  </conditionalFormatting>
  <conditionalFormatting sqref="B790:C792 D790:E792">
    <cfRule type="expression" dxfId="5" priority="1060" stopIfTrue="1">
      <formula>OR(AND(LEFT($A790, 16)="select_multiple ", LEN($A790)&gt;16, NOT(ISNUMBER(SEARCH(" ", $A790, 17)))), AND(LEFT($A790, 11)="select_one ", LEN($A790)&gt;11, NOT(ISNUMBER(SEARCH(" ", $A790, 12)))))</formula>
    </cfRule>
  </conditionalFormatting>
  <conditionalFormatting sqref="B790:B792">
    <cfRule type="expression" dxfId="6" priority="1061" stopIfTrue="1">
      <formula>OR($A790="audio audit", $A790="text audit", $A790="speed violations count", $A790="speed violations list", $A790="speed violations audit")</formula>
    </cfRule>
  </conditionalFormatting>
  <conditionalFormatting sqref="B790:C792 D790:E792">
    <cfRule type="expression" dxfId="32" priority="1062" stopIfTrue="1">
      <formula>$A790="file"</formula>
    </cfRule>
  </conditionalFormatting>
  <conditionalFormatting sqref="B790:C792 D790:E792">
    <cfRule type="expression" dxfId="7" priority="1063" stopIfTrue="1">
      <formula>$A790="note"</formula>
    </cfRule>
  </conditionalFormatting>
  <conditionalFormatting sqref="B790:C792 D790:E792">
    <cfRule type="expression" dxfId="8" priority="1064" stopIfTrue="1">
      <formula>$A790="barcode"</formula>
    </cfRule>
  </conditionalFormatting>
  <conditionalFormatting sqref="B790:C792 D790:E792">
    <cfRule type="expression" dxfId="9" priority="1065" stopIfTrue="1">
      <formula>OR($A790="geopoint", $A790="geoshape", $A790="geotrace")</formula>
    </cfRule>
  </conditionalFormatting>
  <conditionalFormatting sqref="B790:B792">
    <cfRule type="expression" dxfId="10" priority="1066" stopIfTrue="1">
      <formula>OR($A790="calculate", $A790="calculate_here")</formula>
    </cfRule>
  </conditionalFormatting>
  <conditionalFormatting sqref="B790:C792 D790:E792">
    <cfRule type="expression" dxfId="11" priority="1067" stopIfTrue="1">
      <formula>OR($A790="date", $A790="datetime", $A790="time")</formula>
    </cfRule>
  </conditionalFormatting>
  <conditionalFormatting sqref="B790:C792 D790:E792">
    <cfRule type="expression" dxfId="12" priority="1068" stopIfTrue="1">
      <formula>$A790="image"</formula>
    </cfRule>
  </conditionalFormatting>
  <conditionalFormatting sqref="B790:C792 D790:E792">
    <cfRule type="expression" dxfId="13" priority="1069" stopIfTrue="1">
      <formula>OR($A790="audio", $A790="video")</formula>
    </cfRule>
  </conditionalFormatting>
  <conditionalFormatting sqref="B790:E792">
    <cfRule type="expression" dxfId="33" priority="1070" stopIfTrue="1">
      <formula>$A790="file"</formula>
    </cfRule>
  </conditionalFormatting>
  <conditionalFormatting sqref="B790:E792">
    <cfRule type="expression" dxfId="34" priority="1071" stopIfTrue="1">
      <formula>$A790="enumerator"</formula>
    </cfRule>
  </conditionalFormatting>
  <conditionalFormatting sqref="B790:E792">
    <cfRule type="expression" dxfId="35" priority="1072" stopIfTrue="1">
      <formula>OR(AND(LEFT($A790, 14)="sensor_stream ", LEN($A790)&gt;14, NOT(ISNUMBER(SEARCH(" ", $A790, 15)))), AND(LEFT($A790, 17)="sensor_statistic ", LEN($A790)&gt;17, NOT(ISNUMBER(SEARCH(" ", $A790, 18)))))</formula>
    </cfRule>
  </conditionalFormatting>
  <conditionalFormatting sqref="B790:E792">
    <cfRule type="expression" dxfId="14" priority="1073" stopIfTrue="1">
      <formula>$A790="comments"</formula>
    </cfRule>
  </conditionalFormatting>
  <conditionalFormatting sqref="B790:E792">
    <cfRule type="expression" dxfId="15" priority="1074" stopIfTrue="1">
      <formula>OR($A790="audio", $A790="video")</formula>
    </cfRule>
  </conditionalFormatting>
  <conditionalFormatting sqref="B790:E792">
    <cfRule type="expression" dxfId="16" priority="1075" stopIfTrue="1">
      <formula>$A790="image"</formula>
    </cfRule>
  </conditionalFormatting>
  <conditionalFormatting sqref="B790:E792">
    <cfRule type="expression" dxfId="17" priority="1076" stopIfTrue="1">
      <formula>OR($A790="date", $A790="datetime", $A790="time")</formula>
    </cfRule>
  </conditionalFormatting>
  <conditionalFormatting sqref="B790:E792">
    <cfRule type="expression" dxfId="18" priority="1077" stopIfTrue="1">
      <formula>OR($A790="calculate", $A790="calculate_here")</formula>
    </cfRule>
  </conditionalFormatting>
  <conditionalFormatting sqref="B790:E792">
    <cfRule type="expression" dxfId="19" priority="1078" stopIfTrue="1">
      <formula>$A790="note"</formula>
    </cfRule>
  </conditionalFormatting>
  <conditionalFormatting sqref="B790:E792">
    <cfRule type="expression" dxfId="20" priority="1079" stopIfTrue="1">
      <formula>$A790="barcode"</formula>
    </cfRule>
  </conditionalFormatting>
  <conditionalFormatting sqref="B790:E792">
    <cfRule type="expression" dxfId="21" priority="1080" stopIfTrue="1">
      <formula>OR($A790="geopoint", $A790="geoshape", $A790="geotrace")</formula>
    </cfRule>
  </conditionalFormatting>
  <conditionalFormatting sqref="B790:E792">
    <cfRule type="expression" dxfId="22" priority="1081" stopIfTrue="1">
      <formula>OR($A790="audio audit", $A790="text audit", $A790="speed violations count", $A790="speed violations list", $A790="speed violations audit")</formula>
    </cfRule>
  </conditionalFormatting>
  <conditionalFormatting sqref="B790:E792">
    <cfRule type="expression" dxfId="23" priority="1082" stopIfTrue="1">
      <formula>OR($A790="username", $A790="phonenumber", $A790="start", $A790="end", $A790="deviceid", $A790="subscriberid", $A790="simserial", $A790="caseid")</formula>
    </cfRule>
  </conditionalFormatting>
  <conditionalFormatting sqref="B790:E792">
    <cfRule type="expression" dxfId="24" priority="1083" stopIfTrue="1">
      <formula>OR(AND(LEFT($A790, 16)="select_multiple ", LEN($A790)&gt;16, NOT(ISNUMBER(SEARCH(" ", $A790, 17)))), AND(LEFT($A790, 11)="select_one ", LEN($A790)&gt;11, NOT(ISNUMBER(SEARCH(" ", $A790, 12)))))</formula>
    </cfRule>
  </conditionalFormatting>
  <conditionalFormatting sqref="B790:E792">
    <cfRule type="expression" dxfId="25" priority="1084" stopIfTrue="1">
      <formula>$A790="decimal"</formula>
    </cfRule>
  </conditionalFormatting>
  <conditionalFormatting sqref="B790:E792">
    <cfRule type="expression" dxfId="26" priority="1085" stopIfTrue="1">
      <formula>$A790="integer"</formula>
    </cfRule>
  </conditionalFormatting>
  <conditionalFormatting sqref="B790:E792">
    <cfRule type="expression" dxfId="27" priority="1086" stopIfTrue="1">
      <formula>$A790="text"</formula>
    </cfRule>
  </conditionalFormatting>
  <conditionalFormatting sqref="B790:E792">
    <cfRule type="expression" dxfId="28" priority="1087" stopIfTrue="1">
      <formula>$A790="end repeat"</formula>
    </cfRule>
  </conditionalFormatting>
  <conditionalFormatting sqref="B790:E792">
    <cfRule type="expression" dxfId="28" priority="1088" stopIfTrue="1">
      <formula>$A790="begin repeat"</formula>
    </cfRule>
  </conditionalFormatting>
  <conditionalFormatting sqref="B790:E792">
    <cfRule type="expression" dxfId="29" priority="1089" stopIfTrue="1">
      <formula>$A790="end group"</formula>
    </cfRule>
  </conditionalFormatting>
  <conditionalFormatting sqref="B790:E792">
    <cfRule type="expression" dxfId="29" priority="1090" stopIfTrue="1">
      <formula>$A790="begin group"</formula>
    </cfRule>
  </conditionalFormatting>
  <conditionalFormatting sqref="B790:B792">
    <cfRule type="expression" dxfId="30" priority="1091" stopIfTrue="1">
      <formula>$A790="comments"</formula>
    </cfRule>
  </conditionalFormatting>
  <conditionalFormatting sqref="B790:B792">
    <cfRule type="expression" dxfId="36" priority="1092" stopIfTrue="1">
      <formula>OR(AND(LEFT($A790, 14)="sensor_stream ", LEN($A790)&gt;14, NOT(ISNUMBER(SEARCH(" ", $A790, 15)))), AND(LEFT($A790, 17)="sensor_statistic ", LEN($A790)&gt;17, NOT(ISNUMBER(SEARCH(" ", $A790, 18)))))</formula>
    </cfRule>
  </conditionalFormatting>
  <conditionalFormatting sqref="B784:C785 D784:E785">
    <cfRule type="expression" dxfId="0" priority="1093" stopIfTrue="1">
      <formula>$A784="begin group"</formula>
    </cfRule>
  </conditionalFormatting>
  <conditionalFormatting sqref="B784:C785 D784:E785">
    <cfRule type="expression" dxfId="1" priority="1094" stopIfTrue="1">
      <formula>$A784="begin repeat"</formula>
    </cfRule>
  </conditionalFormatting>
  <conditionalFormatting sqref="B784:E785">
    <cfRule type="expression" dxfId="31" priority="1095" stopIfTrue="1">
      <formula>$A784="enumerator"</formula>
    </cfRule>
  </conditionalFormatting>
  <conditionalFormatting sqref="B784:E785">
    <cfRule type="expression" dxfId="2" priority="1096" stopIfTrue="1">
      <formula>$A784="text"</formula>
    </cfRule>
  </conditionalFormatting>
  <conditionalFormatting sqref="B784:E785">
    <cfRule type="expression" dxfId="3" priority="1097" stopIfTrue="1">
      <formula>$A784="integer"</formula>
    </cfRule>
  </conditionalFormatting>
  <conditionalFormatting sqref="B784:E785">
    <cfRule type="expression" dxfId="4" priority="1098" stopIfTrue="1">
      <formula>$A784="decimal"</formula>
    </cfRule>
  </conditionalFormatting>
  <conditionalFormatting sqref="B784:C785 D784:E785">
    <cfRule type="expression" dxfId="5" priority="1099" stopIfTrue="1">
      <formula>OR(AND(LEFT($A784, 16)="select_multiple ", LEN($A784)&gt;16, NOT(ISNUMBER(SEARCH(" ", $A784, 17)))), AND(LEFT($A784, 11)="select_one ", LEN($A784)&gt;11, NOT(ISNUMBER(SEARCH(" ", $A784, 12)))))</formula>
    </cfRule>
  </conditionalFormatting>
  <conditionalFormatting sqref="B784:B785">
    <cfRule type="expression" dxfId="6" priority="1100" stopIfTrue="1">
      <formula>OR($A784="audio audit", $A784="text audit", $A784="speed violations count", $A784="speed violations list", $A784="speed violations audit")</formula>
    </cfRule>
  </conditionalFormatting>
  <conditionalFormatting sqref="B784:C785 D784:E785">
    <cfRule type="expression" dxfId="32" priority="1101" stopIfTrue="1">
      <formula>$A784="file"</formula>
    </cfRule>
  </conditionalFormatting>
  <conditionalFormatting sqref="B784:C785 D784:E785">
    <cfRule type="expression" dxfId="7" priority="1102" stopIfTrue="1">
      <formula>$A784="note"</formula>
    </cfRule>
  </conditionalFormatting>
  <conditionalFormatting sqref="B784:C785 D784:E785">
    <cfRule type="expression" dxfId="8" priority="1103" stopIfTrue="1">
      <formula>$A784="barcode"</formula>
    </cfRule>
  </conditionalFormatting>
  <conditionalFormatting sqref="B784:C785 D784:E785">
    <cfRule type="expression" dxfId="9" priority="1104" stopIfTrue="1">
      <formula>OR($A784="geopoint", $A784="geoshape", $A784="geotrace")</formula>
    </cfRule>
  </conditionalFormatting>
  <conditionalFormatting sqref="B784:B785">
    <cfRule type="expression" dxfId="10" priority="1105" stopIfTrue="1">
      <formula>OR($A784="calculate", $A784="calculate_here")</formula>
    </cfRule>
  </conditionalFormatting>
  <conditionalFormatting sqref="B784:C785 D784:E785">
    <cfRule type="expression" dxfId="11" priority="1106" stopIfTrue="1">
      <formula>OR($A784="date", $A784="datetime", $A784="time")</formula>
    </cfRule>
  </conditionalFormatting>
  <conditionalFormatting sqref="B784:C785 D784:E785">
    <cfRule type="expression" dxfId="12" priority="1107" stopIfTrue="1">
      <formula>$A784="image"</formula>
    </cfRule>
  </conditionalFormatting>
  <conditionalFormatting sqref="B784:C785 D784:E785">
    <cfRule type="expression" dxfId="13" priority="1108" stopIfTrue="1">
      <formula>OR($A784="audio", $A784="video")</formula>
    </cfRule>
  </conditionalFormatting>
  <conditionalFormatting sqref="B784:E785">
    <cfRule type="expression" dxfId="33" priority="1109" stopIfTrue="1">
      <formula>$A784="file"</formula>
    </cfRule>
  </conditionalFormatting>
  <conditionalFormatting sqref="B784:E785">
    <cfRule type="expression" dxfId="34" priority="1110" stopIfTrue="1">
      <formula>$A784="enumerator"</formula>
    </cfRule>
  </conditionalFormatting>
  <conditionalFormatting sqref="B784:E785">
    <cfRule type="expression" dxfId="35" priority="1111" stopIfTrue="1">
      <formula>OR(AND(LEFT($A784, 14)="sensor_stream ", LEN($A784)&gt;14, NOT(ISNUMBER(SEARCH(" ", $A784, 15)))), AND(LEFT($A784, 17)="sensor_statistic ", LEN($A784)&gt;17, NOT(ISNUMBER(SEARCH(" ", $A784, 18)))))</formula>
    </cfRule>
  </conditionalFormatting>
  <conditionalFormatting sqref="B784:E785">
    <cfRule type="expression" dxfId="14" priority="1112" stopIfTrue="1">
      <formula>$A784="comments"</formula>
    </cfRule>
  </conditionalFormatting>
  <conditionalFormatting sqref="B784:E785">
    <cfRule type="expression" dxfId="15" priority="1113" stopIfTrue="1">
      <formula>OR($A784="audio", $A784="video")</formula>
    </cfRule>
  </conditionalFormatting>
  <conditionalFormatting sqref="B784:E785">
    <cfRule type="expression" dxfId="16" priority="1114" stopIfTrue="1">
      <formula>$A784="image"</formula>
    </cfRule>
  </conditionalFormatting>
  <conditionalFormatting sqref="B784:E785">
    <cfRule type="expression" dxfId="17" priority="1115" stopIfTrue="1">
      <formula>OR($A784="date", $A784="datetime", $A784="time")</formula>
    </cfRule>
  </conditionalFormatting>
  <conditionalFormatting sqref="B784:E785">
    <cfRule type="expression" dxfId="18" priority="1116" stopIfTrue="1">
      <formula>OR($A784="calculate", $A784="calculate_here")</formula>
    </cfRule>
  </conditionalFormatting>
  <conditionalFormatting sqref="B784:E785">
    <cfRule type="expression" dxfId="19" priority="1117" stopIfTrue="1">
      <formula>$A784="note"</formula>
    </cfRule>
  </conditionalFormatting>
  <conditionalFormatting sqref="B784:E785">
    <cfRule type="expression" dxfId="20" priority="1118" stopIfTrue="1">
      <formula>$A784="barcode"</formula>
    </cfRule>
  </conditionalFormatting>
  <conditionalFormatting sqref="B784:E785">
    <cfRule type="expression" dxfId="21" priority="1119" stopIfTrue="1">
      <formula>OR($A784="geopoint", $A784="geoshape", $A784="geotrace")</formula>
    </cfRule>
  </conditionalFormatting>
  <conditionalFormatting sqref="B784:E785">
    <cfRule type="expression" dxfId="22" priority="1120" stopIfTrue="1">
      <formula>OR($A784="audio audit", $A784="text audit", $A784="speed violations count", $A784="speed violations list", $A784="speed violations audit")</formula>
    </cfRule>
  </conditionalFormatting>
  <conditionalFormatting sqref="B784:E785">
    <cfRule type="expression" dxfId="23" priority="1121" stopIfTrue="1">
      <formula>OR($A784="username", $A784="phonenumber", $A784="start", $A784="end", $A784="deviceid", $A784="subscriberid", $A784="simserial", $A784="caseid")</formula>
    </cfRule>
  </conditionalFormatting>
  <conditionalFormatting sqref="B784:E785">
    <cfRule type="expression" dxfId="24" priority="1122" stopIfTrue="1">
      <formula>OR(AND(LEFT($A784, 16)="select_multiple ", LEN($A784)&gt;16, NOT(ISNUMBER(SEARCH(" ", $A784, 17)))), AND(LEFT($A784, 11)="select_one ", LEN($A784)&gt;11, NOT(ISNUMBER(SEARCH(" ", $A784, 12)))))</formula>
    </cfRule>
  </conditionalFormatting>
  <conditionalFormatting sqref="B784:E785">
    <cfRule type="expression" dxfId="25" priority="1123" stopIfTrue="1">
      <formula>$A784="decimal"</formula>
    </cfRule>
  </conditionalFormatting>
  <conditionalFormatting sqref="B784:E785">
    <cfRule type="expression" dxfId="26" priority="1124" stopIfTrue="1">
      <formula>$A784="integer"</formula>
    </cfRule>
  </conditionalFormatting>
  <conditionalFormatting sqref="B784:E785">
    <cfRule type="expression" dxfId="27" priority="1125" stopIfTrue="1">
      <formula>$A784="text"</formula>
    </cfRule>
  </conditionalFormatting>
  <conditionalFormatting sqref="B784:E785">
    <cfRule type="expression" dxfId="28" priority="1126" stopIfTrue="1">
      <formula>$A784="end repeat"</formula>
    </cfRule>
  </conditionalFormatting>
  <conditionalFormatting sqref="B784:E785">
    <cfRule type="expression" dxfId="28" priority="1127" stopIfTrue="1">
      <formula>$A784="begin repeat"</formula>
    </cfRule>
  </conditionalFormatting>
  <conditionalFormatting sqref="B784:E785">
    <cfRule type="expression" dxfId="29" priority="1128" stopIfTrue="1">
      <formula>$A784="end group"</formula>
    </cfRule>
  </conditionalFormatting>
  <conditionalFormatting sqref="B784:E785">
    <cfRule type="expression" dxfId="29" priority="1129" stopIfTrue="1">
      <formula>$A784="begin group"</formula>
    </cfRule>
  </conditionalFormatting>
  <conditionalFormatting sqref="B784:B785">
    <cfRule type="expression" dxfId="30" priority="1130" stopIfTrue="1">
      <formula>$A784="comments"</formula>
    </cfRule>
  </conditionalFormatting>
  <conditionalFormatting sqref="B784:B785">
    <cfRule type="expression" dxfId="36" priority="1131" stopIfTrue="1">
      <formula>OR(AND(LEFT($A784, 14)="sensor_stream ", LEN($A784)&gt;14, NOT(ISNUMBER(SEARCH(" ", $A784, 15)))), AND(LEFT($A784, 17)="sensor_statistic ", LEN($A784)&gt;17, NOT(ISNUMBER(SEARCH(" ", $A784, 18)))))</formula>
    </cfRule>
  </conditionalFormatting>
  <conditionalFormatting sqref="B781:C782 D781:E782">
    <cfRule type="expression" dxfId="0" priority="1132" stopIfTrue="1">
      <formula>$A781="begin group"</formula>
    </cfRule>
  </conditionalFormatting>
  <conditionalFormatting sqref="B781:C782 D781:E782">
    <cfRule type="expression" dxfId="1" priority="1133" stopIfTrue="1">
      <formula>$A781="begin repeat"</formula>
    </cfRule>
  </conditionalFormatting>
  <conditionalFormatting sqref="B781:E782">
    <cfRule type="expression" dxfId="31" priority="1134" stopIfTrue="1">
      <formula>$A781="enumerator"</formula>
    </cfRule>
  </conditionalFormatting>
  <conditionalFormatting sqref="B781:E782">
    <cfRule type="expression" dxfId="2" priority="1135" stopIfTrue="1">
      <formula>$A781="text"</formula>
    </cfRule>
  </conditionalFormatting>
  <conditionalFormatting sqref="B781:E782">
    <cfRule type="expression" dxfId="3" priority="1136" stopIfTrue="1">
      <formula>$A781="integer"</formula>
    </cfRule>
  </conditionalFormatting>
  <conditionalFormatting sqref="B781:E782">
    <cfRule type="expression" dxfId="4" priority="1137" stopIfTrue="1">
      <formula>$A781="decimal"</formula>
    </cfRule>
  </conditionalFormatting>
  <conditionalFormatting sqref="B781:C782 D781:E782">
    <cfRule type="expression" dxfId="5" priority="1138" stopIfTrue="1">
      <formula>OR(AND(LEFT($A781, 16)="select_multiple ", LEN($A781)&gt;16, NOT(ISNUMBER(SEARCH(" ", $A781, 17)))), AND(LEFT($A781, 11)="select_one ", LEN($A781)&gt;11, NOT(ISNUMBER(SEARCH(" ", $A781, 12)))))</formula>
    </cfRule>
  </conditionalFormatting>
  <conditionalFormatting sqref="B781:B782">
    <cfRule type="expression" dxfId="6" priority="1139" stopIfTrue="1">
      <formula>OR($A781="audio audit", $A781="text audit", $A781="speed violations count", $A781="speed violations list", $A781="speed violations audit")</formula>
    </cfRule>
  </conditionalFormatting>
  <conditionalFormatting sqref="B781:C782 D781:E782">
    <cfRule type="expression" dxfId="32" priority="1140" stopIfTrue="1">
      <formula>$A781="file"</formula>
    </cfRule>
  </conditionalFormatting>
  <conditionalFormatting sqref="B781:C782 D781:E782">
    <cfRule type="expression" dxfId="7" priority="1141" stopIfTrue="1">
      <formula>$A781="note"</formula>
    </cfRule>
  </conditionalFormatting>
  <conditionalFormatting sqref="B781:C782 D781:E782">
    <cfRule type="expression" dxfId="8" priority="1142" stopIfTrue="1">
      <formula>$A781="barcode"</formula>
    </cfRule>
  </conditionalFormatting>
  <conditionalFormatting sqref="B781:C782 D781:E782">
    <cfRule type="expression" dxfId="9" priority="1143" stopIfTrue="1">
      <formula>OR($A781="geopoint", $A781="geoshape", $A781="geotrace")</formula>
    </cfRule>
  </conditionalFormatting>
  <conditionalFormatting sqref="B781:B782">
    <cfRule type="expression" dxfId="10" priority="1144" stopIfTrue="1">
      <formula>OR($A781="calculate", $A781="calculate_here")</formula>
    </cfRule>
  </conditionalFormatting>
  <conditionalFormatting sqref="B781:C782 D781:E782">
    <cfRule type="expression" dxfId="11" priority="1145" stopIfTrue="1">
      <formula>OR($A781="date", $A781="datetime", $A781="time")</formula>
    </cfRule>
  </conditionalFormatting>
  <conditionalFormatting sqref="B781:C782 D781:E782">
    <cfRule type="expression" dxfId="12" priority="1146" stopIfTrue="1">
      <formula>$A781="image"</formula>
    </cfRule>
  </conditionalFormatting>
  <conditionalFormatting sqref="B781:C782 D781:E782">
    <cfRule type="expression" dxfId="13" priority="1147" stopIfTrue="1">
      <formula>OR($A781="audio", $A781="video")</formula>
    </cfRule>
  </conditionalFormatting>
  <conditionalFormatting sqref="B781:E782">
    <cfRule type="expression" dxfId="33" priority="1148" stopIfTrue="1">
      <formula>$A781="file"</formula>
    </cfRule>
  </conditionalFormatting>
  <conditionalFormatting sqref="B781:E782">
    <cfRule type="expression" dxfId="34" priority="1149" stopIfTrue="1">
      <formula>$A781="enumerator"</formula>
    </cfRule>
  </conditionalFormatting>
  <conditionalFormatting sqref="B781:E782">
    <cfRule type="expression" dxfId="35" priority="1150" stopIfTrue="1">
      <formula>OR(AND(LEFT($A781, 14)="sensor_stream ", LEN($A781)&gt;14, NOT(ISNUMBER(SEARCH(" ", $A781, 15)))), AND(LEFT($A781, 17)="sensor_statistic ", LEN($A781)&gt;17, NOT(ISNUMBER(SEARCH(" ", $A781, 18)))))</formula>
    </cfRule>
  </conditionalFormatting>
  <conditionalFormatting sqref="B781:E782">
    <cfRule type="expression" dxfId="14" priority="1151" stopIfTrue="1">
      <formula>$A781="comments"</formula>
    </cfRule>
  </conditionalFormatting>
  <conditionalFormatting sqref="B781:E782">
    <cfRule type="expression" dxfId="15" priority="1152" stopIfTrue="1">
      <formula>OR($A781="audio", $A781="video")</formula>
    </cfRule>
  </conditionalFormatting>
  <conditionalFormatting sqref="B781:E782">
    <cfRule type="expression" dxfId="16" priority="1153" stopIfTrue="1">
      <formula>$A781="image"</formula>
    </cfRule>
  </conditionalFormatting>
  <conditionalFormatting sqref="B781:E782">
    <cfRule type="expression" dxfId="17" priority="1154" stopIfTrue="1">
      <formula>OR($A781="date", $A781="datetime", $A781="time")</formula>
    </cfRule>
  </conditionalFormatting>
  <conditionalFormatting sqref="B781:E782">
    <cfRule type="expression" dxfId="18" priority="1155" stopIfTrue="1">
      <formula>OR($A781="calculate", $A781="calculate_here")</formula>
    </cfRule>
  </conditionalFormatting>
  <conditionalFormatting sqref="B781:E782">
    <cfRule type="expression" dxfId="19" priority="1156" stopIfTrue="1">
      <formula>$A781="note"</formula>
    </cfRule>
  </conditionalFormatting>
  <conditionalFormatting sqref="B781:E782">
    <cfRule type="expression" dxfId="20" priority="1157" stopIfTrue="1">
      <formula>$A781="barcode"</formula>
    </cfRule>
  </conditionalFormatting>
  <conditionalFormatting sqref="B781:E782">
    <cfRule type="expression" dxfId="21" priority="1158" stopIfTrue="1">
      <formula>OR($A781="geopoint", $A781="geoshape", $A781="geotrace")</formula>
    </cfRule>
  </conditionalFormatting>
  <conditionalFormatting sqref="B781:E782">
    <cfRule type="expression" dxfId="22" priority="1159" stopIfTrue="1">
      <formula>OR($A781="audio audit", $A781="text audit", $A781="speed violations count", $A781="speed violations list", $A781="speed violations audit")</formula>
    </cfRule>
  </conditionalFormatting>
  <conditionalFormatting sqref="B781:E782">
    <cfRule type="expression" dxfId="23" priority="1160" stopIfTrue="1">
      <formula>OR($A781="username", $A781="phonenumber", $A781="start", $A781="end", $A781="deviceid", $A781="subscriberid", $A781="simserial", $A781="caseid")</formula>
    </cfRule>
  </conditionalFormatting>
  <conditionalFormatting sqref="B781:E782">
    <cfRule type="expression" dxfId="24" priority="1161" stopIfTrue="1">
      <formula>OR(AND(LEFT($A781, 16)="select_multiple ", LEN($A781)&gt;16, NOT(ISNUMBER(SEARCH(" ", $A781, 17)))), AND(LEFT($A781, 11)="select_one ", LEN($A781)&gt;11, NOT(ISNUMBER(SEARCH(" ", $A781, 12)))))</formula>
    </cfRule>
  </conditionalFormatting>
  <conditionalFormatting sqref="B781:E782">
    <cfRule type="expression" dxfId="25" priority="1162" stopIfTrue="1">
      <formula>$A781="decimal"</formula>
    </cfRule>
  </conditionalFormatting>
  <conditionalFormatting sqref="B781:E782">
    <cfRule type="expression" dxfId="26" priority="1163" stopIfTrue="1">
      <formula>$A781="integer"</formula>
    </cfRule>
  </conditionalFormatting>
  <conditionalFormatting sqref="B781:E782">
    <cfRule type="expression" dxfId="27" priority="1164" stopIfTrue="1">
      <formula>$A781="text"</formula>
    </cfRule>
  </conditionalFormatting>
  <conditionalFormatting sqref="B781:E782">
    <cfRule type="expression" dxfId="28" priority="1165" stopIfTrue="1">
      <formula>$A781="end repeat"</formula>
    </cfRule>
  </conditionalFormatting>
  <conditionalFormatting sqref="B781:E782">
    <cfRule type="expression" dxfId="28" priority="1166" stopIfTrue="1">
      <formula>$A781="begin repeat"</formula>
    </cfRule>
  </conditionalFormatting>
  <conditionalFormatting sqref="B781:E782">
    <cfRule type="expression" dxfId="29" priority="1167" stopIfTrue="1">
      <formula>$A781="end group"</formula>
    </cfRule>
  </conditionalFormatting>
  <conditionalFormatting sqref="B781:E782">
    <cfRule type="expression" dxfId="29" priority="1168" stopIfTrue="1">
      <formula>$A781="begin group"</formula>
    </cfRule>
  </conditionalFormatting>
  <conditionalFormatting sqref="B781:B782">
    <cfRule type="expression" dxfId="30" priority="1169" stopIfTrue="1">
      <formula>$A781="comments"</formula>
    </cfRule>
  </conditionalFormatting>
  <conditionalFormatting sqref="B781:B782">
    <cfRule type="expression" dxfId="36" priority="1170" stopIfTrue="1">
      <formula>OR(AND(LEFT($A781, 14)="sensor_stream ", LEN($A781)&gt;14, NOT(ISNUMBER(SEARCH(" ", $A781, 15)))), AND(LEFT($A781, 17)="sensor_statistic ", LEN($A781)&gt;17, NOT(ISNUMBER(SEARCH(" ", $A781, 18)))))</formula>
    </cfRule>
  </conditionalFormatting>
  <conditionalFormatting sqref="B777:C777 D777:E777">
    <cfRule type="expression" dxfId="0" priority="1171" stopIfTrue="1">
      <formula>$A777="begin group"</formula>
    </cfRule>
  </conditionalFormatting>
  <conditionalFormatting sqref="B777:C777 D777:E777">
    <cfRule type="expression" dxfId="1" priority="1172" stopIfTrue="1">
      <formula>$A777="begin repeat"</formula>
    </cfRule>
  </conditionalFormatting>
  <conditionalFormatting sqref="B777:E777">
    <cfRule type="expression" dxfId="31" priority="1173" stopIfTrue="1">
      <formula>$A777="enumerator"</formula>
    </cfRule>
  </conditionalFormatting>
  <conditionalFormatting sqref="B777:E777">
    <cfRule type="expression" dxfId="2" priority="1174" stopIfTrue="1">
      <formula>$A777="text"</formula>
    </cfRule>
  </conditionalFormatting>
  <conditionalFormatting sqref="B777:E777">
    <cfRule type="expression" dxfId="3" priority="1175" stopIfTrue="1">
      <formula>$A777="integer"</formula>
    </cfRule>
  </conditionalFormatting>
  <conditionalFormatting sqref="B777:E777">
    <cfRule type="expression" dxfId="4" priority="1176" stopIfTrue="1">
      <formula>$A777="decimal"</formula>
    </cfRule>
  </conditionalFormatting>
  <conditionalFormatting sqref="B777:C777 D777:E777">
    <cfRule type="expression" dxfId="5" priority="1177" stopIfTrue="1">
      <formula>OR(AND(LEFT($A777, 16)="select_multiple ", LEN($A777)&gt;16, NOT(ISNUMBER(SEARCH(" ", $A777, 17)))), AND(LEFT($A777, 11)="select_one ", LEN($A777)&gt;11, NOT(ISNUMBER(SEARCH(" ", $A777, 12)))))</formula>
    </cfRule>
  </conditionalFormatting>
  <conditionalFormatting sqref="B777">
    <cfRule type="expression" dxfId="6" priority="1178" stopIfTrue="1">
      <formula>OR($A777="audio audit", $A777="text audit", $A777="speed violations count", $A777="speed violations list", $A777="speed violations audit")</formula>
    </cfRule>
  </conditionalFormatting>
  <conditionalFormatting sqref="B777:C777 D777:E777">
    <cfRule type="expression" dxfId="32" priority="1179" stopIfTrue="1">
      <formula>$A777="file"</formula>
    </cfRule>
  </conditionalFormatting>
  <conditionalFormatting sqref="B777:C777 D777:E777">
    <cfRule type="expression" dxfId="7" priority="1180" stopIfTrue="1">
      <formula>$A777="note"</formula>
    </cfRule>
  </conditionalFormatting>
  <conditionalFormatting sqref="B777:C777 D777:E777">
    <cfRule type="expression" dxfId="8" priority="1181" stopIfTrue="1">
      <formula>$A777="barcode"</formula>
    </cfRule>
  </conditionalFormatting>
  <conditionalFormatting sqref="B777:C777 D777:E777">
    <cfRule type="expression" dxfId="9" priority="1182" stopIfTrue="1">
      <formula>OR($A777="geopoint", $A777="geoshape", $A777="geotrace")</formula>
    </cfRule>
  </conditionalFormatting>
  <conditionalFormatting sqref="B777">
    <cfRule type="expression" dxfId="10" priority="1183" stopIfTrue="1">
      <formula>OR($A777="calculate", $A777="calculate_here")</formula>
    </cfRule>
  </conditionalFormatting>
  <conditionalFormatting sqref="B777:C777 D777:E777">
    <cfRule type="expression" dxfId="11" priority="1184" stopIfTrue="1">
      <formula>OR($A777="date", $A777="datetime", $A777="time")</formula>
    </cfRule>
  </conditionalFormatting>
  <conditionalFormatting sqref="B777:C777 D777:E777">
    <cfRule type="expression" dxfId="12" priority="1185" stopIfTrue="1">
      <formula>$A777="image"</formula>
    </cfRule>
  </conditionalFormatting>
  <conditionalFormatting sqref="B777:C777 D777:E777">
    <cfRule type="expression" dxfId="13" priority="1186" stopIfTrue="1">
      <formula>OR($A777="audio", $A777="video")</formula>
    </cfRule>
  </conditionalFormatting>
  <conditionalFormatting sqref="B777:E777">
    <cfRule type="expression" dxfId="33" priority="1187" stopIfTrue="1">
      <formula>$A777="file"</formula>
    </cfRule>
  </conditionalFormatting>
  <conditionalFormatting sqref="B777:E777">
    <cfRule type="expression" dxfId="34" priority="1188" stopIfTrue="1">
      <formula>$A777="enumerator"</formula>
    </cfRule>
  </conditionalFormatting>
  <conditionalFormatting sqref="B777:E777">
    <cfRule type="expression" dxfId="35" priority="1189" stopIfTrue="1">
      <formula>OR(AND(LEFT($A777, 14)="sensor_stream ", LEN($A777)&gt;14, NOT(ISNUMBER(SEARCH(" ", $A777, 15)))), AND(LEFT($A777, 17)="sensor_statistic ", LEN($A777)&gt;17, NOT(ISNUMBER(SEARCH(" ", $A777, 18)))))</formula>
    </cfRule>
  </conditionalFormatting>
  <conditionalFormatting sqref="B777:E777">
    <cfRule type="expression" dxfId="14" priority="1190" stopIfTrue="1">
      <formula>$A777="comments"</formula>
    </cfRule>
  </conditionalFormatting>
  <conditionalFormatting sqref="B777:E777">
    <cfRule type="expression" dxfId="15" priority="1191" stopIfTrue="1">
      <formula>OR($A777="audio", $A777="video")</formula>
    </cfRule>
  </conditionalFormatting>
  <conditionalFormatting sqref="B777:E777">
    <cfRule type="expression" dxfId="16" priority="1192" stopIfTrue="1">
      <formula>$A777="image"</formula>
    </cfRule>
  </conditionalFormatting>
  <conditionalFormatting sqref="B777:E777">
    <cfRule type="expression" dxfId="17" priority="1193" stopIfTrue="1">
      <formula>OR($A777="date", $A777="datetime", $A777="time")</formula>
    </cfRule>
  </conditionalFormatting>
  <conditionalFormatting sqref="B777:E777">
    <cfRule type="expression" dxfId="18" priority="1194" stopIfTrue="1">
      <formula>OR($A777="calculate", $A777="calculate_here")</formula>
    </cfRule>
  </conditionalFormatting>
  <conditionalFormatting sqref="B777:E777">
    <cfRule type="expression" dxfId="19" priority="1195" stopIfTrue="1">
      <formula>$A777="note"</formula>
    </cfRule>
  </conditionalFormatting>
  <conditionalFormatting sqref="B777:E777">
    <cfRule type="expression" dxfId="20" priority="1196" stopIfTrue="1">
      <formula>$A777="barcode"</formula>
    </cfRule>
  </conditionalFormatting>
  <conditionalFormatting sqref="B777:E777">
    <cfRule type="expression" dxfId="21" priority="1197" stopIfTrue="1">
      <formula>OR($A777="geopoint", $A777="geoshape", $A777="geotrace")</formula>
    </cfRule>
  </conditionalFormatting>
  <conditionalFormatting sqref="B777:E777">
    <cfRule type="expression" dxfId="22" priority="1198" stopIfTrue="1">
      <formula>OR($A777="audio audit", $A777="text audit", $A777="speed violations count", $A777="speed violations list", $A777="speed violations audit")</formula>
    </cfRule>
  </conditionalFormatting>
  <conditionalFormatting sqref="B777:E777">
    <cfRule type="expression" dxfId="23" priority="1199" stopIfTrue="1">
      <formula>OR($A777="username", $A777="phonenumber", $A777="start", $A777="end", $A777="deviceid", $A777="subscriberid", $A777="simserial", $A777="caseid")</formula>
    </cfRule>
  </conditionalFormatting>
  <conditionalFormatting sqref="B777:E777">
    <cfRule type="expression" dxfId="24" priority="1200" stopIfTrue="1">
      <formula>OR(AND(LEFT($A777, 16)="select_multiple ", LEN($A777)&gt;16, NOT(ISNUMBER(SEARCH(" ", $A777, 17)))), AND(LEFT($A777, 11)="select_one ", LEN($A777)&gt;11, NOT(ISNUMBER(SEARCH(" ", $A777, 12)))))</formula>
    </cfRule>
  </conditionalFormatting>
  <conditionalFormatting sqref="B777:E777">
    <cfRule type="expression" dxfId="25" priority="1201" stopIfTrue="1">
      <formula>$A777="decimal"</formula>
    </cfRule>
  </conditionalFormatting>
  <conditionalFormatting sqref="B777:E777">
    <cfRule type="expression" dxfId="26" priority="1202" stopIfTrue="1">
      <formula>$A777="integer"</formula>
    </cfRule>
  </conditionalFormatting>
  <conditionalFormatting sqref="B777:E777">
    <cfRule type="expression" dxfId="27" priority="1203" stopIfTrue="1">
      <formula>$A777="text"</formula>
    </cfRule>
  </conditionalFormatting>
  <conditionalFormatting sqref="B777:E777">
    <cfRule type="expression" dxfId="28" priority="1204" stopIfTrue="1">
      <formula>$A777="end repeat"</formula>
    </cfRule>
  </conditionalFormatting>
  <conditionalFormatting sqref="B777:E777">
    <cfRule type="expression" dxfId="28" priority="1205" stopIfTrue="1">
      <formula>$A777="begin repeat"</formula>
    </cfRule>
  </conditionalFormatting>
  <conditionalFormatting sqref="B777:E777">
    <cfRule type="expression" dxfId="29" priority="1206" stopIfTrue="1">
      <formula>$A777="end group"</formula>
    </cfRule>
  </conditionalFormatting>
  <conditionalFormatting sqref="B777:E777">
    <cfRule type="expression" dxfId="29" priority="1207" stopIfTrue="1">
      <formula>$A777="begin group"</formula>
    </cfRule>
  </conditionalFormatting>
  <conditionalFormatting sqref="B777">
    <cfRule type="expression" dxfId="30" priority="1208" stopIfTrue="1">
      <formula>$A777="comments"</formula>
    </cfRule>
  </conditionalFormatting>
  <conditionalFormatting sqref="B777">
    <cfRule type="expression" dxfId="36" priority="1209" stopIfTrue="1">
      <formula>OR(AND(LEFT($A777, 14)="sensor_stream ", LEN($A777)&gt;14, NOT(ISNUMBER(SEARCH(" ", $A777, 15)))), AND(LEFT($A777, 17)="sensor_statistic ", LEN($A777)&gt;17, NOT(ISNUMBER(SEARCH(" ", $A777, 18)))))</formula>
    </cfRule>
  </conditionalFormatting>
  <conditionalFormatting sqref="B769:C771 D769:E771">
    <cfRule type="expression" dxfId="0" priority="1210" stopIfTrue="1">
      <formula>$A769="begin group"</formula>
    </cfRule>
  </conditionalFormatting>
  <conditionalFormatting sqref="B769:C771 D769:E771">
    <cfRule type="expression" dxfId="1" priority="1211" stopIfTrue="1">
      <formula>$A769="begin repeat"</formula>
    </cfRule>
  </conditionalFormatting>
  <conditionalFormatting sqref="B769:E771">
    <cfRule type="expression" dxfId="31" priority="1212" stopIfTrue="1">
      <formula>$A769="enumerator"</formula>
    </cfRule>
  </conditionalFormatting>
  <conditionalFormatting sqref="B769:E771">
    <cfRule type="expression" dxfId="2" priority="1213" stopIfTrue="1">
      <formula>$A769="text"</formula>
    </cfRule>
  </conditionalFormatting>
  <conditionalFormatting sqref="B769:E771">
    <cfRule type="expression" dxfId="3" priority="1214" stopIfTrue="1">
      <formula>$A769="integer"</formula>
    </cfRule>
  </conditionalFormatting>
  <conditionalFormatting sqref="B769:E771">
    <cfRule type="expression" dxfId="4" priority="1215" stopIfTrue="1">
      <formula>$A769="decimal"</formula>
    </cfRule>
  </conditionalFormatting>
  <conditionalFormatting sqref="B769:C771 D769:E771">
    <cfRule type="expression" dxfId="5" priority="1216" stopIfTrue="1">
      <formula>OR(AND(LEFT($A769, 16)="select_multiple ", LEN($A769)&gt;16, NOT(ISNUMBER(SEARCH(" ", $A769, 17)))), AND(LEFT($A769, 11)="select_one ", LEN($A769)&gt;11, NOT(ISNUMBER(SEARCH(" ", $A769, 12)))))</formula>
    </cfRule>
  </conditionalFormatting>
  <conditionalFormatting sqref="B769:B771">
    <cfRule type="expression" dxfId="6" priority="1217" stopIfTrue="1">
      <formula>OR($A769="audio audit", $A769="text audit", $A769="speed violations count", $A769="speed violations list", $A769="speed violations audit")</formula>
    </cfRule>
  </conditionalFormatting>
  <conditionalFormatting sqref="B769:C771 D769:E771">
    <cfRule type="expression" dxfId="32" priority="1218" stopIfTrue="1">
      <formula>$A769="file"</formula>
    </cfRule>
  </conditionalFormatting>
  <conditionalFormatting sqref="B769:C771 D769:E771">
    <cfRule type="expression" dxfId="7" priority="1219" stopIfTrue="1">
      <formula>$A769="note"</formula>
    </cfRule>
  </conditionalFormatting>
  <conditionalFormatting sqref="B769:C771 D769:E771">
    <cfRule type="expression" dxfId="8" priority="1220" stopIfTrue="1">
      <formula>$A769="barcode"</formula>
    </cfRule>
  </conditionalFormatting>
  <conditionalFormatting sqref="B769:C771 D769:E771">
    <cfRule type="expression" dxfId="9" priority="1221" stopIfTrue="1">
      <formula>OR($A769="geopoint", $A769="geoshape", $A769="geotrace")</formula>
    </cfRule>
  </conditionalFormatting>
  <conditionalFormatting sqref="B769:B771">
    <cfRule type="expression" dxfId="10" priority="1222" stopIfTrue="1">
      <formula>OR($A769="calculate", $A769="calculate_here")</formula>
    </cfRule>
  </conditionalFormatting>
  <conditionalFormatting sqref="B769:C771 D769:E771">
    <cfRule type="expression" dxfId="11" priority="1223" stopIfTrue="1">
      <formula>OR($A769="date", $A769="datetime", $A769="time")</formula>
    </cfRule>
  </conditionalFormatting>
  <conditionalFormatting sqref="B769:C771 D769:E771">
    <cfRule type="expression" dxfId="12" priority="1224" stopIfTrue="1">
      <formula>$A769="image"</formula>
    </cfRule>
  </conditionalFormatting>
  <conditionalFormatting sqref="B769:C771 D769:E771">
    <cfRule type="expression" dxfId="13" priority="1225" stopIfTrue="1">
      <formula>OR($A769="audio", $A769="video")</formula>
    </cfRule>
  </conditionalFormatting>
  <conditionalFormatting sqref="B769:E771">
    <cfRule type="expression" dxfId="33" priority="1226" stopIfTrue="1">
      <formula>$A769="file"</formula>
    </cfRule>
  </conditionalFormatting>
  <conditionalFormatting sqref="B769:E771">
    <cfRule type="expression" dxfId="34" priority="1227" stopIfTrue="1">
      <formula>$A769="enumerator"</formula>
    </cfRule>
  </conditionalFormatting>
  <conditionalFormatting sqref="B769:E771">
    <cfRule type="expression" dxfId="35" priority="1228" stopIfTrue="1">
      <formula>OR(AND(LEFT($A769, 14)="sensor_stream ", LEN($A769)&gt;14, NOT(ISNUMBER(SEARCH(" ", $A769, 15)))), AND(LEFT($A769, 17)="sensor_statistic ", LEN($A769)&gt;17, NOT(ISNUMBER(SEARCH(" ", $A769, 18)))))</formula>
    </cfRule>
  </conditionalFormatting>
  <conditionalFormatting sqref="B769:E771">
    <cfRule type="expression" dxfId="14" priority="1229" stopIfTrue="1">
      <formula>$A769="comments"</formula>
    </cfRule>
  </conditionalFormatting>
  <conditionalFormatting sqref="B769:E771">
    <cfRule type="expression" dxfId="15" priority="1230" stopIfTrue="1">
      <formula>OR($A769="audio", $A769="video")</formula>
    </cfRule>
  </conditionalFormatting>
  <conditionalFormatting sqref="B769:E771">
    <cfRule type="expression" dxfId="16" priority="1231" stopIfTrue="1">
      <formula>$A769="image"</formula>
    </cfRule>
  </conditionalFormatting>
  <conditionalFormatting sqref="B769:E771">
    <cfRule type="expression" dxfId="17" priority="1232" stopIfTrue="1">
      <formula>OR($A769="date", $A769="datetime", $A769="time")</formula>
    </cfRule>
  </conditionalFormatting>
  <conditionalFormatting sqref="B769:E771">
    <cfRule type="expression" dxfId="18" priority="1233" stopIfTrue="1">
      <formula>OR($A769="calculate", $A769="calculate_here")</formula>
    </cfRule>
  </conditionalFormatting>
  <conditionalFormatting sqref="B769:E771">
    <cfRule type="expression" dxfId="19" priority="1234" stopIfTrue="1">
      <formula>$A769="note"</formula>
    </cfRule>
  </conditionalFormatting>
  <conditionalFormatting sqref="B769:E771">
    <cfRule type="expression" dxfId="20" priority="1235" stopIfTrue="1">
      <formula>$A769="barcode"</formula>
    </cfRule>
  </conditionalFormatting>
  <conditionalFormatting sqref="B769:E771">
    <cfRule type="expression" dxfId="21" priority="1236" stopIfTrue="1">
      <formula>OR($A769="geopoint", $A769="geoshape", $A769="geotrace")</formula>
    </cfRule>
  </conditionalFormatting>
  <conditionalFormatting sqref="B769:E771">
    <cfRule type="expression" dxfId="22" priority="1237" stopIfTrue="1">
      <formula>OR($A769="audio audit", $A769="text audit", $A769="speed violations count", $A769="speed violations list", $A769="speed violations audit")</formula>
    </cfRule>
  </conditionalFormatting>
  <conditionalFormatting sqref="B769:E771">
    <cfRule type="expression" dxfId="23" priority="1238" stopIfTrue="1">
      <formula>OR($A769="username", $A769="phonenumber", $A769="start", $A769="end", $A769="deviceid", $A769="subscriberid", $A769="simserial", $A769="caseid")</formula>
    </cfRule>
  </conditionalFormatting>
  <conditionalFormatting sqref="B769:E771">
    <cfRule type="expression" dxfId="24" priority="1239" stopIfTrue="1">
      <formula>OR(AND(LEFT($A769, 16)="select_multiple ", LEN($A769)&gt;16, NOT(ISNUMBER(SEARCH(" ", $A769, 17)))), AND(LEFT($A769, 11)="select_one ", LEN($A769)&gt;11, NOT(ISNUMBER(SEARCH(" ", $A769, 12)))))</formula>
    </cfRule>
  </conditionalFormatting>
  <conditionalFormatting sqref="B769:E771">
    <cfRule type="expression" dxfId="25" priority="1240" stopIfTrue="1">
      <formula>$A769="decimal"</formula>
    </cfRule>
  </conditionalFormatting>
  <conditionalFormatting sqref="B769:E771">
    <cfRule type="expression" dxfId="26" priority="1241" stopIfTrue="1">
      <formula>$A769="integer"</formula>
    </cfRule>
  </conditionalFormatting>
  <conditionalFormatting sqref="B769:E771">
    <cfRule type="expression" dxfId="27" priority="1242" stopIfTrue="1">
      <formula>$A769="text"</formula>
    </cfRule>
  </conditionalFormatting>
  <conditionalFormatting sqref="B769:E771">
    <cfRule type="expression" dxfId="28" priority="1243" stopIfTrue="1">
      <formula>$A769="end repeat"</formula>
    </cfRule>
  </conditionalFormatting>
  <conditionalFormatting sqref="B769:E771">
    <cfRule type="expression" dxfId="28" priority="1244" stopIfTrue="1">
      <formula>$A769="begin repeat"</formula>
    </cfRule>
  </conditionalFormatting>
  <conditionalFormatting sqref="B769:E771">
    <cfRule type="expression" dxfId="29" priority="1245" stopIfTrue="1">
      <formula>$A769="end group"</formula>
    </cfRule>
  </conditionalFormatting>
  <conditionalFormatting sqref="B769:E771">
    <cfRule type="expression" dxfId="29" priority="1246" stopIfTrue="1">
      <formula>$A769="begin group"</formula>
    </cfRule>
  </conditionalFormatting>
  <conditionalFormatting sqref="B769:B771">
    <cfRule type="expression" dxfId="30" priority="1247" stopIfTrue="1">
      <formula>$A769="comments"</formula>
    </cfRule>
  </conditionalFormatting>
  <conditionalFormatting sqref="B769:B771">
    <cfRule type="expression" dxfId="36" priority="1248" stopIfTrue="1">
      <formula>OR(AND(LEFT($A769, 14)="sensor_stream ", LEN($A769)&gt;14, NOT(ISNUMBER(SEARCH(" ", $A769, 15)))), AND(LEFT($A769, 17)="sensor_statistic ", LEN($A769)&gt;17, NOT(ISNUMBER(SEARCH(" ", $A769, 18)))))</formula>
    </cfRule>
  </conditionalFormatting>
  <conditionalFormatting sqref="B765:C767 D765:E767">
    <cfRule type="expression" dxfId="0" priority="1249" stopIfTrue="1">
      <formula>$A765="begin group"</formula>
    </cfRule>
  </conditionalFormatting>
  <conditionalFormatting sqref="B765:C767 D765:E767">
    <cfRule type="expression" dxfId="1" priority="1250" stopIfTrue="1">
      <formula>$A765="begin repeat"</formula>
    </cfRule>
  </conditionalFormatting>
  <conditionalFormatting sqref="B765:E767">
    <cfRule type="expression" dxfId="31" priority="1251" stopIfTrue="1">
      <formula>$A765="enumerator"</formula>
    </cfRule>
  </conditionalFormatting>
  <conditionalFormatting sqref="B765:E767">
    <cfRule type="expression" dxfId="2" priority="1252" stopIfTrue="1">
      <formula>$A765="text"</formula>
    </cfRule>
  </conditionalFormatting>
  <conditionalFormatting sqref="B765:E767">
    <cfRule type="expression" dxfId="3" priority="1253" stopIfTrue="1">
      <formula>$A765="integer"</formula>
    </cfRule>
  </conditionalFormatting>
  <conditionalFormatting sqref="B765:E767">
    <cfRule type="expression" dxfId="4" priority="1254" stopIfTrue="1">
      <formula>$A765="decimal"</formula>
    </cfRule>
  </conditionalFormatting>
  <conditionalFormatting sqref="B765:C767 D765:E767">
    <cfRule type="expression" dxfId="5" priority="1255" stopIfTrue="1">
      <formula>OR(AND(LEFT($A765, 16)="select_multiple ", LEN($A765)&gt;16, NOT(ISNUMBER(SEARCH(" ", $A765, 17)))), AND(LEFT($A765, 11)="select_one ", LEN($A765)&gt;11, NOT(ISNUMBER(SEARCH(" ", $A765, 12)))))</formula>
    </cfRule>
  </conditionalFormatting>
  <conditionalFormatting sqref="B765:B767">
    <cfRule type="expression" dxfId="6" priority="1256" stopIfTrue="1">
      <formula>OR($A765="audio audit", $A765="text audit", $A765="speed violations count", $A765="speed violations list", $A765="speed violations audit")</formula>
    </cfRule>
  </conditionalFormatting>
  <conditionalFormatting sqref="B765:C767 D765:E767">
    <cfRule type="expression" dxfId="32" priority="1257" stopIfTrue="1">
      <formula>$A765="file"</formula>
    </cfRule>
  </conditionalFormatting>
  <conditionalFormatting sqref="B765:C767 D765:E767">
    <cfRule type="expression" dxfId="7" priority="1258" stopIfTrue="1">
      <formula>$A765="note"</formula>
    </cfRule>
  </conditionalFormatting>
  <conditionalFormatting sqref="B765:C767 D765:E767">
    <cfRule type="expression" dxfId="8" priority="1259" stopIfTrue="1">
      <formula>$A765="barcode"</formula>
    </cfRule>
  </conditionalFormatting>
  <conditionalFormatting sqref="B765:C767 D765:E767">
    <cfRule type="expression" dxfId="9" priority="1260" stopIfTrue="1">
      <formula>OR($A765="geopoint", $A765="geoshape", $A765="geotrace")</formula>
    </cfRule>
  </conditionalFormatting>
  <conditionalFormatting sqref="B765:B767">
    <cfRule type="expression" dxfId="10" priority="1261" stopIfTrue="1">
      <formula>OR($A765="calculate", $A765="calculate_here")</formula>
    </cfRule>
  </conditionalFormatting>
  <conditionalFormatting sqref="B765:C767 D765:E767">
    <cfRule type="expression" dxfId="11" priority="1262" stopIfTrue="1">
      <formula>OR($A765="date", $A765="datetime", $A765="time")</formula>
    </cfRule>
  </conditionalFormatting>
  <conditionalFormatting sqref="B765:C767 D765:E767">
    <cfRule type="expression" dxfId="12" priority="1263" stopIfTrue="1">
      <formula>$A765="image"</formula>
    </cfRule>
  </conditionalFormatting>
  <conditionalFormatting sqref="B765:C767 D765:E767">
    <cfRule type="expression" dxfId="13" priority="1264" stopIfTrue="1">
      <formula>OR($A765="audio", $A765="video")</formula>
    </cfRule>
  </conditionalFormatting>
  <conditionalFormatting sqref="B765:E767">
    <cfRule type="expression" dxfId="33" priority="1265" stopIfTrue="1">
      <formula>$A765="file"</formula>
    </cfRule>
  </conditionalFormatting>
  <conditionalFormatting sqref="B765:E767">
    <cfRule type="expression" dxfId="34" priority="1266" stopIfTrue="1">
      <formula>$A765="enumerator"</formula>
    </cfRule>
  </conditionalFormatting>
  <conditionalFormatting sqref="B765:E767">
    <cfRule type="expression" dxfId="35" priority="1267" stopIfTrue="1">
      <formula>OR(AND(LEFT($A765, 14)="sensor_stream ", LEN($A765)&gt;14, NOT(ISNUMBER(SEARCH(" ", $A765, 15)))), AND(LEFT($A765, 17)="sensor_statistic ", LEN($A765)&gt;17, NOT(ISNUMBER(SEARCH(" ", $A765, 18)))))</formula>
    </cfRule>
  </conditionalFormatting>
  <conditionalFormatting sqref="B765:E767">
    <cfRule type="expression" dxfId="14" priority="1268" stopIfTrue="1">
      <formula>$A765="comments"</formula>
    </cfRule>
  </conditionalFormatting>
  <conditionalFormatting sqref="B765:E767">
    <cfRule type="expression" dxfId="15" priority="1269" stopIfTrue="1">
      <formula>OR($A765="audio", $A765="video")</formula>
    </cfRule>
  </conditionalFormatting>
  <conditionalFormatting sqref="B765:E767">
    <cfRule type="expression" dxfId="16" priority="1270" stopIfTrue="1">
      <formula>$A765="image"</formula>
    </cfRule>
  </conditionalFormatting>
  <conditionalFormatting sqref="B765:E767">
    <cfRule type="expression" dxfId="17" priority="1271" stopIfTrue="1">
      <formula>OR($A765="date", $A765="datetime", $A765="time")</formula>
    </cfRule>
  </conditionalFormatting>
  <conditionalFormatting sqref="B765:E767">
    <cfRule type="expression" dxfId="18" priority="1272" stopIfTrue="1">
      <formula>OR($A765="calculate", $A765="calculate_here")</formula>
    </cfRule>
  </conditionalFormatting>
  <conditionalFormatting sqref="B765:E767">
    <cfRule type="expression" dxfId="19" priority="1273" stopIfTrue="1">
      <formula>$A765="note"</formula>
    </cfRule>
  </conditionalFormatting>
  <conditionalFormatting sqref="B765:E767">
    <cfRule type="expression" dxfId="20" priority="1274" stopIfTrue="1">
      <formula>$A765="barcode"</formula>
    </cfRule>
  </conditionalFormatting>
  <conditionalFormatting sqref="B765:E767">
    <cfRule type="expression" dxfId="21" priority="1275" stopIfTrue="1">
      <formula>OR($A765="geopoint", $A765="geoshape", $A765="geotrace")</formula>
    </cfRule>
  </conditionalFormatting>
  <conditionalFormatting sqref="B765:E767">
    <cfRule type="expression" dxfId="22" priority="1276" stopIfTrue="1">
      <formula>OR($A765="audio audit", $A765="text audit", $A765="speed violations count", $A765="speed violations list", $A765="speed violations audit")</formula>
    </cfRule>
  </conditionalFormatting>
  <conditionalFormatting sqref="B765:E767">
    <cfRule type="expression" dxfId="23" priority="1277" stopIfTrue="1">
      <formula>OR($A765="username", $A765="phonenumber", $A765="start", $A765="end", $A765="deviceid", $A765="subscriberid", $A765="simserial", $A765="caseid")</formula>
    </cfRule>
  </conditionalFormatting>
  <conditionalFormatting sqref="B765:E767">
    <cfRule type="expression" dxfId="24" priority="1278" stopIfTrue="1">
      <formula>OR(AND(LEFT($A765, 16)="select_multiple ", LEN($A765)&gt;16, NOT(ISNUMBER(SEARCH(" ", $A765, 17)))), AND(LEFT($A765, 11)="select_one ", LEN($A765)&gt;11, NOT(ISNUMBER(SEARCH(" ", $A765, 12)))))</formula>
    </cfRule>
  </conditionalFormatting>
  <conditionalFormatting sqref="B765:E767">
    <cfRule type="expression" dxfId="25" priority="1279" stopIfTrue="1">
      <formula>$A765="decimal"</formula>
    </cfRule>
  </conditionalFormatting>
  <conditionalFormatting sqref="B765:E767">
    <cfRule type="expression" dxfId="26" priority="1280" stopIfTrue="1">
      <formula>$A765="integer"</formula>
    </cfRule>
  </conditionalFormatting>
  <conditionalFormatting sqref="B765:E767">
    <cfRule type="expression" dxfId="27" priority="1281" stopIfTrue="1">
      <formula>$A765="text"</formula>
    </cfRule>
  </conditionalFormatting>
  <conditionalFormatting sqref="B765:E767">
    <cfRule type="expression" dxfId="28" priority="1282" stopIfTrue="1">
      <formula>$A765="end repeat"</formula>
    </cfRule>
  </conditionalFormatting>
  <conditionalFormatting sqref="B765:E767">
    <cfRule type="expression" dxfId="28" priority="1283" stopIfTrue="1">
      <formula>$A765="begin repeat"</formula>
    </cfRule>
  </conditionalFormatting>
  <conditionalFormatting sqref="B765:E767">
    <cfRule type="expression" dxfId="29" priority="1284" stopIfTrue="1">
      <formula>$A765="end group"</formula>
    </cfRule>
  </conditionalFormatting>
  <conditionalFormatting sqref="B765:E767">
    <cfRule type="expression" dxfId="29" priority="1285" stopIfTrue="1">
      <formula>$A765="begin group"</formula>
    </cfRule>
  </conditionalFormatting>
  <conditionalFormatting sqref="B765:B767">
    <cfRule type="expression" dxfId="30" priority="1286" stopIfTrue="1">
      <formula>$A765="comments"</formula>
    </cfRule>
  </conditionalFormatting>
  <conditionalFormatting sqref="B765:B767">
    <cfRule type="expression" dxfId="36" priority="1287" stopIfTrue="1">
      <formula>OR(AND(LEFT($A765, 14)="sensor_stream ", LEN($A765)&gt;14, NOT(ISNUMBER(SEARCH(" ", $A765, 15)))), AND(LEFT($A765, 17)="sensor_statistic ", LEN($A765)&gt;17, NOT(ISNUMBER(SEARCH(" ", $A765, 18)))))</formula>
    </cfRule>
  </conditionalFormatting>
  <conditionalFormatting sqref="B753:C760 D753:E760">
    <cfRule type="expression" dxfId="0" priority="1288" stopIfTrue="1">
      <formula>$A753="begin group"</formula>
    </cfRule>
  </conditionalFormatting>
  <conditionalFormatting sqref="B753:C760 D753:E760">
    <cfRule type="expression" dxfId="1" priority="1289" stopIfTrue="1">
      <formula>$A753="begin repeat"</formula>
    </cfRule>
  </conditionalFormatting>
  <conditionalFormatting sqref="B753:E760">
    <cfRule type="expression" dxfId="31" priority="1290" stopIfTrue="1">
      <formula>$A753="enumerator"</formula>
    </cfRule>
  </conditionalFormatting>
  <conditionalFormatting sqref="B753:E760">
    <cfRule type="expression" dxfId="2" priority="1291" stopIfTrue="1">
      <formula>$A753="text"</formula>
    </cfRule>
  </conditionalFormatting>
  <conditionalFormatting sqref="B753:E760">
    <cfRule type="expression" dxfId="3" priority="1292" stopIfTrue="1">
      <formula>$A753="integer"</formula>
    </cfRule>
  </conditionalFormatting>
  <conditionalFormatting sqref="B753:E760">
    <cfRule type="expression" dxfId="4" priority="1293" stopIfTrue="1">
      <formula>$A753="decimal"</formula>
    </cfRule>
  </conditionalFormatting>
  <conditionalFormatting sqref="B753:C760 D753:E760">
    <cfRule type="expression" dxfId="5" priority="1294" stopIfTrue="1">
      <formula>OR(AND(LEFT($A753, 16)="select_multiple ", LEN($A753)&gt;16, NOT(ISNUMBER(SEARCH(" ", $A753, 17)))), AND(LEFT($A753, 11)="select_one ", LEN($A753)&gt;11, NOT(ISNUMBER(SEARCH(" ", $A753, 12)))))</formula>
    </cfRule>
  </conditionalFormatting>
  <conditionalFormatting sqref="B753:B760">
    <cfRule type="expression" dxfId="6" priority="1295" stopIfTrue="1">
      <formula>OR($A753="audio audit", $A753="text audit", $A753="speed violations count", $A753="speed violations list", $A753="speed violations audit")</formula>
    </cfRule>
  </conditionalFormatting>
  <conditionalFormatting sqref="B753:C760 D753:E760">
    <cfRule type="expression" dxfId="32" priority="1296" stopIfTrue="1">
      <formula>$A753="file"</formula>
    </cfRule>
  </conditionalFormatting>
  <conditionalFormatting sqref="B753:C760 D753:E760">
    <cfRule type="expression" dxfId="7" priority="1297" stopIfTrue="1">
      <formula>$A753="note"</formula>
    </cfRule>
  </conditionalFormatting>
  <conditionalFormatting sqref="B753:C760 D753:E760">
    <cfRule type="expression" dxfId="8" priority="1298" stopIfTrue="1">
      <formula>$A753="barcode"</formula>
    </cfRule>
  </conditionalFormatting>
  <conditionalFormatting sqref="B753:C760 D753:E760">
    <cfRule type="expression" dxfId="9" priority="1299" stopIfTrue="1">
      <formula>OR($A753="geopoint", $A753="geoshape", $A753="geotrace")</formula>
    </cfRule>
  </conditionalFormatting>
  <conditionalFormatting sqref="B753:B760">
    <cfRule type="expression" dxfId="10" priority="1300" stopIfTrue="1">
      <formula>OR($A753="calculate", $A753="calculate_here")</formula>
    </cfRule>
  </conditionalFormatting>
  <conditionalFormatting sqref="B753:C760 D753:E760">
    <cfRule type="expression" dxfId="11" priority="1301" stopIfTrue="1">
      <formula>OR($A753="date", $A753="datetime", $A753="time")</formula>
    </cfRule>
  </conditionalFormatting>
  <conditionalFormatting sqref="B753:C760 D753:E760">
    <cfRule type="expression" dxfId="12" priority="1302" stopIfTrue="1">
      <formula>$A753="image"</formula>
    </cfRule>
  </conditionalFormatting>
  <conditionalFormatting sqref="B753:C760 D753:E760">
    <cfRule type="expression" dxfId="13" priority="1303" stopIfTrue="1">
      <formula>OR($A753="audio", $A753="video")</formula>
    </cfRule>
  </conditionalFormatting>
  <conditionalFormatting sqref="B753:E760">
    <cfRule type="expression" dxfId="33" priority="1304" stopIfTrue="1">
      <formula>$A753="file"</formula>
    </cfRule>
  </conditionalFormatting>
  <conditionalFormatting sqref="B753:E760">
    <cfRule type="expression" dxfId="34" priority="1305" stopIfTrue="1">
      <formula>$A753="enumerator"</formula>
    </cfRule>
  </conditionalFormatting>
  <conditionalFormatting sqref="B753:E760">
    <cfRule type="expression" dxfId="35" priority="1306" stopIfTrue="1">
      <formula>OR(AND(LEFT($A753, 14)="sensor_stream ", LEN($A753)&gt;14, NOT(ISNUMBER(SEARCH(" ", $A753, 15)))), AND(LEFT($A753, 17)="sensor_statistic ", LEN($A753)&gt;17, NOT(ISNUMBER(SEARCH(" ", $A753, 18)))))</formula>
    </cfRule>
  </conditionalFormatting>
  <conditionalFormatting sqref="B753:E760">
    <cfRule type="expression" dxfId="14" priority="1307" stopIfTrue="1">
      <formula>$A753="comments"</formula>
    </cfRule>
  </conditionalFormatting>
  <conditionalFormatting sqref="B753:E760">
    <cfRule type="expression" dxfId="15" priority="1308" stopIfTrue="1">
      <formula>OR($A753="audio", $A753="video")</formula>
    </cfRule>
  </conditionalFormatting>
  <conditionalFormatting sqref="B753:E760">
    <cfRule type="expression" dxfId="16" priority="1309" stopIfTrue="1">
      <formula>$A753="image"</formula>
    </cfRule>
  </conditionalFormatting>
  <conditionalFormatting sqref="B753:E760">
    <cfRule type="expression" dxfId="17" priority="1310" stopIfTrue="1">
      <formula>OR($A753="date", $A753="datetime", $A753="time")</formula>
    </cfRule>
  </conditionalFormatting>
  <conditionalFormatting sqref="B753:E760">
    <cfRule type="expression" dxfId="18" priority="1311" stopIfTrue="1">
      <formula>OR($A753="calculate", $A753="calculate_here")</formula>
    </cfRule>
  </conditionalFormatting>
  <conditionalFormatting sqref="B753:E760">
    <cfRule type="expression" dxfId="19" priority="1312" stopIfTrue="1">
      <formula>$A753="note"</formula>
    </cfRule>
  </conditionalFormatting>
  <conditionalFormatting sqref="B753:E760">
    <cfRule type="expression" dxfId="20" priority="1313" stopIfTrue="1">
      <formula>$A753="barcode"</formula>
    </cfRule>
  </conditionalFormatting>
  <conditionalFormatting sqref="B753:E760">
    <cfRule type="expression" dxfId="21" priority="1314" stopIfTrue="1">
      <formula>OR($A753="geopoint", $A753="geoshape", $A753="geotrace")</formula>
    </cfRule>
  </conditionalFormatting>
  <conditionalFormatting sqref="B753:E760">
    <cfRule type="expression" dxfId="22" priority="1315" stopIfTrue="1">
      <formula>OR($A753="audio audit", $A753="text audit", $A753="speed violations count", $A753="speed violations list", $A753="speed violations audit")</formula>
    </cfRule>
  </conditionalFormatting>
  <conditionalFormatting sqref="B753:E760">
    <cfRule type="expression" dxfId="23" priority="1316" stopIfTrue="1">
      <formula>OR($A753="username", $A753="phonenumber", $A753="start", $A753="end", $A753="deviceid", $A753="subscriberid", $A753="simserial", $A753="caseid")</formula>
    </cfRule>
  </conditionalFormatting>
  <conditionalFormatting sqref="B753:E760">
    <cfRule type="expression" dxfId="24" priority="1317" stopIfTrue="1">
      <formula>OR(AND(LEFT($A753, 16)="select_multiple ", LEN($A753)&gt;16, NOT(ISNUMBER(SEARCH(" ", $A753, 17)))), AND(LEFT($A753, 11)="select_one ", LEN($A753)&gt;11, NOT(ISNUMBER(SEARCH(" ", $A753, 12)))))</formula>
    </cfRule>
  </conditionalFormatting>
  <conditionalFormatting sqref="B753:E760">
    <cfRule type="expression" dxfId="25" priority="1318" stopIfTrue="1">
      <formula>$A753="decimal"</formula>
    </cfRule>
  </conditionalFormatting>
  <conditionalFormatting sqref="B753:E760">
    <cfRule type="expression" dxfId="26" priority="1319" stopIfTrue="1">
      <formula>$A753="integer"</formula>
    </cfRule>
  </conditionalFormatting>
  <conditionalFormatting sqref="B753:E760">
    <cfRule type="expression" dxfId="27" priority="1320" stopIfTrue="1">
      <formula>$A753="text"</formula>
    </cfRule>
  </conditionalFormatting>
  <conditionalFormatting sqref="B753:E760">
    <cfRule type="expression" dxfId="28" priority="1321" stopIfTrue="1">
      <formula>$A753="end repeat"</formula>
    </cfRule>
  </conditionalFormatting>
  <conditionalFormatting sqref="B753:E760">
    <cfRule type="expression" dxfId="28" priority="1322" stopIfTrue="1">
      <formula>$A753="begin repeat"</formula>
    </cfRule>
  </conditionalFormatting>
  <conditionalFormatting sqref="B753:E760">
    <cfRule type="expression" dxfId="29" priority="1323" stopIfTrue="1">
      <formula>$A753="end group"</formula>
    </cfRule>
  </conditionalFormatting>
  <conditionalFormatting sqref="B753:E760">
    <cfRule type="expression" dxfId="29" priority="1324" stopIfTrue="1">
      <formula>$A753="begin group"</formula>
    </cfRule>
  </conditionalFormatting>
  <conditionalFormatting sqref="B753:B760">
    <cfRule type="expression" dxfId="30" priority="1325" stopIfTrue="1">
      <formula>$A753="comments"</formula>
    </cfRule>
  </conditionalFormatting>
  <conditionalFormatting sqref="B753:B760">
    <cfRule type="expression" dxfId="36" priority="1326" stopIfTrue="1">
      <formula>OR(AND(LEFT($A753, 14)="sensor_stream ", LEN($A753)&gt;14, NOT(ISNUMBER(SEARCH(" ", $A753, 15)))), AND(LEFT($A753, 17)="sensor_statistic ", LEN($A753)&gt;17, NOT(ISNUMBER(SEARCH(" ", $A753, 18)))))</formula>
    </cfRule>
  </conditionalFormatting>
  <conditionalFormatting sqref="B746:C751 D746:E751">
    <cfRule type="expression" dxfId="0" priority="1327" stopIfTrue="1">
      <formula>$A746="begin group"</formula>
    </cfRule>
  </conditionalFormatting>
  <conditionalFormatting sqref="B746:C751 D746:E751">
    <cfRule type="expression" dxfId="1" priority="1328" stopIfTrue="1">
      <formula>$A746="begin repeat"</formula>
    </cfRule>
  </conditionalFormatting>
  <conditionalFormatting sqref="B746:E751">
    <cfRule type="expression" dxfId="31" priority="1329" stopIfTrue="1">
      <formula>$A746="enumerator"</formula>
    </cfRule>
  </conditionalFormatting>
  <conditionalFormatting sqref="B746:E751">
    <cfRule type="expression" dxfId="2" priority="1330" stopIfTrue="1">
      <formula>$A746="text"</formula>
    </cfRule>
  </conditionalFormatting>
  <conditionalFormatting sqref="B746:E751">
    <cfRule type="expression" dxfId="3" priority="1331" stopIfTrue="1">
      <formula>$A746="integer"</formula>
    </cfRule>
  </conditionalFormatting>
  <conditionalFormatting sqref="B746:E751">
    <cfRule type="expression" dxfId="4" priority="1332" stopIfTrue="1">
      <formula>$A746="decimal"</formula>
    </cfRule>
  </conditionalFormatting>
  <conditionalFormatting sqref="B746:C751 D746:E751">
    <cfRule type="expression" dxfId="5" priority="1333" stopIfTrue="1">
      <formula>OR(AND(LEFT($A746, 16)="select_multiple ", LEN($A746)&gt;16, NOT(ISNUMBER(SEARCH(" ", $A746, 17)))), AND(LEFT($A746, 11)="select_one ", LEN($A746)&gt;11, NOT(ISNUMBER(SEARCH(" ", $A746, 12)))))</formula>
    </cfRule>
  </conditionalFormatting>
  <conditionalFormatting sqref="B746:B751">
    <cfRule type="expression" dxfId="6" priority="1334" stopIfTrue="1">
      <formula>OR($A746="audio audit", $A746="text audit", $A746="speed violations count", $A746="speed violations list", $A746="speed violations audit")</formula>
    </cfRule>
  </conditionalFormatting>
  <conditionalFormatting sqref="B746:C751 D746:E751">
    <cfRule type="expression" dxfId="32" priority="1335" stopIfTrue="1">
      <formula>$A746="file"</formula>
    </cfRule>
  </conditionalFormatting>
  <conditionalFormatting sqref="B746:C751 D746:E751">
    <cfRule type="expression" dxfId="7" priority="1336" stopIfTrue="1">
      <formula>$A746="note"</formula>
    </cfRule>
  </conditionalFormatting>
  <conditionalFormatting sqref="B746:C751 D746:E751">
    <cfRule type="expression" dxfId="8" priority="1337" stopIfTrue="1">
      <formula>$A746="barcode"</formula>
    </cfRule>
  </conditionalFormatting>
  <conditionalFormatting sqref="B746:C751 D746:E751">
    <cfRule type="expression" dxfId="9" priority="1338" stopIfTrue="1">
      <formula>OR($A746="geopoint", $A746="geoshape", $A746="geotrace")</formula>
    </cfRule>
  </conditionalFormatting>
  <conditionalFormatting sqref="B746:B751">
    <cfRule type="expression" dxfId="10" priority="1339" stopIfTrue="1">
      <formula>OR($A746="calculate", $A746="calculate_here")</formula>
    </cfRule>
  </conditionalFormatting>
  <conditionalFormatting sqref="B746:C751 D746:E751">
    <cfRule type="expression" dxfId="11" priority="1340" stopIfTrue="1">
      <formula>OR($A746="date", $A746="datetime", $A746="time")</formula>
    </cfRule>
  </conditionalFormatting>
  <conditionalFormatting sqref="B746:C751 D746:E751">
    <cfRule type="expression" dxfId="12" priority="1341" stopIfTrue="1">
      <formula>$A746="image"</formula>
    </cfRule>
  </conditionalFormatting>
  <conditionalFormatting sqref="B746:C751 D746:E751">
    <cfRule type="expression" dxfId="13" priority="1342" stopIfTrue="1">
      <formula>OR($A746="audio", $A746="video")</formula>
    </cfRule>
  </conditionalFormatting>
  <conditionalFormatting sqref="B746:E751">
    <cfRule type="expression" dxfId="33" priority="1343" stopIfTrue="1">
      <formula>$A746="file"</formula>
    </cfRule>
  </conditionalFormatting>
  <conditionalFormatting sqref="B746:E751">
    <cfRule type="expression" dxfId="34" priority="1344" stopIfTrue="1">
      <formula>$A746="enumerator"</formula>
    </cfRule>
  </conditionalFormatting>
  <conditionalFormatting sqref="B746:E751">
    <cfRule type="expression" dxfId="35" priority="1345" stopIfTrue="1">
      <formula>OR(AND(LEFT($A746, 14)="sensor_stream ", LEN($A746)&gt;14, NOT(ISNUMBER(SEARCH(" ", $A746, 15)))), AND(LEFT($A746, 17)="sensor_statistic ", LEN($A746)&gt;17, NOT(ISNUMBER(SEARCH(" ", $A746, 18)))))</formula>
    </cfRule>
  </conditionalFormatting>
  <conditionalFormatting sqref="B746:E751">
    <cfRule type="expression" dxfId="14" priority="1346" stopIfTrue="1">
      <formula>$A746="comments"</formula>
    </cfRule>
  </conditionalFormatting>
  <conditionalFormatting sqref="B746:E751">
    <cfRule type="expression" dxfId="15" priority="1347" stopIfTrue="1">
      <formula>OR($A746="audio", $A746="video")</formula>
    </cfRule>
  </conditionalFormatting>
  <conditionalFormatting sqref="B746:E751">
    <cfRule type="expression" dxfId="16" priority="1348" stopIfTrue="1">
      <formula>$A746="image"</formula>
    </cfRule>
  </conditionalFormatting>
  <conditionalFormatting sqref="B746:E751">
    <cfRule type="expression" dxfId="17" priority="1349" stopIfTrue="1">
      <formula>OR($A746="date", $A746="datetime", $A746="time")</formula>
    </cfRule>
  </conditionalFormatting>
  <conditionalFormatting sqref="B746:E751">
    <cfRule type="expression" dxfId="18" priority="1350" stopIfTrue="1">
      <formula>OR($A746="calculate", $A746="calculate_here")</formula>
    </cfRule>
  </conditionalFormatting>
  <conditionalFormatting sqref="B746:E751">
    <cfRule type="expression" dxfId="19" priority="1351" stopIfTrue="1">
      <formula>$A746="note"</formula>
    </cfRule>
  </conditionalFormatting>
  <conditionalFormatting sqref="B746:E751">
    <cfRule type="expression" dxfId="20" priority="1352" stopIfTrue="1">
      <formula>$A746="barcode"</formula>
    </cfRule>
  </conditionalFormatting>
  <conditionalFormatting sqref="B746:E751">
    <cfRule type="expression" dxfId="21" priority="1353" stopIfTrue="1">
      <formula>OR($A746="geopoint", $A746="geoshape", $A746="geotrace")</formula>
    </cfRule>
  </conditionalFormatting>
  <conditionalFormatting sqref="B746:E751">
    <cfRule type="expression" dxfId="22" priority="1354" stopIfTrue="1">
      <formula>OR($A746="audio audit", $A746="text audit", $A746="speed violations count", $A746="speed violations list", $A746="speed violations audit")</formula>
    </cfRule>
  </conditionalFormatting>
  <conditionalFormatting sqref="B746:E751">
    <cfRule type="expression" dxfId="23" priority="1355" stopIfTrue="1">
      <formula>OR($A746="username", $A746="phonenumber", $A746="start", $A746="end", $A746="deviceid", $A746="subscriberid", $A746="simserial", $A746="caseid")</formula>
    </cfRule>
  </conditionalFormatting>
  <conditionalFormatting sqref="B746:E751">
    <cfRule type="expression" dxfId="24" priority="1356" stopIfTrue="1">
      <formula>OR(AND(LEFT($A746, 16)="select_multiple ", LEN($A746)&gt;16, NOT(ISNUMBER(SEARCH(" ", $A746, 17)))), AND(LEFT($A746, 11)="select_one ", LEN($A746)&gt;11, NOT(ISNUMBER(SEARCH(" ", $A746, 12)))))</formula>
    </cfRule>
  </conditionalFormatting>
  <conditionalFormatting sqref="B746:E751">
    <cfRule type="expression" dxfId="25" priority="1357" stopIfTrue="1">
      <formula>$A746="decimal"</formula>
    </cfRule>
  </conditionalFormatting>
  <conditionalFormatting sqref="B746:E751">
    <cfRule type="expression" dxfId="26" priority="1358" stopIfTrue="1">
      <formula>$A746="integer"</formula>
    </cfRule>
  </conditionalFormatting>
  <conditionalFormatting sqref="B746:E751">
    <cfRule type="expression" dxfId="27" priority="1359" stopIfTrue="1">
      <formula>$A746="text"</formula>
    </cfRule>
  </conditionalFormatting>
  <conditionalFormatting sqref="B746:E751">
    <cfRule type="expression" dxfId="28" priority="1360" stopIfTrue="1">
      <formula>$A746="end repeat"</formula>
    </cfRule>
  </conditionalFormatting>
  <conditionalFormatting sqref="B746:E751">
    <cfRule type="expression" dxfId="28" priority="1361" stopIfTrue="1">
      <formula>$A746="begin repeat"</formula>
    </cfRule>
  </conditionalFormatting>
  <conditionalFormatting sqref="B746:E751">
    <cfRule type="expression" dxfId="29" priority="1362" stopIfTrue="1">
      <formula>$A746="end group"</formula>
    </cfRule>
  </conditionalFormatting>
  <conditionalFormatting sqref="B746:E751">
    <cfRule type="expression" dxfId="29" priority="1363" stopIfTrue="1">
      <formula>$A746="begin group"</formula>
    </cfRule>
  </conditionalFormatting>
  <conditionalFormatting sqref="B746:B751">
    <cfRule type="expression" dxfId="30" priority="1364" stopIfTrue="1">
      <formula>$A746="comments"</formula>
    </cfRule>
  </conditionalFormatting>
  <conditionalFormatting sqref="B746:B751">
    <cfRule type="expression" dxfId="36" priority="1365" stopIfTrue="1">
      <formula>OR(AND(LEFT($A746, 14)="sensor_stream ", LEN($A746)&gt;14, NOT(ISNUMBER(SEARCH(" ", $A746, 15)))), AND(LEFT($A746, 17)="sensor_statistic ", LEN($A746)&gt;17, NOT(ISNUMBER(SEARCH(" ", $A746, 18)))))</formula>
    </cfRule>
  </conditionalFormatting>
  <conditionalFormatting sqref="B740:C742 D740:E742">
    <cfRule type="expression" dxfId="0" priority="1366" stopIfTrue="1">
      <formula>$A740="begin group"</formula>
    </cfRule>
  </conditionalFormatting>
  <conditionalFormatting sqref="B740:C742 D740:E742">
    <cfRule type="expression" dxfId="1" priority="1367" stopIfTrue="1">
      <formula>$A740="begin repeat"</formula>
    </cfRule>
  </conditionalFormatting>
  <conditionalFormatting sqref="B740:E742">
    <cfRule type="expression" dxfId="31" priority="1368" stopIfTrue="1">
      <formula>$A740="enumerator"</formula>
    </cfRule>
  </conditionalFormatting>
  <conditionalFormatting sqref="B740:E742">
    <cfRule type="expression" dxfId="2" priority="1369" stopIfTrue="1">
      <formula>$A740="text"</formula>
    </cfRule>
  </conditionalFormatting>
  <conditionalFormatting sqref="B740:E742">
    <cfRule type="expression" dxfId="3" priority="1370" stopIfTrue="1">
      <formula>$A740="integer"</formula>
    </cfRule>
  </conditionalFormatting>
  <conditionalFormatting sqref="B740:E742">
    <cfRule type="expression" dxfId="4" priority="1371" stopIfTrue="1">
      <formula>$A740="decimal"</formula>
    </cfRule>
  </conditionalFormatting>
  <conditionalFormatting sqref="B740:C742 D740:E742">
    <cfRule type="expression" dxfId="5" priority="1372" stopIfTrue="1">
      <formula>OR(AND(LEFT($A740, 16)="select_multiple ", LEN($A740)&gt;16, NOT(ISNUMBER(SEARCH(" ", $A740, 17)))), AND(LEFT($A740, 11)="select_one ", LEN($A740)&gt;11, NOT(ISNUMBER(SEARCH(" ", $A740, 12)))))</formula>
    </cfRule>
  </conditionalFormatting>
  <conditionalFormatting sqref="B740:B742">
    <cfRule type="expression" dxfId="6" priority="1373" stopIfTrue="1">
      <formula>OR($A740="audio audit", $A740="text audit", $A740="speed violations count", $A740="speed violations list", $A740="speed violations audit")</formula>
    </cfRule>
  </conditionalFormatting>
  <conditionalFormatting sqref="B740:C742 D740:E742">
    <cfRule type="expression" dxfId="32" priority="1374" stopIfTrue="1">
      <formula>$A740="file"</formula>
    </cfRule>
  </conditionalFormatting>
  <conditionalFormatting sqref="B740:C742 D740:E742">
    <cfRule type="expression" dxfId="7" priority="1375" stopIfTrue="1">
      <formula>$A740="note"</formula>
    </cfRule>
  </conditionalFormatting>
  <conditionalFormatting sqref="B740:C742 D740:E742">
    <cfRule type="expression" dxfId="8" priority="1376" stopIfTrue="1">
      <formula>$A740="barcode"</formula>
    </cfRule>
  </conditionalFormatting>
  <conditionalFormatting sqref="B740:C742 D740:E742">
    <cfRule type="expression" dxfId="9" priority="1377" stopIfTrue="1">
      <formula>OR($A740="geopoint", $A740="geoshape", $A740="geotrace")</formula>
    </cfRule>
  </conditionalFormatting>
  <conditionalFormatting sqref="B740:B742">
    <cfRule type="expression" dxfId="10" priority="1378" stopIfTrue="1">
      <formula>OR($A740="calculate", $A740="calculate_here")</formula>
    </cfRule>
  </conditionalFormatting>
  <conditionalFormatting sqref="B740:C742 D740:E742">
    <cfRule type="expression" dxfId="11" priority="1379" stopIfTrue="1">
      <formula>OR($A740="date", $A740="datetime", $A740="time")</formula>
    </cfRule>
  </conditionalFormatting>
  <conditionalFormatting sqref="B740:C742 D740:E742">
    <cfRule type="expression" dxfId="12" priority="1380" stopIfTrue="1">
      <formula>$A740="image"</formula>
    </cfRule>
  </conditionalFormatting>
  <conditionalFormatting sqref="B740:C742 D740:E742">
    <cfRule type="expression" dxfId="13" priority="1381" stopIfTrue="1">
      <formula>OR($A740="audio", $A740="video")</formula>
    </cfRule>
  </conditionalFormatting>
  <conditionalFormatting sqref="B740:E742">
    <cfRule type="expression" dxfId="33" priority="1382" stopIfTrue="1">
      <formula>$A740="file"</formula>
    </cfRule>
  </conditionalFormatting>
  <conditionalFormatting sqref="B740:E742">
    <cfRule type="expression" dxfId="34" priority="1383" stopIfTrue="1">
      <formula>$A740="enumerator"</formula>
    </cfRule>
  </conditionalFormatting>
  <conditionalFormatting sqref="B740:E742">
    <cfRule type="expression" dxfId="35" priority="1384" stopIfTrue="1">
      <formula>OR(AND(LEFT($A740, 14)="sensor_stream ", LEN($A740)&gt;14, NOT(ISNUMBER(SEARCH(" ", $A740, 15)))), AND(LEFT($A740, 17)="sensor_statistic ", LEN($A740)&gt;17, NOT(ISNUMBER(SEARCH(" ", $A740, 18)))))</formula>
    </cfRule>
  </conditionalFormatting>
  <conditionalFormatting sqref="B740:E742">
    <cfRule type="expression" dxfId="14" priority="1385" stopIfTrue="1">
      <formula>$A740="comments"</formula>
    </cfRule>
  </conditionalFormatting>
  <conditionalFormatting sqref="B740:E742">
    <cfRule type="expression" dxfId="15" priority="1386" stopIfTrue="1">
      <formula>OR($A740="audio", $A740="video")</formula>
    </cfRule>
  </conditionalFormatting>
  <conditionalFormatting sqref="B740:E742">
    <cfRule type="expression" dxfId="16" priority="1387" stopIfTrue="1">
      <formula>$A740="image"</formula>
    </cfRule>
  </conditionalFormatting>
  <conditionalFormatting sqref="B740:E742">
    <cfRule type="expression" dxfId="17" priority="1388" stopIfTrue="1">
      <formula>OR($A740="date", $A740="datetime", $A740="time")</formula>
    </cfRule>
  </conditionalFormatting>
  <conditionalFormatting sqref="B740:E742">
    <cfRule type="expression" dxfId="18" priority="1389" stopIfTrue="1">
      <formula>OR($A740="calculate", $A740="calculate_here")</formula>
    </cfRule>
  </conditionalFormatting>
  <conditionalFormatting sqref="B740:E742">
    <cfRule type="expression" dxfId="19" priority="1390" stopIfTrue="1">
      <formula>$A740="note"</formula>
    </cfRule>
  </conditionalFormatting>
  <conditionalFormatting sqref="B740:E742">
    <cfRule type="expression" dxfId="20" priority="1391" stopIfTrue="1">
      <formula>$A740="barcode"</formula>
    </cfRule>
  </conditionalFormatting>
  <conditionalFormatting sqref="B740:E742">
    <cfRule type="expression" dxfId="21" priority="1392" stopIfTrue="1">
      <formula>OR($A740="geopoint", $A740="geoshape", $A740="geotrace")</formula>
    </cfRule>
  </conditionalFormatting>
  <conditionalFormatting sqref="B740:E742">
    <cfRule type="expression" dxfId="22" priority="1393" stopIfTrue="1">
      <formula>OR($A740="audio audit", $A740="text audit", $A740="speed violations count", $A740="speed violations list", $A740="speed violations audit")</formula>
    </cfRule>
  </conditionalFormatting>
  <conditionalFormatting sqref="B740:E742">
    <cfRule type="expression" dxfId="23" priority="1394" stopIfTrue="1">
      <formula>OR($A740="username", $A740="phonenumber", $A740="start", $A740="end", $A740="deviceid", $A740="subscriberid", $A740="simserial", $A740="caseid")</formula>
    </cfRule>
  </conditionalFormatting>
  <conditionalFormatting sqref="B740:E742">
    <cfRule type="expression" dxfId="24" priority="1395" stopIfTrue="1">
      <formula>OR(AND(LEFT($A740, 16)="select_multiple ", LEN($A740)&gt;16, NOT(ISNUMBER(SEARCH(" ", $A740, 17)))), AND(LEFT($A740, 11)="select_one ", LEN($A740)&gt;11, NOT(ISNUMBER(SEARCH(" ", $A740, 12)))))</formula>
    </cfRule>
  </conditionalFormatting>
  <conditionalFormatting sqref="B740:E742">
    <cfRule type="expression" dxfId="25" priority="1396" stopIfTrue="1">
      <formula>$A740="decimal"</formula>
    </cfRule>
  </conditionalFormatting>
  <conditionalFormatting sqref="B740:E742">
    <cfRule type="expression" dxfId="26" priority="1397" stopIfTrue="1">
      <formula>$A740="integer"</formula>
    </cfRule>
  </conditionalFormatting>
  <conditionalFormatting sqref="B740:E742">
    <cfRule type="expression" dxfId="27" priority="1398" stopIfTrue="1">
      <formula>$A740="text"</formula>
    </cfRule>
  </conditionalFormatting>
  <conditionalFormatting sqref="B740:E742">
    <cfRule type="expression" dxfId="28" priority="1399" stopIfTrue="1">
      <formula>$A740="end repeat"</formula>
    </cfRule>
  </conditionalFormatting>
  <conditionalFormatting sqref="B740:E742">
    <cfRule type="expression" dxfId="28" priority="1400" stopIfTrue="1">
      <formula>$A740="begin repeat"</formula>
    </cfRule>
  </conditionalFormatting>
  <conditionalFormatting sqref="B740:E742">
    <cfRule type="expression" dxfId="29" priority="1401" stopIfTrue="1">
      <formula>$A740="end group"</formula>
    </cfRule>
  </conditionalFormatting>
  <conditionalFormatting sqref="B740:E742">
    <cfRule type="expression" dxfId="29" priority="1402" stopIfTrue="1">
      <formula>$A740="begin group"</formula>
    </cfRule>
  </conditionalFormatting>
  <conditionalFormatting sqref="B740:B742">
    <cfRule type="expression" dxfId="30" priority="1403" stopIfTrue="1">
      <formula>$A740="comments"</formula>
    </cfRule>
  </conditionalFormatting>
  <conditionalFormatting sqref="B740:B742">
    <cfRule type="expression" dxfId="36" priority="1404" stopIfTrue="1">
      <formula>OR(AND(LEFT($A740, 14)="sensor_stream ", LEN($A740)&gt;14, NOT(ISNUMBER(SEARCH(" ", $A740, 15)))), AND(LEFT($A740, 17)="sensor_statistic ", LEN($A740)&gt;17, NOT(ISNUMBER(SEARCH(" ", $A740, 18)))))</formula>
    </cfRule>
  </conditionalFormatting>
  <conditionalFormatting sqref="B735:C736 D735:E736">
    <cfRule type="expression" dxfId="0" priority="1405" stopIfTrue="1">
      <formula>$A735="begin group"</formula>
    </cfRule>
  </conditionalFormatting>
  <conditionalFormatting sqref="B735:C736 D735:E736">
    <cfRule type="expression" dxfId="1" priority="1406" stopIfTrue="1">
      <formula>$A735="begin repeat"</formula>
    </cfRule>
  </conditionalFormatting>
  <conditionalFormatting sqref="B735:E736">
    <cfRule type="expression" dxfId="31" priority="1407" stopIfTrue="1">
      <formula>$A735="enumerator"</formula>
    </cfRule>
  </conditionalFormatting>
  <conditionalFormatting sqref="B735:E736">
    <cfRule type="expression" dxfId="2" priority="1408" stopIfTrue="1">
      <formula>$A735="text"</formula>
    </cfRule>
  </conditionalFormatting>
  <conditionalFormatting sqref="B735:E736">
    <cfRule type="expression" dxfId="3" priority="1409" stopIfTrue="1">
      <formula>$A735="integer"</formula>
    </cfRule>
  </conditionalFormatting>
  <conditionalFormatting sqref="B735:E736">
    <cfRule type="expression" dxfId="4" priority="1410" stopIfTrue="1">
      <formula>$A735="decimal"</formula>
    </cfRule>
  </conditionalFormatting>
  <conditionalFormatting sqref="B735:C736 D735:E736">
    <cfRule type="expression" dxfId="5" priority="1411" stopIfTrue="1">
      <formula>OR(AND(LEFT($A735, 16)="select_multiple ", LEN($A735)&gt;16, NOT(ISNUMBER(SEARCH(" ", $A735, 17)))), AND(LEFT($A735, 11)="select_one ", LEN($A735)&gt;11, NOT(ISNUMBER(SEARCH(" ", $A735, 12)))))</formula>
    </cfRule>
  </conditionalFormatting>
  <conditionalFormatting sqref="B735:B736">
    <cfRule type="expression" dxfId="6" priority="1412" stopIfTrue="1">
      <formula>OR($A735="audio audit", $A735="text audit", $A735="speed violations count", $A735="speed violations list", $A735="speed violations audit")</formula>
    </cfRule>
  </conditionalFormatting>
  <conditionalFormatting sqref="B735:C736 D735:E736">
    <cfRule type="expression" dxfId="32" priority="1413" stopIfTrue="1">
      <formula>$A735="file"</formula>
    </cfRule>
  </conditionalFormatting>
  <conditionalFormatting sqref="B735:C736 D735:E736">
    <cfRule type="expression" dxfId="7" priority="1414" stopIfTrue="1">
      <formula>$A735="note"</formula>
    </cfRule>
  </conditionalFormatting>
  <conditionalFormatting sqref="B735:C736 D735:E736">
    <cfRule type="expression" dxfId="8" priority="1415" stopIfTrue="1">
      <formula>$A735="barcode"</formula>
    </cfRule>
  </conditionalFormatting>
  <conditionalFormatting sqref="B735:C736 D735:E736">
    <cfRule type="expression" dxfId="9" priority="1416" stopIfTrue="1">
      <formula>OR($A735="geopoint", $A735="geoshape", $A735="geotrace")</formula>
    </cfRule>
  </conditionalFormatting>
  <conditionalFormatting sqref="B735:B736">
    <cfRule type="expression" dxfId="10" priority="1417" stopIfTrue="1">
      <formula>OR($A735="calculate", $A735="calculate_here")</formula>
    </cfRule>
  </conditionalFormatting>
  <conditionalFormatting sqref="B735:C736 D735:E736">
    <cfRule type="expression" dxfId="11" priority="1418" stopIfTrue="1">
      <formula>OR($A735="date", $A735="datetime", $A735="time")</formula>
    </cfRule>
  </conditionalFormatting>
  <conditionalFormatting sqref="B735:C736 D735:E736">
    <cfRule type="expression" dxfId="12" priority="1419" stopIfTrue="1">
      <formula>$A735="image"</formula>
    </cfRule>
  </conditionalFormatting>
  <conditionalFormatting sqref="B735:C736 D735:E736">
    <cfRule type="expression" dxfId="13" priority="1420" stopIfTrue="1">
      <formula>OR($A735="audio", $A735="video")</formula>
    </cfRule>
  </conditionalFormatting>
  <conditionalFormatting sqref="B735:E736">
    <cfRule type="expression" dxfId="33" priority="1421" stopIfTrue="1">
      <formula>$A735="file"</formula>
    </cfRule>
  </conditionalFormatting>
  <conditionalFormatting sqref="B735:E736">
    <cfRule type="expression" dxfId="34" priority="1422" stopIfTrue="1">
      <formula>$A735="enumerator"</formula>
    </cfRule>
  </conditionalFormatting>
  <conditionalFormatting sqref="B735:E736">
    <cfRule type="expression" dxfId="35" priority="1423" stopIfTrue="1">
      <formula>OR(AND(LEFT($A735, 14)="sensor_stream ", LEN($A735)&gt;14, NOT(ISNUMBER(SEARCH(" ", $A735, 15)))), AND(LEFT($A735, 17)="sensor_statistic ", LEN($A735)&gt;17, NOT(ISNUMBER(SEARCH(" ", $A735, 18)))))</formula>
    </cfRule>
  </conditionalFormatting>
  <conditionalFormatting sqref="B735:E736">
    <cfRule type="expression" dxfId="14" priority="1424" stopIfTrue="1">
      <formula>$A735="comments"</formula>
    </cfRule>
  </conditionalFormatting>
  <conditionalFormatting sqref="B735:E736">
    <cfRule type="expression" dxfId="15" priority="1425" stopIfTrue="1">
      <formula>OR($A735="audio", $A735="video")</formula>
    </cfRule>
  </conditionalFormatting>
  <conditionalFormatting sqref="B735:E736">
    <cfRule type="expression" dxfId="16" priority="1426" stopIfTrue="1">
      <formula>$A735="image"</formula>
    </cfRule>
  </conditionalFormatting>
  <conditionalFormatting sqref="B735:E736">
    <cfRule type="expression" dxfId="17" priority="1427" stopIfTrue="1">
      <formula>OR($A735="date", $A735="datetime", $A735="time")</formula>
    </cfRule>
  </conditionalFormatting>
  <conditionalFormatting sqref="B735:E736">
    <cfRule type="expression" dxfId="18" priority="1428" stopIfTrue="1">
      <formula>OR($A735="calculate", $A735="calculate_here")</formula>
    </cfRule>
  </conditionalFormatting>
  <conditionalFormatting sqref="B735:E736">
    <cfRule type="expression" dxfId="19" priority="1429" stopIfTrue="1">
      <formula>$A735="note"</formula>
    </cfRule>
  </conditionalFormatting>
  <conditionalFormatting sqref="B735:E736">
    <cfRule type="expression" dxfId="20" priority="1430" stopIfTrue="1">
      <formula>$A735="barcode"</formula>
    </cfRule>
  </conditionalFormatting>
  <conditionalFormatting sqref="B735:E736">
    <cfRule type="expression" dxfId="21" priority="1431" stopIfTrue="1">
      <formula>OR($A735="geopoint", $A735="geoshape", $A735="geotrace")</formula>
    </cfRule>
  </conditionalFormatting>
  <conditionalFormatting sqref="B735:E736">
    <cfRule type="expression" dxfId="22" priority="1432" stopIfTrue="1">
      <formula>OR($A735="audio audit", $A735="text audit", $A735="speed violations count", $A735="speed violations list", $A735="speed violations audit")</formula>
    </cfRule>
  </conditionalFormatting>
  <conditionalFormatting sqref="B735:E736">
    <cfRule type="expression" dxfId="23" priority="1433" stopIfTrue="1">
      <formula>OR($A735="username", $A735="phonenumber", $A735="start", $A735="end", $A735="deviceid", $A735="subscriberid", $A735="simserial", $A735="caseid")</formula>
    </cfRule>
  </conditionalFormatting>
  <conditionalFormatting sqref="B735:E736">
    <cfRule type="expression" dxfId="24" priority="1434" stopIfTrue="1">
      <formula>OR(AND(LEFT($A735, 16)="select_multiple ", LEN($A735)&gt;16, NOT(ISNUMBER(SEARCH(" ", $A735, 17)))), AND(LEFT($A735, 11)="select_one ", LEN($A735)&gt;11, NOT(ISNUMBER(SEARCH(" ", $A735, 12)))))</formula>
    </cfRule>
  </conditionalFormatting>
  <conditionalFormatting sqref="B735:E736">
    <cfRule type="expression" dxfId="25" priority="1435" stopIfTrue="1">
      <formula>$A735="decimal"</formula>
    </cfRule>
  </conditionalFormatting>
  <conditionalFormatting sqref="B735:E736">
    <cfRule type="expression" dxfId="26" priority="1436" stopIfTrue="1">
      <formula>$A735="integer"</formula>
    </cfRule>
  </conditionalFormatting>
  <conditionalFormatting sqref="B735:E736">
    <cfRule type="expression" dxfId="27" priority="1437" stopIfTrue="1">
      <formula>$A735="text"</formula>
    </cfRule>
  </conditionalFormatting>
  <conditionalFormatting sqref="B735:E736">
    <cfRule type="expression" dxfId="28" priority="1438" stopIfTrue="1">
      <formula>$A735="end repeat"</formula>
    </cfRule>
  </conditionalFormatting>
  <conditionalFormatting sqref="B735:E736">
    <cfRule type="expression" dxfId="28" priority="1439" stopIfTrue="1">
      <formula>$A735="begin repeat"</formula>
    </cfRule>
  </conditionalFormatting>
  <conditionalFormatting sqref="B735:E736">
    <cfRule type="expression" dxfId="29" priority="1440" stopIfTrue="1">
      <formula>$A735="end group"</formula>
    </cfRule>
  </conditionalFormatting>
  <conditionalFormatting sqref="B735:E736">
    <cfRule type="expression" dxfId="29" priority="1441" stopIfTrue="1">
      <formula>$A735="begin group"</formula>
    </cfRule>
  </conditionalFormatting>
  <conditionalFormatting sqref="B735:B736">
    <cfRule type="expression" dxfId="30" priority="1442" stopIfTrue="1">
      <formula>$A735="comments"</formula>
    </cfRule>
  </conditionalFormatting>
  <conditionalFormatting sqref="B735:B736">
    <cfRule type="expression" dxfId="36" priority="1443" stopIfTrue="1">
      <formula>OR(AND(LEFT($A735, 14)="sensor_stream ", LEN($A735)&gt;14, NOT(ISNUMBER(SEARCH(" ", $A735, 15)))), AND(LEFT($A735, 17)="sensor_statistic ", LEN($A735)&gt;17, NOT(ISNUMBER(SEARCH(" ", $A735, 18)))))</formula>
    </cfRule>
  </conditionalFormatting>
  <conditionalFormatting sqref="B723:C725 D723:E725">
    <cfRule type="expression" dxfId="0" priority="1444" stopIfTrue="1">
      <formula>$A723="begin group"</formula>
    </cfRule>
  </conditionalFormatting>
  <conditionalFormatting sqref="B723:C725 D723:E725">
    <cfRule type="expression" dxfId="1" priority="1445" stopIfTrue="1">
      <formula>$A723="begin repeat"</formula>
    </cfRule>
  </conditionalFormatting>
  <conditionalFormatting sqref="B723:E725">
    <cfRule type="expression" dxfId="31" priority="1446" stopIfTrue="1">
      <formula>$A723="enumerator"</formula>
    </cfRule>
  </conditionalFormatting>
  <conditionalFormatting sqref="B723:E725">
    <cfRule type="expression" dxfId="2" priority="1447" stopIfTrue="1">
      <formula>$A723="text"</formula>
    </cfRule>
  </conditionalFormatting>
  <conditionalFormatting sqref="B723:E725">
    <cfRule type="expression" dxfId="3" priority="1448" stopIfTrue="1">
      <formula>$A723="integer"</formula>
    </cfRule>
  </conditionalFormatting>
  <conditionalFormatting sqref="B723:E725">
    <cfRule type="expression" dxfId="4" priority="1449" stopIfTrue="1">
      <formula>$A723="decimal"</formula>
    </cfRule>
  </conditionalFormatting>
  <conditionalFormatting sqref="B723:C725 D723:E725">
    <cfRule type="expression" dxfId="5" priority="1450" stopIfTrue="1">
      <formula>OR(AND(LEFT($A723, 16)="select_multiple ", LEN($A723)&gt;16, NOT(ISNUMBER(SEARCH(" ", $A723, 17)))), AND(LEFT($A723, 11)="select_one ", LEN($A723)&gt;11, NOT(ISNUMBER(SEARCH(" ", $A723, 12)))))</formula>
    </cfRule>
  </conditionalFormatting>
  <conditionalFormatting sqref="B723:B725">
    <cfRule type="expression" dxfId="6" priority="1451" stopIfTrue="1">
      <formula>OR($A723="audio audit", $A723="text audit", $A723="speed violations count", $A723="speed violations list", $A723="speed violations audit")</formula>
    </cfRule>
  </conditionalFormatting>
  <conditionalFormatting sqref="B723:C725 D723:E725">
    <cfRule type="expression" dxfId="32" priority="1452" stopIfTrue="1">
      <formula>$A723="file"</formula>
    </cfRule>
  </conditionalFormatting>
  <conditionalFormatting sqref="B723:C725 D723:E725">
    <cfRule type="expression" dxfId="7" priority="1453" stopIfTrue="1">
      <formula>$A723="note"</formula>
    </cfRule>
  </conditionalFormatting>
  <conditionalFormatting sqref="B723:C725 D723:E725">
    <cfRule type="expression" dxfId="8" priority="1454" stopIfTrue="1">
      <formula>$A723="barcode"</formula>
    </cfRule>
  </conditionalFormatting>
  <conditionalFormatting sqref="B723:C725 D723:E725">
    <cfRule type="expression" dxfId="9" priority="1455" stopIfTrue="1">
      <formula>OR($A723="geopoint", $A723="geoshape", $A723="geotrace")</formula>
    </cfRule>
  </conditionalFormatting>
  <conditionalFormatting sqref="B723:B725">
    <cfRule type="expression" dxfId="10" priority="1456" stopIfTrue="1">
      <formula>OR($A723="calculate", $A723="calculate_here")</formula>
    </cfRule>
  </conditionalFormatting>
  <conditionalFormatting sqref="B723:C725 D723:E725">
    <cfRule type="expression" dxfId="11" priority="1457" stopIfTrue="1">
      <formula>OR($A723="date", $A723="datetime", $A723="time")</formula>
    </cfRule>
  </conditionalFormatting>
  <conditionalFormatting sqref="B723:C725 D723:E725">
    <cfRule type="expression" dxfId="12" priority="1458" stopIfTrue="1">
      <formula>$A723="image"</formula>
    </cfRule>
  </conditionalFormatting>
  <conditionalFormatting sqref="B723:C725 D723:E725">
    <cfRule type="expression" dxfId="13" priority="1459" stopIfTrue="1">
      <formula>OR($A723="audio", $A723="video")</formula>
    </cfRule>
  </conditionalFormatting>
  <conditionalFormatting sqref="B723:E725">
    <cfRule type="expression" dxfId="33" priority="1460" stopIfTrue="1">
      <formula>$A723="file"</formula>
    </cfRule>
  </conditionalFormatting>
  <conditionalFormatting sqref="B723:E725">
    <cfRule type="expression" dxfId="34" priority="1461" stopIfTrue="1">
      <formula>$A723="enumerator"</formula>
    </cfRule>
  </conditionalFormatting>
  <conditionalFormatting sqref="B723:E725">
    <cfRule type="expression" dxfId="35" priority="1462" stopIfTrue="1">
      <formula>OR(AND(LEFT($A723, 14)="sensor_stream ", LEN($A723)&gt;14, NOT(ISNUMBER(SEARCH(" ", $A723, 15)))), AND(LEFT($A723, 17)="sensor_statistic ", LEN($A723)&gt;17, NOT(ISNUMBER(SEARCH(" ", $A723, 18)))))</formula>
    </cfRule>
  </conditionalFormatting>
  <conditionalFormatting sqref="B723:E725">
    <cfRule type="expression" dxfId="14" priority="1463" stopIfTrue="1">
      <formula>$A723="comments"</formula>
    </cfRule>
  </conditionalFormatting>
  <conditionalFormatting sqref="B723:E725">
    <cfRule type="expression" dxfId="15" priority="1464" stopIfTrue="1">
      <formula>OR($A723="audio", $A723="video")</formula>
    </cfRule>
  </conditionalFormatting>
  <conditionalFormatting sqref="B723:E725">
    <cfRule type="expression" dxfId="16" priority="1465" stopIfTrue="1">
      <formula>$A723="image"</formula>
    </cfRule>
  </conditionalFormatting>
  <conditionalFormatting sqref="B723:E725">
    <cfRule type="expression" dxfId="17" priority="1466" stopIfTrue="1">
      <formula>OR($A723="date", $A723="datetime", $A723="time")</formula>
    </cfRule>
  </conditionalFormatting>
  <conditionalFormatting sqref="B723:E725">
    <cfRule type="expression" dxfId="18" priority="1467" stopIfTrue="1">
      <formula>OR($A723="calculate", $A723="calculate_here")</formula>
    </cfRule>
  </conditionalFormatting>
  <conditionalFormatting sqref="B723:E725">
    <cfRule type="expression" dxfId="19" priority="1468" stopIfTrue="1">
      <formula>$A723="note"</formula>
    </cfRule>
  </conditionalFormatting>
  <conditionalFormatting sqref="B723:E725">
    <cfRule type="expression" dxfId="20" priority="1469" stopIfTrue="1">
      <formula>$A723="barcode"</formula>
    </cfRule>
  </conditionalFormatting>
  <conditionalFormatting sqref="B723:E725">
    <cfRule type="expression" dxfId="21" priority="1470" stopIfTrue="1">
      <formula>OR($A723="geopoint", $A723="geoshape", $A723="geotrace")</formula>
    </cfRule>
  </conditionalFormatting>
  <conditionalFormatting sqref="B723:E725">
    <cfRule type="expression" dxfId="22" priority="1471" stopIfTrue="1">
      <formula>OR($A723="audio audit", $A723="text audit", $A723="speed violations count", $A723="speed violations list", $A723="speed violations audit")</formula>
    </cfRule>
  </conditionalFormatting>
  <conditionalFormatting sqref="B723:E725">
    <cfRule type="expression" dxfId="23" priority="1472" stopIfTrue="1">
      <formula>OR($A723="username", $A723="phonenumber", $A723="start", $A723="end", $A723="deviceid", $A723="subscriberid", $A723="simserial", $A723="caseid")</formula>
    </cfRule>
  </conditionalFormatting>
  <conditionalFormatting sqref="B723:E725">
    <cfRule type="expression" dxfId="24" priority="1473" stopIfTrue="1">
      <formula>OR(AND(LEFT($A723, 16)="select_multiple ", LEN($A723)&gt;16, NOT(ISNUMBER(SEARCH(" ", $A723, 17)))), AND(LEFT($A723, 11)="select_one ", LEN($A723)&gt;11, NOT(ISNUMBER(SEARCH(" ", $A723, 12)))))</formula>
    </cfRule>
  </conditionalFormatting>
  <conditionalFormatting sqref="B723:E725">
    <cfRule type="expression" dxfId="25" priority="1474" stopIfTrue="1">
      <formula>$A723="decimal"</formula>
    </cfRule>
  </conditionalFormatting>
  <conditionalFormatting sqref="B723:E725">
    <cfRule type="expression" dxfId="26" priority="1475" stopIfTrue="1">
      <formula>$A723="integer"</formula>
    </cfRule>
  </conditionalFormatting>
  <conditionalFormatting sqref="B723:E725">
    <cfRule type="expression" dxfId="27" priority="1476" stopIfTrue="1">
      <formula>$A723="text"</formula>
    </cfRule>
  </conditionalFormatting>
  <conditionalFormatting sqref="B723:E725">
    <cfRule type="expression" dxfId="28" priority="1477" stopIfTrue="1">
      <formula>$A723="end repeat"</formula>
    </cfRule>
  </conditionalFormatting>
  <conditionalFormatting sqref="B723:E725">
    <cfRule type="expression" dxfId="28" priority="1478" stopIfTrue="1">
      <formula>$A723="begin repeat"</formula>
    </cfRule>
  </conditionalFormatting>
  <conditionalFormatting sqref="B723:E725">
    <cfRule type="expression" dxfId="29" priority="1479" stopIfTrue="1">
      <formula>$A723="end group"</formula>
    </cfRule>
  </conditionalFormatting>
  <conditionalFormatting sqref="B723:E725">
    <cfRule type="expression" dxfId="29" priority="1480" stopIfTrue="1">
      <formula>$A723="begin group"</formula>
    </cfRule>
  </conditionalFormatting>
  <conditionalFormatting sqref="B723:B725">
    <cfRule type="expression" dxfId="30" priority="1481" stopIfTrue="1">
      <formula>$A723="comments"</formula>
    </cfRule>
  </conditionalFormatting>
  <conditionalFormatting sqref="B723:B725">
    <cfRule type="expression" dxfId="36" priority="1482" stopIfTrue="1">
      <formula>OR(AND(LEFT($A723, 14)="sensor_stream ", LEN($A723)&gt;14, NOT(ISNUMBER(SEARCH(" ", $A723, 15)))), AND(LEFT($A723, 17)="sensor_statistic ", LEN($A723)&gt;17, NOT(ISNUMBER(SEARCH(" ", $A723, 18)))))</formula>
    </cfRule>
  </conditionalFormatting>
  <conditionalFormatting sqref="B717:C718 D717:E718">
    <cfRule type="expression" dxfId="0" priority="1483" stopIfTrue="1">
      <formula>$A717="begin group"</formula>
    </cfRule>
  </conditionalFormatting>
  <conditionalFormatting sqref="B717:C718 D717:E718">
    <cfRule type="expression" dxfId="1" priority="1484" stopIfTrue="1">
      <formula>$A717="begin repeat"</formula>
    </cfRule>
  </conditionalFormatting>
  <conditionalFormatting sqref="B717:E718">
    <cfRule type="expression" dxfId="31" priority="1485" stopIfTrue="1">
      <formula>$A717="enumerator"</formula>
    </cfRule>
  </conditionalFormatting>
  <conditionalFormatting sqref="B717:E718">
    <cfRule type="expression" dxfId="2" priority="1486" stopIfTrue="1">
      <formula>$A717="text"</formula>
    </cfRule>
  </conditionalFormatting>
  <conditionalFormatting sqref="B717:E718">
    <cfRule type="expression" dxfId="3" priority="1487" stopIfTrue="1">
      <formula>$A717="integer"</formula>
    </cfRule>
  </conditionalFormatting>
  <conditionalFormatting sqref="B717:E718">
    <cfRule type="expression" dxfId="4" priority="1488" stopIfTrue="1">
      <formula>$A717="decimal"</formula>
    </cfRule>
  </conditionalFormatting>
  <conditionalFormatting sqref="B717:C718 D717:E718">
    <cfRule type="expression" dxfId="5" priority="1489" stopIfTrue="1">
      <formula>OR(AND(LEFT($A717, 16)="select_multiple ", LEN($A717)&gt;16, NOT(ISNUMBER(SEARCH(" ", $A717, 17)))), AND(LEFT($A717, 11)="select_one ", LEN($A717)&gt;11, NOT(ISNUMBER(SEARCH(" ", $A717, 12)))))</formula>
    </cfRule>
  </conditionalFormatting>
  <conditionalFormatting sqref="B717:B718">
    <cfRule type="expression" dxfId="6" priority="1490" stopIfTrue="1">
      <formula>OR($A717="audio audit", $A717="text audit", $A717="speed violations count", $A717="speed violations list", $A717="speed violations audit")</formula>
    </cfRule>
  </conditionalFormatting>
  <conditionalFormatting sqref="B717:C718 D717:E718">
    <cfRule type="expression" dxfId="32" priority="1491" stopIfTrue="1">
      <formula>$A717="file"</formula>
    </cfRule>
  </conditionalFormatting>
  <conditionalFormatting sqref="B717:C718 D717:E718">
    <cfRule type="expression" dxfId="7" priority="1492" stopIfTrue="1">
      <formula>$A717="note"</formula>
    </cfRule>
  </conditionalFormatting>
  <conditionalFormatting sqref="B717:C718 D717:E718">
    <cfRule type="expression" dxfId="8" priority="1493" stopIfTrue="1">
      <formula>$A717="barcode"</formula>
    </cfRule>
  </conditionalFormatting>
  <conditionalFormatting sqref="B717:C718 D717:E718">
    <cfRule type="expression" dxfId="9" priority="1494" stopIfTrue="1">
      <formula>OR($A717="geopoint", $A717="geoshape", $A717="geotrace")</formula>
    </cfRule>
  </conditionalFormatting>
  <conditionalFormatting sqref="B717:B718">
    <cfRule type="expression" dxfId="10" priority="1495" stopIfTrue="1">
      <formula>OR($A717="calculate", $A717="calculate_here")</formula>
    </cfRule>
  </conditionalFormatting>
  <conditionalFormatting sqref="B717:C718 D717:E718">
    <cfRule type="expression" dxfId="11" priority="1496" stopIfTrue="1">
      <formula>OR($A717="date", $A717="datetime", $A717="time")</formula>
    </cfRule>
  </conditionalFormatting>
  <conditionalFormatting sqref="B717:C718 D717:E718">
    <cfRule type="expression" dxfId="12" priority="1497" stopIfTrue="1">
      <formula>$A717="image"</formula>
    </cfRule>
  </conditionalFormatting>
  <conditionalFormatting sqref="B717:C718 D717:E718">
    <cfRule type="expression" dxfId="13" priority="1498" stopIfTrue="1">
      <formula>OR($A717="audio", $A717="video")</formula>
    </cfRule>
  </conditionalFormatting>
  <conditionalFormatting sqref="B717:E718">
    <cfRule type="expression" dxfId="33" priority="1499" stopIfTrue="1">
      <formula>$A717="file"</formula>
    </cfRule>
  </conditionalFormatting>
  <conditionalFormatting sqref="B717:E718">
    <cfRule type="expression" dxfId="34" priority="1500" stopIfTrue="1">
      <formula>$A717="enumerator"</formula>
    </cfRule>
  </conditionalFormatting>
  <conditionalFormatting sqref="B717:E718">
    <cfRule type="expression" dxfId="35" priority="1501" stopIfTrue="1">
      <formula>OR(AND(LEFT($A717, 14)="sensor_stream ", LEN($A717)&gt;14, NOT(ISNUMBER(SEARCH(" ", $A717, 15)))), AND(LEFT($A717, 17)="sensor_statistic ", LEN($A717)&gt;17, NOT(ISNUMBER(SEARCH(" ", $A717, 18)))))</formula>
    </cfRule>
  </conditionalFormatting>
  <conditionalFormatting sqref="B717:E718">
    <cfRule type="expression" dxfId="14" priority="1502" stopIfTrue="1">
      <formula>$A717="comments"</formula>
    </cfRule>
  </conditionalFormatting>
  <conditionalFormatting sqref="B717:E718">
    <cfRule type="expression" dxfId="15" priority="1503" stopIfTrue="1">
      <formula>OR($A717="audio", $A717="video")</formula>
    </cfRule>
  </conditionalFormatting>
  <conditionalFormatting sqref="B717:E718">
    <cfRule type="expression" dxfId="16" priority="1504" stopIfTrue="1">
      <formula>$A717="image"</formula>
    </cfRule>
  </conditionalFormatting>
  <conditionalFormatting sqref="B717:E718">
    <cfRule type="expression" dxfId="17" priority="1505" stopIfTrue="1">
      <formula>OR($A717="date", $A717="datetime", $A717="time")</formula>
    </cfRule>
  </conditionalFormatting>
  <conditionalFormatting sqref="B717:E718">
    <cfRule type="expression" dxfId="18" priority="1506" stopIfTrue="1">
      <formula>OR($A717="calculate", $A717="calculate_here")</formula>
    </cfRule>
  </conditionalFormatting>
  <conditionalFormatting sqref="B717:E718">
    <cfRule type="expression" dxfId="19" priority="1507" stopIfTrue="1">
      <formula>$A717="note"</formula>
    </cfRule>
  </conditionalFormatting>
  <conditionalFormatting sqref="B717:E718">
    <cfRule type="expression" dxfId="20" priority="1508" stopIfTrue="1">
      <formula>$A717="barcode"</formula>
    </cfRule>
  </conditionalFormatting>
  <conditionalFormatting sqref="B717:E718">
    <cfRule type="expression" dxfId="21" priority="1509" stopIfTrue="1">
      <formula>OR($A717="geopoint", $A717="geoshape", $A717="geotrace")</formula>
    </cfRule>
  </conditionalFormatting>
  <conditionalFormatting sqref="B717:E718">
    <cfRule type="expression" dxfId="22" priority="1510" stopIfTrue="1">
      <formula>OR($A717="audio audit", $A717="text audit", $A717="speed violations count", $A717="speed violations list", $A717="speed violations audit")</formula>
    </cfRule>
  </conditionalFormatting>
  <conditionalFormatting sqref="B717:E718">
    <cfRule type="expression" dxfId="23" priority="1511" stopIfTrue="1">
      <formula>OR($A717="username", $A717="phonenumber", $A717="start", $A717="end", $A717="deviceid", $A717="subscriberid", $A717="simserial", $A717="caseid")</formula>
    </cfRule>
  </conditionalFormatting>
  <conditionalFormatting sqref="B717:E718">
    <cfRule type="expression" dxfId="24" priority="1512" stopIfTrue="1">
      <formula>OR(AND(LEFT($A717, 16)="select_multiple ", LEN($A717)&gt;16, NOT(ISNUMBER(SEARCH(" ", $A717, 17)))), AND(LEFT($A717, 11)="select_one ", LEN($A717)&gt;11, NOT(ISNUMBER(SEARCH(" ", $A717, 12)))))</formula>
    </cfRule>
  </conditionalFormatting>
  <conditionalFormatting sqref="B717:E718">
    <cfRule type="expression" dxfId="25" priority="1513" stopIfTrue="1">
      <formula>$A717="decimal"</formula>
    </cfRule>
  </conditionalFormatting>
  <conditionalFormatting sqref="B717:E718">
    <cfRule type="expression" dxfId="26" priority="1514" stopIfTrue="1">
      <formula>$A717="integer"</formula>
    </cfRule>
  </conditionalFormatting>
  <conditionalFormatting sqref="B717:E718">
    <cfRule type="expression" dxfId="27" priority="1515" stopIfTrue="1">
      <formula>$A717="text"</formula>
    </cfRule>
  </conditionalFormatting>
  <conditionalFormatting sqref="B717:E718">
    <cfRule type="expression" dxfId="28" priority="1516" stopIfTrue="1">
      <formula>$A717="end repeat"</formula>
    </cfRule>
  </conditionalFormatting>
  <conditionalFormatting sqref="B717:E718">
    <cfRule type="expression" dxfId="28" priority="1517" stopIfTrue="1">
      <formula>$A717="begin repeat"</formula>
    </cfRule>
  </conditionalFormatting>
  <conditionalFormatting sqref="B717:E718">
    <cfRule type="expression" dxfId="29" priority="1518" stopIfTrue="1">
      <formula>$A717="end group"</formula>
    </cfRule>
  </conditionalFormatting>
  <conditionalFormatting sqref="B717:E718">
    <cfRule type="expression" dxfId="29" priority="1519" stopIfTrue="1">
      <formula>$A717="begin group"</formula>
    </cfRule>
  </conditionalFormatting>
  <conditionalFormatting sqref="B717:B718">
    <cfRule type="expression" dxfId="30" priority="1520" stopIfTrue="1">
      <formula>$A717="comments"</formula>
    </cfRule>
  </conditionalFormatting>
  <conditionalFormatting sqref="B717:B718">
    <cfRule type="expression" dxfId="36" priority="1521" stopIfTrue="1">
      <formula>OR(AND(LEFT($A717, 14)="sensor_stream ", LEN($A717)&gt;14, NOT(ISNUMBER(SEARCH(" ", $A717, 15)))), AND(LEFT($A717, 17)="sensor_statistic ", LEN($A717)&gt;17, NOT(ISNUMBER(SEARCH(" ", $A717, 18)))))</formula>
    </cfRule>
  </conditionalFormatting>
  <conditionalFormatting sqref="B708:C710 D708:E710">
    <cfRule type="expression" dxfId="0" priority="1522" stopIfTrue="1">
      <formula>$A708="begin group"</formula>
    </cfRule>
  </conditionalFormatting>
  <conditionalFormatting sqref="B708:C710 D708:E710">
    <cfRule type="expression" dxfId="1" priority="1523" stopIfTrue="1">
      <formula>$A708="begin repeat"</formula>
    </cfRule>
  </conditionalFormatting>
  <conditionalFormatting sqref="B708:E710">
    <cfRule type="expression" dxfId="31" priority="1524" stopIfTrue="1">
      <formula>$A708="enumerator"</formula>
    </cfRule>
  </conditionalFormatting>
  <conditionalFormatting sqref="B708:E710">
    <cfRule type="expression" dxfId="2" priority="1525" stopIfTrue="1">
      <formula>$A708="text"</formula>
    </cfRule>
  </conditionalFormatting>
  <conditionalFormatting sqref="B708:E710">
    <cfRule type="expression" dxfId="3" priority="1526" stopIfTrue="1">
      <formula>$A708="integer"</formula>
    </cfRule>
  </conditionalFormatting>
  <conditionalFormatting sqref="B708:E710">
    <cfRule type="expression" dxfId="4" priority="1527" stopIfTrue="1">
      <formula>$A708="decimal"</formula>
    </cfRule>
  </conditionalFormatting>
  <conditionalFormatting sqref="B708:C710 D708:E710">
    <cfRule type="expression" dxfId="5" priority="1528" stopIfTrue="1">
      <formula>OR(AND(LEFT($A708, 16)="select_multiple ", LEN($A708)&gt;16, NOT(ISNUMBER(SEARCH(" ", $A708, 17)))), AND(LEFT($A708, 11)="select_one ", LEN($A708)&gt;11, NOT(ISNUMBER(SEARCH(" ", $A708, 12)))))</formula>
    </cfRule>
  </conditionalFormatting>
  <conditionalFormatting sqref="B708:B710">
    <cfRule type="expression" dxfId="6" priority="1529" stopIfTrue="1">
      <formula>OR($A708="audio audit", $A708="text audit", $A708="speed violations count", $A708="speed violations list", $A708="speed violations audit")</formula>
    </cfRule>
  </conditionalFormatting>
  <conditionalFormatting sqref="B708:C710 D708:E710">
    <cfRule type="expression" dxfId="32" priority="1530" stopIfTrue="1">
      <formula>$A708="file"</formula>
    </cfRule>
  </conditionalFormatting>
  <conditionalFormatting sqref="B708:C710 D708:E710">
    <cfRule type="expression" dxfId="7" priority="1531" stopIfTrue="1">
      <formula>$A708="note"</formula>
    </cfRule>
  </conditionalFormatting>
  <conditionalFormatting sqref="B708:C710 D708:E710">
    <cfRule type="expression" dxfId="8" priority="1532" stopIfTrue="1">
      <formula>$A708="barcode"</formula>
    </cfRule>
  </conditionalFormatting>
  <conditionalFormatting sqref="B708:C710 D708:E710">
    <cfRule type="expression" dxfId="9" priority="1533" stopIfTrue="1">
      <formula>OR($A708="geopoint", $A708="geoshape", $A708="geotrace")</formula>
    </cfRule>
  </conditionalFormatting>
  <conditionalFormatting sqref="B708:B710">
    <cfRule type="expression" dxfId="10" priority="1534" stopIfTrue="1">
      <formula>OR($A708="calculate", $A708="calculate_here")</formula>
    </cfRule>
  </conditionalFormatting>
  <conditionalFormatting sqref="B708:C710 D708:E710">
    <cfRule type="expression" dxfId="11" priority="1535" stopIfTrue="1">
      <formula>OR($A708="date", $A708="datetime", $A708="time")</formula>
    </cfRule>
  </conditionalFormatting>
  <conditionalFormatting sqref="B708:C710 D708:E710">
    <cfRule type="expression" dxfId="12" priority="1536" stopIfTrue="1">
      <formula>$A708="image"</formula>
    </cfRule>
  </conditionalFormatting>
  <conditionalFormatting sqref="B708:C710 D708:E710">
    <cfRule type="expression" dxfId="13" priority="1537" stopIfTrue="1">
      <formula>OR($A708="audio", $A708="video")</formula>
    </cfRule>
  </conditionalFormatting>
  <conditionalFormatting sqref="B708:E710">
    <cfRule type="expression" dxfId="33" priority="1538" stopIfTrue="1">
      <formula>$A708="file"</formula>
    </cfRule>
  </conditionalFormatting>
  <conditionalFormatting sqref="B708:E710">
    <cfRule type="expression" dxfId="34" priority="1539" stopIfTrue="1">
      <formula>$A708="enumerator"</formula>
    </cfRule>
  </conditionalFormatting>
  <conditionalFormatting sqref="B708:E710">
    <cfRule type="expression" dxfId="35" priority="1540" stopIfTrue="1">
      <formula>OR(AND(LEFT($A708, 14)="sensor_stream ", LEN($A708)&gt;14, NOT(ISNUMBER(SEARCH(" ", $A708, 15)))), AND(LEFT($A708, 17)="sensor_statistic ", LEN($A708)&gt;17, NOT(ISNUMBER(SEARCH(" ", $A708, 18)))))</formula>
    </cfRule>
  </conditionalFormatting>
  <conditionalFormatting sqref="B708:E710">
    <cfRule type="expression" dxfId="14" priority="1541" stopIfTrue="1">
      <formula>$A708="comments"</formula>
    </cfRule>
  </conditionalFormatting>
  <conditionalFormatting sqref="B708:E710">
    <cfRule type="expression" dxfId="15" priority="1542" stopIfTrue="1">
      <formula>OR($A708="audio", $A708="video")</formula>
    </cfRule>
  </conditionalFormatting>
  <conditionalFormatting sqref="B708:E710">
    <cfRule type="expression" dxfId="16" priority="1543" stopIfTrue="1">
      <formula>$A708="image"</formula>
    </cfRule>
  </conditionalFormatting>
  <conditionalFormatting sqref="B708:E710">
    <cfRule type="expression" dxfId="17" priority="1544" stopIfTrue="1">
      <formula>OR($A708="date", $A708="datetime", $A708="time")</formula>
    </cfRule>
  </conditionalFormatting>
  <conditionalFormatting sqref="B708:E710">
    <cfRule type="expression" dxfId="18" priority="1545" stopIfTrue="1">
      <formula>OR($A708="calculate", $A708="calculate_here")</formula>
    </cfRule>
  </conditionalFormatting>
  <conditionalFormatting sqref="B708:E710">
    <cfRule type="expression" dxfId="19" priority="1546" stopIfTrue="1">
      <formula>$A708="note"</formula>
    </cfRule>
  </conditionalFormatting>
  <conditionalFormatting sqref="B708:E710">
    <cfRule type="expression" dxfId="20" priority="1547" stopIfTrue="1">
      <formula>$A708="barcode"</formula>
    </cfRule>
  </conditionalFormatting>
  <conditionalFormatting sqref="B708:E710">
    <cfRule type="expression" dxfId="21" priority="1548" stopIfTrue="1">
      <formula>OR($A708="geopoint", $A708="geoshape", $A708="geotrace")</formula>
    </cfRule>
  </conditionalFormatting>
  <conditionalFormatting sqref="B708:E710">
    <cfRule type="expression" dxfId="22" priority="1549" stopIfTrue="1">
      <formula>OR($A708="audio audit", $A708="text audit", $A708="speed violations count", $A708="speed violations list", $A708="speed violations audit")</formula>
    </cfRule>
  </conditionalFormatting>
  <conditionalFormatting sqref="B708:E710">
    <cfRule type="expression" dxfId="23" priority="1550" stopIfTrue="1">
      <formula>OR($A708="username", $A708="phonenumber", $A708="start", $A708="end", $A708="deviceid", $A708="subscriberid", $A708="simserial", $A708="caseid")</formula>
    </cfRule>
  </conditionalFormatting>
  <conditionalFormatting sqref="B708:E710">
    <cfRule type="expression" dxfId="24" priority="1551" stopIfTrue="1">
      <formula>OR(AND(LEFT($A708, 16)="select_multiple ", LEN($A708)&gt;16, NOT(ISNUMBER(SEARCH(" ", $A708, 17)))), AND(LEFT($A708, 11)="select_one ", LEN($A708)&gt;11, NOT(ISNUMBER(SEARCH(" ", $A708, 12)))))</formula>
    </cfRule>
  </conditionalFormatting>
  <conditionalFormatting sqref="B708:E710">
    <cfRule type="expression" dxfId="25" priority="1552" stopIfTrue="1">
      <formula>$A708="decimal"</formula>
    </cfRule>
  </conditionalFormatting>
  <conditionalFormatting sqref="B708:E710">
    <cfRule type="expression" dxfId="26" priority="1553" stopIfTrue="1">
      <formula>$A708="integer"</formula>
    </cfRule>
  </conditionalFormatting>
  <conditionalFormatting sqref="B708:E710">
    <cfRule type="expression" dxfId="27" priority="1554" stopIfTrue="1">
      <formula>$A708="text"</formula>
    </cfRule>
  </conditionalFormatting>
  <conditionalFormatting sqref="B708:E710">
    <cfRule type="expression" dxfId="28" priority="1555" stopIfTrue="1">
      <formula>$A708="end repeat"</formula>
    </cfRule>
  </conditionalFormatting>
  <conditionalFormatting sqref="B708:E710">
    <cfRule type="expression" dxfId="28" priority="1556" stopIfTrue="1">
      <formula>$A708="begin repeat"</formula>
    </cfRule>
  </conditionalFormatting>
  <conditionalFormatting sqref="B708:E710">
    <cfRule type="expression" dxfId="29" priority="1557" stopIfTrue="1">
      <formula>$A708="end group"</formula>
    </cfRule>
  </conditionalFormatting>
  <conditionalFormatting sqref="B708:E710">
    <cfRule type="expression" dxfId="29" priority="1558" stopIfTrue="1">
      <formula>$A708="begin group"</formula>
    </cfRule>
  </conditionalFormatting>
  <conditionalFormatting sqref="B708:B710">
    <cfRule type="expression" dxfId="30" priority="1559" stopIfTrue="1">
      <formula>$A708="comments"</formula>
    </cfRule>
  </conditionalFormatting>
  <conditionalFormatting sqref="B708:B710">
    <cfRule type="expression" dxfId="36" priority="1560" stopIfTrue="1">
      <formula>OR(AND(LEFT($A708, 14)="sensor_stream ", LEN($A708)&gt;14, NOT(ISNUMBER(SEARCH(" ", $A708, 15)))), AND(LEFT($A708, 17)="sensor_statistic ", LEN($A708)&gt;17, NOT(ISNUMBER(SEARCH(" ", $A708, 18)))))</formula>
    </cfRule>
  </conditionalFormatting>
  <conditionalFormatting sqref="B702:C706 D702:E706">
    <cfRule type="expression" dxfId="0" priority="1561" stopIfTrue="1">
      <formula>$A702="begin group"</formula>
    </cfRule>
  </conditionalFormatting>
  <conditionalFormatting sqref="B702:C706 D702:E706">
    <cfRule type="expression" dxfId="1" priority="1562" stopIfTrue="1">
      <formula>$A702="begin repeat"</formula>
    </cfRule>
  </conditionalFormatting>
  <conditionalFormatting sqref="B702:E706">
    <cfRule type="expression" dxfId="31" priority="1563" stopIfTrue="1">
      <formula>$A702="enumerator"</formula>
    </cfRule>
  </conditionalFormatting>
  <conditionalFormatting sqref="B702:E706">
    <cfRule type="expression" dxfId="2" priority="1564" stopIfTrue="1">
      <formula>$A702="text"</formula>
    </cfRule>
  </conditionalFormatting>
  <conditionalFormatting sqref="B702:E706">
    <cfRule type="expression" dxfId="3" priority="1565" stopIfTrue="1">
      <formula>$A702="integer"</formula>
    </cfRule>
  </conditionalFormatting>
  <conditionalFormatting sqref="B702:E706">
    <cfRule type="expression" dxfId="4" priority="1566" stopIfTrue="1">
      <formula>$A702="decimal"</formula>
    </cfRule>
  </conditionalFormatting>
  <conditionalFormatting sqref="B702:C706 D702:E706">
    <cfRule type="expression" dxfId="5" priority="1567" stopIfTrue="1">
      <formula>OR(AND(LEFT($A702, 16)="select_multiple ", LEN($A702)&gt;16, NOT(ISNUMBER(SEARCH(" ", $A702, 17)))), AND(LEFT($A702, 11)="select_one ", LEN($A702)&gt;11, NOT(ISNUMBER(SEARCH(" ", $A702, 12)))))</formula>
    </cfRule>
  </conditionalFormatting>
  <conditionalFormatting sqref="B702:B706">
    <cfRule type="expression" dxfId="6" priority="1568" stopIfTrue="1">
      <formula>OR($A702="audio audit", $A702="text audit", $A702="speed violations count", $A702="speed violations list", $A702="speed violations audit")</formula>
    </cfRule>
  </conditionalFormatting>
  <conditionalFormatting sqref="B702:C706 D702:E706">
    <cfRule type="expression" dxfId="32" priority="1569" stopIfTrue="1">
      <formula>$A702="file"</formula>
    </cfRule>
  </conditionalFormatting>
  <conditionalFormatting sqref="B702:C706 D702:E706">
    <cfRule type="expression" dxfId="7" priority="1570" stopIfTrue="1">
      <formula>$A702="note"</formula>
    </cfRule>
  </conditionalFormatting>
  <conditionalFormatting sqref="B702:C706 D702:E706">
    <cfRule type="expression" dxfId="8" priority="1571" stopIfTrue="1">
      <formula>$A702="barcode"</formula>
    </cfRule>
  </conditionalFormatting>
  <conditionalFormatting sqref="B702:C706 D702:E706">
    <cfRule type="expression" dxfId="9" priority="1572" stopIfTrue="1">
      <formula>OR($A702="geopoint", $A702="geoshape", $A702="geotrace")</formula>
    </cfRule>
  </conditionalFormatting>
  <conditionalFormatting sqref="B702:B706">
    <cfRule type="expression" dxfId="10" priority="1573" stopIfTrue="1">
      <formula>OR($A702="calculate", $A702="calculate_here")</formula>
    </cfRule>
  </conditionalFormatting>
  <conditionalFormatting sqref="B702:C706 D702:E706">
    <cfRule type="expression" dxfId="11" priority="1574" stopIfTrue="1">
      <formula>OR($A702="date", $A702="datetime", $A702="time")</formula>
    </cfRule>
  </conditionalFormatting>
  <conditionalFormatting sqref="B702:C706 D702:E706">
    <cfRule type="expression" dxfId="12" priority="1575" stopIfTrue="1">
      <formula>$A702="image"</formula>
    </cfRule>
  </conditionalFormatting>
  <conditionalFormatting sqref="B702:C706 D702:E706">
    <cfRule type="expression" dxfId="13" priority="1576" stopIfTrue="1">
      <formula>OR($A702="audio", $A702="video")</formula>
    </cfRule>
  </conditionalFormatting>
  <conditionalFormatting sqref="B702:E706">
    <cfRule type="expression" dxfId="33" priority="1577" stopIfTrue="1">
      <formula>$A702="file"</formula>
    </cfRule>
  </conditionalFormatting>
  <conditionalFormatting sqref="B702:E706">
    <cfRule type="expression" dxfId="34" priority="1578" stopIfTrue="1">
      <formula>$A702="enumerator"</formula>
    </cfRule>
  </conditionalFormatting>
  <conditionalFormatting sqref="B702:E706">
    <cfRule type="expression" dxfId="35" priority="1579" stopIfTrue="1">
      <formula>OR(AND(LEFT($A702, 14)="sensor_stream ", LEN($A702)&gt;14, NOT(ISNUMBER(SEARCH(" ", $A702, 15)))), AND(LEFT($A702, 17)="sensor_statistic ", LEN($A702)&gt;17, NOT(ISNUMBER(SEARCH(" ", $A702, 18)))))</formula>
    </cfRule>
  </conditionalFormatting>
  <conditionalFormatting sqref="B702:E706">
    <cfRule type="expression" dxfId="14" priority="1580" stopIfTrue="1">
      <formula>$A702="comments"</formula>
    </cfRule>
  </conditionalFormatting>
  <conditionalFormatting sqref="B702:E706">
    <cfRule type="expression" dxfId="15" priority="1581" stopIfTrue="1">
      <formula>OR($A702="audio", $A702="video")</formula>
    </cfRule>
  </conditionalFormatting>
  <conditionalFormatting sqref="B702:E706">
    <cfRule type="expression" dxfId="16" priority="1582" stopIfTrue="1">
      <formula>$A702="image"</formula>
    </cfRule>
  </conditionalFormatting>
  <conditionalFormatting sqref="B702:E706">
    <cfRule type="expression" dxfId="17" priority="1583" stopIfTrue="1">
      <formula>OR($A702="date", $A702="datetime", $A702="time")</formula>
    </cfRule>
  </conditionalFormatting>
  <conditionalFormatting sqref="B702:E706">
    <cfRule type="expression" dxfId="18" priority="1584" stopIfTrue="1">
      <formula>OR($A702="calculate", $A702="calculate_here")</formula>
    </cfRule>
  </conditionalFormatting>
  <conditionalFormatting sqref="B702:E706">
    <cfRule type="expression" dxfId="19" priority="1585" stopIfTrue="1">
      <formula>$A702="note"</formula>
    </cfRule>
  </conditionalFormatting>
  <conditionalFormatting sqref="B702:E706">
    <cfRule type="expression" dxfId="20" priority="1586" stopIfTrue="1">
      <formula>$A702="barcode"</formula>
    </cfRule>
  </conditionalFormatting>
  <conditionalFormatting sqref="B702:E706">
    <cfRule type="expression" dxfId="21" priority="1587" stopIfTrue="1">
      <formula>OR($A702="geopoint", $A702="geoshape", $A702="geotrace")</formula>
    </cfRule>
  </conditionalFormatting>
  <conditionalFormatting sqref="B702:E706">
    <cfRule type="expression" dxfId="22" priority="1588" stopIfTrue="1">
      <formula>OR($A702="audio audit", $A702="text audit", $A702="speed violations count", $A702="speed violations list", $A702="speed violations audit")</formula>
    </cfRule>
  </conditionalFormatting>
  <conditionalFormatting sqref="B702:E706">
    <cfRule type="expression" dxfId="23" priority="1589" stopIfTrue="1">
      <formula>OR($A702="username", $A702="phonenumber", $A702="start", $A702="end", $A702="deviceid", $A702="subscriberid", $A702="simserial", $A702="caseid")</formula>
    </cfRule>
  </conditionalFormatting>
  <conditionalFormatting sqref="B702:E706">
    <cfRule type="expression" dxfId="24" priority="1590" stopIfTrue="1">
      <formula>OR(AND(LEFT($A702, 16)="select_multiple ", LEN($A702)&gt;16, NOT(ISNUMBER(SEARCH(" ", $A702, 17)))), AND(LEFT($A702, 11)="select_one ", LEN($A702)&gt;11, NOT(ISNUMBER(SEARCH(" ", $A702, 12)))))</formula>
    </cfRule>
  </conditionalFormatting>
  <conditionalFormatting sqref="B702:E706">
    <cfRule type="expression" dxfId="25" priority="1591" stopIfTrue="1">
      <formula>$A702="decimal"</formula>
    </cfRule>
  </conditionalFormatting>
  <conditionalFormatting sqref="B702:E706">
    <cfRule type="expression" dxfId="26" priority="1592" stopIfTrue="1">
      <formula>$A702="integer"</formula>
    </cfRule>
  </conditionalFormatting>
  <conditionalFormatting sqref="B702:E706">
    <cfRule type="expression" dxfId="27" priority="1593" stopIfTrue="1">
      <formula>$A702="text"</formula>
    </cfRule>
  </conditionalFormatting>
  <conditionalFormatting sqref="B702:E706">
    <cfRule type="expression" dxfId="28" priority="1594" stopIfTrue="1">
      <formula>$A702="end repeat"</formula>
    </cfRule>
  </conditionalFormatting>
  <conditionalFormatting sqref="B702:E706">
    <cfRule type="expression" dxfId="28" priority="1595" stopIfTrue="1">
      <formula>$A702="begin repeat"</formula>
    </cfRule>
  </conditionalFormatting>
  <conditionalFormatting sqref="B702:E706">
    <cfRule type="expression" dxfId="29" priority="1596" stopIfTrue="1">
      <formula>$A702="end group"</formula>
    </cfRule>
  </conditionalFormatting>
  <conditionalFormatting sqref="B702:E706">
    <cfRule type="expression" dxfId="29" priority="1597" stopIfTrue="1">
      <formula>$A702="begin group"</formula>
    </cfRule>
  </conditionalFormatting>
  <conditionalFormatting sqref="B702:B706">
    <cfRule type="expression" dxfId="30" priority="1598" stopIfTrue="1">
      <formula>$A702="comments"</formula>
    </cfRule>
  </conditionalFormatting>
  <conditionalFormatting sqref="B702:B706">
    <cfRule type="expression" dxfId="36" priority="1599" stopIfTrue="1">
      <formula>OR(AND(LEFT($A702, 14)="sensor_stream ", LEN($A702)&gt;14, NOT(ISNUMBER(SEARCH(" ", $A702, 15)))), AND(LEFT($A702, 17)="sensor_statistic ", LEN($A702)&gt;17, NOT(ISNUMBER(SEARCH(" ", $A702, 18)))))</formula>
    </cfRule>
  </conditionalFormatting>
  <conditionalFormatting sqref="B700:C700 D700:E700">
    <cfRule type="expression" dxfId="0" priority="1600" stopIfTrue="1">
      <formula>$A700="begin group"</formula>
    </cfRule>
  </conditionalFormatting>
  <conditionalFormatting sqref="B700:C700 D700:E700">
    <cfRule type="expression" dxfId="1" priority="1601" stopIfTrue="1">
      <formula>$A700="begin repeat"</formula>
    </cfRule>
  </conditionalFormatting>
  <conditionalFormatting sqref="B700:E700">
    <cfRule type="expression" dxfId="31" priority="1602" stopIfTrue="1">
      <formula>$A700="enumerator"</formula>
    </cfRule>
  </conditionalFormatting>
  <conditionalFormatting sqref="B700:E700">
    <cfRule type="expression" dxfId="2" priority="1603" stopIfTrue="1">
      <formula>$A700="text"</formula>
    </cfRule>
  </conditionalFormatting>
  <conditionalFormatting sqref="B700:E700">
    <cfRule type="expression" dxfId="3" priority="1604" stopIfTrue="1">
      <formula>$A700="integer"</formula>
    </cfRule>
  </conditionalFormatting>
  <conditionalFormatting sqref="B700:E700">
    <cfRule type="expression" dxfId="4" priority="1605" stopIfTrue="1">
      <formula>$A700="decimal"</formula>
    </cfRule>
  </conditionalFormatting>
  <conditionalFormatting sqref="B700:C700 D700:E700">
    <cfRule type="expression" dxfId="5" priority="1606" stopIfTrue="1">
      <formula>OR(AND(LEFT($A700, 16)="select_multiple ", LEN($A700)&gt;16, NOT(ISNUMBER(SEARCH(" ", $A700, 17)))), AND(LEFT($A700, 11)="select_one ", LEN($A700)&gt;11, NOT(ISNUMBER(SEARCH(" ", $A700, 12)))))</formula>
    </cfRule>
  </conditionalFormatting>
  <conditionalFormatting sqref="B700">
    <cfRule type="expression" dxfId="6" priority="1607" stopIfTrue="1">
      <formula>OR($A700="audio audit", $A700="text audit", $A700="speed violations count", $A700="speed violations list", $A700="speed violations audit")</formula>
    </cfRule>
  </conditionalFormatting>
  <conditionalFormatting sqref="B700:C700 D700:E700">
    <cfRule type="expression" dxfId="32" priority="1608" stopIfTrue="1">
      <formula>$A700="file"</formula>
    </cfRule>
  </conditionalFormatting>
  <conditionalFormatting sqref="B700:C700 D700:E700">
    <cfRule type="expression" dxfId="7" priority="1609" stopIfTrue="1">
      <formula>$A700="note"</formula>
    </cfRule>
  </conditionalFormatting>
  <conditionalFormatting sqref="B700:C700 D700:E700">
    <cfRule type="expression" dxfId="8" priority="1610" stopIfTrue="1">
      <formula>$A700="barcode"</formula>
    </cfRule>
  </conditionalFormatting>
  <conditionalFormatting sqref="B700:C700 D700:E700">
    <cfRule type="expression" dxfId="9" priority="1611" stopIfTrue="1">
      <formula>OR($A700="geopoint", $A700="geoshape", $A700="geotrace")</formula>
    </cfRule>
  </conditionalFormatting>
  <conditionalFormatting sqref="B700">
    <cfRule type="expression" dxfId="10" priority="1612" stopIfTrue="1">
      <formula>OR($A700="calculate", $A700="calculate_here")</formula>
    </cfRule>
  </conditionalFormatting>
  <conditionalFormatting sqref="B700:C700 D700:E700">
    <cfRule type="expression" dxfId="11" priority="1613" stopIfTrue="1">
      <formula>OR($A700="date", $A700="datetime", $A700="time")</formula>
    </cfRule>
  </conditionalFormatting>
  <conditionalFormatting sqref="B700:C700 D700:E700">
    <cfRule type="expression" dxfId="12" priority="1614" stopIfTrue="1">
      <formula>$A700="image"</formula>
    </cfRule>
  </conditionalFormatting>
  <conditionalFormatting sqref="B700:C700 D700:E700">
    <cfRule type="expression" dxfId="13" priority="1615" stopIfTrue="1">
      <formula>OR($A700="audio", $A700="video")</formula>
    </cfRule>
  </conditionalFormatting>
  <conditionalFormatting sqref="B700:E700">
    <cfRule type="expression" dxfId="33" priority="1616" stopIfTrue="1">
      <formula>$A700="file"</formula>
    </cfRule>
  </conditionalFormatting>
  <conditionalFormatting sqref="B700:E700">
    <cfRule type="expression" dxfId="34" priority="1617" stopIfTrue="1">
      <formula>$A700="enumerator"</formula>
    </cfRule>
  </conditionalFormatting>
  <conditionalFormatting sqref="B700:E700">
    <cfRule type="expression" dxfId="35" priority="1618" stopIfTrue="1">
      <formula>OR(AND(LEFT($A700, 14)="sensor_stream ", LEN($A700)&gt;14, NOT(ISNUMBER(SEARCH(" ", $A700, 15)))), AND(LEFT($A700, 17)="sensor_statistic ", LEN($A700)&gt;17, NOT(ISNUMBER(SEARCH(" ", $A700, 18)))))</formula>
    </cfRule>
  </conditionalFormatting>
  <conditionalFormatting sqref="B700:E700">
    <cfRule type="expression" dxfId="14" priority="1619" stopIfTrue="1">
      <formula>$A700="comments"</formula>
    </cfRule>
  </conditionalFormatting>
  <conditionalFormatting sqref="B700:E700">
    <cfRule type="expression" dxfId="15" priority="1620" stopIfTrue="1">
      <formula>OR($A700="audio", $A700="video")</formula>
    </cfRule>
  </conditionalFormatting>
  <conditionalFormatting sqref="B700:E700">
    <cfRule type="expression" dxfId="16" priority="1621" stopIfTrue="1">
      <formula>$A700="image"</formula>
    </cfRule>
  </conditionalFormatting>
  <conditionalFormatting sqref="B700:E700">
    <cfRule type="expression" dxfId="17" priority="1622" stopIfTrue="1">
      <formula>OR($A700="date", $A700="datetime", $A700="time")</formula>
    </cfRule>
  </conditionalFormatting>
  <conditionalFormatting sqref="B700:E700">
    <cfRule type="expression" dxfId="18" priority="1623" stopIfTrue="1">
      <formula>OR($A700="calculate", $A700="calculate_here")</formula>
    </cfRule>
  </conditionalFormatting>
  <conditionalFormatting sqref="B700:E700">
    <cfRule type="expression" dxfId="19" priority="1624" stopIfTrue="1">
      <formula>$A700="note"</formula>
    </cfRule>
  </conditionalFormatting>
  <conditionalFormatting sqref="B700:E700">
    <cfRule type="expression" dxfId="20" priority="1625" stopIfTrue="1">
      <formula>$A700="barcode"</formula>
    </cfRule>
  </conditionalFormatting>
  <conditionalFormatting sqref="B700:E700">
    <cfRule type="expression" dxfId="21" priority="1626" stopIfTrue="1">
      <formula>OR($A700="geopoint", $A700="geoshape", $A700="geotrace")</formula>
    </cfRule>
  </conditionalFormatting>
  <conditionalFormatting sqref="B700:E700">
    <cfRule type="expression" dxfId="22" priority="1627" stopIfTrue="1">
      <formula>OR($A700="audio audit", $A700="text audit", $A700="speed violations count", $A700="speed violations list", $A700="speed violations audit")</formula>
    </cfRule>
  </conditionalFormatting>
  <conditionalFormatting sqref="B700:E700">
    <cfRule type="expression" dxfId="23" priority="1628" stopIfTrue="1">
      <formula>OR($A700="username", $A700="phonenumber", $A700="start", $A700="end", $A700="deviceid", $A700="subscriberid", $A700="simserial", $A700="caseid")</formula>
    </cfRule>
  </conditionalFormatting>
  <conditionalFormatting sqref="B700:E700">
    <cfRule type="expression" dxfId="24" priority="1629" stopIfTrue="1">
      <formula>OR(AND(LEFT($A700, 16)="select_multiple ", LEN($A700)&gt;16, NOT(ISNUMBER(SEARCH(" ", $A700, 17)))), AND(LEFT($A700, 11)="select_one ", LEN($A700)&gt;11, NOT(ISNUMBER(SEARCH(" ", $A700, 12)))))</formula>
    </cfRule>
  </conditionalFormatting>
  <conditionalFormatting sqref="B700:E700">
    <cfRule type="expression" dxfId="25" priority="1630" stopIfTrue="1">
      <formula>$A700="decimal"</formula>
    </cfRule>
  </conditionalFormatting>
  <conditionalFormatting sqref="B700:E700">
    <cfRule type="expression" dxfId="26" priority="1631" stopIfTrue="1">
      <formula>$A700="integer"</formula>
    </cfRule>
  </conditionalFormatting>
  <conditionalFormatting sqref="B700:E700">
    <cfRule type="expression" dxfId="27" priority="1632" stopIfTrue="1">
      <formula>$A700="text"</formula>
    </cfRule>
  </conditionalFormatting>
  <conditionalFormatting sqref="B700:E700">
    <cfRule type="expression" dxfId="28" priority="1633" stopIfTrue="1">
      <formula>$A700="end repeat"</formula>
    </cfRule>
  </conditionalFormatting>
  <conditionalFormatting sqref="B700:E700">
    <cfRule type="expression" dxfId="28" priority="1634" stopIfTrue="1">
      <formula>$A700="begin repeat"</formula>
    </cfRule>
  </conditionalFormatting>
  <conditionalFormatting sqref="B700:E700">
    <cfRule type="expression" dxfId="29" priority="1635" stopIfTrue="1">
      <formula>$A700="end group"</formula>
    </cfRule>
  </conditionalFormatting>
  <conditionalFormatting sqref="B700:E700">
    <cfRule type="expression" dxfId="29" priority="1636" stopIfTrue="1">
      <formula>$A700="begin group"</formula>
    </cfRule>
  </conditionalFormatting>
  <conditionalFormatting sqref="B700">
    <cfRule type="expression" dxfId="30" priority="1637" stopIfTrue="1">
      <formula>$A700="comments"</formula>
    </cfRule>
  </conditionalFormatting>
  <conditionalFormatting sqref="B700">
    <cfRule type="expression" dxfId="36" priority="1638" stopIfTrue="1">
      <formula>OR(AND(LEFT($A700, 14)="sensor_stream ", LEN($A700)&gt;14, NOT(ISNUMBER(SEARCH(" ", $A700, 15)))), AND(LEFT($A700, 17)="sensor_statistic ", LEN($A700)&gt;17, NOT(ISNUMBER(SEARCH(" ", $A700, 18)))))</formula>
    </cfRule>
  </conditionalFormatting>
  <conditionalFormatting sqref="B693:C695 D693:E695">
    <cfRule type="expression" dxfId="0" priority="1639" stopIfTrue="1">
      <formula>$A693="begin group"</formula>
    </cfRule>
  </conditionalFormatting>
  <conditionalFormatting sqref="B693:C695 D693:E695">
    <cfRule type="expression" dxfId="1" priority="1640" stopIfTrue="1">
      <formula>$A693="begin repeat"</formula>
    </cfRule>
  </conditionalFormatting>
  <conditionalFormatting sqref="B693:E695">
    <cfRule type="expression" dxfId="31" priority="1641" stopIfTrue="1">
      <formula>$A693="enumerator"</formula>
    </cfRule>
  </conditionalFormatting>
  <conditionalFormatting sqref="B693:E695">
    <cfRule type="expression" dxfId="2" priority="1642" stopIfTrue="1">
      <formula>$A693="text"</formula>
    </cfRule>
  </conditionalFormatting>
  <conditionalFormatting sqref="B693:E695">
    <cfRule type="expression" dxfId="3" priority="1643" stopIfTrue="1">
      <formula>$A693="integer"</formula>
    </cfRule>
  </conditionalFormatting>
  <conditionalFormatting sqref="B693:E695">
    <cfRule type="expression" dxfId="4" priority="1644" stopIfTrue="1">
      <formula>$A693="decimal"</formula>
    </cfRule>
  </conditionalFormatting>
  <conditionalFormatting sqref="B693:C695 D693:E695">
    <cfRule type="expression" dxfId="5" priority="1645" stopIfTrue="1">
      <formula>OR(AND(LEFT($A693, 16)="select_multiple ", LEN($A693)&gt;16, NOT(ISNUMBER(SEARCH(" ", $A693, 17)))), AND(LEFT($A693, 11)="select_one ", LEN($A693)&gt;11, NOT(ISNUMBER(SEARCH(" ", $A693, 12)))))</formula>
    </cfRule>
  </conditionalFormatting>
  <conditionalFormatting sqref="B693:B695">
    <cfRule type="expression" dxfId="6" priority="1646" stopIfTrue="1">
      <formula>OR($A693="audio audit", $A693="text audit", $A693="speed violations count", $A693="speed violations list", $A693="speed violations audit")</formula>
    </cfRule>
  </conditionalFormatting>
  <conditionalFormatting sqref="B693:C695 D693:E695">
    <cfRule type="expression" dxfId="32" priority="1647" stopIfTrue="1">
      <formula>$A693="file"</formula>
    </cfRule>
  </conditionalFormatting>
  <conditionalFormatting sqref="B693:C695 D693:E695">
    <cfRule type="expression" dxfId="7" priority="1648" stopIfTrue="1">
      <formula>$A693="note"</formula>
    </cfRule>
  </conditionalFormatting>
  <conditionalFormatting sqref="B693:C695 D693:E695">
    <cfRule type="expression" dxfId="8" priority="1649" stopIfTrue="1">
      <formula>$A693="barcode"</formula>
    </cfRule>
  </conditionalFormatting>
  <conditionalFormatting sqref="B693:C695 D693:E695">
    <cfRule type="expression" dxfId="9" priority="1650" stopIfTrue="1">
      <formula>OR($A693="geopoint", $A693="geoshape", $A693="geotrace")</formula>
    </cfRule>
  </conditionalFormatting>
  <conditionalFormatting sqref="B693:B695">
    <cfRule type="expression" dxfId="10" priority="1651" stopIfTrue="1">
      <formula>OR($A693="calculate", $A693="calculate_here")</formula>
    </cfRule>
  </conditionalFormatting>
  <conditionalFormatting sqref="B693:C695 D693:E695">
    <cfRule type="expression" dxfId="11" priority="1652" stopIfTrue="1">
      <formula>OR($A693="date", $A693="datetime", $A693="time")</formula>
    </cfRule>
  </conditionalFormatting>
  <conditionalFormatting sqref="B693:C695 D693:E695">
    <cfRule type="expression" dxfId="12" priority="1653" stopIfTrue="1">
      <formula>$A693="image"</formula>
    </cfRule>
  </conditionalFormatting>
  <conditionalFormatting sqref="B693:C695 D693:E695">
    <cfRule type="expression" dxfId="13" priority="1654" stopIfTrue="1">
      <formula>OR($A693="audio", $A693="video")</formula>
    </cfRule>
  </conditionalFormatting>
  <conditionalFormatting sqref="B693:E695">
    <cfRule type="expression" dxfId="33" priority="1655" stopIfTrue="1">
      <formula>$A693="file"</formula>
    </cfRule>
  </conditionalFormatting>
  <conditionalFormatting sqref="B693:E695">
    <cfRule type="expression" dxfId="34" priority="1656" stopIfTrue="1">
      <formula>$A693="enumerator"</formula>
    </cfRule>
  </conditionalFormatting>
  <conditionalFormatting sqref="B693:E695">
    <cfRule type="expression" dxfId="35" priority="1657" stopIfTrue="1">
      <formula>OR(AND(LEFT($A693, 14)="sensor_stream ", LEN($A693)&gt;14, NOT(ISNUMBER(SEARCH(" ", $A693, 15)))), AND(LEFT($A693, 17)="sensor_statistic ", LEN($A693)&gt;17, NOT(ISNUMBER(SEARCH(" ", $A693, 18)))))</formula>
    </cfRule>
  </conditionalFormatting>
  <conditionalFormatting sqref="B693:E695">
    <cfRule type="expression" dxfId="14" priority="1658" stopIfTrue="1">
      <formula>$A693="comments"</formula>
    </cfRule>
  </conditionalFormatting>
  <conditionalFormatting sqref="B693:E695">
    <cfRule type="expression" dxfId="15" priority="1659" stopIfTrue="1">
      <formula>OR($A693="audio", $A693="video")</formula>
    </cfRule>
  </conditionalFormatting>
  <conditionalFormatting sqref="B693:E695">
    <cfRule type="expression" dxfId="16" priority="1660" stopIfTrue="1">
      <formula>$A693="image"</formula>
    </cfRule>
  </conditionalFormatting>
  <conditionalFormatting sqref="B693:E695">
    <cfRule type="expression" dxfId="17" priority="1661" stopIfTrue="1">
      <formula>OR($A693="date", $A693="datetime", $A693="time")</formula>
    </cfRule>
  </conditionalFormatting>
  <conditionalFormatting sqref="B693:E695">
    <cfRule type="expression" dxfId="18" priority="1662" stopIfTrue="1">
      <formula>OR($A693="calculate", $A693="calculate_here")</formula>
    </cfRule>
  </conditionalFormatting>
  <conditionalFormatting sqref="B693:E695">
    <cfRule type="expression" dxfId="19" priority="1663" stopIfTrue="1">
      <formula>$A693="note"</formula>
    </cfRule>
  </conditionalFormatting>
  <conditionalFormatting sqref="B693:E695">
    <cfRule type="expression" dxfId="20" priority="1664" stopIfTrue="1">
      <formula>$A693="barcode"</formula>
    </cfRule>
  </conditionalFormatting>
  <conditionalFormatting sqref="B693:E695">
    <cfRule type="expression" dxfId="21" priority="1665" stopIfTrue="1">
      <formula>OR($A693="geopoint", $A693="geoshape", $A693="geotrace")</formula>
    </cfRule>
  </conditionalFormatting>
  <conditionalFormatting sqref="B693:E695">
    <cfRule type="expression" dxfId="22" priority="1666" stopIfTrue="1">
      <formula>OR($A693="audio audit", $A693="text audit", $A693="speed violations count", $A693="speed violations list", $A693="speed violations audit")</formula>
    </cfRule>
  </conditionalFormatting>
  <conditionalFormatting sqref="B693:E695">
    <cfRule type="expression" dxfId="23" priority="1667" stopIfTrue="1">
      <formula>OR($A693="username", $A693="phonenumber", $A693="start", $A693="end", $A693="deviceid", $A693="subscriberid", $A693="simserial", $A693="caseid")</formula>
    </cfRule>
  </conditionalFormatting>
  <conditionalFormatting sqref="B693:E695">
    <cfRule type="expression" dxfId="24" priority="1668" stopIfTrue="1">
      <formula>OR(AND(LEFT($A693, 16)="select_multiple ", LEN($A693)&gt;16, NOT(ISNUMBER(SEARCH(" ", $A693, 17)))), AND(LEFT($A693, 11)="select_one ", LEN($A693)&gt;11, NOT(ISNUMBER(SEARCH(" ", $A693, 12)))))</formula>
    </cfRule>
  </conditionalFormatting>
  <conditionalFormatting sqref="B693:E695">
    <cfRule type="expression" dxfId="25" priority="1669" stopIfTrue="1">
      <formula>$A693="decimal"</formula>
    </cfRule>
  </conditionalFormatting>
  <conditionalFormatting sqref="B693:E695">
    <cfRule type="expression" dxfId="26" priority="1670" stopIfTrue="1">
      <formula>$A693="integer"</formula>
    </cfRule>
  </conditionalFormatting>
  <conditionalFormatting sqref="B693:E695">
    <cfRule type="expression" dxfId="27" priority="1671" stopIfTrue="1">
      <formula>$A693="text"</formula>
    </cfRule>
  </conditionalFormatting>
  <conditionalFormatting sqref="B693:E695">
    <cfRule type="expression" dxfId="28" priority="1672" stopIfTrue="1">
      <formula>$A693="end repeat"</formula>
    </cfRule>
  </conditionalFormatting>
  <conditionalFormatting sqref="B693:E695">
    <cfRule type="expression" dxfId="28" priority="1673" stopIfTrue="1">
      <formula>$A693="begin repeat"</formula>
    </cfRule>
  </conditionalFormatting>
  <conditionalFormatting sqref="B693:E695">
    <cfRule type="expression" dxfId="29" priority="1674" stopIfTrue="1">
      <formula>$A693="end group"</formula>
    </cfRule>
  </conditionalFormatting>
  <conditionalFormatting sqref="B693:E695">
    <cfRule type="expression" dxfId="29" priority="1675" stopIfTrue="1">
      <formula>$A693="begin group"</formula>
    </cfRule>
  </conditionalFormatting>
  <conditionalFormatting sqref="B693:B695">
    <cfRule type="expression" dxfId="30" priority="1676" stopIfTrue="1">
      <formula>$A693="comments"</formula>
    </cfRule>
  </conditionalFormatting>
  <conditionalFormatting sqref="B693:B695">
    <cfRule type="expression" dxfId="36" priority="1677" stopIfTrue="1">
      <formula>OR(AND(LEFT($A693, 14)="sensor_stream ", LEN($A693)&gt;14, NOT(ISNUMBER(SEARCH(" ", $A693, 15)))), AND(LEFT($A693, 17)="sensor_statistic ", LEN($A693)&gt;17, NOT(ISNUMBER(SEARCH(" ", $A693, 18)))))</formula>
    </cfRule>
  </conditionalFormatting>
  <conditionalFormatting sqref="B683:C687 D683:E687">
    <cfRule type="expression" dxfId="0" priority="1678" stopIfTrue="1">
      <formula>$A683="begin group"</formula>
    </cfRule>
  </conditionalFormatting>
  <conditionalFormatting sqref="B683:C687 D683:E687">
    <cfRule type="expression" dxfId="1" priority="1679" stopIfTrue="1">
      <formula>$A683="begin repeat"</formula>
    </cfRule>
  </conditionalFormatting>
  <conditionalFormatting sqref="B683:E687">
    <cfRule type="expression" dxfId="31" priority="1680" stopIfTrue="1">
      <formula>$A683="enumerator"</formula>
    </cfRule>
  </conditionalFormatting>
  <conditionalFormatting sqref="B683:E687">
    <cfRule type="expression" dxfId="2" priority="1681" stopIfTrue="1">
      <formula>$A683="text"</formula>
    </cfRule>
  </conditionalFormatting>
  <conditionalFormatting sqref="B683:E687">
    <cfRule type="expression" dxfId="3" priority="1682" stopIfTrue="1">
      <formula>$A683="integer"</formula>
    </cfRule>
  </conditionalFormatting>
  <conditionalFormatting sqref="B683:E687">
    <cfRule type="expression" dxfId="4" priority="1683" stopIfTrue="1">
      <formula>$A683="decimal"</formula>
    </cfRule>
  </conditionalFormatting>
  <conditionalFormatting sqref="B683:C687 D683:E687">
    <cfRule type="expression" dxfId="5" priority="1684" stopIfTrue="1">
      <formula>OR(AND(LEFT($A683, 16)="select_multiple ", LEN($A683)&gt;16, NOT(ISNUMBER(SEARCH(" ", $A683, 17)))), AND(LEFT($A683, 11)="select_one ", LEN($A683)&gt;11, NOT(ISNUMBER(SEARCH(" ", $A683, 12)))))</formula>
    </cfRule>
  </conditionalFormatting>
  <conditionalFormatting sqref="B683:B687">
    <cfRule type="expression" dxfId="6" priority="1685" stopIfTrue="1">
      <formula>OR($A683="audio audit", $A683="text audit", $A683="speed violations count", $A683="speed violations list", $A683="speed violations audit")</formula>
    </cfRule>
  </conditionalFormatting>
  <conditionalFormatting sqref="B683:C687 D683:E687">
    <cfRule type="expression" dxfId="32" priority="1686" stopIfTrue="1">
      <formula>$A683="file"</formula>
    </cfRule>
  </conditionalFormatting>
  <conditionalFormatting sqref="B683:C687 D683:E687">
    <cfRule type="expression" dxfId="7" priority="1687" stopIfTrue="1">
      <formula>$A683="note"</formula>
    </cfRule>
  </conditionalFormatting>
  <conditionalFormatting sqref="B683:C687 D683:E687">
    <cfRule type="expression" dxfId="8" priority="1688" stopIfTrue="1">
      <formula>$A683="barcode"</formula>
    </cfRule>
  </conditionalFormatting>
  <conditionalFormatting sqref="B683:C687 D683:E687">
    <cfRule type="expression" dxfId="9" priority="1689" stopIfTrue="1">
      <formula>OR($A683="geopoint", $A683="geoshape", $A683="geotrace")</formula>
    </cfRule>
  </conditionalFormatting>
  <conditionalFormatting sqref="B683:B687">
    <cfRule type="expression" dxfId="10" priority="1690" stopIfTrue="1">
      <formula>OR($A683="calculate", $A683="calculate_here")</formula>
    </cfRule>
  </conditionalFormatting>
  <conditionalFormatting sqref="B683:C687 D683:E687">
    <cfRule type="expression" dxfId="11" priority="1691" stopIfTrue="1">
      <formula>OR($A683="date", $A683="datetime", $A683="time")</formula>
    </cfRule>
  </conditionalFormatting>
  <conditionalFormatting sqref="B683:C687 D683:E687">
    <cfRule type="expression" dxfId="12" priority="1692" stopIfTrue="1">
      <formula>$A683="image"</formula>
    </cfRule>
  </conditionalFormatting>
  <conditionalFormatting sqref="B683:C687 D683:E687">
    <cfRule type="expression" dxfId="13" priority="1693" stopIfTrue="1">
      <formula>OR($A683="audio", $A683="video")</formula>
    </cfRule>
  </conditionalFormatting>
  <conditionalFormatting sqref="B683:E687">
    <cfRule type="expression" dxfId="33" priority="1694" stopIfTrue="1">
      <formula>$A683="file"</formula>
    </cfRule>
  </conditionalFormatting>
  <conditionalFormatting sqref="B683:E687">
    <cfRule type="expression" dxfId="34" priority="1695" stopIfTrue="1">
      <formula>$A683="enumerator"</formula>
    </cfRule>
  </conditionalFormatting>
  <conditionalFormatting sqref="B683:E687">
    <cfRule type="expression" dxfId="35" priority="1696" stopIfTrue="1">
      <formula>OR(AND(LEFT($A683, 14)="sensor_stream ", LEN($A683)&gt;14, NOT(ISNUMBER(SEARCH(" ", $A683, 15)))), AND(LEFT($A683, 17)="sensor_statistic ", LEN($A683)&gt;17, NOT(ISNUMBER(SEARCH(" ", $A683, 18)))))</formula>
    </cfRule>
  </conditionalFormatting>
  <conditionalFormatting sqref="B683:E687">
    <cfRule type="expression" dxfId="14" priority="1697" stopIfTrue="1">
      <formula>$A683="comments"</formula>
    </cfRule>
  </conditionalFormatting>
  <conditionalFormatting sqref="B683:E687">
    <cfRule type="expression" dxfId="15" priority="1698" stopIfTrue="1">
      <formula>OR($A683="audio", $A683="video")</formula>
    </cfRule>
  </conditionalFormatting>
  <conditionalFormatting sqref="B683:E687">
    <cfRule type="expression" dxfId="16" priority="1699" stopIfTrue="1">
      <formula>$A683="image"</formula>
    </cfRule>
  </conditionalFormatting>
  <conditionalFormatting sqref="B683:E687">
    <cfRule type="expression" dxfId="17" priority="1700" stopIfTrue="1">
      <formula>OR($A683="date", $A683="datetime", $A683="time")</formula>
    </cfRule>
  </conditionalFormatting>
  <conditionalFormatting sqref="B683:E687">
    <cfRule type="expression" dxfId="18" priority="1701" stopIfTrue="1">
      <formula>OR($A683="calculate", $A683="calculate_here")</formula>
    </cfRule>
  </conditionalFormatting>
  <conditionalFormatting sqref="B683:E687">
    <cfRule type="expression" dxfId="19" priority="1702" stopIfTrue="1">
      <formula>$A683="note"</formula>
    </cfRule>
  </conditionalFormatting>
  <conditionalFormatting sqref="B683:E687">
    <cfRule type="expression" dxfId="20" priority="1703" stopIfTrue="1">
      <formula>$A683="barcode"</formula>
    </cfRule>
  </conditionalFormatting>
  <conditionalFormatting sqref="B683:E687">
    <cfRule type="expression" dxfId="21" priority="1704" stopIfTrue="1">
      <formula>OR($A683="geopoint", $A683="geoshape", $A683="geotrace")</formula>
    </cfRule>
  </conditionalFormatting>
  <conditionalFormatting sqref="B683:E687">
    <cfRule type="expression" dxfId="22" priority="1705" stopIfTrue="1">
      <formula>OR($A683="audio audit", $A683="text audit", $A683="speed violations count", $A683="speed violations list", $A683="speed violations audit")</formula>
    </cfRule>
  </conditionalFormatting>
  <conditionalFormatting sqref="B683:E687">
    <cfRule type="expression" dxfId="23" priority="1706" stopIfTrue="1">
      <formula>OR($A683="username", $A683="phonenumber", $A683="start", $A683="end", $A683="deviceid", $A683="subscriberid", $A683="simserial", $A683="caseid")</formula>
    </cfRule>
  </conditionalFormatting>
  <conditionalFormatting sqref="B683:E687">
    <cfRule type="expression" dxfId="24" priority="1707" stopIfTrue="1">
      <formula>OR(AND(LEFT($A683, 16)="select_multiple ", LEN($A683)&gt;16, NOT(ISNUMBER(SEARCH(" ", $A683, 17)))), AND(LEFT($A683, 11)="select_one ", LEN($A683)&gt;11, NOT(ISNUMBER(SEARCH(" ", $A683, 12)))))</formula>
    </cfRule>
  </conditionalFormatting>
  <conditionalFormatting sqref="B683:E687">
    <cfRule type="expression" dxfId="25" priority="1708" stopIfTrue="1">
      <formula>$A683="decimal"</formula>
    </cfRule>
  </conditionalFormatting>
  <conditionalFormatting sqref="B683:E687">
    <cfRule type="expression" dxfId="26" priority="1709" stopIfTrue="1">
      <formula>$A683="integer"</formula>
    </cfRule>
  </conditionalFormatting>
  <conditionalFormatting sqref="B683:E687">
    <cfRule type="expression" dxfId="27" priority="1710" stopIfTrue="1">
      <formula>$A683="text"</formula>
    </cfRule>
  </conditionalFormatting>
  <conditionalFormatting sqref="B683:E687">
    <cfRule type="expression" dxfId="28" priority="1711" stopIfTrue="1">
      <formula>$A683="end repeat"</formula>
    </cfRule>
  </conditionalFormatting>
  <conditionalFormatting sqref="B683:E687">
    <cfRule type="expression" dxfId="28" priority="1712" stopIfTrue="1">
      <formula>$A683="begin repeat"</formula>
    </cfRule>
  </conditionalFormatting>
  <conditionalFormatting sqref="B683:E687">
    <cfRule type="expression" dxfId="29" priority="1713" stopIfTrue="1">
      <formula>$A683="end group"</formula>
    </cfRule>
  </conditionalFormatting>
  <conditionalFormatting sqref="B683:E687">
    <cfRule type="expression" dxfId="29" priority="1714" stopIfTrue="1">
      <formula>$A683="begin group"</formula>
    </cfRule>
  </conditionalFormatting>
  <conditionalFormatting sqref="B683:B687">
    <cfRule type="expression" dxfId="30" priority="1715" stopIfTrue="1">
      <formula>$A683="comments"</formula>
    </cfRule>
  </conditionalFormatting>
  <conditionalFormatting sqref="B683:B687">
    <cfRule type="expression" dxfId="36" priority="1716" stopIfTrue="1">
      <formula>OR(AND(LEFT($A683, 14)="sensor_stream ", LEN($A683)&gt;14, NOT(ISNUMBER(SEARCH(" ", $A683, 15)))), AND(LEFT($A683, 17)="sensor_statistic ", LEN($A683)&gt;17, NOT(ISNUMBER(SEARCH(" ", $A683, 18)))))</formula>
    </cfRule>
  </conditionalFormatting>
  <conditionalFormatting sqref="B677:C678 D677:E678">
    <cfRule type="expression" dxfId="0" priority="1717" stopIfTrue="1">
      <formula>$A677="begin group"</formula>
    </cfRule>
  </conditionalFormatting>
  <conditionalFormatting sqref="B677:C678 D677:E678">
    <cfRule type="expression" dxfId="1" priority="1718" stopIfTrue="1">
      <formula>$A677="begin repeat"</formula>
    </cfRule>
  </conditionalFormatting>
  <conditionalFormatting sqref="B677:E678">
    <cfRule type="expression" dxfId="31" priority="1719" stopIfTrue="1">
      <formula>$A677="enumerator"</formula>
    </cfRule>
  </conditionalFormatting>
  <conditionalFormatting sqref="B677:E678">
    <cfRule type="expression" dxfId="2" priority="1720" stopIfTrue="1">
      <formula>$A677="text"</formula>
    </cfRule>
  </conditionalFormatting>
  <conditionalFormatting sqref="B677:E678">
    <cfRule type="expression" dxfId="3" priority="1721" stopIfTrue="1">
      <formula>$A677="integer"</formula>
    </cfRule>
  </conditionalFormatting>
  <conditionalFormatting sqref="B677:E678">
    <cfRule type="expression" dxfId="4" priority="1722" stopIfTrue="1">
      <formula>$A677="decimal"</formula>
    </cfRule>
  </conditionalFormatting>
  <conditionalFormatting sqref="B677:C678 D677:E678">
    <cfRule type="expression" dxfId="5" priority="1723" stopIfTrue="1">
      <formula>OR(AND(LEFT($A677, 16)="select_multiple ", LEN($A677)&gt;16, NOT(ISNUMBER(SEARCH(" ", $A677, 17)))), AND(LEFT($A677, 11)="select_one ", LEN($A677)&gt;11, NOT(ISNUMBER(SEARCH(" ", $A677, 12)))))</formula>
    </cfRule>
  </conditionalFormatting>
  <conditionalFormatting sqref="B677:B678">
    <cfRule type="expression" dxfId="6" priority="1724" stopIfTrue="1">
      <formula>OR($A677="audio audit", $A677="text audit", $A677="speed violations count", $A677="speed violations list", $A677="speed violations audit")</formula>
    </cfRule>
  </conditionalFormatting>
  <conditionalFormatting sqref="B677:C678 D677:E678">
    <cfRule type="expression" dxfId="32" priority="1725" stopIfTrue="1">
      <formula>$A677="file"</formula>
    </cfRule>
  </conditionalFormatting>
  <conditionalFormatting sqref="B677:C678 D677:E678">
    <cfRule type="expression" dxfId="7" priority="1726" stopIfTrue="1">
      <formula>$A677="note"</formula>
    </cfRule>
  </conditionalFormatting>
  <conditionalFormatting sqref="B677:C678 D677:E678">
    <cfRule type="expression" dxfId="8" priority="1727" stopIfTrue="1">
      <formula>$A677="barcode"</formula>
    </cfRule>
  </conditionalFormatting>
  <conditionalFormatting sqref="B677:C678 D677:E678">
    <cfRule type="expression" dxfId="9" priority="1728" stopIfTrue="1">
      <formula>OR($A677="geopoint", $A677="geoshape", $A677="geotrace")</formula>
    </cfRule>
  </conditionalFormatting>
  <conditionalFormatting sqref="B677:B678">
    <cfRule type="expression" dxfId="10" priority="1729" stopIfTrue="1">
      <formula>OR($A677="calculate", $A677="calculate_here")</formula>
    </cfRule>
  </conditionalFormatting>
  <conditionalFormatting sqref="B677:C678 D677:E678">
    <cfRule type="expression" dxfId="11" priority="1730" stopIfTrue="1">
      <formula>OR($A677="date", $A677="datetime", $A677="time")</formula>
    </cfRule>
  </conditionalFormatting>
  <conditionalFormatting sqref="B677:C678 D677:E678">
    <cfRule type="expression" dxfId="12" priority="1731" stopIfTrue="1">
      <formula>$A677="image"</formula>
    </cfRule>
  </conditionalFormatting>
  <conditionalFormatting sqref="B677:C678 D677:E678">
    <cfRule type="expression" dxfId="13" priority="1732" stopIfTrue="1">
      <formula>OR($A677="audio", $A677="video")</formula>
    </cfRule>
  </conditionalFormatting>
  <conditionalFormatting sqref="B677:E678">
    <cfRule type="expression" dxfId="33" priority="1733" stopIfTrue="1">
      <formula>$A677="file"</formula>
    </cfRule>
  </conditionalFormatting>
  <conditionalFormatting sqref="B677:E678">
    <cfRule type="expression" dxfId="34" priority="1734" stopIfTrue="1">
      <formula>$A677="enumerator"</formula>
    </cfRule>
  </conditionalFormatting>
  <conditionalFormatting sqref="B677:E678">
    <cfRule type="expression" dxfId="35" priority="1735" stopIfTrue="1">
      <formula>OR(AND(LEFT($A677, 14)="sensor_stream ", LEN($A677)&gt;14, NOT(ISNUMBER(SEARCH(" ", $A677, 15)))), AND(LEFT($A677, 17)="sensor_statistic ", LEN($A677)&gt;17, NOT(ISNUMBER(SEARCH(" ", $A677, 18)))))</formula>
    </cfRule>
  </conditionalFormatting>
  <conditionalFormatting sqref="B677:E678">
    <cfRule type="expression" dxfId="14" priority="1736" stopIfTrue="1">
      <formula>$A677="comments"</formula>
    </cfRule>
  </conditionalFormatting>
  <conditionalFormatting sqref="B677:E678">
    <cfRule type="expression" dxfId="15" priority="1737" stopIfTrue="1">
      <formula>OR($A677="audio", $A677="video")</formula>
    </cfRule>
  </conditionalFormatting>
  <conditionalFormatting sqref="B677:E678">
    <cfRule type="expression" dxfId="16" priority="1738" stopIfTrue="1">
      <formula>$A677="image"</formula>
    </cfRule>
  </conditionalFormatting>
  <conditionalFormatting sqref="B677:E678">
    <cfRule type="expression" dxfId="17" priority="1739" stopIfTrue="1">
      <formula>OR($A677="date", $A677="datetime", $A677="time")</formula>
    </cfRule>
  </conditionalFormatting>
  <conditionalFormatting sqref="B677:E678">
    <cfRule type="expression" dxfId="18" priority="1740" stopIfTrue="1">
      <formula>OR($A677="calculate", $A677="calculate_here")</formula>
    </cfRule>
  </conditionalFormatting>
  <conditionalFormatting sqref="B677:E678">
    <cfRule type="expression" dxfId="19" priority="1741" stopIfTrue="1">
      <formula>$A677="note"</formula>
    </cfRule>
  </conditionalFormatting>
  <conditionalFormatting sqref="B677:E678">
    <cfRule type="expression" dxfId="20" priority="1742" stopIfTrue="1">
      <formula>$A677="barcode"</formula>
    </cfRule>
  </conditionalFormatting>
  <conditionalFormatting sqref="B677:E678">
    <cfRule type="expression" dxfId="21" priority="1743" stopIfTrue="1">
      <formula>OR($A677="geopoint", $A677="geoshape", $A677="geotrace")</formula>
    </cfRule>
  </conditionalFormatting>
  <conditionalFormatting sqref="B677:E678">
    <cfRule type="expression" dxfId="22" priority="1744" stopIfTrue="1">
      <formula>OR($A677="audio audit", $A677="text audit", $A677="speed violations count", $A677="speed violations list", $A677="speed violations audit")</formula>
    </cfRule>
  </conditionalFormatting>
  <conditionalFormatting sqref="B677:E678">
    <cfRule type="expression" dxfId="23" priority="1745" stopIfTrue="1">
      <formula>OR($A677="username", $A677="phonenumber", $A677="start", $A677="end", $A677="deviceid", $A677="subscriberid", $A677="simserial", $A677="caseid")</formula>
    </cfRule>
  </conditionalFormatting>
  <conditionalFormatting sqref="B677:E678">
    <cfRule type="expression" dxfId="24" priority="1746" stopIfTrue="1">
      <formula>OR(AND(LEFT($A677, 16)="select_multiple ", LEN($A677)&gt;16, NOT(ISNUMBER(SEARCH(" ", $A677, 17)))), AND(LEFT($A677, 11)="select_one ", LEN($A677)&gt;11, NOT(ISNUMBER(SEARCH(" ", $A677, 12)))))</formula>
    </cfRule>
  </conditionalFormatting>
  <conditionalFormatting sqref="B677:E678">
    <cfRule type="expression" dxfId="25" priority="1747" stopIfTrue="1">
      <formula>$A677="decimal"</formula>
    </cfRule>
  </conditionalFormatting>
  <conditionalFormatting sqref="B677:E678">
    <cfRule type="expression" dxfId="26" priority="1748" stopIfTrue="1">
      <formula>$A677="integer"</formula>
    </cfRule>
  </conditionalFormatting>
  <conditionalFormatting sqref="B677:E678">
    <cfRule type="expression" dxfId="27" priority="1749" stopIfTrue="1">
      <formula>$A677="text"</formula>
    </cfRule>
  </conditionalFormatting>
  <conditionalFormatting sqref="B677:E678">
    <cfRule type="expression" dxfId="28" priority="1750" stopIfTrue="1">
      <formula>$A677="end repeat"</formula>
    </cfRule>
  </conditionalFormatting>
  <conditionalFormatting sqref="B677:E678">
    <cfRule type="expression" dxfId="28" priority="1751" stopIfTrue="1">
      <formula>$A677="begin repeat"</formula>
    </cfRule>
  </conditionalFormatting>
  <conditionalFormatting sqref="B677:E678">
    <cfRule type="expression" dxfId="29" priority="1752" stopIfTrue="1">
      <formula>$A677="end group"</formula>
    </cfRule>
  </conditionalFormatting>
  <conditionalFormatting sqref="B677:E678">
    <cfRule type="expression" dxfId="29" priority="1753" stopIfTrue="1">
      <formula>$A677="begin group"</formula>
    </cfRule>
  </conditionalFormatting>
  <conditionalFormatting sqref="B677:B678">
    <cfRule type="expression" dxfId="30" priority="1754" stopIfTrue="1">
      <formula>$A677="comments"</formula>
    </cfRule>
  </conditionalFormatting>
  <conditionalFormatting sqref="B677:B678">
    <cfRule type="expression" dxfId="36" priority="1755" stopIfTrue="1">
      <formula>OR(AND(LEFT($A677, 14)="sensor_stream ", LEN($A677)&gt;14, NOT(ISNUMBER(SEARCH(" ", $A677, 15)))), AND(LEFT($A677, 17)="sensor_statistic ", LEN($A677)&gt;17, NOT(ISNUMBER(SEARCH(" ", $A677, 18)))))</formula>
    </cfRule>
  </conditionalFormatting>
  <conditionalFormatting sqref="B673:C675 D673:E675">
    <cfRule type="expression" dxfId="0" priority="1756" stopIfTrue="1">
      <formula>$A673="begin group"</formula>
    </cfRule>
  </conditionalFormatting>
  <conditionalFormatting sqref="B673:C675 D673:E675">
    <cfRule type="expression" dxfId="1" priority="1757" stopIfTrue="1">
      <formula>$A673="begin repeat"</formula>
    </cfRule>
  </conditionalFormatting>
  <conditionalFormatting sqref="B673:E675">
    <cfRule type="expression" dxfId="31" priority="1758" stopIfTrue="1">
      <formula>$A673="enumerator"</formula>
    </cfRule>
  </conditionalFormatting>
  <conditionalFormatting sqref="B673:E675">
    <cfRule type="expression" dxfId="2" priority="1759" stopIfTrue="1">
      <formula>$A673="text"</formula>
    </cfRule>
  </conditionalFormatting>
  <conditionalFormatting sqref="B673:E675">
    <cfRule type="expression" dxfId="3" priority="1760" stopIfTrue="1">
      <formula>$A673="integer"</formula>
    </cfRule>
  </conditionalFormatting>
  <conditionalFormatting sqref="B673:E675">
    <cfRule type="expression" dxfId="4" priority="1761" stopIfTrue="1">
      <formula>$A673="decimal"</formula>
    </cfRule>
  </conditionalFormatting>
  <conditionalFormatting sqref="B673:C675 D673:E675">
    <cfRule type="expression" dxfId="5" priority="1762" stopIfTrue="1">
      <formula>OR(AND(LEFT($A673, 16)="select_multiple ", LEN($A673)&gt;16, NOT(ISNUMBER(SEARCH(" ", $A673, 17)))), AND(LEFT($A673, 11)="select_one ", LEN($A673)&gt;11, NOT(ISNUMBER(SEARCH(" ", $A673, 12)))))</formula>
    </cfRule>
  </conditionalFormatting>
  <conditionalFormatting sqref="B673:B675">
    <cfRule type="expression" dxfId="6" priority="1763" stopIfTrue="1">
      <formula>OR($A673="audio audit", $A673="text audit", $A673="speed violations count", $A673="speed violations list", $A673="speed violations audit")</formula>
    </cfRule>
  </conditionalFormatting>
  <conditionalFormatting sqref="B673:C675 D673:E675">
    <cfRule type="expression" dxfId="32" priority="1764" stopIfTrue="1">
      <formula>$A673="file"</formula>
    </cfRule>
  </conditionalFormatting>
  <conditionalFormatting sqref="B673:C675 D673:E675">
    <cfRule type="expression" dxfId="7" priority="1765" stopIfTrue="1">
      <formula>$A673="note"</formula>
    </cfRule>
  </conditionalFormatting>
  <conditionalFormatting sqref="B673:C675 D673:E675">
    <cfRule type="expression" dxfId="8" priority="1766" stopIfTrue="1">
      <formula>$A673="barcode"</formula>
    </cfRule>
  </conditionalFormatting>
  <conditionalFormatting sqref="B673:C675 D673:E675">
    <cfRule type="expression" dxfId="9" priority="1767" stopIfTrue="1">
      <formula>OR($A673="geopoint", $A673="geoshape", $A673="geotrace")</formula>
    </cfRule>
  </conditionalFormatting>
  <conditionalFormatting sqref="B673:B675">
    <cfRule type="expression" dxfId="10" priority="1768" stopIfTrue="1">
      <formula>OR($A673="calculate", $A673="calculate_here")</formula>
    </cfRule>
  </conditionalFormatting>
  <conditionalFormatting sqref="B673:C675 D673:E675">
    <cfRule type="expression" dxfId="11" priority="1769" stopIfTrue="1">
      <formula>OR($A673="date", $A673="datetime", $A673="time")</formula>
    </cfRule>
  </conditionalFormatting>
  <conditionalFormatting sqref="B673:C675 D673:E675">
    <cfRule type="expression" dxfId="12" priority="1770" stopIfTrue="1">
      <formula>$A673="image"</formula>
    </cfRule>
  </conditionalFormatting>
  <conditionalFormatting sqref="B673:C675 D673:E675">
    <cfRule type="expression" dxfId="13" priority="1771" stopIfTrue="1">
      <formula>OR($A673="audio", $A673="video")</formula>
    </cfRule>
  </conditionalFormatting>
  <conditionalFormatting sqref="B673:E675">
    <cfRule type="expression" dxfId="33" priority="1772" stopIfTrue="1">
      <formula>$A673="file"</formula>
    </cfRule>
  </conditionalFormatting>
  <conditionalFormatting sqref="B673:E675">
    <cfRule type="expression" dxfId="34" priority="1773" stopIfTrue="1">
      <formula>$A673="enumerator"</formula>
    </cfRule>
  </conditionalFormatting>
  <conditionalFormatting sqref="B673:E675">
    <cfRule type="expression" dxfId="35" priority="1774" stopIfTrue="1">
      <formula>OR(AND(LEFT($A673, 14)="sensor_stream ", LEN($A673)&gt;14, NOT(ISNUMBER(SEARCH(" ", $A673, 15)))), AND(LEFT($A673, 17)="sensor_statistic ", LEN($A673)&gt;17, NOT(ISNUMBER(SEARCH(" ", $A673, 18)))))</formula>
    </cfRule>
  </conditionalFormatting>
  <conditionalFormatting sqref="B673:E675">
    <cfRule type="expression" dxfId="14" priority="1775" stopIfTrue="1">
      <formula>$A673="comments"</formula>
    </cfRule>
  </conditionalFormatting>
  <conditionalFormatting sqref="B673:E675">
    <cfRule type="expression" dxfId="15" priority="1776" stopIfTrue="1">
      <formula>OR($A673="audio", $A673="video")</formula>
    </cfRule>
  </conditionalFormatting>
  <conditionalFormatting sqref="B673:E675">
    <cfRule type="expression" dxfId="16" priority="1777" stopIfTrue="1">
      <formula>$A673="image"</formula>
    </cfRule>
  </conditionalFormatting>
  <conditionalFormatting sqref="B673:E675">
    <cfRule type="expression" dxfId="17" priority="1778" stopIfTrue="1">
      <formula>OR($A673="date", $A673="datetime", $A673="time")</formula>
    </cfRule>
  </conditionalFormatting>
  <conditionalFormatting sqref="B673:E675">
    <cfRule type="expression" dxfId="18" priority="1779" stopIfTrue="1">
      <formula>OR($A673="calculate", $A673="calculate_here")</formula>
    </cfRule>
  </conditionalFormatting>
  <conditionalFormatting sqref="B673:E675">
    <cfRule type="expression" dxfId="19" priority="1780" stopIfTrue="1">
      <formula>$A673="note"</formula>
    </cfRule>
  </conditionalFormatting>
  <conditionalFormatting sqref="B673:E675">
    <cfRule type="expression" dxfId="20" priority="1781" stopIfTrue="1">
      <formula>$A673="barcode"</formula>
    </cfRule>
  </conditionalFormatting>
  <conditionalFormatting sqref="B673:E675">
    <cfRule type="expression" dxfId="21" priority="1782" stopIfTrue="1">
      <formula>OR($A673="geopoint", $A673="geoshape", $A673="geotrace")</formula>
    </cfRule>
  </conditionalFormatting>
  <conditionalFormatting sqref="B673:E675">
    <cfRule type="expression" dxfId="22" priority="1783" stopIfTrue="1">
      <formula>OR($A673="audio audit", $A673="text audit", $A673="speed violations count", $A673="speed violations list", $A673="speed violations audit")</formula>
    </cfRule>
  </conditionalFormatting>
  <conditionalFormatting sqref="B673:E675">
    <cfRule type="expression" dxfId="23" priority="1784" stopIfTrue="1">
      <formula>OR($A673="username", $A673="phonenumber", $A673="start", $A673="end", $A673="deviceid", $A673="subscriberid", $A673="simserial", $A673="caseid")</formula>
    </cfRule>
  </conditionalFormatting>
  <conditionalFormatting sqref="B673:E675">
    <cfRule type="expression" dxfId="24" priority="1785" stopIfTrue="1">
      <formula>OR(AND(LEFT($A673, 16)="select_multiple ", LEN($A673)&gt;16, NOT(ISNUMBER(SEARCH(" ", $A673, 17)))), AND(LEFT($A673, 11)="select_one ", LEN($A673)&gt;11, NOT(ISNUMBER(SEARCH(" ", $A673, 12)))))</formula>
    </cfRule>
  </conditionalFormatting>
  <conditionalFormatting sqref="B673:E675">
    <cfRule type="expression" dxfId="25" priority="1786" stopIfTrue="1">
      <formula>$A673="decimal"</formula>
    </cfRule>
  </conditionalFormatting>
  <conditionalFormatting sqref="B673:E675">
    <cfRule type="expression" dxfId="26" priority="1787" stopIfTrue="1">
      <formula>$A673="integer"</formula>
    </cfRule>
  </conditionalFormatting>
  <conditionalFormatting sqref="B673:E675">
    <cfRule type="expression" dxfId="27" priority="1788" stopIfTrue="1">
      <formula>$A673="text"</formula>
    </cfRule>
  </conditionalFormatting>
  <conditionalFormatting sqref="B673:E675">
    <cfRule type="expression" dxfId="28" priority="1789" stopIfTrue="1">
      <formula>$A673="end repeat"</formula>
    </cfRule>
  </conditionalFormatting>
  <conditionalFormatting sqref="B673:E675">
    <cfRule type="expression" dxfId="28" priority="1790" stopIfTrue="1">
      <formula>$A673="begin repeat"</formula>
    </cfRule>
  </conditionalFormatting>
  <conditionalFormatting sqref="B673:E675">
    <cfRule type="expression" dxfId="29" priority="1791" stopIfTrue="1">
      <formula>$A673="end group"</formula>
    </cfRule>
  </conditionalFormatting>
  <conditionalFormatting sqref="B673:E675">
    <cfRule type="expression" dxfId="29" priority="1792" stopIfTrue="1">
      <formula>$A673="begin group"</formula>
    </cfRule>
  </conditionalFormatting>
  <conditionalFormatting sqref="B673:B675">
    <cfRule type="expression" dxfId="30" priority="1793" stopIfTrue="1">
      <formula>$A673="comments"</formula>
    </cfRule>
  </conditionalFormatting>
  <conditionalFormatting sqref="B673:B675">
    <cfRule type="expression" dxfId="36" priority="1794" stopIfTrue="1">
      <formula>OR(AND(LEFT($A673, 14)="sensor_stream ", LEN($A673)&gt;14, NOT(ISNUMBER(SEARCH(" ", $A673, 15)))), AND(LEFT($A673, 17)="sensor_statistic ", LEN($A673)&gt;17, NOT(ISNUMBER(SEARCH(" ", $A673, 18)))))</formula>
    </cfRule>
  </conditionalFormatting>
  <conditionalFormatting sqref="B671:C671 D671:E671">
    <cfRule type="expression" dxfId="0" priority="1795" stopIfTrue="1">
      <formula>$A671="begin group"</formula>
    </cfRule>
  </conditionalFormatting>
  <conditionalFormatting sqref="B671:C671 D671:E671">
    <cfRule type="expression" dxfId="1" priority="1796" stopIfTrue="1">
      <formula>$A671="begin repeat"</formula>
    </cfRule>
  </conditionalFormatting>
  <conditionalFormatting sqref="B671:E671">
    <cfRule type="expression" dxfId="31" priority="1797" stopIfTrue="1">
      <formula>$A671="enumerator"</formula>
    </cfRule>
  </conditionalFormatting>
  <conditionalFormatting sqref="B671:E671">
    <cfRule type="expression" dxfId="2" priority="1798" stopIfTrue="1">
      <formula>$A671="text"</formula>
    </cfRule>
  </conditionalFormatting>
  <conditionalFormatting sqref="B671:E671">
    <cfRule type="expression" dxfId="3" priority="1799" stopIfTrue="1">
      <formula>$A671="integer"</formula>
    </cfRule>
  </conditionalFormatting>
  <conditionalFormatting sqref="B671:E671">
    <cfRule type="expression" dxfId="4" priority="1800" stopIfTrue="1">
      <formula>$A671="decimal"</formula>
    </cfRule>
  </conditionalFormatting>
  <conditionalFormatting sqref="B671:C671 D671:E671">
    <cfRule type="expression" dxfId="5" priority="1801" stopIfTrue="1">
      <formula>OR(AND(LEFT($A671, 16)="select_multiple ", LEN($A671)&gt;16, NOT(ISNUMBER(SEARCH(" ", $A671, 17)))), AND(LEFT($A671, 11)="select_one ", LEN($A671)&gt;11, NOT(ISNUMBER(SEARCH(" ", $A671, 12)))))</formula>
    </cfRule>
  </conditionalFormatting>
  <conditionalFormatting sqref="B671">
    <cfRule type="expression" dxfId="6" priority="1802" stopIfTrue="1">
      <formula>OR($A671="audio audit", $A671="text audit", $A671="speed violations count", $A671="speed violations list", $A671="speed violations audit")</formula>
    </cfRule>
  </conditionalFormatting>
  <conditionalFormatting sqref="B671:C671 D671:E671">
    <cfRule type="expression" dxfId="32" priority="1803" stopIfTrue="1">
      <formula>$A671="file"</formula>
    </cfRule>
  </conditionalFormatting>
  <conditionalFormatting sqref="B671:C671 D671:E671">
    <cfRule type="expression" dxfId="7" priority="1804" stopIfTrue="1">
      <formula>$A671="note"</formula>
    </cfRule>
  </conditionalFormatting>
  <conditionalFormatting sqref="B671:C671 D671:E671">
    <cfRule type="expression" dxfId="8" priority="1805" stopIfTrue="1">
      <formula>$A671="barcode"</formula>
    </cfRule>
  </conditionalFormatting>
  <conditionalFormatting sqref="B671:C671 D671:E671">
    <cfRule type="expression" dxfId="9" priority="1806" stopIfTrue="1">
      <formula>OR($A671="geopoint", $A671="geoshape", $A671="geotrace")</formula>
    </cfRule>
  </conditionalFormatting>
  <conditionalFormatting sqref="B671">
    <cfRule type="expression" dxfId="10" priority="1807" stopIfTrue="1">
      <formula>OR($A671="calculate", $A671="calculate_here")</formula>
    </cfRule>
  </conditionalFormatting>
  <conditionalFormatting sqref="B671:C671 D671:E671">
    <cfRule type="expression" dxfId="11" priority="1808" stopIfTrue="1">
      <formula>OR($A671="date", $A671="datetime", $A671="time")</formula>
    </cfRule>
  </conditionalFormatting>
  <conditionalFormatting sqref="B671:C671 D671:E671">
    <cfRule type="expression" dxfId="12" priority="1809" stopIfTrue="1">
      <formula>$A671="image"</formula>
    </cfRule>
  </conditionalFormatting>
  <conditionalFormatting sqref="B671:C671 D671:E671">
    <cfRule type="expression" dxfId="13" priority="1810" stopIfTrue="1">
      <formula>OR($A671="audio", $A671="video")</formula>
    </cfRule>
  </conditionalFormatting>
  <conditionalFormatting sqref="B671:E671">
    <cfRule type="expression" dxfId="33" priority="1811" stopIfTrue="1">
      <formula>$A671="file"</formula>
    </cfRule>
  </conditionalFormatting>
  <conditionalFormatting sqref="B671:E671">
    <cfRule type="expression" dxfId="34" priority="1812" stopIfTrue="1">
      <formula>$A671="enumerator"</formula>
    </cfRule>
  </conditionalFormatting>
  <conditionalFormatting sqref="B671:E671">
    <cfRule type="expression" dxfId="35" priority="1813" stopIfTrue="1">
      <formula>OR(AND(LEFT($A671, 14)="sensor_stream ", LEN($A671)&gt;14, NOT(ISNUMBER(SEARCH(" ", $A671, 15)))), AND(LEFT($A671, 17)="sensor_statistic ", LEN($A671)&gt;17, NOT(ISNUMBER(SEARCH(" ", $A671, 18)))))</formula>
    </cfRule>
  </conditionalFormatting>
  <conditionalFormatting sqref="B671:E671">
    <cfRule type="expression" dxfId="14" priority="1814" stopIfTrue="1">
      <formula>$A671="comments"</formula>
    </cfRule>
  </conditionalFormatting>
  <conditionalFormatting sqref="B671:E671">
    <cfRule type="expression" dxfId="15" priority="1815" stopIfTrue="1">
      <formula>OR($A671="audio", $A671="video")</formula>
    </cfRule>
  </conditionalFormatting>
  <conditionalFormatting sqref="B671:E671">
    <cfRule type="expression" dxfId="16" priority="1816" stopIfTrue="1">
      <formula>$A671="image"</formula>
    </cfRule>
  </conditionalFormatting>
  <conditionalFormatting sqref="B671:E671">
    <cfRule type="expression" dxfId="17" priority="1817" stopIfTrue="1">
      <formula>OR($A671="date", $A671="datetime", $A671="time")</formula>
    </cfRule>
  </conditionalFormatting>
  <conditionalFormatting sqref="B671:E671">
    <cfRule type="expression" dxfId="18" priority="1818" stopIfTrue="1">
      <formula>OR($A671="calculate", $A671="calculate_here")</formula>
    </cfRule>
  </conditionalFormatting>
  <conditionalFormatting sqref="B671:E671">
    <cfRule type="expression" dxfId="19" priority="1819" stopIfTrue="1">
      <formula>$A671="note"</formula>
    </cfRule>
  </conditionalFormatting>
  <conditionalFormatting sqref="B671:E671">
    <cfRule type="expression" dxfId="20" priority="1820" stopIfTrue="1">
      <formula>$A671="barcode"</formula>
    </cfRule>
  </conditionalFormatting>
  <conditionalFormatting sqref="B671:E671">
    <cfRule type="expression" dxfId="21" priority="1821" stopIfTrue="1">
      <formula>OR($A671="geopoint", $A671="geoshape", $A671="geotrace")</formula>
    </cfRule>
  </conditionalFormatting>
  <conditionalFormatting sqref="B671:E671">
    <cfRule type="expression" dxfId="22" priority="1822" stopIfTrue="1">
      <formula>OR($A671="audio audit", $A671="text audit", $A671="speed violations count", $A671="speed violations list", $A671="speed violations audit")</formula>
    </cfRule>
  </conditionalFormatting>
  <conditionalFormatting sqref="B671:E671">
    <cfRule type="expression" dxfId="23" priority="1823" stopIfTrue="1">
      <formula>OR($A671="username", $A671="phonenumber", $A671="start", $A671="end", $A671="deviceid", $A671="subscriberid", $A671="simserial", $A671="caseid")</formula>
    </cfRule>
  </conditionalFormatting>
  <conditionalFormatting sqref="B671:E671">
    <cfRule type="expression" dxfId="24" priority="1824" stopIfTrue="1">
      <formula>OR(AND(LEFT($A671, 16)="select_multiple ", LEN($A671)&gt;16, NOT(ISNUMBER(SEARCH(" ", $A671, 17)))), AND(LEFT($A671, 11)="select_one ", LEN($A671)&gt;11, NOT(ISNUMBER(SEARCH(" ", $A671, 12)))))</formula>
    </cfRule>
  </conditionalFormatting>
  <conditionalFormatting sqref="B671:E671">
    <cfRule type="expression" dxfId="25" priority="1825" stopIfTrue="1">
      <formula>$A671="decimal"</formula>
    </cfRule>
  </conditionalFormatting>
  <conditionalFormatting sqref="B671:E671">
    <cfRule type="expression" dxfId="26" priority="1826" stopIfTrue="1">
      <formula>$A671="integer"</formula>
    </cfRule>
  </conditionalFormatting>
  <conditionalFormatting sqref="B671:E671">
    <cfRule type="expression" dxfId="27" priority="1827" stopIfTrue="1">
      <formula>$A671="text"</formula>
    </cfRule>
  </conditionalFormatting>
  <conditionalFormatting sqref="B671:E671">
    <cfRule type="expression" dxfId="28" priority="1828" stopIfTrue="1">
      <formula>$A671="end repeat"</formula>
    </cfRule>
  </conditionalFormatting>
  <conditionalFormatting sqref="B671:E671">
    <cfRule type="expression" dxfId="28" priority="1829" stopIfTrue="1">
      <formula>$A671="begin repeat"</formula>
    </cfRule>
  </conditionalFormatting>
  <conditionalFormatting sqref="B671:E671">
    <cfRule type="expression" dxfId="29" priority="1830" stopIfTrue="1">
      <formula>$A671="end group"</formula>
    </cfRule>
  </conditionalFormatting>
  <conditionalFormatting sqref="B671:E671">
    <cfRule type="expression" dxfId="29" priority="1831" stopIfTrue="1">
      <formula>$A671="begin group"</formula>
    </cfRule>
  </conditionalFormatting>
  <conditionalFormatting sqref="B671">
    <cfRule type="expression" dxfId="30" priority="1832" stopIfTrue="1">
      <formula>$A671="comments"</formula>
    </cfRule>
  </conditionalFormatting>
  <conditionalFormatting sqref="B671">
    <cfRule type="expression" dxfId="36" priority="1833" stopIfTrue="1">
      <formula>OR(AND(LEFT($A671, 14)="sensor_stream ", LEN($A671)&gt;14, NOT(ISNUMBER(SEARCH(" ", $A671, 15)))), AND(LEFT($A671, 17)="sensor_statistic ", LEN($A671)&gt;17, NOT(ISNUMBER(SEARCH(" ", $A671, 18)))))</formula>
    </cfRule>
  </conditionalFormatting>
  <conditionalFormatting sqref="B668:C669 D668:E669">
    <cfRule type="expression" dxfId="0" priority="1834" stopIfTrue="1">
      <formula>$A668="begin group"</formula>
    </cfRule>
  </conditionalFormatting>
  <conditionalFormatting sqref="B668:C669 D668:E669">
    <cfRule type="expression" dxfId="1" priority="1835" stopIfTrue="1">
      <formula>$A668="begin repeat"</formula>
    </cfRule>
  </conditionalFormatting>
  <conditionalFormatting sqref="B668:E669">
    <cfRule type="expression" dxfId="31" priority="1836" stopIfTrue="1">
      <formula>$A668="enumerator"</formula>
    </cfRule>
  </conditionalFormatting>
  <conditionalFormatting sqref="B668:E669">
    <cfRule type="expression" dxfId="2" priority="1837" stopIfTrue="1">
      <formula>$A668="text"</formula>
    </cfRule>
  </conditionalFormatting>
  <conditionalFormatting sqref="B668:E669">
    <cfRule type="expression" dxfId="3" priority="1838" stopIfTrue="1">
      <formula>$A668="integer"</formula>
    </cfRule>
  </conditionalFormatting>
  <conditionalFormatting sqref="B668:E669">
    <cfRule type="expression" dxfId="4" priority="1839" stopIfTrue="1">
      <formula>$A668="decimal"</formula>
    </cfRule>
  </conditionalFormatting>
  <conditionalFormatting sqref="B668:C669 D668:E669">
    <cfRule type="expression" dxfId="5" priority="1840" stopIfTrue="1">
      <formula>OR(AND(LEFT($A668, 16)="select_multiple ", LEN($A668)&gt;16, NOT(ISNUMBER(SEARCH(" ", $A668, 17)))), AND(LEFT($A668, 11)="select_one ", LEN($A668)&gt;11, NOT(ISNUMBER(SEARCH(" ", $A668, 12)))))</formula>
    </cfRule>
  </conditionalFormatting>
  <conditionalFormatting sqref="B668:B669">
    <cfRule type="expression" dxfId="6" priority="1841" stopIfTrue="1">
      <formula>OR($A668="audio audit", $A668="text audit", $A668="speed violations count", $A668="speed violations list", $A668="speed violations audit")</formula>
    </cfRule>
  </conditionalFormatting>
  <conditionalFormatting sqref="B668:C669 D668:E669">
    <cfRule type="expression" dxfId="32" priority="1842" stopIfTrue="1">
      <formula>$A668="file"</formula>
    </cfRule>
  </conditionalFormatting>
  <conditionalFormatting sqref="B668:C669 D668:E669">
    <cfRule type="expression" dxfId="7" priority="1843" stopIfTrue="1">
      <formula>$A668="note"</formula>
    </cfRule>
  </conditionalFormatting>
  <conditionalFormatting sqref="B668:C669 D668:E669">
    <cfRule type="expression" dxfId="8" priority="1844" stopIfTrue="1">
      <formula>$A668="barcode"</formula>
    </cfRule>
  </conditionalFormatting>
  <conditionalFormatting sqref="B668:C669 D668:E669">
    <cfRule type="expression" dxfId="9" priority="1845" stopIfTrue="1">
      <formula>OR($A668="geopoint", $A668="geoshape", $A668="geotrace")</formula>
    </cfRule>
  </conditionalFormatting>
  <conditionalFormatting sqref="B668:B669">
    <cfRule type="expression" dxfId="10" priority="1846" stopIfTrue="1">
      <formula>OR($A668="calculate", $A668="calculate_here")</formula>
    </cfRule>
  </conditionalFormatting>
  <conditionalFormatting sqref="B668:C669 D668:E669">
    <cfRule type="expression" dxfId="11" priority="1847" stopIfTrue="1">
      <formula>OR($A668="date", $A668="datetime", $A668="time")</formula>
    </cfRule>
  </conditionalFormatting>
  <conditionalFormatting sqref="B668:C669 D668:E669">
    <cfRule type="expression" dxfId="12" priority="1848" stopIfTrue="1">
      <formula>$A668="image"</formula>
    </cfRule>
  </conditionalFormatting>
  <conditionalFormatting sqref="B668:C669 D668:E669">
    <cfRule type="expression" dxfId="13" priority="1849" stopIfTrue="1">
      <formula>OR($A668="audio", $A668="video")</formula>
    </cfRule>
  </conditionalFormatting>
  <conditionalFormatting sqref="B668:E669">
    <cfRule type="expression" dxfId="33" priority="1850" stopIfTrue="1">
      <formula>$A668="file"</formula>
    </cfRule>
  </conditionalFormatting>
  <conditionalFormatting sqref="B668:E669">
    <cfRule type="expression" dxfId="34" priority="1851" stopIfTrue="1">
      <formula>$A668="enumerator"</formula>
    </cfRule>
  </conditionalFormatting>
  <conditionalFormatting sqref="B668:E669">
    <cfRule type="expression" dxfId="35" priority="1852" stopIfTrue="1">
      <formula>OR(AND(LEFT($A668, 14)="sensor_stream ", LEN($A668)&gt;14, NOT(ISNUMBER(SEARCH(" ", $A668, 15)))), AND(LEFT($A668, 17)="sensor_statistic ", LEN($A668)&gt;17, NOT(ISNUMBER(SEARCH(" ", $A668, 18)))))</formula>
    </cfRule>
  </conditionalFormatting>
  <conditionalFormatting sqref="B668:E669">
    <cfRule type="expression" dxfId="14" priority="1853" stopIfTrue="1">
      <formula>$A668="comments"</formula>
    </cfRule>
  </conditionalFormatting>
  <conditionalFormatting sqref="B668:E669">
    <cfRule type="expression" dxfId="15" priority="1854" stopIfTrue="1">
      <formula>OR($A668="audio", $A668="video")</formula>
    </cfRule>
  </conditionalFormatting>
  <conditionalFormatting sqref="B668:E669">
    <cfRule type="expression" dxfId="16" priority="1855" stopIfTrue="1">
      <formula>$A668="image"</formula>
    </cfRule>
  </conditionalFormatting>
  <conditionalFormatting sqref="B668:E669">
    <cfRule type="expression" dxfId="17" priority="1856" stopIfTrue="1">
      <formula>OR($A668="date", $A668="datetime", $A668="time")</formula>
    </cfRule>
  </conditionalFormatting>
  <conditionalFormatting sqref="B668:E669">
    <cfRule type="expression" dxfId="18" priority="1857" stopIfTrue="1">
      <formula>OR($A668="calculate", $A668="calculate_here")</formula>
    </cfRule>
  </conditionalFormatting>
  <conditionalFormatting sqref="B668:E669">
    <cfRule type="expression" dxfId="19" priority="1858" stopIfTrue="1">
      <formula>$A668="note"</formula>
    </cfRule>
  </conditionalFormatting>
  <conditionalFormatting sqref="B668:E669">
    <cfRule type="expression" dxfId="20" priority="1859" stopIfTrue="1">
      <formula>$A668="barcode"</formula>
    </cfRule>
  </conditionalFormatting>
  <conditionalFormatting sqref="B668:E669">
    <cfRule type="expression" dxfId="21" priority="1860" stopIfTrue="1">
      <formula>OR($A668="geopoint", $A668="geoshape", $A668="geotrace")</formula>
    </cfRule>
  </conditionalFormatting>
  <conditionalFormatting sqref="B668:E669">
    <cfRule type="expression" dxfId="22" priority="1861" stopIfTrue="1">
      <formula>OR($A668="audio audit", $A668="text audit", $A668="speed violations count", $A668="speed violations list", $A668="speed violations audit")</formula>
    </cfRule>
  </conditionalFormatting>
  <conditionalFormatting sqref="B668:E669">
    <cfRule type="expression" dxfId="23" priority="1862" stopIfTrue="1">
      <formula>OR($A668="username", $A668="phonenumber", $A668="start", $A668="end", $A668="deviceid", $A668="subscriberid", $A668="simserial", $A668="caseid")</formula>
    </cfRule>
  </conditionalFormatting>
  <conditionalFormatting sqref="B668:E669">
    <cfRule type="expression" dxfId="24" priority="1863" stopIfTrue="1">
      <formula>OR(AND(LEFT($A668, 16)="select_multiple ", LEN($A668)&gt;16, NOT(ISNUMBER(SEARCH(" ", $A668, 17)))), AND(LEFT($A668, 11)="select_one ", LEN($A668)&gt;11, NOT(ISNUMBER(SEARCH(" ", $A668, 12)))))</formula>
    </cfRule>
  </conditionalFormatting>
  <conditionalFormatting sqref="B668:E669">
    <cfRule type="expression" dxfId="25" priority="1864" stopIfTrue="1">
      <formula>$A668="decimal"</formula>
    </cfRule>
  </conditionalFormatting>
  <conditionalFormatting sqref="B668:E669">
    <cfRule type="expression" dxfId="26" priority="1865" stopIfTrue="1">
      <formula>$A668="integer"</formula>
    </cfRule>
  </conditionalFormatting>
  <conditionalFormatting sqref="B668:E669">
    <cfRule type="expression" dxfId="27" priority="1866" stopIfTrue="1">
      <formula>$A668="text"</formula>
    </cfRule>
  </conditionalFormatting>
  <conditionalFormatting sqref="B668:E669">
    <cfRule type="expression" dxfId="28" priority="1867" stopIfTrue="1">
      <formula>$A668="end repeat"</formula>
    </cfRule>
  </conditionalFormatting>
  <conditionalFormatting sqref="B668:E669">
    <cfRule type="expression" dxfId="28" priority="1868" stopIfTrue="1">
      <formula>$A668="begin repeat"</formula>
    </cfRule>
  </conditionalFormatting>
  <conditionalFormatting sqref="B668:E669">
    <cfRule type="expression" dxfId="29" priority="1869" stopIfTrue="1">
      <formula>$A668="end group"</formula>
    </cfRule>
  </conditionalFormatting>
  <conditionalFormatting sqref="B668:E669">
    <cfRule type="expression" dxfId="29" priority="1870" stopIfTrue="1">
      <formula>$A668="begin group"</formula>
    </cfRule>
  </conditionalFormatting>
  <conditionalFormatting sqref="B668:B669">
    <cfRule type="expression" dxfId="30" priority="1871" stopIfTrue="1">
      <formula>$A668="comments"</formula>
    </cfRule>
  </conditionalFormatting>
  <conditionalFormatting sqref="B668:B669">
    <cfRule type="expression" dxfId="36" priority="1872" stopIfTrue="1">
      <formula>OR(AND(LEFT($A668, 14)="sensor_stream ", LEN($A668)&gt;14, NOT(ISNUMBER(SEARCH(" ", $A668, 15)))), AND(LEFT($A668, 17)="sensor_statistic ", LEN($A668)&gt;17, NOT(ISNUMBER(SEARCH(" ", $A668, 18)))))</formula>
    </cfRule>
  </conditionalFormatting>
  <conditionalFormatting sqref="B661:C663 D661:E663">
    <cfRule type="expression" dxfId="0" priority="1873" stopIfTrue="1">
      <formula>$A661="begin group"</formula>
    </cfRule>
  </conditionalFormatting>
  <conditionalFormatting sqref="B661:C663 D661:E663">
    <cfRule type="expression" dxfId="1" priority="1874" stopIfTrue="1">
      <formula>$A661="begin repeat"</formula>
    </cfRule>
  </conditionalFormatting>
  <conditionalFormatting sqref="B661:E663">
    <cfRule type="expression" dxfId="31" priority="1875" stopIfTrue="1">
      <formula>$A661="enumerator"</formula>
    </cfRule>
  </conditionalFormatting>
  <conditionalFormatting sqref="B661:E663">
    <cfRule type="expression" dxfId="2" priority="1876" stopIfTrue="1">
      <formula>$A661="text"</formula>
    </cfRule>
  </conditionalFormatting>
  <conditionalFormatting sqref="B661:E663">
    <cfRule type="expression" dxfId="3" priority="1877" stopIfTrue="1">
      <formula>$A661="integer"</formula>
    </cfRule>
  </conditionalFormatting>
  <conditionalFormatting sqref="B661:E663">
    <cfRule type="expression" dxfId="4" priority="1878" stopIfTrue="1">
      <formula>$A661="decimal"</formula>
    </cfRule>
  </conditionalFormatting>
  <conditionalFormatting sqref="B661:C663 D661:E663">
    <cfRule type="expression" dxfId="5" priority="1879" stopIfTrue="1">
      <formula>OR(AND(LEFT($A661, 16)="select_multiple ", LEN($A661)&gt;16, NOT(ISNUMBER(SEARCH(" ", $A661, 17)))), AND(LEFT($A661, 11)="select_one ", LEN($A661)&gt;11, NOT(ISNUMBER(SEARCH(" ", $A661, 12)))))</formula>
    </cfRule>
  </conditionalFormatting>
  <conditionalFormatting sqref="B661:B663">
    <cfRule type="expression" dxfId="6" priority="1880" stopIfTrue="1">
      <formula>OR($A661="audio audit", $A661="text audit", $A661="speed violations count", $A661="speed violations list", $A661="speed violations audit")</formula>
    </cfRule>
  </conditionalFormatting>
  <conditionalFormatting sqref="B661:C663 D661:E663">
    <cfRule type="expression" dxfId="32" priority="1881" stopIfTrue="1">
      <formula>$A661="file"</formula>
    </cfRule>
  </conditionalFormatting>
  <conditionalFormatting sqref="B661:C663 D661:E663">
    <cfRule type="expression" dxfId="7" priority="1882" stopIfTrue="1">
      <formula>$A661="note"</formula>
    </cfRule>
  </conditionalFormatting>
  <conditionalFormatting sqref="B661:C663 D661:E663">
    <cfRule type="expression" dxfId="8" priority="1883" stopIfTrue="1">
      <formula>$A661="barcode"</formula>
    </cfRule>
  </conditionalFormatting>
  <conditionalFormatting sqref="B661:C663 D661:E663">
    <cfRule type="expression" dxfId="9" priority="1884" stopIfTrue="1">
      <formula>OR($A661="geopoint", $A661="geoshape", $A661="geotrace")</formula>
    </cfRule>
  </conditionalFormatting>
  <conditionalFormatting sqref="B661:B663">
    <cfRule type="expression" dxfId="10" priority="1885" stopIfTrue="1">
      <formula>OR($A661="calculate", $A661="calculate_here")</formula>
    </cfRule>
  </conditionalFormatting>
  <conditionalFormatting sqref="B661:C663 D661:E663">
    <cfRule type="expression" dxfId="11" priority="1886" stopIfTrue="1">
      <formula>OR($A661="date", $A661="datetime", $A661="time")</formula>
    </cfRule>
  </conditionalFormatting>
  <conditionalFormatting sqref="B661:C663 D661:E663">
    <cfRule type="expression" dxfId="12" priority="1887" stopIfTrue="1">
      <formula>$A661="image"</formula>
    </cfRule>
  </conditionalFormatting>
  <conditionalFormatting sqref="B661:C663 D661:E663">
    <cfRule type="expression" dxfId="13" priority="1888" stopIfTrue="1">
      <formula>OR($A661="audio", $A661="video")</formula>
    </cfRule>
  </conditionalFormatting>
  <conditionalFormatting sqref="B661:E663">
    <cfRule type="expression" dxfId="33" priority="1889" stopIfTrue="1">
      <formula>$A661="file"</formula>
    </cfRule>
  </conditionalFormatting>
  <conditionalFormatting sqref="B661:E663">
    <cfRule type="expression" dxfId="34" priority="1890" stopIfTrue="1">
      <formula>$A661="enumerator"</formula>
    </cfRule>
  </conditionalFormatting>
  <conditionalFormatting sqref="B661:E663">
    <cfRule type="expression" dxfId="35" priority="1891" stopIfTrue="1">
      <formula>OR(AND(LEFT($A661, 14)="sensor_stream ", LEN($A661)&gt;14, NOT(ISNUMBER(SEARCH(" ", $A661, 15)))), AND(LEFT($A661, 17)="sensor_statistic ", LEN($A661)&gt;17, NOT(ISNUMBER(SEARCH(" ", $A661, 18)))))</formula>
    </cfRule>
  </conditionalFormatting>
  <conditionalFormatting sqref="B661:E663">
    <cfRule type="expression" dxfId="14" priority="1892" stopIfTrue="1">
      <formula>$A661="comments"</formula>
    </cfRule>
  </conditionalFormatting>
  <conditionalFormatting sqref="B661:E663">
    <cfRule type="expression" dxfId="15" priority="1893" stopIfTrue="1">
      <formula>OR($A661="audio", $A661="video")</formula>
    </cfRule>
  </conditionalFormatting>
  <conditionalFormatting sqref="B661:E663">
    <cfRule type="expression" dxfId="16" priority="1894" stopIfTrue="1">
      <formula>$A661="image"</formula>
    </cfRule>
  </conditionalFormatting>
  <conditionalFormatting sqref="B661:E663">
    <cfRule type="expression" dxfId="17" priority="1895" stopIfTrue="1">
      <formula>OR($A661="date", $A661="datetime", $A661="time")</formula>
    </cfRule>
  </conditionalFormatting>
  <conditionalFormatting sqref="B661:E663">
    <cfRule type="expression" dxfId="18" priority="1896" stopIfTrue="1">
      <formula>OR($A661="calculate", $A661="calculate_here")</formula>
    </cfRule>
  </conditionalFormatting>
  <conditionalFormatting sqref="B661:E663">
    <cfRule type="expression" dxfId="19" priority="1897" stopIfTrue="1">
      <formula>$A661="note"</formula>
    </cfRule>
  </conditionalFormatting>
  <conditionalFormatting sqref="B661:E663">
    <cfRule type="expression" dxfId="20" priority="1898" stopIfTrue="1">
      <formula>$A661="barcode"</formula>
    </cfRule>
  </conditionalFormatting>
  <conditionalFormatting sqref="B661:E663">
    <cfRule type="expression" dxfId="21" priority="1899" stopIfTrue="1">
      <formula>OR($A661="geopoint", $A661="geoshape", $A661="geotrace")</formula>
    </cfRule>
  </conditionalFormatting>
  <conditionalFormatting sqref="B661:E663">
    <cfRule type="expression" dxfId="22" priority="1900" stopIfTrue="1">
      <formula>OR($A661="audio audit", $A661="text audit", $A661="speed violations count", $A661="speed violations list", $A661="speed violations audit")</formula>
    </cfRule>
  </conditionalFormatting>
  <conditionalFormatting sqref="B661:E663">
    <cfRule type="expression" dxfId="23" priority="1901" stopIfTrue="1">
      <formula>OR($A661="username", $A661="phonenumber", $A661="start", $A661="end", $A661="deviceid", $A661="subscriberid", $A661="simserial", $A661="caseid")</formula>
    </cfRule>
  </conditionalFormatting>
  <conditionalFormatting sqref="B661:E663">
    <cfRule type="expression" dxfId="24" priority="1902" stopIfTrue="1">
      <formula>OR(AND(LEFT($A661, 16)="select_multiple ", LEN($A661)&gt;16, NOT(ISNUMBER(SEARCH(" ", $A661, 17)))), AND(LEFT($A661, 11)="select_one ", LEN($A661)&gt;11, NOT(ISNUMBER(SEARCH(" ", $A661, 12)))))</formula>
    </cfRule>
  </conditionalFormatting>
  <conditionalFormatting sqref="B661:E663">
    <cfRule type="expression" dxfId="25" priority="1903" stopIfTrue="1">
      <formula>$A661="decimal"</formula>
    </cfRule>
  </conditionalFormatting>
  <conditionalFormatting sqref="B661:E663">
    <cfRule type="expression" dxfId="26" priority="1904" stopIfTrue="1">
      <formula>$A661="integer"</formula>
    </cfRule>
  </conditionalFormatting>
  <conditionalFormatting sqref="B661:E663">
    <cfRule type="expression" dxfId="27" priority="1905" stopIfTrue="1">
      <formula>$A661="text"</formula>
    </cfRule>
  </conditionalFormatting>
  <conditionalFormatting sqref="B661:E663">
    <cfRule type="expression" dxfId="28" priority="1906" stopIfTrue="1">
      <formula>$A661="end repeat"</formula>
    </cfRule>
  </conditionalFormatting>
  <conditionalFormatting sqref="B661:E663">
    <cfRule type="expression" dxfId="28" priority="1907" stopIfTrue="1">
      <formula>$A661="begin repeat"</formula>
    </cfRule>
  </conditionalFormatting>
  <conditionalFormatting sqref="B661:E663">
    <cfRule type="expression" dxfId="29" priority="1908" stopIfTrue="1">
      <formula>$A661="end group"</formula>
    </cfRule>
  </conditionalFormatting>
  <conditionalFormatting sqref="B661:E663">
    <cfRule type="expression" dxfId="29" priority="1909" stopIfTrue="1">
      <formula>$A661="begin group"</formula>
    </cfRule>
  </conditionalFormatting>
  <conditionalFormatting sqref="B661:B663">
    <cfRule type="expression" dxfId="30" priority="1910" stopIfTrue="1">
      <formula>$A661="comments"</formula>
    </cfRule>
  </conditionalFormatting>
  <conditionalFormatting sqref="B661:B663">
    <cfRule type="expression" dxfId="36" priority="1911" stopIfTrue="1">
      <formula>OR(AND(LEFT($A661, 14)="sensor_stream ", LEN($A661)&gt;14, NOT(ISNUMBER(SEARCH(" ", $A661, 15)))), AND(LEFT($A661, 17)="sensor_statistic ", LEN($A661)&gt;17, NOT(ISNUMBER(SEARCH(" ", $A661, 18)))))</formula>
    </cfRule>
  </conditionalFormatting>
  <conditionalFormatting sqref="B652:C658 D652:E658">
    <cfRule type="expression" dxfId="0" priority="1912" stopIfTrue="1">
      <formula>$A652="begin group"</formula>
    </cfRule>
  </conditionalFormatting>
  <conditionalFormatting sqref="B652:C658 D652:E658">
    <cfRule type="expression" dxfId="1" priority="1913" stopIfTrue="1">
      <formula>$A652="begin repeat"</formula>
    </cfRule>
  </conditionalFormatting>
  <conditionalFormatting sqref="B652:E658">
    <cfRule type="expression" dxfId="31" priority="1914" stopIfTrue="1">
      <formula>$A652="enumerator"</formula>
    </cfRule>
  </conditionalFormatting>
  <conditionalFormatting sqref="B652:E658">
    <cfRule type="expression" dxfId="2" priority="1915" stopIfTrue="1">
      <formula>$A652="text"</formula>
    </cfRule>
  </conditionalFormatting>
  <conditionalFormatting sqref="B652:E658">
    <cfRule type="expression" dxfId="3" priority="1916" stopIfTrue="1">
      <formula>$A652="integer"</formula>
    </cfRule>
  </conditionalFormatting>
  <conditionalFormatting sqref="B652:E658">
    <cfRule type="expression" dxfId="4" priority="1917" stopIfTrue="1">
      <formula>$A652="decimal"</formula>
    </cfRule>
  </conditionalFormatting>
  <conditionalFormatting sqref="B652:C658 D652:E658">
    <cfRule type="expression" dxfId="5" priority="1918" stopIfTrue="1">
      <formula>OR(AND(LEFT($A652, 16)="select_multiple ", LEN($A652)&gt;16, NOT(ISNUMBER(SEARCH(" ", $A652, 17)))), AND(LEFT($A652, 11)="select_one ", LEN($A652)&gt;11, NOT(ISNUMBER(SEARCH(" ", $A652, 12)))))</formula>
    </cfRule>
  </conditionalFormatting>
  <conditionalFormatting sqref="B652:B658">
    <cfRule type="expression" dxfId="6" priority="1919" stopIfTrue="1">
      <formula>OR($A652="audio audit", $A652="text audit", $A652="speed violations count", $A652="speed violations list", $A652="speed violations audit")</formula>
    </cfRule>
  </conditionalFormatting>
  <conditionalFormatting sqref="B652:C658 D652:E658">
    <cfRule type="expression" dxfId="32" priority="1920" stopIfTrue="1">
      <formula>$A652="file"</formula>
    </cfRule>
  </conditionalFormatting>
  <conditionalFormatting sqref="B652:C658 D652:E658">
    <cfRule type="expression" dxfId="7" priority="1921" stopIfTrue="1">
      <formula>$A652="note"</formula>
    </cfRule>
  </conditionalFormatting>
  <conditionalFormatting sqref="B652:C658 D652:E658">
    <cfRule type="expression" dxfId="8" priority="1922" stopIfTrue="1">
      <formula>$A652="barcode"</formula>
    </cfRule>
  </conditionalFormatting>
  <conditionalFormatting sqref="B652:C658 D652:E658">
    <cfRule type="expression" dxfId="9" priority="1923" stopIfTrue="1">
      <formula>OR($A652="geopoint", $A652="geoshape", $A652="geotrace")</formula>
    </cfRule>
  </conditionalFormatting>
  <conditionalFormatting sqref="B652:B658">
    <cfRule type="expression" dxfId="10" priority="1924" stopIfTrue="1">
      <formula>OR($A652="calculate", $A652="calculate_here")</formula>
    </cfRule>
  </conditionalFormatting>
  <conditionalFormatting sqref="B652:C658 D652:E658">
    <cfRule type="expression" dxfId="11" priority="1925" stopIfTrue="1">
      <formula>OR($A652="date", $A652="datetime", $A652="time")</formula>
    </cfRule>
  </conditionalFormatting>
  <conditionalFormatting sqref="B652:C658 D652:E658">
    <cfRule type="expression" dxfId="12" priority="1926" stopIfTrue="1">
      <formula>$A652="image"</formula>
    </cfRule>
  </conditionalFormatting>
  <conditionalFormatting sqref="B652:C658 D652:E658">
    <cfRule type="expression" dxfId="13" priority="1927" stopIfTrue="1">
      <formula>OR($A652="audio", $A652="video")</formula>
    </cfRule>
  </conditionalFormatting>
  <conditionalFormatting sqref="B652:E658">
    <cfRule type="expression" dxfId="33" priority="1928" stopIfTrue="1">
      <formula>$A652="file"</formula>
    </cfRule>
  </conditionalFormatting>
  <conditionalFormatting sqref="B652:E658">
    <cfRule type="expression" dxfId="34" priority="1929" stopIfTrue="1">
      <formula>$A652="enumerator"</formula>
    </cfRule>
  </conditionalFormatting>
  <conditionalFormatting sqref="B652:E658">
    <cfRule type="expression" dxfId="35" priority="1930" stopIfTrue="1">
      <formula>OR(AND(LEFT($A652, 14)="sensor_stream ", LEN($A652)&gt;14, NOT(ISNUMBER(SEARCH(" ", $A652, 15)))), AND(LEFT($A652, 17)="sensor_statistic ", LEN($A652)&gt;17, NOT(ISNUMBER(SEARCH(" ", $A652, 18)))))</formula>
    </cfRule>
  </conditionalFormatting>
  <conditionalFormatting sqref="B652:E658">
    <cfRule type="expression" dxfId="14" priority="1931" stopIfTrue="1">
      <formula>$A652="comments"</formula>
    </cfRule>
  </conditionalFormatting>
  <conditionalFormatting sqref="B652:E658">
    <cfRule type="expression" dxfId="15" priority="1932" stopIfTrue="1">
      <formula>OR($A652="audio", $A652="video")</formula>
    </cfRule>
  </conditionalFormatting>
  <conditionalFormatting sqref="B652:E658">
    <cfRule type="expression" dxfId="16" priority="1933" stopIfTrue="1">
      <formula>$A652="image"</formula>
    </cfRule>
  </conditionalFormatting>
  <conditionalFormatting sqref="B652:E658">
    <cfRule type="expression" dxfId="17" priority="1934" stopIfTrue="1">
      <formula>OR($A652="date", $A652="datetime", $A652="time")</formula>
    </cfRule>
  </conditionalFormatting>
  <conditionalFormatting sqref="B652:E658">
    <cfRule type="expression" dxfId="18" priority="1935" stopIfTrue="1">
      <formula>OR($A652="calculate", $A652="calculate_here")</formula>
    </cfRule>
  </conditionalFormatting>
  <conditionalFormatting sqref="B652:E658">
    <cfRule type="expression" dxfId="19" priority="1936" stopIfTrue="1">
      <formula>$A652="note"</formula>
    </cfRule>
  </conditionalFormatting>
  <conditionalFormatting sqref="B652:E658">
    <cfRule type="expression" dxfId="20" priority="1937" stopIfTrue="1">
      <formula>$A652="barcode"</formula>
    </cfRule>
  </conditionalFormatting>
  <conditionalFormatting sqref="B652:E658">
    <cfRule type="expression" dxfId="21" priority="1938" stopIfTrue="1">
      <formula>OR($A652="geopoint", $A652="geoshape", $A652="geotrace")</formula>
    </cfRule>
  </conditionalFormatting>
  <conditionalFormatting sqref="B652:E658">
    <cfRule type="expression" dxfId="22" priority="1939" stopIfTrue="1">
      <formula>OR($A652="audio audit", $A652="text audit", $A652="speed violations count", $A652="speed violations list", $A652="speed violations audit")</formula>
    </cfRule>
  </conditionalFormatting>
  <conditionalFormatting sqref="B652:E658">
    <cfRule type="expression" dxfId="23" priority="1940" stopIfTrue="1">
      <formula>OR($A652="username", $A652="phonenumber", $A652="start", $A652="end", $A652="deviceid", $A652="subscriberid", $A652="simserial", $A652="caseid")</formula>
    </cfRule>
  </conditionalFormatting>
  <conditionalFormatting sqref="B652:E658">
    <cfRule type="expression" dxfId="24" priority="1941" stopIfTrue="1">
      <formula>OR(AND(LEFT($A652, 16)="select_multiple ", LEN($A652)&gt;16, NOT(ISNUMBER(SEARCH(" ", $A652, 17)))), AND(LEFT($A652, 11)="select_one ", LEN($A652)&gt;11, NOT(ISNUMBER(SEARCH(" ", $A652, 12)))))</formula>
    </cfRule>
  </conditionalFormatting>
  <conditionalFormatting sqref="B652:E658">
    <cfRule type="expression" dxfId="25" priority="1942" stopIfTrue="1">
      <formula>$A652="decimal"</formula>
    </cfRule>
  </conditionalFormatting>
  <conditionalFormatting sqref="B652:E658">
    <cfRule type="expression" dxfId="26" priority="1943" stopIfTrue="1">
      <formula>$A652="integer"</formula>
    </cfRule>
  </conditionalFormatting>
  <conditionalFormatting sqref="B652:E658">
    <cfRule type="expression" dxfId="27" priority="1944" stopIfTrue="1">
      <formula>$A652="text"</formula>
    </cfRule>
  </conditionalFormatting>
  <conditionalFormatting sqref="B652:E658">
    <cfRule type="expression" dxfId="28" priority="1945" stopIfTrue="1">
      <formula>$A652="end repeat"</formula>
    </cfRule>
  </conditionalFormatting>
  <conditionalFormatting sqref="B652:E658">
    <cfRule type="expression" dxfId="28" priority="1946" stopIfTrue="1">
      <formula>$A652="begin repeat"</formula>
    </cfRule>
  </conditionalFormatting>
  <conditionalFormatting sqref="B652:E658">
    <cfRule type="expression" dxfId="29" priority="1947" stopIfTrue="1">
      <formula>$A652="end group"</formula>
    </cfRule>
  </conditionalFormatting>
  <conditionalFormatting sqref="B652:E658">
    <cfRule type="expression" dxfId="29" priority="1948" stopIfTrue="1">
      <formula>$A652="begin group"</formula>
    </cfRule>
  </conditionalFormatting>
  <conditionalFormatting sqref="B652:B658">
    <cfRule type="expression" dxfId="30" priority="1949" stopIfTrue="1">
      <formula>$A652="comments"</formula>
    </cfRule>
  </conditionalFormatting>
  <conditionalFormatting sqref="B652:B658">
    <cfRule type="expression" dxfId="36" priority="1950" stopIfTrue="1">
      <formula>OR(AND(LEFT($A652, 14)="sensor_stream ", LEN($A652)&gt;14, NOT(ISNUMBER(SEARCH(" ", $A652, 15)))), AND(LEFT($A652, 17)="sensor_statistic ", LEN($A652)&gt;17, NOT(ISNUMBER(SEARCH(" ", $A652, 18)))))</formula>
    </cfRule>
  </conditionalFormatting>
  <conditionalFormatting sqref="B646:C647 D646:E647">
    <cfRule type="expression" dxfId="0" priority="1951" stopIfTrue="1">
      <formula>$A646="begin group"</formula>
    </cfRule>
  </conditionalFormatting>
  <conditionalFormatting sqref="B646:C647 D646:E647">
    <cfRule type="expression" dxfId="1" priority="1952" stopIfTrue="1">
      <formula>$A646="begin repeat"</formula>
    </cfRule>
  </conditionalFormatting>
  <conditionalFormatting sqref="B646:E647">
    <cfRule type="expression" dxfId="31" priority="1953" stopIfTrue="1">
      <formula>$A646="enumerator"</formula>
    </cfRule>
  </conditionalFormatting>
  <conditionalFormatting sqref="B646:E647">
    <cfRule type="expression" dxfId="2" priority="1954" stopIfTrue="1">
      <formula>$A646="text"</formula>
    </cfRule>
  </conditionalFormatting>
  <conditionalFormatting sqref="B646:E647">
    <cfRule type="expression" dxfId="3" priority="1955" stopIfTrue="1">
      <formula>$A646="integer"</formula>
    </cfRule>
  </conditionalFormatting>
  <conditionalFormatting sqref="B646:E647">
    <cfRule type="expression" dxfId="4" priority="1956" stopIfTrue="1">
      <formula>$A646="decimal"</formula>
    </cfRule>
  </conditionalFormatting>
  <conditionalFormatting sqref="B646:C647 D646:E647">
    <cfRule type="expression" dxfId="5" priority="1957" stopIfTrue="1">
      <formula>OR(AND(LEFT($A646, 16)="select_multiple ", LEN($A646)&gt;16, NOT(ISNUMBER(SEARCH(" ", $A646, 17)))), AND(LEFT($A646, 11)="select_one ", LEN($A646)&gt;11, NOT(ISNUMBER(SEARCH(" ", $A646, 12)))))</formula>
    </cfRule>
  </conditionalFormatting>
  <conditionalFormatting sqref="B646:B647">
    <cfRule type="expression" dxfId="6" priority="1958" stopIfTrue="1">
      <formula>OR($A646="audio audit", $A646="text audit", $A646="speed violations count", $A646="speed violations list", $A646="speed violations audit")</formula>
    </cfRule>
  </conditionalFormatting>
  <conditionalFormatting sqref="B646:C647 D646:E647">
    <cfRule type="expression" dxfId="32" priority="1959" stopIfTrue="1">
      <formula>$A646="file"</formula>
    </cfRule>
  </conditionalFormatting>
  <conditionalFormatting sqref="B646:C647 D646:E647">
    <cfRule type="expression" dxfId="7" priority="1960" stopIfTrue="1">
      <formula>$A646="note"</formula>
    </cfRule>
  </conditionalFormatting>
  <conditionalFormatting sqref="B646:C647 D646:E647">
    <cfRule type="expression" dxfId="8" priority="1961" stopIfTrue="1">
      <formula>$A646="barcode"</formula>
    </cfRule>
  </conditionalFormatting>
  <conditionalFormatting sqref="B646:C647 D646:E647">
    <cfRule type="expression" dxfId="9" priority="1962" stopIfTrue="1">
      <formula>OR($A646="geopoint", $A646="geoshape", $A646="geotrace")</formula>
    </cfRule>
  </conditionalFormatting>
  <conditionalFormatting sqref="B646:B647">
    <cfRule type="expression" dxfId="10" priority="1963" stopIfTrue="1">
      <formula>OR($A646="calculate", $A646="calculate_here")</formula>
    </cfRule>
  </conditionalFormatting>
  <conditionalFormatting sqref="B646:C647 D646:E647">
    <cfRule type="expression" dxfId="11" priority="1964" stopIfTrue="1">
      <formula>OR($A646="date", $A646="datetime", $A646="time")</formula>
    </cfRule>
  </conditionalFormatting>
  <conditionalFormatting sqref="B646:C647 D646:E647">
    <cfRule type="expression" dxfId="12" priority="1965" stopIfTrue="1">
      <formula>$A646="image"</formula>
    </cfRule>
  </conditionalFormatting>
  <conditionalFormatting sqref="B646:C647 D646:E647">
    <cfRule type="expression" dxfId="13" priority="1966" stopIfTrue="1">
      <formula>OR($A646="audio", $A646="video")</formula>
    </cfRule>
  </conditionalFormatting>
  <conditionalFormatting sqref="B646:E647">
    <cfRule type="expression" dxfId="33" priority="1967" stopIfTrue="1">
      <formula>$A646="file"</formula>
    </cfRule>
  </conditionalFormatting>
  <conditionalFormatting sqref="B646:E647">
    <cfRule type="expression" dxfId="34" priority="1968" stopIfTrue="1">
      <formula>$A646="enumerator"</formula>
    </cfRule>
  </conditionalFormatting>
  <conditionalFormatting sqref="B646:E647">
    <cfRule type="expression" dxfId="35" priority="1969" stopIfTrue="1">
      <formula>OR(AND(LEFT($A646, 14)="sensor_stream ", LEN($A646)&gt;14, NOT(ISNUMBER(SEARCH(" ", $A646, 15)))), AND(LEFT($A646, 17)="sensor_statistic ", LEN($A646)&gt;17, NOT(ISNUMBER(SEARCH(" ", $A646, 18)))))</formula>
    </cfRule>
  </conditionalFormatting>
  <conditionalFormatting sqref="B646:E647">
    <cfRule type="expression" dxfId="14" priority="1970" stopIfTrue="1">
      <formula>$A646="comments"</formula>
    </cfRule>
  </conditionalFormatting>
  <conditionalFormatting sqref="B646:E647">
    <cfRule type="expression" dxfId="15" priority="1971" stopIfTrue="1">
      <formula>OR($A646="audio", $A646="video")</formula>
    </cfRule>
  </conditionalFormatting>
  <conditionalFormatting sqref="B646:E647">
    <cfRule type="expression" dxfId="16" priority="1972" stopIfTrue="1">
      <formula>$A646="image"</formula>
    </cfRule>
  </conditionalFormatting>
  <conditionalFormatting sqref="B646:E647">
    <cfRule type="expression" dxfId="17" priority="1973" stopIfTrue="1">
      <formula>OR($A646="date", $A646="datetime", $A646="time")</formula>
    </cfRule>
  </conditionalFormatting>
  <conditionalFormatting sqref="B646:E647">
    <cfRule type="expression" dxfId="18" priority="1974" stopIfTrue="1">
      <formula>OR($A646="calculate", $A646="calculate_here")</formula>
    </cfRule>
  </conditionalFormatting>
  <conditionalFormatting sqref="B646:E647">
    <cfRule type="expression" dxfId="19" priority="1975" stopIfTrue="1">
      <formula>$A646="note"</formula>
    </cfRule>
  </conditionalFormatting>
  <conditionalFormatting sqref="B646:E647">
    <cfRule type="expression" dxfId="20" priority="1976" stopIfTrue="1">
      <formula>$A646="barcode"</formula>
    </cfRule>
  </conditionalFormatting>
  <conditionalFormatting sqref="B646:E647">
    <cfRule type="expression" dxfId="21" priority="1977" stopIfTrue="1">
      <formula>OR($A646="geopoint", $A646="geoshape", $A646="geotrace")</formula>
    </cfRule>
  </conditionalFormatting>
  <conditionalFormatting sqref="B646:E647">
    <cfRule type="expression" dxfId="22" priority="1978" stopIfTrue="1">
      <formula>OR($A646="audio audit", $A646="text audit", $A646="speed violations count", $A646="speed violations list", $A646="speed violations audit")</formula>
    </cfRule>
  </conditionalFormatting>
  <conditionalFormatting sqref="B646:E647">
    <cfRule type="expression" dxfId="23" priority="1979" stopIfTrue="1">
      <formula>OR($A646="username", $A646="phonenumber", $A646="start", $A646="end", $A646="deviceid", $A646="subscriberid", $A646="simserial", $A646="caseid")</formula>
    </cfRule>
  </conditionalFormatting>
  <conditionalFormatting sqref="B646:E647">
    <cfRule type="expression" dxfId="24" priority="1980" stopIfTrue="1">
      <formula>OR(AND(LEFT($A646, 16)="select_multiple ", LEN($A646)&gt;16, NOT(ISNUMBER(SEARCH(" ", $A646, 17)))), AND(LEFT($A646, 11)="select_one ", LEN($A646)&gt;11, NOT(ISNUMBER(SEARCH(" ", $A646, 12)))))</formula>
    </cfRule>
  </conditionalFormatting>
  <conditionalFormatting sqref="B646:E647">
    <cfRule type="expression" dxfId="25" priority="1981" stopIfTrue="1">
      <formula>$A646="decimal"</formula>
    </cfRule>
  </conditionalFormatting>
  <conditionalFormatting sqref="B646:E647">
    <cfRule type="expression" dxfId="26" priority="1982" stopIfTrue="1">
      <formula>$A646="integer"</formula>
    </cfRule>
  </conditionalFormatting>
  <conditionalFormatting sqref="B646:E647">
    <cfRule type="expression" dxfId="27" priority="1983" stopIfTrue="1">
      <formula>$A646="text"</formula>
    </cfRule>
  </conditionalFormatting>
  <conditionalFormatting sqref="B646:E647">
    <cfRule type="expression" dxfId="28" priority="1984" stopIfTrue="1">
      <formula>$A646="end repeat"</formula>
    </cfRule>
  </conditionalFormatting>
  <conditionalFormatting sqref="B646:E647">
    <cfRule type="expression" dxfId="28" priority="1985" stopIfTrue="1">
      <formula>$A646="begin repeat"</formula>
    </cfRule>
  </conditionalFormatting>
  <conditionalFormatting sqref="B646:E647">
    <cfRule type="expression" dxfId="29" priority="1986" stopIfTrue="1">
      <formula>$A646="end group"</formula>
    </cfRule>
  </conditionalFormatting>
  <conditionalFormatting sqref="B646:E647">
    <cfRule type="expression" dxfId="29" priority="1987" stopIfTrue="1">
      <formula>$A646="begin group"</formula>
    </cfRule>
  </conditionalFormatting>
  <conditionalFormatting sqref="B646:B647">
    <cfRule type="expression" dxfId="30" priority="1988" stopIfTrue="1">
      <formula>$A646="comments"</formula>
    </cfRule>
  </conditionalFormatting>
  <conditionalFormatting sqref="B646:B647">
    <cfRule type="expression" dxfId="36" priority="1989" stopIfTrue="1">
      <formula>OR(AND(LEFT($A646, 14)="sensor_stream ", LEN($A646)&gt;14, NOT(ISNUMBER(SEARCH(" ", $A646, 15)))), AND(LEFT($A646, 17)="sensor_statistic ", LEN($A646)&gt;17, NOT(ISNUMBER(SEARCH(" ", $A646, 18)))))</formula>
    </cfRule>
  </conditionalFormatting>
  <conditionalFormatting sqref="B638:C642 D638:E642">
    <cfRule type="expression" dxfId="0" priority="1990" stopIfTrue="1">
      <formula>$A638="begin group"</formula>
    </cfRule>
  </conditionalFormatting>
  <conditionalFormatting sqref="B638:C642 D638:E642">
    <cfRule type="expression" dxfId="1" priority="1991" stopIfTrue="1">
      <formula>$A638="begin repeat"</formula>
    </cfRule>
  </conditionalFormatting>
  <conditionalFormatting sqref="B638:E642">
    <cfRule type="expression" dxfId="31" priority="1992" stopIfTrue="1">
      <formula>$A638="enumerator"</formula>
    </cfRule>
  </conditionalFormatting>
  <conditionalFormatting sqref="B638:E642">
    <cfRule type="expression" dxfId="2" priority="1993" stopIfTrue="1">
      <formula>$A638="text"</formula>
    </cfRule>
  </conditionalFormatting>
  <conditionalFormatting sqref="B638:E642">
    <cfRule type="expression" dxfId="3" priority="1994" stopIfTrue="1">
      <formula>$A638="integer"</formula>
    </cfRule>
  </conditionalFormatting>
  <conditionalFormatting sqref="B638:E642">
    <cfRule type="expression" dxfId="4" priority="1995" stopIfTrue="1">
      <formula>$A638="decimal"</formula>
    </cfRule>
  </conditionalFormatting>
  <conditionalFormatting sqref="B638:C642 D638:E642">
    <cfRule type="expression" dxfId="5" priority="1996" stopIfTrue="1">
      <formula>OR(AND(LEFT($A638, 16)="select_multiple ", LEN($A638)&gt;16, NOT(ISNUMBER(SEARCH(" ", $A638, 17)))), AND(LEFT($A638, 11)="select_one ", LEN($A638)&gt;11, NOT(ISNUMBER(SEARCH(" ", $A638, 12)))))</formula>
    </cfRule>
  </conditionalFormatting>
  <conditionalFormatting sqref="B638:B642">
    <cfRule type="expression" dxfId="6" priority="1997" stopIfTrue="1">
      <formula>OR($A638="audio audit", $A638="text audit", $A638="speed violations count", $A638="speed violations list", $A638="speed violations audit")</formula>
    </cfRule>
  </conditionalFormatting>
  <conditionalFormatting sqref="B638:C642 D638:E642">
    <cfRule type="expression" dxfId="32" priority="1998" stopIfTrue="1">
      <formula>$A638="file"</formula>
    </cfRule>
  </conditionalFormatting>
  <conditionalFormatting sqref="B638:C642 D638:E642">
    <cfRule type="expression" dxfId="7" priority="1999" stopIfTrue="1">
      <formula>$A638="note"</formula>
    </cfRule>
  </conditionalFormatting>
  <conditionalFormatting sqref="B638:C642 D638:E642">
    <cfRule type="expression" dxfId="8" priority="2000" stopIfTrue="1">
      <formula>$A638="barcode"</formula>
    </cfRule>
  </conditionalFormatting>
  <conditionalFormatting sqref="B638:C642 D638:E642">
    <cfRule type="expression" dxfId="9" priority="2001" stopIfTrue="1">
      <formula>OR($A638="geopoint", $A638="geoshape", $A638="geotrace")</formula>
    </cfRule>
  </conditionalFormatting>
  <conditionalFormatting sqref="B638:B642">
    <cfRule type="expression" dxfId="10" priority="2002" stopIfTrue="1">
      <formula>OR($A638="calculate", $A638="calculate_here")</formula>
    </cfRule>
  </conditionalFormatting>
  <conditionalFormatting sqref="B638:C642 D638:E642">
    <cfRule type="expression" dxfId="11" priority="2003" stopIfTrue="1">
      <formula>OR($A638="date", $A638="datetime", $A638="time")</formula>
    </cfRule>
  </conditionalFormatting>
  <conditionalFormatting sqref="B638:C642 D638:E642">
    <cfRule type="expression" dxfId="12" priority="2004" stopIfTrue="1">
      <formula>$A638="image"</formula>
    </cfRule>
  </conditionalFormatting>
  <conditionalFormatting sqref="B638:C642 D638:E642">
    <cfRule type="expression" dxfId="13" priority="2005" stopIfTrue="1">
      <formula>OR($A638="audio", $A638="video")</formula>
    </cfRule>
  </conditionalFormatting>
  <conditionalFormatting sqref="B638:E642">
    <cfRule type="expression" dxfId="33" priority="2006" stopIfTrue="1">
      <formula>$A638="file"</formula>
    </cfRule>
  </conditionalFormatting>
  <conditionalFormatting sqref="B638:E642">
    <cfRule type="expression" dxfId="34" priority="2007" stopIfTrue="1">
      <formula>$A638="enumerator"</formula>
    </cfRule>
  </conditionalFormatting>
  <conditionalFormatting sqref="B638:E642">
    <cfRule type="expression" dxfId="35" priority="2008" stopIfTrue="1">
      <formula>OR(AND(LEFT($A638, 14)="sensor_stream ", LEN($A638)&gt;14, NOT(ISNUMBER(SEARCH(" ", $A638, 15)))), AND(LEFT($A638, 17)="sensor_statistic ", LEN($A638)&gt;17, NOT(ISNUMBER(SEARCH(" ", $A638, 18)))))</formula>
    </cfRule>
  </conditionalFormatting>
  <conditionalFormatting sqref="B638:E642">
    <cfRule type="expression" dxfId="14" priority="2009" stopIfTrue="1">
      <formula>$A638="comments"</formula>
    </cfRule>
  </conditionalFormatting>
  <conditionalFormatting sqref="B638:E642">
    <cfRule type="expression" dxfId="15" priority="2010" stopIfTrue="1">
      <formula>OR($A638="audio", $A638="video")</formula>
    </cfRule>
  </conditionalFormatting>
  <conditionalFormatting sqref="B638:E642">
    <cfRule type="expression" dxfId="16" priority="2011" stopIfTrue="1">
      <formula>$A638="image"</formula>
    </cfRule>
  </conditionalFormatting>
  <conditionalFormatting sqref="B638:E642">
    <cfRule type="expression" dxfId="17" priority="2012" stopIfTrue="1">
      <formula>OR($A638="date", $A638="datetime", $A638="time")</formula>
    </cfRule>
  </conditionalFormatting>
  <conditionalFormatting sqref="B638:E642">
    <cfRule type="expression" dxfId="18" priority="2013" stopIfTrue="1">
      <formula>OR($A638="calculate", $A638="calculate_here")</formula>
    </cfRule>
  </conditionalFormatting>
  <conditionalFormatting sqref="B638:E642">
    <cfRule type="expression" dxfId="19" priority="2014" stopIfTrue="1">
      <formula>$A638="note"</formula>
    </cfRule>
  </conditionalFormatting>
  <conditionalFormatting sqref="B638:E642">
    <cfRule type="expression" dxfId="20" priority="2015" stopIfTrue="1">
      <formula>$A638="barcode"</formula>
    </cfRule>
  </conditionalFormatting>
  <conditionalFormatting sqref="B638:E642">
    <cfRule type="expression" dxfId="21" priority="2016" stopIfTrue="1">
      <formula>OR($A638="geopoint", $A638="geoshape", $A638="geotrace")</formula>
    </cfRule>
  </conditionalFormatting>
  <conditionalFormatting sqref="B638:E642">
    <cfRule type="expression" dxfId="22" priority="2017" stopIfTrue="1">
      <formula>OR($A638="audio audit", $A638="text audit", $A638="speed violations count", $A638="speed violations list", $A638="speed violations audit")</formula>
    </cfRule>
  </conditionalFormatting>
  <conditionalFormatting sqref="B638:E642">
    <cfRule type="expression" dxfId="23" priority="2018" stopIfTrue="1">
      <formula>OR($A638="username", $A638="phonenumber", $A638="start", $A638="end", $A638="deviceid", $A638="subscriberid", $A638="simserial", $A638="caseid")</formula>
    </cfRule>
  </conditionalFormatting>
  <conditionalFormatting sqref="B638:E642">
    <cfRule type="expression" dxfId="24" priority="2019" stopIfTrue="1">
      <formula>OR(AND(LEFT($A638, 16)="select_multiple ", LEN($A638)&gt;16, NOT(ISNUMBER(SEARCH(" ", $A638, 17)))), AND(LEFT($A638, 11)="select_one ", LEN($A638)&gt;11, NOT(ISNUMBER(SEARCH(" ", $A638, 12)))))</formula>
    </cfRule>
  </conditionalFormatting>
  <conditionalFormatting sqref="B638:E642">
    <cfRule type="expression" dxfId="25" priority="2020" stopIfTrue="1">
      <formula>$A638="decimal"</formula>
    </cfRule>
  </conditionalFormatting>
  <conditionalFormatting sqref="B638:E642">
    <cfRule type="expression" dxfId="26" priority="2021" stopIfTrue="1">
      <formula>$A638="integer"</formula>
    </cfRule>
  </conditionalFormatting>
  <conditionalFormatting sqref="B638:E642">
    <cfRule type="expression" dxfId="27" priority="2022" stopIfTrue="1">
      <formula>$A638="text"</formula>
    </cfRule>
  </conditionalFormatting>
  <conditionalFormatting sqref="B638:E642">
    <cfRule type="expression" dxfId="28" priority="2023" stopIfTrue="1">
      <formula>$A638="end repeat"</formula>
    </cfRule>
  </conditionalFormatting>
  <conditionalFormatting sqref="B638:E642">
    <cfRule type="expression" dxfId="28" priority="2024" stopIfTrue="1">
      <formula>$A638="begin repeat"</formula>
    </cfRule>
  </conditionalFormatting>
  <conditionalFormatting sqref="B638:E642">
    <cfRule type="expression" dxfId="29" priority="2025" stopIfTrue="1">
      <formula>$A638="end group"</formula>
    </cfRule>
  </conditionalFormatting>
  <conditionalFormatting sqref="B638:E642">
    <cfRule type="expression" dxfId="29" priority="2026" stopIfTrue="1">
      <formula>$A638="begin group"</formula>
    </cfRule>
  </conditionalFormatting>
  <conditionalFormatting sqref="B638:B642">
    <cfRule type="expression" dxfId="30" priority="2027" stopIfTrue="1">
      <formula>$A638="comments"</formula>
    </cfRule>
  </conditionalFormatting>
  <conditionalFormatting sqref="B638:B642">
    <cfRule type="expression" dxfId="36" priority="2028" stopIfTrue="1">
      <formula>OR(AND(LEFT($A638, 14)="sensor_stream ", LEN($A638)&gt;14, NOT(ISNUMBER(SEARCH(" ", $A638, 15)))), AND(LEFT($A638, 17)="sensor_statistic ", LEN($A638)&gt;17, NOT(ISNUMBER(SEARCH(" ", $A638, 18)))))</formula>
    </cfRule>
  </conditionalFormatting>
  <conditionalFormatting sqref="B616:C622 D616:E622">
    <cfRule type="expression" dxfId="0" priority="2029" stopIfTrue="1">
      <formula>$A616="begin group"</formula>
    </cfRule>
  </conditionalFormatting>
  <conditionalFormatting sqref="B616:C622 D616:E622">
    <cfRule type="expression" dxfId="1" priority="2030" stopIfTrue="1">
      <formula>$A616="begin repeat"</formula>
    </cfRule>
  </conditionalFormatting>
  <conditionalFormatting sqref="B616:E622">
    <cfRule type="expression" dxfId="31" priority="2031" stopIfTrue="1">
      <formula>$A616="enumerator"</formula>
    </cfRule>
  </conditionalFormatting>
  <conditionalFormatting sqref="B616:E622">
    <cfRule type="expression" dxfId="2" priority="2032" stopIfTrue="1">
      <formula>$A616="text"</formula>
    </cfRule>
  </conditionalFormatting>
  <conditionalFormatting sqref="B616:E622">
    <cfRule type="expression" dxfId="3" priority="2033" stopIfTrue="1">
      <formula>$A616="integer"</formula>
    </cfRule>
  </conditionalFormatting>
  <conditionalFormatting sqref="B616:E622">
    <cfRule type="expression" dxfId="4" priority="2034" stopIfTrue="1">
      <formula>$A616="decimal"</formula>
    </cfRule>
  </conditionalFormatting>
  <conditionalFormatting sqref="B616:C622 D616:E622">
    <cfRule type="expression" dxfId="5" priority="2035" stopIfTrue="1">
      <formula>OR(AND(LEFT($A616, 16)="select_multiple ", LEN($A616)&gt;16, NOT(ISNUMBER(SEARCH(" ", $A616, 17)))), AND(LEFT($A616, 11)="select_one ", LEN($A616)&gt;11, NOT(ISNUMBER(SEARCH(" ", $A616, 12)))))</formula>
    </cfRule>
  </conditionalFormatting>
  <conditionalFormatting sqref="B616:B622">
    <cfRule type="expression" dxfId="6" priority="2036" stopIfTrue="1">
      <formula>OR($A616="audio audit", $A616="text audit", $A616="speed violations count", $A616="speed violations list", $A616="speed violations audit")</formula>
    </cfRule>
  </conditionalFormatting>
  <conditionalFormatting sqref="B616:C622 D616:E622">
    <cfRule type="expression" dxfId="32" priority="2037" stopIfTrue="1">
      <formula>$A616="file"</formula>
    </cfRule>
  </conditionalFormatting>
  <conditionalFormatting sqref="B616:C622 D616:E622">
    <cfRule type="expression" dxfId="7" priority="2038" stopIfTrue="1">
      <formula>$A616="note"</formula>
    </cfRule>
  </conditionalFormatting>
  <conditionalFormatting sqref="B616:C622 D616:E622">
    <cfRule type="expression" dxfId="8" priority="2039" stopIfTrue="1">
      <formula>$A616="barcode"</formula>
    </cfRule>
  </conditionalFormatting>
  <conditionalFormatting sqref="B616:C622 D616:E622">
    <cfRule type="expression" dxfId="9" priority="2040" stopIfTrue="1">
      <formula>OR($A616="geopoint", $A616="geoshape", $A616="geotrace")</formula>
    </cfRule>
  </conditionalFormatting>
  <conditionalFormatting sqref="B616:B622">
    <cfRule type="expression" dxfId="10" priority="2041" stopIfTrue="1">
      <formula>OR($A616="calculate", $A616="calculate_here")</formula>
    </cfRule>
  </conditionalFormatting>
  <conditionalFormatting sqref="B616:C622 D616:E622">
    <cfRule type="expression" dxfId="11" priority="2042" stopIfTrue="1">
      <formula>OR($A616="date", $A616="datetime", $A616="time")</formula>
    </cfRule>
  </conditionalFormatting>
  <conditionalFormatting sqref="B616:C622 D616:E622">
    <cfRule type="expression" dxfId="12" priority="2043" stopIfTrue="1">
      <formula>$A616="image"</formula>
    </cfRule>
  </conditionalFormatting>
  <conditionalFormatting sqref="B616:C622 D616:E622">
    <cfRule type="expression" dxfId="13" priority="2044" stopIfTrue="1">
      <formula>OR($A616="audio", $A616="video")</formula>
    </cfRule>
  </conditionalFormatting>
  <conditionalFormatting sqref="B616:E622">
    <cfRule type="expression" dxfId="33" priority="2045" stopIfTrue="1">
      <formula>$A616="file"</formula>
    </cfRule>
  </conditionalFormatting>
  <conditionalFormatting sqref="B616:E622">
    <cfRule type="expression" dxfId="34" priority="2046" stopIfTrue="1">
      <formula>$A616="enumerator"</formula>
    </cfRule>
  </conditionalFormatting>
  <conditionalFormatting sqref="B616:E622">
    <cfRule type="expression" dxfId="35" priority="2047" stopIfTrue="1">
      <formula>OR(AND(LEFT($A616, 14)="sensor_stream ", LEN($A616)&gt;14, NOT(ISNUMBER(SEARCH(" ", $A616, 15)))), AND(LEFT($A616, 17)="sensor_statistic ", LEN($A616)&gt;17, NOT(ISNUMBER(SEARCH(" ", $A616, 18)))))</formula>
    </cfRule>
  </conditionalFormatting>
  <conditionalFormatting sqref="B616:E622">
    <cfRule type="expression" dxfId="14" priority="2048" stopIfTrue="1">
      <formula>$A616="comments"</formula>
    </cfRule>
  </conditionalFormatting>
  <conditionalFormatting sqref="B616:E622">
    <cfRule type="expression" dxfId="15" priority="2049" stopIfTrue="1">
      <formula>OR($A616="audio", $A616="video")</formula>
    </cfRule>
  </conditionalFormatting>
  <conditionalFormatting sqref="B616:E622">
    <cfRule type="expression" dxfId="16" priority="2050" stopIfTrue="1">
      <formula>$A616="image"</formula>
    </cfRule>
  </conditionalFormatting>
  <conditionalFormatting sqref="B616:E622">
    <cfRule type="expression" dxfId="17" priority="2051" stopIfTrue="1">
      <formula>OR($A616="date", $A616="datetime", $A616="time")</formula>
    </cfRule>
  </conditionalFormatting>
  <conditionalFormatting sqref="B616:E622">
    <cfRule type="expression" dxfId="18" priority="2052" stopIfTrue="1">
      <formula>OR($A616="calculate", $A616="calculate_here")</formula>
    </cfRule>
  </conditionalFormatting>
  <conditionalFormatting sqref="B616:E622">
    <cfRule type="expression" dxfId="19" priority="2053" stopIfTrue="1">
      <formula>$A616="note"</formula>
    </cfRule>
  </conditionalFormatting>
  <conditionalFormatting sqref="B616:E622">
    <cfRule type="expression" dxfId="20" priority="2054" stopIfTrue="1">
      <formula>$A616="barcode"</formula>
    </cfRule>
  </conditionalFormatting>
  <conditionalFormatting sqref="B616:E622">
    <cfRule type="expression" dxfId="21" priority="2055" stopIfTrue="1">
      <formula>OR($A616="geopoint", $A616="geoshape", $A616="geotrace")</formula>
    </cfRule>
  </conditionalFormatting>
  <conditionalFormatting sqref="B616:E622">
    <cfRule type="expression" dxfId="22" priority="2056" stopIfTrue="1">
      <formula>OR($A616="audio audit", $A616="text audit", $A616="speed violations count", $A616="speed violations list", $A616="speed violations audit")</formula>
    </cfRule>
  </conditionalFormatting>
  <conditionalFormatting sqref="B616:E622">
    <cfRule type="expression" dxfId="23" priority="2057" stopIfTrue="1">
      <formula>OR($A616="username", $A616="phonenumber", $A616="start", $A616="end", $A616="deviceid", $A616="subscriberid", $A616="simserial", $A616="caseid")</formula>
    </cfRule>
  </conditionalFormatting>
  <conditionalFormatting sqref="B616:E622">
    <cfRule type="expression" dxfId="24" priority="2058" stopIfTrue="1">
      <formula>OR(AND(LEFT($A616, 16)="select_multiple ", LEN($A616)&gt;16, NOT(ISNUMBER(SEARCH(" ", $A616, 17)))), AND(LEFT($A616, 11)="select_one ", LEN($A616)&gt;11, NOT(ISNUMBER(SEARCH(" ", $A616, 12)))))</formula>
    </cfRule>
  </conditionalFormatting>
  <conditionalFormatting sqref="B616:E622">
    <cfRule type="expression" dxfId="25" priority="2059" stopIfTrue="1">
      <formula>$A616="decimal"</formula>
    </cfRule>
  </conditionalFormatting>
  <conditionalFormatting sqref="B616:E622">
    <cfRule type="expression" dxfId="26" priority="2060" stopIfTrue="1">
      <formula>$A616="integer"</formula>
    </cfRule>
  </conditionalFormatting>
  <conditionalFormatting sqref="B616:E622">
    <cfRule type="expression" dxfId="27" priority="2061" stopIfTrue="1">
      <formula>$A616="text"</formula>
    </cfRule>
  </conditionalFormatting>
  <conditionalFormatting sqref="B616:E622">
    <cfRule type="expression" dxfId="28" priority="2062" stopIfTrue="1">
      <formula>$A616="end repeat"</formula>
    </cfRule>
  </conditionalFormatting>
  <conditionalFormatting sqref="B616:E622">
    <cfRule type="expression" dxfId="28" priority="2063" stopIfTrue="1">
      <formula>$A616="begin repeat"</formula>
    </cfRule>
  </conditionalFormatting>
  <conditionalFormatting sqref="B616:E622">
    <cfRule type="expression" dxfId="29" priority="2064" stopIfTrue="1">
      <formula>$A616="end group"</formula>
    </cfRule>
  </conditionalFormatting>
  <conditionalFormatting sqref="B616:E622">
    <cfRule type="expression" dxfId="29" priority="2065" stopIfTrue="1">
      <formula>$A616="begin group"</formula>
    </cfRule>
  </conditionalFormatting>
  <conditionalFormatting sqref="B616:B622">
    <cfRule type="expression" dxfId="30" priority="2066" stopIfTrue="1">
      <formula>$A616="comments"</formula>
    </cfRule>
  </conditionalFormatting>
  <conditionalFormatting sqref="B616:B622">
    <cfRule type="expression" dxfId="36" priority="2067" stopIfTrue="1">
      <formula>OR(AND(LEFT($A616, 14)="sensor_stream ", LEN($A616)&gt;14, NOT(ISNUMBER(SEARCH(" ", $A616, 15)))), AND(LEFT($A616, 17)="sensor_statistic ", LEN($A616)&gt;17, NOT(ISNUMBER(SEARCH(" ", $A616, 18)))))</formula>
    </cfRule>
  </conditionalFormatting>
  <conditionalFormatting sqref="B609:C611 D609:E611">
    <cfRule type="expression" dxfId="0" priority="2068" stopIfTrue="1">
      <formula>$A609="begin group"</formula>
    </cfRule>
  </conditionalFormatting>
  <conditionalFormatting sqref="B609:C611 D609:E611">
    <cfRule type="expression" dxfId="1" priority="2069" stopIfTrue="1">
      <formula>$A609="begin repeat"</formula>
    </cfRule>
  </conditionalFormatting>
  <conditionalFormatting sqref="B609:E611">
    <cfRule type="expression" dxfId="31" priority="2070" stopIfTrue="1">
      <formula>$A609="enumerator"</formula>
    </cfRule>
  </conditionalFormatting>
  <conditionalFormatting sqref="B609:E611">
    <cfRule type="expression" dxfId="2" priority="2071" stopIfTrue="1">
      <formula>$A609="text"</formula>
    </cfRule>
  </conditionalFormatting>
  <conditionalFormatting sqref="B609:E611">
    <cfRule type="expression" dxfId="3" priority="2072" stopIfTrue="1">
      <formula>$A609="integer"</formula>
    </cfRule>
  </conditionalFormatting>
  <conditionalFormatting sqref="B609:E611">
    <cfRule type="expression" dxfId="4" priority="2073" stopIfTrue="1">
      <formula>$A609="decimal"</formula>
    </cfRule>
  </conditionalFormatting>
  <conditionalFormatting sqref="B609:C611 D609:E611">
    <cfRule type="expression" dxfId="5" priority="2074" stopIfTrue="1">
      <formula>OR(AND(LEFT($A609, 16)="select_multiple ", LEN($A609)&gt;16, NOT(ISNUMBER(SEARCH(" ", $A609, 17)))), AND(LEFT($A609, 11)="select_one ", LEN($A609)&gt;11, NOT(ISNUMBER(SEARCH(" ", $A609, 12)))))</formula>
    </cfRule>
  </conditionalFormatting>
  <conditionalFormatting sqref="B609:B611">
    <cfRule type="expression" dxfId="6" priority="2075" stopIfTrue="1">
      <formula>OR($A609="audio audit", $A609="text audit", $A609="speed violations count", $A609="speed violations list", $A609="speed violations audit")</formula>
    </cfRule>
  </conditionalFormatting>
  <conditionalFormatting sqref="B609:C611 D609:E611">
    <cfRule type="expression" dxfId="32" priority="2076" stopIfTrue="1">
      <formula>$A609="file"</formula>
    </cfRule>
  </conditionalFormatting>
  <conditionalFormatting sqref="B609:C611 D609:E611">
    <cfRule type="expression" dxfId="7" priority="2077" stopIfTrue="1">
      <formula>$A609="note"</formula>
    </cfRule>
  </conditionalFormatting>
  <conditionalFormatting sqref="B609:C611 D609:E611">
    <cfRule type="expression" dxfId="8" priority="2078" stopIfTrue="1">
      <formula>$A609="barcode"</formula>
    </cfRule>
  </conditionalFormatting>
  <conditionalFormatting sqref="B609:C611 D609:E611">
    <cfRule type="expression" dxfId="9" priority="2079" stopIfTrue="1">
      <formula>OR($A609="geopoint", $A609="geoshape", $A609="geotrace")</formula>
    </cfRule>
  </conditionalFormatting>
  <conditionalFormatting sqref="B609:B611">
    <cfRule type="expression" dxfId="10" priority="2080" stopIfTrue="1">
      <formula>OR($A609="calculate", $A609="calculate_here")</formula>
    </cfRule>
  </conditionalFormatting>
  <conditionalFormatting sqref="B609:C611 D609:E611">
    <cfRule type="expression" dxfId="11" priority="2081" stopIfTrue="1">
      <formula>OR($A609="date", $A609="datetime", $A609="time")</formula>
    </cfRule>
  </conditionalFormatting>
  <conditionalFormatting sqref="B609:C611 D609:E611">
    <cfRule type="expression" dxfId="12" priority="2082" stopIfTrue="1">
      <formula>$A609="image"</formula>
    </cfRule>
  </conditionalFormatting>
  <conditionalFormatting sqref="B609:C611 D609:E611">
    <cfRule type="expression" dxfId="13" priority="2083" stopIfTrue="1">
      <formula>OR($A609="audio", $A609="video")</formula>
    </cfRule>
  </conditionalFormatting>
  <conditionalFormatting sqref="B609:E611">
    <cfRule type="expression" dxfId="33" priority="2084" stopIfTrue="1">
      <formula>$A609="file"</formula>
    </cfRule>
  </conditionalFormatting>
  <conditionalFormatting sqref="B609:E611">
    <cfRule type="expression" dxfId="34" priority="2085" stopIfTrue="1">
      <formula>$A609="enumerator"</formula>
    </cfRule>
  </conditionalFormatting>
  <conditionalFormatting sqref="B609:E611">
    <cfRule type="expression" dxfId="35" priority="2086" stopIfTrue="1">
      <formula>OR(AND(LEFT($A609, 14)="sensor_stream ", LEN($A609)&gt;14, NOT(ISNUMBER(SEARCH(" ", $A609, 15)))), AND(LEFT($A609, 17)="sensor_statistic ", LEN($A609)&gt;17, NOT(ISNUMBER(SEARCH(" ", $A609, 18)))))</formula>
    </cfRule>
  </conditionalFormatting>
  <conditionalFormatting sqref="B609:E611">
    <cfRule type="expression" dxfId="14" priority="2087" stopIfTrue="1">
      <formula>$A609="comments"</formula>
    </cfRule>
  </conditionalFormatting>
  <conditionalFormatting sqref="B609:E611">
    <cfRule type="expression" dxfId="15" priority="2088" stopIfTrue="1">
      <formula>OR($A609="audio", $A609="video")</formula>
    </cfRule>
  </conditionalFormatting>
  <conditionalFormatting sqref="B609:E611">
    <cfRule type="expression" dxfId="16" priority="2089" stopIfTrue="1">
      <formula>$A609="image"</formula>
    </cfRule>
  </conditionalFormatting>
  <conditionalFormatting sqref="B609:E611">
    <cfRule type="expression" dxfId="17" priority="2090" stopIfTrue="1">
      <formula>OR($A609="date", $A609="datetime", $A609="time")</formula>
    </cfRule>
  </conditionalFormatting>
  <conditionalFormatting sqref="B609:E611">
    <cfRule type="expression" dxfId="18" priority="2091" stopIfTrue="1">
      <formula>OR($A609="calculate", $A609="calculate_here")</formula>
    </cfRule>
  </conditionalFormatting>
  <conditionalFormatting sqref="B609:E611">
    <cfRule type="expression" dxfId="19" priority="2092" stopIfTrue="1">
      <formula>$A609="note"</formula>
    </cfRule>
  </conditionalFormatting>
  <conditionalFormatting sqref="B609:E611">
    <cfRule type="expression" dxfId="20" priority="2093" stopIfTrue="1">
      <formula>$A609="barcode"</formula>
    </cfRule>
  </conditionalFormatting>
  <conditionalFormatting sqref="B609:E611">
    <cfRule type="expression" dxfId="21" priority="2094" stopIfTrue="1">
      <formula>OR($A609="geopoint", $A609="geoshape", $A609="geotrace")</formula>
    </cfRule>
  </conditionalFormatting>
  <conditionalFormatting sqref="B609:E611">
    <cfRule type="expression" dxfId="22" priority="2095" stopIfTrue="1">
      <formula>OR($A609="audio audit", $A609="text audit", $A609="speed violations count", $A609="speed violations list", $A609="speed violations audit")</formula>
    </cfRule>
  </conditionalFormatting>
  <conditionalFormatting sqref="B609:E611">
    <cfRule type="expression" dxfId="23" priority="2096" stopIfTrue="1">
      <formula>OR($A609="username", $A609="phonenumber", $A609="start", $A609="end", $A609="deviceid", $A609="subscriberid", $A609="simserial", $A609="caseid")</formula>
    </cfRule>
  </conditionalFormatting>
  <conditionalFormatting sqref="B609:E611">
    <cfRule type="expression" dxfId="24" priority="2097" stopIfTrue="1">
      <formula>OR(AND(LEFT($A609, 16)="select_multiple ", LEN($A609)&gt;16, NOT(ISNUMBER(SEARCH(" ", $A609, 17)))), AND(LEFT($A609, 11)="select_one ", LEN($A609)&gt;11, NOT(ISNUMBER(SEARCH(" ", $A609, 12)))))</formula>
    </cfRule>
  </conditionalFormatting>
  <conditionalFormatting sqref="B609:E611">
    <cfRule type="expression" dxfId="25" priority="2098" stopIfTrue="1">
      <formula>$A609="decimal"</formula>
    </cfRule>
  </conditionalFormatting>
  <conditionalFormatting sqref="B609:E611">
    <cfRule type="expression" dxfId="26" priority="2099" stopIfTrue="1">
      <formula>$A609="integer"</formula>
    </cfRule>
  </conditionalFormatting>
  <conditionalFormatting sqref="B609:E611">
    <cfRule type="expression" dxfId="27" priority="2100" stopIfTrue="1">
      <formula>$A609="text"</formula>
    </cfRule>
  </conditionalFormatting>
  <conditionalFormatting sqref="B609:E611">
    <cfRule type="expression" dxfId="28" priority="2101" stopIfTrue="1">
      <formula>$A609="end repeat"</formula>
    </cfRule>
  </conditionalFormatting>
  <conditionalFormatting sqref="B609:E611">
    <cfRule type="expression" dxfId="28" priority="2102" stopIfTrue="1">
      <formula>$A609="begin repeat"</formula>
    </cfRule>
  </conditionalFormatting>
  <conditionalFormatting sqref="B609:E611">
    <cfRule type="expression" dxfId="29" priority="2103" stopIfTrue="1">
      <formula>$A609="end group"</formula>
    </cfRule>
  </conditionalFormatting>
  <conditionalFormatting sqref="B609:E611">
    <cfRule type="expression" dxfId="29" priority="2104" stopIfTrue="1">
      <formula>$A609="begin group"</formula>
    </cfRule>
  </conditionalFormatting>
  <conditionalFormatting sqref="B609:B611">
    <cfRule type="expression" dxfId="30" priority="2105" stopIfTrue="1">
      <formula>$A609="comments"</formula>
    </cfRule>
  </conditionalFormatting>
  <conditionalFormatting sqref="B609:B611">
    <cfRule type="expression" dxfId="36" priority="2106" stopIfTrue="1">
      <formula>OR(AND(LEFT($A609, 14)="sensor_stream ", LEN($A609)&gt;14, NOT(ISNUMBER(SEARCH(" ", $A609, 15)))), AND(LEFT($A609, 17)="sensor_statistic ", LEN($A609)&gt;17, NOT(ISNUMBER(SEARCH(" ", $A609, 18)))))</formula>
    </cfRule>
  </conditionalFormatting>
  <conditionalFormatting sqref="B601:C605 D601:E605">
    <cfRule type="expression" dxfId="0" priority="2107" stopIfTrue="1">
      <formula>$A601="begin group"</formula>
    </cfRule>
  </conditionalFormatting>
  <conditionalFormatting sqref="B601:C605 D601:E605">
    <cfRule type="expression" dxfId="1" priority="2108" stopIfTrue="1">
      <formula>$A601="begin repeat"</formula>
    </cfRule>
  </conditionalFormatting>
  <conditionalFormatting sqref="B601:E605">
    <cfRule type="expression" dxfId="31" priority="2109" stopIfTrue="1">
      <formula>$A601="enumerator"</formula>
    </cfRule>
  </conditionalFormatting>
  <conditionalFormatting sqref="B601:E605">
    <cfRule type="expression" dxfId="2" priority="2110" stopIfTrue="1">
      <formula>$A601="text"</formula>
    </cfRule>
  </conditionalFormatting>
  <conditionalFormatting sqref="B601:E605">
    <cfRule type="expression" dxfId="3" priority="2111" stopIfTrue="1">
      <formula>$A601="integer"</formula>
    </cfRule>
  </conditionalFormatting>
  <conditionalFormatting sqref="B601:E605">
    <cfRule type="expression" dxfId="4" priority="2112" stopIfTrue="1">
      <formula>$A601="decimal"</formula>
    </cfRule>
  </conditionalFormatting>
  <conditionalFormatting sqref="B601:C605 D601:E605">
    <cfRule type="expression" dxfId="5" priority="2113" stopIfTrue="1">
      <formula>OR(AND(LEFT($A601, 16)="select_multiple ", LEN($A601)&gt;16, NOT(ISNUMBER(SEARCH(" ", $A601, 17)))), AND(LEFT($A601, 11)="select_one ", LEN($A601)&gt;11, NOT(ISNUMBER(SEARCH(" ", $A601, 12)))))</formula>
    </cfRule>
  </conditionalFormatting>
  <conditionalFormatting sqref="B601:B605">
    <cfRule type="expression" dxfId="6" priority="2114" stopIfTrue="1">
      <formula>OR($A601="audio audit", $A601="text audit", $A601="speed violations count", $A601="speed violations list", $A601="speed violations audit")</formula>
    </cfRule>
  </conditionalFormatting>
  <conditionalFormatting sqref="B601:C605 D601:E605">
    <cfRule type="expression" dxfId="32" priority="2115" stopIfTrue="1">
      <formula>$A601="file"</formula>
    </cfRule>
  </conditionalFormatting>
  <conditionalFormatting sqref="B601:C605 D601:E605">
    <cfRule type="expression" dxfId="7" priority="2116" stopIfTrue="1">
      <formula>$A601="note"</formula>
    </cfRule>
  </conditionalFormatting>
  <conditionalFormatting sqref="B601:C605 D601:E605">
    <cfRule type="expression" dxfId="8" priority="2117" stopIfTrue="1">
      <formula>$A601="barcode"</formula>
    </cfRule>
  </conditionalFormatting>
  <conditionalFormatting sqref="B601:C605 D601:E605">
    <cfRule type="expression" dxfId="9" priority="2118" stopIfTrue="1">
      <formula>OR($A601="geopoint", $A601="geoshape", $A601="geotrace")</formula>
    </cfRule>
  </conditionalFormatting>
  <conditionalFormatting sqref="B601:B605">
    <cfRule type="expression" dxfId="10" priority="2119" stopIfTrue="1">
      <formula>OR($A601="calculate", $A601="calculate_here")</formula>
    </cfRule>
  </conditionalFormatting>
  <conditionalFormatting sqref="B601:C605 D601:E605">
    <cfRule type="expression" dxfId="11" priority="2120" stopIfTrue="1">
      <formula>OR($A601="date", $A601="datetime", $A601="time")</formula>
    </cfRule>
  </conditionalFormatting>
  <conditionalFormatting sqref="B601:C605 D601:E605">
    <cfRule type="expression" dxfId="12" priority="2121" stopIfTrue="1">
      <formula>$A601="image"</formula>
    </cfRule>
  </conditionalFormatting>
  <conditionalFormatting sqref="B601:C605 D601:E605">
    <cfRule type="expression" dxfId="13" priority="2122" stopIfTrue="1">
      <formula>OR($A601="audio", $A601="video")</formula>
    </cfRule>
  </conditionalFormatting>
  <conditionalFormatting sqref="B601:E605">
    <cfRule type="expression" dxfId="33" priority="2123" stopIfTrue="1">
      <formula>$A601="file"</formula>
    </cfRule>
  </conditionalFormatting>
  <conditionalFormatting sqref="B601:E605">
    <cfRule type="expression" dxfId="34" priority="2124" stopIfTrue="1">
      <formula>$A601="enumerator"</formula>
    </cfRule>
  </conditionalFormatting>
  <conditionalFormatting sqref="B601:E605">
    <cfRule type="expression" dxfId="35" priority="2125" stopIfTrue="1">
      <formula>OR(AND(LEFT($A601, 14)="sensor_stream ", LEN($A601)&gt;14, NOT(ISNUMBER(SEARCH(" ", $A601, 15)))), AND(LEFT($A601, 17)="sensor_statistic ", LEN($A601)&gt;17, NOT(ISNUMBER(SEARCH(" ", $A601, 18)))))</formula>
    </cfRule>
  </conditionalFormatting>
  <conditionalFormatting sqref="B601:E605">
    <cfRule type="expression" dxfId="14" priority="2126" stopIfTrue="1">
      <formula>$A601="comments"</formula>
    </cfRule>
  </conditionalFormatting>
  <conditionalFormatting sqref="B601:E605">
    <cfRule type="expression" dxfId="15" priority="2127" stopIfTrue="1">
      <formula>OR($A601="audio", $A601="video")</formula>
    </cfRule>
  </conditionalFormatting>
  <conditionalFormatting sqref="B601:E605">
    <cfRule type="expression" dxfId="16" priority="2128" stopIfTrue="1">
      <formula>$A601="image"</formula>
    </cfRule>
  </conditionalFormatting>
  <conditionalFormatting sqref="B601:E605">
    <cfRule type="expression" dxfId="17" priority="2129" stopIfTrue="1">
      <formula>OR($A601="date", $A601="datetime", $A601="time")</formula>
    </cfRule>
  </conditionalFormatting>
  <conditionalFormatting sqref="B601:E605">
    <cfRule type="expression" dxfId="18" priority="2130" stopIfTrue="1">
      <formula>OR($A601="calculate", $A601="calculate_here")</formula>
    </cfRule>
  </conditionalFormatting>
  <conditionalFormatting sqref="B601:E605">
    <cfRule type="expression" dxfId="19" priority="2131" stopIfTrue="1">
      <formula>$A601="note"</formula>
    </cfRule>
  </conditionalFormatting>
  <conditionalFormatting sqref="B601:E605">
    <cfRule type="expression" dxfId="20" priority="2132" stopIfTrue="1">
      <formula>$A601="barcode"</formula>
    </cfRule>
  </conditionalFormatting>
  <conditionalFormatting sqref="B601:E605">
    <cfRule type="expression" dxfId="21" priority="2133" stopIfTrue="1">
      <formula>OR($A601="geopoint", $A601="geoshape", $A601="geotrace")</formula>
    </cfRule>
  </conditionalFormatting>
  <conditionalFormatting sqref="B601:E605">
    <cfRule type="expression" dxfId="22" priority="2134" stopIfTrue="1">
      <formula>OR($A601="audio audit", $A601="text audit", $A601="speed violations count", $A601="speed violations list", $A601="speed violations audit")</formula>
    </cfRule>
  </conditionalFormatting>
  <conditionalFormatting sqref="B601:E605">
    <cfRule type="expression" dxfId="23" priority="2135" stopIfTrue="1">
      <formula>OR($A601="username", $A601="phonenumber", $A601="start", $A601="end", $A601="deviceid", $A601="subscriberid", $A601="simserial", $A601="caseid")</formula>
    </cfRule>
  </conditionalFormatting>
  <conditionalFormatting sqref="B601:E605">
    <cfRule type="expression" dxfId="24" priority="2136" stopIfTrue="1">
      <formula>OR(AND(LEFT($A601, 16)="select_multiple ", LEN($A601)&gt;16, NOT(ISNUMBER(SEARCH(" ", $A601, 17)))), AND(LEFT($A601, 11)="select_one ", LEN($A601)&gt;11, NOT(ISNUMBER(SEARCH(" ", $A601, 12)))))</formula>
    </cfRule>
  </conditionalFormatting>
  <conditionalFormatting sqref="B601:E605">
    <cfRule type="expression" dxfId="25" priority="2137" stopIfTrue="1">
      <formula>$A601="decimal"</formula>
    </cfRule>
  </conditionalFormatting>
  <conditionalFormatting sqref="B601:E605">
    <cfRule type="expression" dxfId="26" priority="2138" stopIfTrue="1">
      <formula>$A601="integer"</formula>
    </cfRule>
  </conditionalFormatting>
  <conditionalFormatting sqref="B601:E605">
    <cfRule type="expression" dxfId="27" priority="2139" stopIfTrue="1">
      <formula>$A601="text"</formula>
    </cfRule>
  </conditionalFormatting>
  <conditionalFormatting sqref="B601:E605">
    <cfRule type="expression" dxfId="28" priority="2140" stopIfTrue="1">
      <formula>$A601="end repeat"</formula>
    </cfRule>
  </conditionalFormatting>
  <conditionalFormatting sqref="B601:E605">
    <cfRule type="expression" dxfId="28" priority="2141" stopIfTrue="1">
      <formula>$A601="begin repeat"</formula>
    </cfRule>
  </conditionalFormatting>
  <conditionalFormatting sqref="B601:E605">
    <cfRule type="expression" dxfId="29" priority="2142" stopIfTrue="1">
      <formula>$A601="end group"</formula>
    </cfRule>
  </conditionalFormatting>
  <conditionalFormatting sqref="B601:E605">
    <cfRule type="expression" dxfId="29" priority="2143" stopIfTrue="1">
      <formula>$A601="begin group"</formula>
    </cfRule>
  </conditionalFormatting>
  <conditionalFormatting sqref="B601:B605">
    <cfRule type="expression" dxfId="30" priority="2144" stopIfTrue="1">
      <formula>$A601="comments"</formula>
    </cfRule>
  </conditionalFormatting>
  <conditionalFormatting sqref="B601:B605">
    <cfRule type="expression" dxfId="36" priority="2145" stopIfTrue="1">
      <formula>OR(AND(LEFT($A601, 14)="sensor_stream ", LEN($A601)&gt;14, NOT(ISNUMBER(SEARCH(" ", $A601, 15)))), AND(LEFT($A601, 17)="sensor_statistic ", LEN($A601)&gt;17, NOT(ISNUMBER(SEARCH(" ", $A601, 18)))))</formula>
    </cfRule>
  </conditionalFormatting>
  <conditionalFormatting sqref="B588:C591 D588:E591">
    <cfRule type="expression" dxfId="0" priority="2146" stopIfTrue="1">
      <formula>$A588="begin group"</formula>
    </cfRule>
  </conditionalFormatting>
  <conditionalFormatting sqref="B588:C591 D588:E591">
    <cfRule type="expression" dxfId="1" priority="2147" stopIfTrue="1">
      <formula>$A588="begin repeat"</formula>
    </cfRule>
  </conditionalFormatting>
  <conditionalFormatting sqref="B588:E591">
    <cfRule type="expression" dxfId="31" priority="2148" stopIfTrue="1">
      <formula>$A588="enumerator"</formula>
    </cfRule>
  </conditionalFormatting>
  <conditionalFormatting sqref="B588:E591">
    <cfRule type="expression" dxfId="2" priority="2149" stopIfTrue="1">
      <formula>$A588="text"</formula>
    </cfRule>
  </conditionalFormatting>
  <conditionalFormatting sqref="B588:E591">
    <cfRule type="expression" dxfId="3" priority="2150" stopIfTrue="1">
      <formula>$A588="integer"</formula>
    </cfRule>
  </conditionalFormatting>
  <conditionalFormatting sqref="B588:E591">
    <cfRule type="expression" dxfId="4" priority="2151" stopIfTrue="1">
      <formula>$A588="decimal"</formula>
    </cfRule>
  </conditionalFormatting>
  <conditionalFormatting sqref="B588:C591 D588:E591">
    <cfRule type="expression" dxfId="5" priority="2152" stopIfTrue="1">
      <formula>OR(AND(LEFT($A588, 16)="select_multiple ", LEN($A588)&gt;16, NOT(ISNUMBER(SEARCH(" ", $A588, 17)))), AND(LEFT($A588, 11)="select_one ", LEN($A588)&gt;11, NOT(ISNUMBER(SEARCH(" ", $A588, 12)))))</formula>
    </cfRule>
  </conditionalFormatting>
  <conditionalFormatting sqref="B588:B591">
    <cfRule type="expression" dxfId="6" priority="2153" stopIfTrue="1">
      <formula>OR($A588="audio audit", $A588="text audit", $A588="speed violations count", $A588="speed violations list", $A588="speed violations audit")</formula>
    </cfRule>
  </conditionalFormatting>
  <conditionalFormatting sqref="B588:C591 D588:E591">
    <cfRule type="expression" dxfId="32" priority="2154" stopIfTrue="1">
      <formula>$A588="file"</formula>
    </cfRule>
  </conditionalFormatting>
  <conditionalFormatting sqref="B588:C591 D588:E591">
    <cfRule type="expression" dxfId="7" priority="2155" stopIfTrue="1">
      <formula>$A588="note"</formula>
    </cfRule>
  </conditionalFormatting>
  <conditionalFormatting sqref="B588:C591 D588:E591">
    <cfRule type="expression" dxfId="8" priority="2156" stopIfTrue="1">
      <formula>$A588="barcode"</formula>
    </cfRule>
  </conditionalFormatting>
  <conditionalFormatting sqref="B588:C591 D588:E591">
    <cfRule type="expression" dxfId="9" priority="2157" stopIfTrue="1">
      <formula>OR($A588="geopoint", $A588="geoshape", $A588="geotrace")</formula>
    </cfRule>
  </conditionalFormatting>
  <conditionalFormatting sqref="B588:B591">
    <cfRule type="expression" dxfId="10" priority="2158" stopIfTrue="1">
      <formula>OR($A588="calculate", $A588="calculate_here")</formula>
    </cfRule>
  </conditionalFormatting>
  <conditionalFormatting sqref="B588:C591 D588:E591">
    <cfRule type="expression" dxfId="11" priority="2159" stopIfTrue="1">
      <formula>OR($A588="date", $A588="datetime", $A588="time")</formula>
    </cfRule>
  </conditionalFormatting>
  <conditionalFormatting sqref="B588:C591 D588:E591">
    <cfRule type="expression" dxfId="12" priority="2160" stopIfTrue="1">
      <formula>$A588="image"</formula>
    </cfRule>
  </conditionalFormatting>
  <conditionalFormatting sqref="B588:C591 D588:E591">
    <cfRule type="expression" dxfId="13" priority="2161" stopIfTrue="1">
      <formula>OR($A588="audio", $A588="video")</formula>
    </cfRule>
  </conditionalFormatting>
  <conditionalFormatting sqref="B588:E591">
    <cfRule type="expression" dxfId="33" priority="2162" stopIfTrue="1">
      <formula>$A588="file"</formula>
    </cfRule>
  </conditionalFormatting>
  <conditionalFormatting sqref="B588:E591">
    <cfRule type="expression" dxfId="34" priority="2163" stopIfTrue="1">
      <formula>$A588="enumerator"</formula>
    </cfRule>
  </conditionalFormatting>
  <conditionalFormatting sqref="B588:E591">
    <cfRule type="expression" dxfId="35" priority="2164" stopIfTrue="1">
      <formula>OR(AND(LEFT($A588, 14)="sensor_stream ", LEN($A588)&gt;14, NOT(ISNUMBER(SEARCH(" ", $A588, 15)))), AND(LEFT($A588, 17)="sensor_statistic ", LEN($A588)&gt;17, NOT(ISNUMBER(SEARCH(" ", $A588, 18)))))</formula>
    </cfRule>
  </conditionalFormatting>
  <conditionalFormatting sqref="B588:E591">
    <cfRule type="expression" dxfId="14" priority="2165" stopIfTrue="1">
      <formula>$A588="comments"</formula>
    </cfRule>
  </conditionalFormatting>
  <conditionalFormatting sqref="B588:E591">
    <cfRule type="expression" dxfId="15" priority="2166" stopIfTrue="1">
      <formula>OR($A588="audio", $A588="video")</formula>
    </cfRule>
  </conditionalFormatting>
  <conditionalFormatting sqref="B588:E591">
    <cfRule type="expression" dxfId="16" priority="2167" stopIfTrue="1">
      <formula>$A588="image"</formula>
    </cfRule>
  </conditionalFormatting>
  <conditionalFormatting sqref="B588:E591">
    <cfRule type="expression" dxfId="17" priority="2168" stopIfTrue="1">
      <formula>OR($A588="date", $A588="datetime", $A588="time")</formula>
    </cfRule>
  </conditionalFormatting>
  <conditionalFormatting sqref="B588:E591">
    <cfRule type="expression" dxfId="18" priority="2169" stopIfTrue="1">
      <formula>OR($A588="calculate", $A588="calculate_here")</formula>
    </cfRule>
  </conditionalFormatting>
  <conditionalFormatting sqref="B588:E591">
    <cfRule type="expression" dxfId="19" priority="2170" stopIfTrue="1">
      <formula>$A588="note"</formula>
    </cfRule>
  </conditionalFormatting>
  <conditionalFormatting sqref="B588:E591">
    <cfRule type="expression" dxfId="20" priority="2171" stopIfTrue="1">
      <formula>$A588="barcode"</formula>
    </cfRule>
  </conditionalFormatting>
  <conditionalFormatting sqref="B588:E591">
    <cfRule type="expression" dxfId="21" priority="2172" stopIfTrue="1">
      <formula>OR($A588="geopoint", $A588="geoshape", $A588="geotrace")</formula>
    </cfRule>
  </conditionalFormatting>
  <conditionalFormatting sqref="B588:E591">
    <cfRule type="expression" dxfId="22" priority="2173" stopIfTrue="1">
      <formula>OR($A588="audio audit", $A588="text audit", $A588="speed violations count", $A588="speed violations list", $A588="speed violations audit")</formula>
    </cfRule>
  </conditionalFormatting>
  <conditionalFormatting sqref="B588:E591">
    <cfRule type="expression" dxfId="23" priority="2174" stopIfTrue="1">
      <formula>OR($A588="username", $A588="phonenumber", $A588="start", $A588="end", $A588="deviceid", $A588="subscriberid", $A588="simserial", $A588="caseid")</formula>
    </cfRule>
  </conditionalFormatting>
  <conditionalFormatting sqref="B588:E591">
    <cfRule type="expression" dxfId="24" priority="2175" stopIfTrue="1">
      <formula>OR(AND(LEFT($A588, 16)="select_multiple ", LEN($A588)&gt;16, NOT(ISNUMBER(SEARCH(" ", $A588, 17)))), AND(LEFT($A588, 11)="select_one ", LEN($A588)&gt;11, NOT(ISNUMBER(SEARCH(" ", $A588, 12)))))</formula>
    </cfRule>
  </conditionalFormatting>
  <conditionalFormatting sqref="B588:E591">
    <cfRule type="expression" dxfId="25" priority="2176" stopIfTrue="1">
      <formula>$A588="decimal"</formula>
    </cfRule>
  </conditionalFormatting>
  <conditionalFormatting sqref="B588:E591">
    <cfRule type="expression" dxfId="26" priority="2177" stopIfTrue="1">
      <formula>$A588="integer"</formula>
    </cfRule>
  </conditionalFormatting>
  <conditionalFormatting sqref="B588:E591">
    <cfRule type="expression" dxfId="27" priority="2178" stopIfTrue="1">
      <formula>$A588="text"</formula>
    </cfRule>
  </conditionalFormatting>
  <conditionalFormatting sqref="B588:E591">
    <cfRule type="expression" dxfId="28" priority="2179" stopIfTrue="1">
      <formula>$A588="end repeat"</formula>
    </cfRule>
  </conditionalFormatting>
  <conditionalFormatting sqref="B588:E591">
    <cfRule type="expression" dxfId="28" priority="2180" stopIfTrue="1">
      <formula>$A588="begin repeat"</formula>
    </cfRule>
  </conditionalFormatting>
  <conditionalFormatting sqref="B588:E591">
    <cfRule type="expression" dxfId="29" priority="2181" stopIfTrue="1">
      <formula>$A588="end group"</formula>
    </cfRule>
  </conditionalFormatting>
  <conditionalFormatting sqref="B588:E591">
    <cfRule type="expression" dxfId="29" priority="2182" stopIfTrue="1">
      <formula>$A588="begin group"</formula>
    </cfRule>
  </conditionalFormatting>
  <conditionalFormatting sqref="B588:B591">
    <cfRule type="expression" dxfId="30" priority="2183" stopIfTrue="1">
      <formula>$A588="comments"</formula>
    </cfRule>
  </conditionalFormatting>
  <conditionalFormatting sqref="B588:B591">
    <cfRule type="expression" dxfId="36" priority="2184" stopIfTrue="1">
      <formula>OR(AND(LEFT($A588, 14)="sensor_stream ", LEN($A588)&gt;14, NOT(ISNUMBER(SEARCH(" ", $A588, 15)))), AND(LEFT($A588, 17)="sensor_statistic ", LEN($A588)&gt;17, NOT(ISNUMBER(SEARCH(" ", $A588, 18)))))</formula>
    </cfRule>
  </conditionalFormatting>
  <conditionalFormatting sqref="B572:C584 D572:E584">
    <cfRule type="expression" dxfId="0" priority="2185" stopIfTrue="1">
      <formula>$A572="begin group"</formula>
    </cfRule>
  </conditionalFormatting>
  <conditionalFormatting sqref="B572:C584 D572:E584">
    <cfRule type="expression" dxfId="1" priority="2186" stopIfTrue="1">
      <formula>$A572="begin repeat"</formula>
    </cfRule>
  </conditionalFormatting>
  <conditionalFormatting sqref="B572:E584">
    <cfRule type="expression" dxfId="31" priority="2187" stopIfTrue="1">
      <formula>$A572="enumerator"</formula>
    </cfRule>
  </conditionalFormatting>
  <conditionalFormatting sqref="B572:E584">
    <cfRule type="expression" dxfId="2" priority="2188" stopIfTrue="1">
      <formula>$A572="text"</formula>
    </cfRule>
  </conditionalFormatting>
  <conditionalFormatting sqref="B572:E584">
    <cfRule type="expression" dxfId="3" priority="2189" stopIfTrue="1">
      <formula>$A572="integer"</formula>
    </cfRule>
  </conditionalFormatting>
  <conditionalFormatting sqref="B572:E584">
    <cfRule type="expression" dxfId="4" priority="2190" stopIfTrue="1">
      <formula>$A572="decimal"</formula>
    </cfRule>
  </conditionalFormatting>
  <conditionalFormatting sqref="B572:C584 D572:E584">
    <cfRule type="expression" dxfId="5" priority="2191" stopIfTrue="1">
      <formula>OR(AND(LEFT($A572, 16)="select_multiple ", LEN($A572)&gt;16, NOT(ISNUMBER(SEARCH(" ", $A572, 17)))), AND(LEFT($A572, 11)="select_one ", LEN($A572)&gt;11, NOT(ISNUMBER(SEARCH(" ", $A572, 12)))))</formula>
    </cfRule>
  </conditionalFormatting>
  <conditionalFormatting sqref="B572:B584">
    <cfRule type="expression" dxfId="6" priority="2192" stopIfTrue="1">
      <formula>OR($A572="audio audit", $A572="text audit", $A572="speed violations count", $A572="speed violations list", $A572="speed violations audit")</formula>
    </cfRule>
  </conditionalFormatting>
  <conditionalFormatting sqref="B572:C584 D572:E584">
    <cfRule type="expression" dxfId="32" priority="2193" stopIfTrue="1">
      <formula>$A572="file"</formula>
    </cfRule>
  </conditionalFormatting>
  <conditionalFormatting sqref="B572:C584 D572:E584">
    <cfRule type="expression" dxfId="7" priority="2194" stopIfTrue="1">
      <formula>$A572="note"</formula>
    </cfRule>
  </conditionalFormatting>
  <conditionalFormatting sqref="B572:C584 D572:E584">
    <cfRule type="expression" dxfId="8" priority="2195" stopIfTrue="1">
      <formula>$A572="barcode"</formula>
    </cfRule>
  </conditionalFormatting>
  <conditionalFormatting sqref="B572:C584 D572:E584">
    <cfRule type="expression" dxfId="9" priority="2196" stopIfTrue="1">
      <formula>OR($A572="geopoint", $A572="geoshape", $A572="geotrace")</formula>
    </cfRule>
  </conditionalFormatting>
  <conditionalFormatting sqref="B572:B584">
    <cfRule type="expression" dxfId="10" priority="2197" stopIfTrue="1">
      <formula>OR($A572="calculate", $A572="calculate_here")</formula>
    </cfRule>
  </conditionalFormatting>
  <conditionalFormatting sqref="B572:C584 D572:E584">
    <cfRule type="expression" dxfId="11" priority="2198" stopIfTrue="1">
      <formula>OR($A572="date", $A572="datetime", $A572="time")</formula>
    </cfRule>
  </conditionalFormatting>
  <conditionalFormatting sqref="B572:C584 D572:E584">
    <cfRule type="expression" dxfId="12" priority="2199" stopIfTrue="1">
      <formula>$A572="image"</formula>
    </cfRule>
  </conditionalFormatting>
  <conditionalFormatting sqref="B572:C584 D572:E584">
    <cfRule type="expression" dxfId="13" priority="2200" stopIfTrue="1">
      <formula>OR($A572="audio", $A572="video")</formula>
    </cfRule>
  </conditionalFormatting>
  <conditionalFormatting sqref="B572:E584">
    <cfRule type="expression" dxfId="33" priority="2201" stopIfTrue="1">
      <formula>$A572="file"</formula>
    </cfRule>
  </conditionalFormatting>
  <conditionalFormatting sqref="B572:E584">
    <cfRule type="expression" dxfId="34" priority="2202" stopIfTrue="1">
      <formula>$A572="enumerator"</formula>
    </cfRule>
  </conditionalFormatting>
  <conditionalFormatting sqref="B572:E584">
    <cfRule type="expression" dxfId="35" priority="2203" stopIfTrue="1">
      <formula>OR(AND(LEFT($A572, 14)="sensor_stream ", LEN($A572)&gt;14, NOT(ISNUMBER(SEARCH(" ", $A572, 15)))), AND(LEFT($A572, 17)="sensor_statistic ", LEN($A572)&gt;17, NOT(ISNUMBER(SEARCH(" ", $A572, 18)))))</formula>
    </cfRule>
  </conditionalFormatting>
  <conditionalFormatting sqref="B572:E584">
    <cfRule type="expression" dxfId="14" priority="2204" stopIfTrue="1">
      <formula>$A572="comments"</formula>
    </cfRule>
  </conditionalFormatting>
  <conditionalFormatting sqref="B572:E584">
    <cfRule type="expression" dxfId="15" priority="2205" stopIfTrue="1">
      <formula>OR($A572="audio", $A572="video")</formula>
    </cfRule>
  </conditionalFormatting>
  <conditionalFormatting sqref="B572:E584">
    <cfRule type="expression" dxfId="16" priority="2206" stopIfTrue="1">
      <formula>$A572="image"</formula>
    </cfRule>
  </conditionalFormatting>
  <conditionalFormatting sqref="B572:E584">
    <cfRule type="expression" dxfId="17" priority="2207" stopIfTrue="1">
      <formula>OR($A572="date", $A572="datetime", $A572="time")</formula>
    </cfRule>
  </conditionalFormatting>
  <conditionalFormatting sqref="B572:E584">
    <cfRule type="expression" dxfId="18" priority="2208" stopIfTrue="1">
      <formula>OR($A572="calculate", $A572="calculate_here")</formula>
    </cfRule>
  </conditionalFormatting>
  <conditionalFormatting sqref="B572:E584">
    <cfRule type="expression" dxfId="19" priority="2209" stopIfTrue="1">
      <formula>$A572="note"</formula>
    </cfRule>
  </conditionalFormatting>
  <conditionalFormatting sqref="B572:E584">
    <cfRule type="expression" dxfId="20" priority="2210" stopIfTrue="1">
      <formula>$A572="barcode"</formula>
    </cfRule>
  </conditionalFormatting>
  <conditionalFormatting sqref="B572:E584">
    <cfRule type="expression" dxfId="21" priority="2211" stopIfTrue="1">
      <formula>OR($A572="geopoint", $A572="geoshape", $A572="geotrace")</formula>
    </cfRule>
  </conditionalFormatting>
  <conditionalFormatting sqref="B572:E584">
    <cfRule type="expression" dxfId="22" priority="2212" stopIfTrue="1">
      <formula>OR($A572="audio audit", $A572="text audit", $A572="speed violations count", $A572="speed violations list", $A572="speed violations audit")</formula>
    </cfRule>
  </conditionalFormatting>
  <conditionalFormatting sqref="B572:E584">
    <cfRule type="expression" dxfId="23" priority="2213" stopIfTrue="1">
      <formula>OR($A572="username", $A572="phonenumber", $A572="start", $A572="end", $A572="deviceid", $A572="subscriberid", $A572="simserial", $A572="caseid")</formula>
    </cfRule>
  </conditionalFormatting>
  <conditionalFormatting sqref="B572:E584">
    <cfRule type="expression" dxfId="24" priority="2214" stopIfTrue="1">
      <formula>OR(AND(LEFT($A572, 16)="select_multiple ", LEN($A572)&gt;16, NOT(ISNUMBER(SEARCH(" ", $A572, 17)))), AND(LEFT($A572, 11)="select_one ", LEN($A572)&gt;11, NOT(ISNUMBER(SEARCH(" ", $A572, 12)))))</formula>
    </cfRule>
  </conditionalFormatting>
  <conditionalFormatting sqref="B572:E584">
    <cfRule type="expression" dxfId="25" priority="2215" stopIfTrue="1">
      <formula>$A572="decimal"</formula>
    </cfRule>
  </conditionalFormatting>
  <conditionalFormatting sqref="B572:E584">
    <cfRule type="expression" dxfId="26" priority="2216" stopIfTrue="1">
      <formula>$A572="integer"</formula>
    </cfRule>
  </conditionalFormatting>
  <conditionalFormatting sqref="B572:E584">
    <cfRule type="expression" dxfId="27" priority="2217" stopIfTrue="1">
      <formula>$A572="text"</formula>
    </cfRule>
  </conditionalFormatting>
  <conditionalFormatting sqref="B572:E584">
    <cfRule type="expression" dxfId="28" priority="2218" stopIfTrue="1">
      <formula>$A572="end repeat"</formula>
    </cfRule>
  </conditionalFormatting>
  <conditionalFormatting sqref="B572:E584">
    <cfRule type="expression" dxfId="28" priority="2219" stopIfTrue="1">
      <formula>$A572="begin repeat"</formula>
    </cfRule>
  </conditionalFormatting>
  <conditionalFormatting sqref="B572:E584">
    <cfRule type="expression" dxfId="29" priority="2220" stopIfTrue="1">
      <formula>$A572="end group"</formula>
    </cfRule>
  </conditionalFormatting>
  <conditionalFormatting sqref="B572:E584">
    <cfRule type="expression" dxfId="29" priority="2221" stopIfTrue="1">
      <formula>$A572="begin group"</formula>
    </cfRule>
  </conditionalFormatting>
  <conditionalFormatting sqref="B572:B584">
    <cfRule type="expression" dxfId="30" priority="2222" stopIfTrue="1">
      <formula>$A572="comments"</formula>
    </cfRule>
  </conditionalFormatting>
  <conditionalFormatting sqref="B572:B584">
    <cfRule type="expression" dxfId="36" priority="2223" stopIfTrue="1">
      <formula>OR(AND(LEFT($A572, 14)="sensor_stream ", LEN($A572)&gt;14, NOT(ISNUMBER(SEARCH(" ", $A572, 15)))), AND(LEFT($A572, 17)="sensor_statistic ", LEN($A572)&gt;17, NOT(ISNUMBER(SEARCH(" ", $A572, 18)))))</formula>
    </cfRule>
  </conditionalFormatting>
  <conditionalFormatting sqref="B556:C570 D556:E570">
    <cfRule type="expression" dxfId="0" priority="2224" stopIfTrue="1">
      <formula>$A556="begin group"</formula>
    </cfRule>
  </conditionalFormatting>
  <conditionalFormatting sqref="B556:C570 D556:E570">
    <cfRule type="expression" dxfId="1" priority="2225" stopIfTrue="1">
      <formula>$A556="begin repeat"</formula>
    </cfRule>
  </conditionalFormatting>
  <conditionalFormatting sqref="B556:E570">
    <cfRule type="expression" dxfId="31" priority="2226" stopIfTrue="1">
      <formula>$A556="enumerator"</formula>
    </cfRule>
  </conditionalFormatting>
  <conditionalFormatting sqref="B556:E570">
    <cfRule type="expression" dxfId="2" priority="2227" stopIfTrue="1">
      <formula>$A556="text"</formula>
    </cfRule>
  </conditionalFormatting>
  <conditionalFormatting sqref="B556:E570">
    <cfRule type="expression" dxfId="3" priority="2228" stopIfTrue="1">
      <formula>$A556="integer"</formula>
    </cfRule>
  </conditionalFormatting>
  <conditionalFormatting sqref="B556:E570">
    <cfRule type="expression" dxfId="4" priority="2229" stopIfTrue="1">
      <formula>$A556="decimal"</formula>
    </cfRule>
  </conditionalFormatting>
  <conditionalFormatting sqref="B556:C570 D556:E570">
    <cfRule type="expression" dxfId="5" priority="2230" stopIfTrue="1">
      <formula>OR(AND(LEFT($A556, 16)="select_multiple ", LEN($A556)&gt;16, NOT(ISNUMBER(SEARCH(" ", $A556, 17)))), AND(LEFT($A556, 11)="select_one ", LEN($A556)&gt;11, NOT(ISNUMBER(SEARCH(" ", $A556, 12)))))</formula>
    </cfRule>
  </conditionalFormatting>
  <conditionalFormatting sqref="B556:B570">
    <cfRule type="expression" dxfId="6" priority="2231" stopIfTrue="1">
      <formula>OR($A556="audio audit", $A556="text audit", $A556="speed violations count", $A556="speed violations list", $A556="speed violations audit")</formula>
    </cfRule>
  </conditionalFormatting>
  <conditionalFormatting sqref="B556:C570 D556:E570">
    <cfRule type="expression" dxfId="32" priority="2232" stopIfTrue="1">
      <formula>$A556="file"</formula>
    </cfRule>
  </conditionalFormatting>
  <conditionalFormatting sqref="B556:C570 D556:E570">
    <cfRule type="expression" dxfId="7" priority="2233" stopIfTrue="1">
      <formula>$A556="note"</formula>
    </cfRule>
  </conditionalFormatting>
  <conditionalFormatting sqref="B556:C570 D556:E570">
    <cfRule type="expression" dxfId="8" priority="2234" stopIfTrue="1">
      <formula>$A556="barcode"</formula>
    </cfRule>
  </conditionalFormatting>
  <conditionalFormatting sqref="B556:C570 D556:E570">
    <cfRule type="expression" dxfId="9" priority="2235" stopIfTrue="1">
      <formula>OR($A556="geopoint", $A556="geoshape", $A556="geotrace")</formula>
    </cfRule>
  </conditionalFormatting>
  <conditionalFormatting sqref="B556:B570">
    <cfRule type="expression" dxfId="10" priority="2236" stopIfTrue="1">
      <formula>OR($A556="calculate", $A556="calculate_here")</formula>
    </cfRule>
  </conditionalFormatting>
  <conditionalFormatting sqref="B556:C570 D556:E570">
    <cfRule type="expression" dxfId="11" priority="2237" stopIfTrue="1">
      <formula>OR($A556="date", $A556="datetime", $A556="time")</formula>
    </cfRule>
  </conditionalFormatting>
  <conditionalFormatting sqref="B556:C570 D556:E570">
    <cfRule type="expression" dxfId="12" priority="2238" stopIfTrue="1">
      <formula>$A556="image"</formula>
    </cfRule>
  </conditionalFormatting>
  <conditionalFormatting sqref="B556:C570 D556:E570">
    <cfRule type="expression" dxfId="13" priority="2239" stopIfTrue="1">
      <formula>OR($A556="audio", $A556="video")</formula>
    </cfRule>
  </conditionalFormatting>
  <conditionalFormatting sqref="B556:E570">
    <cfRule type="expression" dxfId="33" priority="2240" stopIfTrue="1">
      <formula>$A556="file"</formula>
    </cfRule>
  </conditionalFormatting>
  <conditionalFormatting sqref="B556:E570">
    <cfRule type="expression" dxfId="34" priority="2241" stopIfTrue="1">
      <formula>$A556="enumerator"</formula>
    </cfRule>
  </conditionalFormatting>
  <conditionalFormatting sqref="B556:E570">
    <cfRule type="expression" dxfId="35" priority="2242" stopIfTrue="1">
      <formula>OR(AND(LEFT($A556, 14)="sensor_stream ", LEN($A556)&gt;14, NOT(ISNUMBER(SEARCH(" ", $A556, 15)))), AND(LEFT($A556, 17)="sensor_statistic ", LEN($A556)&gt;17, NOT(ISNUMBER(SEARCH(" ", $A556, 18)))))</formula>
    </cfRule>
  </conditionalFormatting>
  <conditionalFormatting sqref="B556:E570">
    <cfRule type="expression" dxfId="14" priority="2243" stopIfTrue="1">
      <formula>$A556="comments"</formula>
    </cfRule>
  </conditionalFormatting>
  <conditionalFormatting sqref="B556:E570">
    <cfRule type="expression" dxfId="15" priority="2244" stopIfTrue="1">
      <formula>OR($A556="audio", $A556="video")</formula>
    </cfRule>
  </conditionalFormatting>
  <conditionalFormatting sqref="B556:E570">
    <cfRule type="expression" dxfId="16" priority="2245" stopIfTrue="1">
      <formula>$A556="image"</formula>
    </cfRule>
  </conditionalFormatting>
  <conditionalFormatting sqref="B556:E570">
    <cfRule type="expression" dxfId="17" priority="2246" stopIfTrue="1">
      <formula>OR($A556="date", $A556="datetime", $A556="time")</formula>
    </cfRule>
  </conditionalFormatting>
  <conditionalFormatting sqref="B556:E570">
    <cfRule type="expression" dxfId="18" priority="2247" stopIfTrue="1">
      <formula>OR($A556="calculate", $A556="calculate_here")</formula>
    </cfRule>
  </conditionalFormatting>
  <conditionalFormatting sqref="B556:E570">
    <cfRule type="expression" dxfId="19" priority="2248" stopIfTrue="1">
      <formula>$A556="note"</formula>
    </cfRule>
  </conditionalFormatting>
  <conditionalFormatting sqref="B556:E570">
    <cfRule type="expression" dxfId="20" priority="2249" stopIfTrue="1">
      <formula>$A556="barcode"</formula>
    </cfRule>
  </conditionalFormatting>
  <conditionalFormatting sqref="B556:E570">
    <cfRule type="expression" dxfId="21" priority="2250" stopIfTrue="1">
      <formula>OR($A556="geopoint", $A556="geoshape", $A556="geotrace")</formula>
    </cfRule>
  </conditionalFormatting>
  <conditionalFormatting sqref="B556:E570">
    <cfRule type="expression" dxfId="22" priority="2251" stopIfTrue="1">
      <formula>OR($A556="audio audit", $A556="text audit", $A556="speed violations count", $A556="speed violations list", $A556="speed violations audit")</formula>
    </cfRule>
  </conditionalFormatting>
  <conditionalFormatting sqref="B556:E570">
    <cfRule type="expression" dxfId="23" priority="2252" stopIfTrue="1">
      <formula>OR($A556="username", $A556="phonenumber", $A556="start", $A556="end", $A556="deviceid", $A556="subscriberid", $A556="simserial", $A556="caseid")</formula>
    </cfRule>
  </conditionalFormatting>
  <conditionalFormatting sqref="B556:E570">
    <cfRule type="expression" dxfId="24" priority="2253" stopIfTrue="1">
      <formula>OR(AND(LEFT($A556, 16)="select_multiple ", LEN($A556)&gt;16, NOT(ISNUMBER(SEARCH(" ", $A556, 17)))), AND(LEFT($A556, 11)="select_one ", LEN($A556)&gt;11, NOT(ISNUMBER(SEARCH(" ", $A556, 12)))))</formula>
    </cfRule>
  </conditionalFormatting>
  <conditionalFormatting sqref="B556:E570">
    <cfRule type="expression" dxfId="25" priority="2254" stopIfTrue="1">
      <formula>$A556="decimal"</formula>
    </cfRule>
  </conditionalFormatting>
  <conditionalFormatting sqref="B556:E570">
    <cfRule type="expression" dxfId="26" priority="2255" stopIfTrue="1">
      <formula>$A556="integer"</formula>
    </cfRule>
  </conditionalFormatting>
  <conditionalFormatting sqref="B556:E570">
    <cfRule type="expression" dxfId="27" priority="2256" stopIfTrue="1">
      <formula>$A556="text"</formula>
    </cfRule>
  </conditionalFormatting>
  <conditionalFormatting sqref="B556:E570">
    <cfRule type="expression" dxfId="28" priority="2257" stopIfTrue="1">
      <formula>$A556="end repeat"</formula>
    </cfRule>
  </conditionalFormatting>
  <conditionalFormatting sqref="B556:E570">
    <cfRule type="expression" dxfId="28" priority="2258" stopIfTrue="1">
      <formula>$A556="begin repeat"</formula>
    </cfRule>
  </conditionalFormatting>
  <conditionalFormatting sqref="B556:E570">
    <cfRule type="expression" dxfId="29" priority="2259" stopIfTrue="1">
      <formula>$A556="end group"</formula>
    </cfRule>
  </conditionalFormatting>
  <conditionalFormatting sqref="B556:E570">
    <cfRule type="expression" dxfId="29" priority="2260" stopIfTrue="1">
      <formula>$A556="begin group"</formula>
    </cfRule>
  </conditionalFormatting>
  <conditionalFormatting sqref="B556:B561 B563:B570">
    <cfRule type="expression" dxfId="30" priority="2261" stopIfTrue="1">
      <formula>$A556="comments"</formula>
    </cfRule>
  </conditionalFormatting>
  <conditionalFormatting sqref="B556:B570">
    <cfRule type="expression" dxfId="36" priority="2262" stopIfTrue="1">
      <formula>OR(AND(LEFT($A556, 14)="sensor_stream ", LEN($A556)&gt;14, NOT(ISNUMBER(SEARCH(" ", $A556, 15)))), AND(LEFT($A556, 17)="sensor_statistic ", LEN($A556)&gt;17, NOT(ISNUMBER(SEARCH(" ", $A556, 18)))))</formula>
    </cfRule>
  </conditionalFormatting>
  <conditionalFormatting sqref="B542:C542 D542:E542">
    <cfRule type="expression" dxfId="0" priority="2263" stopIfTrue="1">
      <formula>$A542="begin group"</formula>
    </cfRule>
  </conditionalFormatting>
  <conditionalFormatting sqref="B542:C542 D542:E542">
    <cfRule type="expression" dxfId="1" priority="2264" stopIfTrue="1">
      <formula>$A542="begin repeat"</formula>
    </cfRule>
  </conditionalFormatting>
  <conditionalFormatting sqref="B542:E542">
    <cfRule type="expression" dxfId="31" priority="2265" stopIfTrue="1">
      <formula>$A542="enumerator"</formula>
    </cfRule>
  </conditionalFormatting>
  <conditionalFormatting sqref="B542:E542">
    <cfRule type="expression" dxfId="2" priority="2266" stopIfTrue="1">
      <formula>$A542="text"</formula>
    </cfRule>
  </conditionalFormatting>
  <conditionalFormatting sqref="B542:E542">
    <cfRule type="expression" dxfId="3" priority="2267" stopIfTrue="1">
      <formula>$A542="integer"</formula>
    </cfRule>
  </conditionalFormatting>
  <conditionalFormatting sqref="B542:E542">
    <cfRule type="expression" dxfId="4" priority="2268" stopIfTrue="1">
      <formula>$A542="decimal"</formula>
    </cfRule>
  </conditionalFormatting>
  <conditionalFormatting sqref="B542:C542 D542:E542">
    <cfRule type="expression" dxfId="5" priority="2269" stopIfTrue="1">
      <formula>OR(AND(LEFT($A542, 16)="select_multiple ", LEN($A542)&gt;16, NOT(ISNUMBER(SEARCH(" ", $A542, 17)))), AND(LEFT($A542, 11)="select_one ", LEN($A542)&gt;11, NOT(ISNUMBER(SEARCH(" ", $A542, 12)))))</formula>
    </cfRule>
  </conditionalFormatting>
  <conditionalFormatting sqref="B542">
    <cfRule type="expression" dxfId="6" priority="2270" stopIfTrue="1">
      <formula>OR($A542="audio audit", $A542="text audit", $A542="speed violations count", $A542="speed violations list", $A542="speed violations audit")</formula>
    </cfRule>
  </conditionalFormatting>
  <conditionalFormatting sqref="B542:C542 D542:E542">
    <cfRule type="expression" dxfId="32" priority="2271" stopIfTrue="1">
      <formula>$A542="file"</formula>
    </cfRule>
  </conditionalFormatting>
  <conditionalFormatting sqref="B542:C542 D542:E542">
    <cfRule type="expression" dxfId="7" priority="2272" stopIfTrue="1">
      <formula>$A542="note"</formula>
    </cfRule>
  </conditionalFormatting>
  <conditionalFormatting sqref="B542:C542 D542:E542">
    <cfRule type="expression" dxfId="8" priority="2273" stopIfTrue="1">
      <formula>$A542="barcode"</formula>
    </cfRule>
  </conditionalFormatting>
  <conditionalFormatting sqref="B542:C542 D542:E542">
    <cfRule type="expression" dxfId="9" priority="2274" stopIfTrue="1">
      <formula>OR($A542="geopoint", $A542="geoshape", $A542="geotrace")</formula>
    </cfRule>
  </conditionalFormatting>
  <conditionalFormatting sqref="B542">
    <cfRule type="expression" dxfId="10" priority="2275" stopIfTrue="1">
      <formula>OR($A542="calculate", $A542="calculate_here")</formula>
    </cfRule>
  </conditionalFormatting>
  <conditionalFormatting sqref="B542:C542 D542:E542">
    <cfRule type="expression" dxfId="11" priority="2276" stopIfTrue="1">
      <formula>OR($A542="date", $A542="datetime", $A542="time")</formula>
    </cfRule>
  </conditionalFormatting>
  <conditionalFormatting sqref="B542:C542 D542:E542">
    <cfRule type="expression" dxfId="12" priority="2277" stopIfTrue="1">
      <formula>$A542="image"</formula>
    </cfRule>
  </conditionalFormatting>
  <conditionalFormatting sqref="B542:C542 D542:E542">
    <cfRule type="expression" dxfId="13" priority="2278" stopIfTrue="1">
      <formula>OR($A542="audio", $A542="video")</formula>
    </cfRule>
  </conditionalFormatting>
  <conditionalFormatting sqref="B542:E542">
    <cfRule type="expression" dxfId="33" priority="2279" stopIfTrue="1">
      <formula>$A542="file"</formula>
    </cfRule>
  </conditionalFormatting>
  <conditionalFormatting sqref="B542:E542">
    <cfRule type="expression" dxfId="34" priority="2280" stopIfTrue="1">
      <formula>$A542="enumerator"</formula>
    </cfRule>
  </conditionalFormatting>
  <conditionalFormatting sqref="B542:E542">
    <cfRule type="expression" dxfId="35" priority="2281" stopIfTrue="1">
      <formula>OR(AND(LEFT($A542, 14)="sensor_stream ", LEN($A542)&gt;14, NOT(ISNUMBER(SEARCH(" ", $A542, 15)))), AND(LEFT($A542, 17)="sensor_statistic ", LEN($A542)&gt;17, NOT(ISNUMBER(SEARCH(" ", $A542, 18)))))</formula>
    </cfRule>
  </conditionalFormatting>
  <conditionalFormatting sqref="B542:E542">
    <cfRule type="expression" dxfId="14" priority="2282" stopIfTrue="1">
      <formula>$A542="comments"</formula>
    </cfRule>
  </conditionalFormatting>
  <conditionalFormatting sqref="B542:E542">
    <cfRule type="expression" dxfId="15" priority="2283" stopIfTrue="1">
      <formula>OR($A542="audio", $A542="video")</formula>
    </cfRule>
  </conditionalFormatting>
  <conditionalFormatting sqref="B542:E542">
    <cfRule type="expression" dxfId="16" priority="2284" stopIfTrue="1">
      <formula>$A542="image"</formula>
    </cfRule>
  </conditionalFormatting>
  <conditionalFormatting sqref="B542:E542">
    <cfRule type="expression" dxfId="17" priority="2285" stopIfTrue="1">
      <formula>OR($A542="date", $A542="datetime", $A542="time")</formula>
    </cfRule>
  </conditionalFormatting>
  <conditionalFormatting sqref="B542:E542">
    <cfRule type="expression" dxfId="18" priority="2286" stopIfTrue="1">
      <formula>OR($A542="calculate", $A542="calculate_here")</formula>
    </cfRule>
  </conditionalFormatting>
  <conditionalFormatting sqref="B542:E542">
    <cfRule type="expression" dxfId="19" priority="2287" stopIfTrue="1">
      <formula>$A542="note"</formula>
    </cfRule>
  </conditionalFormatting>
  <conditionalFormatting sqref="B542:E542">
    <cfRule type="expression" dxfId="20" priority="2288" stopIfTrue="1">
      <formula>$A542="barcode"</formula>
    </cfRule>
  </conditionalFormatting>
  <conditionalFormatting sqref="B542:E542">
    <cfRule type="expression" dxfId="21" priority="2289" stopIfTrue="1">
      <formula>OR($A542="geopoint", $A542="geoshape", $A542="geotrace")</formula>
    </cfRule>
  </conditionalFormatting>
  <conditionalFormatting sqref="B542:E542">
    <cfRule type="expression" dxfId="22" priority="2290" stopIfTrue="1">
      <formula>OR($A542="audio audit", $A542="text audit", $A542="speed violations count", $A542="speed violations list", $A542="speed violations audit")</formula>
    </cfRule>
  </conditionalFormatting>
  <conditionalFormatting sqref="B542:E542">
    <cfRule type="expression" dxfId="23" priority="2291" stopIfTrue="1">
      <formula>OR($A542="username", $A542="phonenumber", $A542="start", $A542="end", $A542="deviceid", $A542="subscriberid", $A542="simserial", $A542="caseid")</formula>
    </cfRule>
  </conditionalFormatting>
  <conditionalFormatting sqref="B542:E542">
    <cfRule type="expression" dxfId="24" priority="2292" stopIfTrue="1">
      <formula>OR(AND(LEFT($A542, 16)="select_multiple ", LEN($A542)&gt;16, NOT(ISNUMBER(SEARCH(" ", $A542, 17)))), AND(LEFT($A542, 11)="select_one ", LEN($A542)&gt;11, NOT(ISNUMBER(SEARCH(" ", $A542, 12)))))</formula>
    </cfRule>
  </conditionalFormatting>
  <conditionalFormatting sqref="B542:E542">
    <cfRule type="expression" dxfId="25" priority="2293" stopIfTrue="1">
      <formula>$A542="decimal"</formula>
    </cfRule>
  </conditionalFormatting>
  <conditionalFormatting sqref="B542:E542">
    <cfRule type="expression" dxfId="26" priority="2294" stopIfTrue="1">
      <formula>$A542="integer"</formula>
    </cfRule>
  </conditionalFormatting>
  <conditionalFormatting sqref="B542:E542">
    <cfRule type="expression" dxfId="27" priority="2295" stopIfTrue="1">
      <formula>$A542="text"</formula>
    </cfRule>
  </conditionalFormatting>
  <conditionalFormatting sqref="B542:E542">
    <cfRule type="expression" dxfId="28" priority="2296" stopIfTrue="1">
      <formula>$A542="end repeat"</formula>
    </cfRule>
  </conditionalFormatting>
  <conditionalFormatting sqref="B542:E542">
    <cfRule type="expression" dxfId="28" priority="2297" stopIfTrue="1">
      <formula>$A542="begin repeat"</formula>
    </cfRule>
  </conditionalFormatting>
  <conditionalFormatting sqref="B542:E542">
    <cfRule type="expression" dxfId="29" priority="2298" stopIfTrue="1">
      <formula>$A542="end group"</formula>
    </cfRule>
  </conditionalFormatting>
  <conditionalFormatting sqref="B542:E542">
    <cfRule type="expression" dxfId="29" priority="2299" stopIfTrue="1">
      <formula>$A542="begin group"</formula>
    </cfRule>
  </conditionalFormatting>
  <conditionalFormatting sqref="B542">
    <cfRule type="expression" dxfId="30" priority="2300" stopIfTrue="1">
      <formula>$A542="comments"</formula>
    </cfRule>
  </conditionalFormatting>
  <conditionalFormatting sqref="B542">
    <cfRule type="expression" dxfId="36" priority="2301" stopIfTrue="1">
      <formula>OR(AND(LEFT($A542, 14)="sensor_stream ", LEN($A542)&gt;14, NOT(ISNUMBER(SEARCH(" ", $A542, 15)))), AND(LEFT($A542, 17)="sensor_statistic ", LEN($A542)&gt;17, NOT(ISNUMBER(SEARCH(" ", $A542, 18)))))</formula>
    </cfRule>
  </conditionalFormatting>
  <conditionalFormatting sqref="B534:C536 D534:E536">
    <cfRule type="expression" dxfId="0" priority="2302" stopIfTrue="1">
      <formula>$A534="begin group"</formula>
    </cfRule>
  </conditionalFormatting>
  <conditionalFormatting sqref="B534:C536 D534:E536">
    <cfRule type="expression" dxfId="1" priority="2303" stopIfTrue="1">
      <formula>$A534="begin repeat"</formula>
    </cfRule>
  </conditionalFormatting>
  <conditionalFormatting sqref="B534:E536">
    <cfRule type="expression" dxfId="31" priority="2304" stopIfTrue="1">
      <formula>$A534="enumerator"</formula>
    </cfRule>
  </conditionalFormatting>
  <conditionalFormatting sqref="B534:E536">
    <cfRule type="expression" dxfId="2" priority="2305" stopIfTrue="1">
      <formula>$A534="text"</formula>
    </cfRule>
  </conditionalFormatting>
  <conditionalFormatting sqref="B534:E536">
    <cfRule type="expression" dxfId="3" priority="2306" stopIfTrue="1">
      <formula>$A534="integer"</formula>
    </cfRule>
  </conditionalFormatting>
  <conditionalFormatting sqref="B534:E536">
    <cfRule type="expression" dxfId="4" priority="2307" stopIfTrue="1">
      <formula>$A534="decimal"</formula>
    </cfRule>
  </conditionalFormatting>
  <conditionalFormatting sqref="B534:C536 D534:E536">
    <cfRule type="expression" dxfId="5" priority="2308" stopIfTrue="1">
      <formula>OR(AND(LEFT($A534, 16)="select_multiple ", LEN($A534)&gt;16, NOT(ISNUMBER(SEARCH(" ", $A534, 17)))), AND(LEFT($A534, 11)="select_one ", LEN($A534)&gt;11, NOT(ISNUMBER(SEARCH(" ", $A534, 12)))))</formula>
    </cfRule>
  </conditionalFormatting>
  <conditionalFormatting sqref="B534:B536">
    <cfRule type="expression" dxfId="6" priority="2309" stopIfTrue="1">
      <formula>OR($A534="audio audit", $A534="text audit", $A534="speed violations count", $A534="speed violations list", $A534="speed violations audit")</formula>
    </cfRule>
  </conditionalFormatting>
  <conditionalFormatting sqref="B534:C536 D534:E536">
    <cfRule type="expression" dxfId="32" priority="2310" stopIfTrue="1">
      <formula>$A534="file"</formula>
    </cfRule>
  </conditionalFormatting>
  <conditionalFormatting sqref="B534:C536 D534:E536">
    <cfRule type="expression" dxfId="7" priority="2311" stopIfTrue="1">
      <formula>$A534="note"</formula>
    </cfRule>
  </conditionalFormatting>
  <conditionalFormatting sqref="B534:C536 D534:E536">
    <cfRule type="expression" dxfId="8" priority="2312" stopIfTrue="1">
      <formula>$A534="barcode"</formula>
    </cfRule>
  </conditionalFormatting>
  <conditionalFormatting sqref="B534:C536 D534:E536">
    <cfRule type="expression" dxfId="9" priority="2313" stopIfTrue="1">
      <formula>OR($A534="geopoint", $A534="geoshape", $A534="geotrace")</formula>
    </cfRule>
  </conditionalFormatting>
  <conditionalFormatting sqref="B534:B536">
    <cfRule type="expression" dxfId="10" priority="2314" stopIfTrue="1">
      <formula>OR($A534="calculate", $A534="calculate_here")</formula>
    </cfRule>
  </conditionalFormatting>
  <conditionalFormatting sqref="B534:C536 D534:E536">
    <cfRule type="expression" dxfId="11" priority="2315" stopIfTrue="1">
      <formula>OR($A534="date", $A534="datetime", $A534="time")</formula>
    </cfRule>
  </conditionalFormatting>
  <conditionalFormatting sqref="B534:C536 D534:E536">
    <cfRule type="expression" dxfId="12" priority="2316" stopIfTrue="1">
      <formula>$A534="image"</formula>
    </cfRule>
  </conditionalFormatting>
  <conditionalFormatting sqref="B534:C536 D534:E536">
    <cfRule type="expression" dxfId="13" priority="2317" stopIfTrue="1">
      <formula>OR($A534="audio", $A534="video")</formula>
    </cfRule>
  </conditionalFormatting>
  <conditionalFormatting sqref="B534:E536">
    <cfRule type="expression" dxfId="33" priority="2318" stopIfTrue="1">
      <formula>$A534="file"</formula>
    </cfRule>
  </conditionalFormatting>
  <conditionalFormatting sqref="B534:E536">
    <cfRule type="expression" dxfId="34" priority="2319" stopIfTrue="1">
      <formula>$A534="enumerator"</formula>
    </cfRule>
  </conditionalFormatting>
  <conditionalFormatting sqref="B534:E536">
    <cfRule type="expression" dxfId="35" priority="2320" stopIfTrue="1">
      <formula>OR(AND(LEFT($A534, 14)="sensor_stream ", LEN($A534)&gt;14, NOT(ISNUMBER(SEARCH(" ", $A534, 15)))), AND(LEFT($A534, 17)="sensor_statistic ", LEN($A534)&gt;17, NOT(ISNUMBER(SEARCH(" ", $A534, 18)))))</formula>
    </cfRule>
  </conditionalFormatting>
  <conditionalFormatting sqref="B534:E536">
    <cfRule type="expression" dxfId="14" priority="2321" stopIfTrue="1">
      <formula>$A534="comments"</formula>
    </cfRule>
  </conditionalFormatting>
  <conditionalFormatting sqref="B534:E536">
    <cfRule type="expression" dxfId="15" priority="2322" stopIfTrue="1">
      <formula>OR($A534="audio", $A534="video")</formula>
    </cfRule>
  </conditionalFormatting>
  <conditionalFormatting sqref="B534:E536">
    <cfRule type="expression" dxfId="16" priority="2323" stopIfTrue="1">
      <formula>$A534="image"</formula>
    </cfRule>
  </conditionalFormatting>
  <conditionalFormatting sqref="B534:E536">
    <cfRule type="expression" dxfId="17" priority="2324" stopIfTrue="1">
      <formula>OR($A534="date", $A534="datetime", $A534="time")</formula>
    </cfRule>
  </conditionalFormatting>
  <conditionalFormatting sqref="B534:E536">
    <cfRule type="expression" dxfId="18" priority="2325" stopIfTrue="1">
      <formula>OR($A534="calculate", $A534="calculate_here")</formula>
    </cfRule>
  </conditionalFormatting>
  <conditionalFormatting sqref="B534:E536">
    <cfRule type="expression" dxfId="19" priority="2326" stopIfTrue="1">
      <formula>$A534="note"</formula>
    </cfRule>
  </conditionalFormatting>
  <conditionalFormatting sqref="B534:E536">
    <cfRule type="expression" dxfId="20" priority="2327" stopIfTrue="1">
      <formula>$A534="barcode"</formula>
    </cfRule>
  </conditionalFormatting>
  <conditionalFormatting sqref="B534:E536">
    <cfRule type="expression" dxfId="21" priority="2328" stopIfTrue="1">
      <formula>OR($A534="geopoint", $A534="geoshape", $A534="geotrace")</formula>
    </cfRule>
  </conditionalFormatting>
  <conditionalFormatting sqref="B534:E536">
    <cfRule type="expression" dxfId="22" priority="2329" stopIfTrue="1">
      <formula>OR($A534="audio audit", $A534="text audit", $A534="speed violations count", $A534="speed violations list", $A534="speed violations audit")</formula>
    </cfRule>
  </conditionalFormatting>
  <conditionalFormatting sqref="B534:E536">
    <cfRule type="expression" dxfId="23" priority="2330" stopIfTrue="1">
      <formula>OR($A534="username", $A534="phonenumber", $A534="start", $A534="end", $A534="deviceid", $A534="subscriberid", $A534="simserial", $A534="caseid")</formula>
    </cfRule>
  </conditionalFormatting>
  <conditionalFormatting sqref="B534:E536">
    <cfRule type="expression" dxfId="24" priority="2331" stopIfTrue="1">
      <formula>OR(AND(LEFT($A534, 16)="select_multiple ", LEN($A534)&gt;16, NOT(ISNUMBER(SEARCH(" ", $A534, 17)))), AND(LEFT($A534, 11)="select_one ", LEN($A534)&gt;11, NOT(ISNUMBER(SEARCH(" ", $A534, 12)))))</formula>
    </cfRule>
  </conditionalFormatting>
  <conditionalFormatting sqref="B534:E536">
    <cfRule type="expression" dxfId="25" priority="2332" stopIfTrue="1">
      <formula>$A534="decimal"</formula>
    </cfRule>
  </conditionalFormatting>
  <conditionalFormatting sqref="B534:E536">
    <cfRule type="expression" dxfId="26" priority="2333" stopIfTrue="1">
      <formula>$A534="integer"</formula>
    </cfRule>
  </conditionalFormatting>
  <conditionalFormatting sqref="B534:E536">
    <cfRule type="expression" dxfId="27" priority="2334" stopIfTrue="1">
      <formula>$A534="text"</formula>
    </cfRule>
  </conditionalFormatting>
  <conditionalFormatting sqref="B534:E536">
    <cfRule type="expression" dxfId="28" priority="2335" stopIfTrue="1">
      <formula>$A534="end repeat"</formula>
    </cfRule>
  </conditionalFormatting>
  <conditionalFormatting sqref="B534:E536">
    <cfRule type="expression" dxfId="28" priority="2336" stopIfTrue="1">
      <formula>$A534="begin repeat"</formula>
    </cfRule>
  </conditionalFormatting>
  <conditionalFormatting sqref="B534:E536">
    <cfRule type="expression" dxfId="29" priority="2337" stopIfTrue="1">
      <formula>$A534="end group"</formula>
    </cfRule>
  </conditionalFormatting>
  <conditionalFormatting sqref="B534:E536">
    <cfRule type="expression" dxfId="29" priority="2338" stopIfTrue="1">
      <formula>$A534="begin group"</formula>
    </cfRule>
  </conditionalFormatting>
  <conditionalFormatting sqref="B534:B536">
    <cfRule type="expression" dxfId="30" priority="2339" stopIfTrue="1">
      <formula>$A534="comments"</formula>
    </cfRule>
  </conditionalFormatting>
  <conditionalFormatting sqref="B534:B536">
    <cfRule type="expression" dxfId="36" priority="2340" stopIfTrue="1">
      <formula>OR(AND(LEFT($A534, 14)="sensor_stream ", LEN($A534)&gt;14, NOT(ISNUMBER(SEARCH(" ", $A534, 15)))), AND(LEFT($A534, 17)="sensor_statistic ", LEN($A534)&gt;17, NOT(ISNUMBER(SEARCH(" ", $A534, 18)))))</formula>
    </cfRule>
  </conditionalFormatting>
  <conditionalFormatting sqref="B530:C531 D530:E531">
    <cfRule type="expression" dxfId="0" priority="2341" stopIfTrue="1">
      <formula>$A530="begin group"</formula>
    </cfRule>
  </conditionalFormatting>
  <conditionalFormatting sqref="B530:C531 D530:E531">
    <cfRule type="expression" dxfId="1" priority="2342" stopIfTrue="1">
      <formula>$A530="begin repeat"</formula>
    </cfRule>
  </conditionalFormatting>
  <conditionalFormatting sqref="B530:E531">
    <cfRule type="expression" dxfId="31" priority="2343" stopIfTrue="1">
      <formula>$A530="enumerator"</formula>
    </cfRule>
  </conditionalFormatting>
  <conditionalFormatting sqref="B530:E531">
    <cfRule type="expression" dxfId="2" priority="2344" stopIfTrue="1">
      <formula>$A530="text"</formula>
    </cfRule>
  </conditionalFormatting>
  <conditionalFormatting sqref="B530:E531">
    <cfRule type="expression" dxfId="3" priority="2345" stopIfTrue="1">
      <formula>$A530="integer"</formula>
    </cfRule>
  </conditionalFormatting>
  <conditionalFormatting sqref="B530:E531">
    <cfRule type="expression" dxfId="4" priority="2346" stopIfTrue="1">
      <formula>$A530="decimal"</formula>
    </cfRule>
  </conditionalFormatting>
  <conditionalFormatting sqref="B530:C531 D530:E531">
    <cfRule type="expression" dxfId="5" priority="2347" stopIfTrue="1">
      <formula>OR(AND(LEFT($A530, 16)="select_multiple ", LEN($A530)&gt;16, NOT(ISNUMBER(SEARCH(" ", $A530, 17)))), AND(LEFT($A530, 11)="select_one ", LEN($A530)&gt;11, NOT(ISNUMBER(SEARCH(" ", $A530, 12)))))</formula>
    </cfRule>
  </conditionalFormatting>
  <conditionalFormatting sqref="B530:B531">
    <cfRule type="expression" dxfId="6" priority="2348" stopIfTrue="1">
      <formula>OR($A530="audio audit", $A530="text audit", $A530="speed violations count", $A530="speed violations list", $A530="speed violations audit")</formula>
    </cfRule>
  </conditionalFormatting>
  <conditionalFormatting sqref="B530:C531 D530:E531">
    <cfRule type="expression" dxfId="32" priority="2349" stopIfTrue="1">
      <formula>$A530="file"</formula>
    </cfRule>
  </conditionalFormatting>
  <conditionalFormatting sqref="B530:C531 D530:E531">
    <cfRule type="expression" dxfId="7" priority="2350" stopIfTrue="1">
      <formula>$A530="note"</formula>
    </cfRule>
  </conditionalFormatting>
  <conditionalFormatting sqref="B530:C531 D530:E531">
    <cfRule type="expression" dxfId="8" priority="2351" stopIfTrue="1">
      <formula>$A530="barcode"</formula>
    </cfRule>
  </conditionalFormatting>
  <conditionalFormatting sqref="B530:C531 D530:E531">
    <cfRule type="expression" dxfId="9" priority="2352" stopIfTrue="1">
      <formula>OR($A530="geopoint", $A530="geoshape", $A530="geotrace")</formula>
    </cfRule>
  </conditionalFormatting>
  <conditionalFormatting sqref="B530:B531">
    <cfRule type="expression" dxfId="10" priority="2353" stopIfTrue="1">
      <formula>OR($A530="calculate", $A530="calculate_here")</formula>
    </cfRule>
  </conditionalFormatting>
  <conditionalFormatting sqref="B530:C531 D530:E531">
    <cfRule type="expression" dxfId="11" priority="2354" stopIfTrue="1">
      <formula>OR($A530="date", $A530="datetime", $A530="time")</formula>
    </cfRule>
  </conditionalFormatting>
  <conditionalFormatting sqref="B530:C531 D530:E531">
    <cfRule type="expression" dxfId="12" priority="2355" stopIfTrue="1">
      <formula>$A530="image"</formula>
    </cfRule>
  </conditionalFormatting>
  <conditionalFormatting sqref="B530:C531 D530:E531">
    <cfRule type="expression" dxfId="13" priority="2356" stopIfTrue="1">
      <formula>OR($A530="audio", $A530="video")</formula>
    </cfRule>
  </conditionalFormatting>
  <conditionalFormatting sqref="B530:E531">
    <cfRule type="expression" dxfId="33" priority="2357" stopIfTrue="1">
      <formula>$A530="file"</formula>
    </cfRule>
  </conditionalFormatting>
  <conditionalFormatting sqref="B530:E531">
    <cfRule type="expression" dxfId="34" priority="2358" stopIfTrue="1">
      <formula>$A530="enumerator"</formula>
    </cfRule>
  </conditionalFormatting>
  <conditionalFormatting sqref="B530:E531">
    <cfRule type="expression" dxfId="35" priority="2359" stopIfTrue="1">
      <formula>OR(AND(LEFT($A530, 14)="sensor_stream ", LEN($A530)&gt;14, NOT(ISNUMBER(SEARCH(" ", $A530, 15)))), AND(LEFT($A530, 17)="sensor_statistic ", LEN($A530)&gt;17, NOT(ISNUMBER(SEARCH(" ", $A530, 18)))))</formula>
    </cfRule>
  </conditionalFormatting>
  <conditionalFormatting sqref="B530:E531">
    <cfRule type="expression" dxfId="14" priority="2360" stopIfTrue="1">
      <formula>$A530="comments"</formula>
    </cfRule>
  </conditionalFormatting>
  <conditionalFormatting sqref="B530:E531">
    <cfRule type="expression" dxfId="15" priority="2361" stopIfTrue="1">
      <formula>OR($A530="audio", $A530="video")</formula>
    </cfRule>
  </conditionalFormatting>
  <conditionalFormatting sqref="B530:E531">
    <cfRule type="expression" dxfId="16" priority="2362" stopIfTrue="1">
      <formula>$A530="image"</formula>
    </cfRule>
  </conditionalFormatting>
  <conditionalFormatting sqref="B530:E531">
    <cfRule type="expression" dxfId="17" priority="2363" stopIfTrue="1">
      <formula>OR($A530="date", $A530="datetime", $A530="time")</formula>
    </cfRule>
  </conditionalFormatting>
  <conditionalFormatting sqref="B530:E531">
    <cfRule type="expression" dxfId="18" priority="2364" stopIfTrue="1">
      <formula>OR($A530="calculate", $A530="calculate_here")</formula>
    </cfRule>
  </conditionalFormatting>
  <conditionalFormatting sqref="B530:E531">
    <cfRule type="expression" dxfId="19" priority="2365" stopIfTrue="1">
      <formula>$A530="note"</formula>
    </cfRule>
  </conditionalFormatting>
  <conditionalFormatting sqref="B530:E531">
    <cfRule type="expression" dxfId="20" priority="2366" stopIfTrue="1">
      <formula>$A530="barcode"</formula>
    </cfRule>
  </conditionalFormatting>
  <conditionalFormatting sqref="B530:E531">
    <cfRule type="expression" dxfId="21" priority="2367" stopIfTrue="1">
      <formula>OR($A530="geopoint", $A530="geoshape", $A530="geotrace")</formula>
    </cfRule>
  </conditionalFormatting>
  <conditionalFormatting sqref="B530:E531">
    <cfRule type="expression" dxfId="22" priority="2368" stopIfTrue="1">
      <formula>OR($A530="audio audit", $A530="text audit", $A530="speed violations count", $A530="speed violations list", $A530="speed violations audit")</formula>
    </cfRule>
  </conditionalFormatting>
  <conditionalFormatting sqref="B530:E531">
    <cfRule type="expression" dxfId="23" priority="2369" stopIfTrue="1">
      <formula>OR($A530="username", $A530="phonenumber", $A530="start", $A530="end", $A530="deviceid", $A530="subscriberid", $A530="simserial", $A530="caseid")</formula>
    </cfRule>
  </conditionalFormatting>
  <conditionalFormatting sqref="B530:E531">
    <cfRule type="expression" dxfId="24" priority="2370" stopIfTrue="1">
      <formula>OR(AND(LEFT($A530, 16)="select_multiple ", LEN($A530)&gt;16, NOT(ISNUMBER(SEARCH(" ", $A530, 17)))), AND(LEFT($A530, 11)="select_one ", LEN($A530)&gt;11, NOT(ISNUMBER(SEARCH(" ", $A530, 12)))))</formula>
    </cfRule>
  </conditionalFormatting>
  <conditionalFormatting sqref="B530:E531">
    <cfRule type="expression" dxfId="25" priority="2371" stopIfTrue="1">
      <formula>$A530="decimal"</formula>
    </cfRule>
  </conditionalFormatting>
  <conditionalFormatting sqref="B530:E531">
    <cfRule type="expression" dxfId="26" priority="2372" stopIfTrue="1">
      <formula>$A530="integer"</formula>
    </cfRule>
  </conditionalFormatting>
  <conditionalFormatting sqref="B530:E531">
    <cfRule type="expression" dxfId="27" priority="2373" stopIfTrue="1">
      <formula>$A530="text"</formula>
    </cfRule>
  </conditionalFormatting>
  <conditionalFormatting sqref="B530:E531">
    <cfRule type="expression" dxfId="28" priority="2374" stopIfTrue="1">
      <formula>$A530="end repeat"</formula>
    </cfRule>
  </conditionalFormatting>
  <conditionalFormatting sqref="B530:E531">
    <cfRule type="expression" dxfId="28" priority="2375" stopIfTrue="1">
      <formula>$A530="begin repeat"</formula>
    </cfRule>
  </conditionalFormatting>
  <conditionalFormatting sqref="B530:E531">
    <cfRule type="expression" dxfId="29" priority="2376" stopIfTrue="1">
      <formula>$A530="end group"</formula>
    </cfRule>
  </conditionalFormatting>
  <conditionalFormatting sqref="B530:E531">
    <cfRule type="expression" dxfId="29" priority="2377" stopIfTrue="1">
      <formula>$A530="begin group"</formula>
    </cfRule>
  </conditionalFormatting>
  <conditionalFormatting sqref="B530:B531">
    <cfRule type="expression" dxfId="30" priority="2378" stopIfTrue="1">
      <formula>$A530="comments"</formula>
    </cfRule>
  </conditionalFormatting>
  <conditionalFormatting sqref="B530:B531">
    <cfRule type="expression" dxfId="36" priority="2379" stopIfTrue="1">
      <formula>OR(AND(LEFT($A530, 14)="sensor_stream ", LEN($A530)&gt;14, NOT(ISNUMBER(SEARCH(" ", $A530, 15)))), AND(LEFT($A530, 17)="sensor_statistic ", LEN($A530)&gt;17, NOT(ISNUMBER(SEARCH(" ", $A530, 18)))))</formula>
    </cfRule>
  </conditionalFormatting>
  <conditionalFormatting sqref="B520:C522 D520:E522">
    <cfRule type="expression" dxfId="0" priority="2380" stopIfTrue="1">
      <formula>$A520="begin group"</formula>
    </cfRule>
  </conditionalFormatting>
  <conditionalFormatting sqref="B520:C522 D520:E522">
    <cfRule type="expression" dxfId="1" priority="2381" stopIfTrue="1">
      <formula>$A520="begin repeat"</formula>
    </cfRule>
  </conditionalFormatting>
  <conditionalFormatting sqref="B520:E522">
    <cfRule type="expression" dxfId="31" priority="2382" stopIfTrue="1">
      <formula>$A520="enumerator"</formula>
    </cfRule>
  </conditionalFormatting>
  <conditionalFormatting sqref="B520:E522">
    <cfRule type="expression" dxfId="2" priority="2383" stopIfTrue="1">
      <formula>$A520="text"</formula>
    </cfRule>
  </conditionalFormatting>
  <conditionalFormatting sqref="B520:E522">
    <cfRule type="expression" dxfId="3" priority="2384" stopIfTrue="1">
      <formula>$A520="integer"</formula>
    </cfRule>
  </conditionalFormatting>
  <conditionalFormatting sqref="B520:E522">
    <cfRule type="expression" dxfId="4" priority="2385" stopIfTrue="1">
      <formula>$A520="decimal"</formula>
    </cfRule>
  </conditionalFormatting>
  <conditionalFormatting sqref="B520:C522 D520:E522">
    <cfRule type="expression" dxfId="5" priority="2386" stopIfTrue="1">
      <formula>OR(AND(LEFT($A520, 16)="select_multiple ", LEN($A520)&gt;16, NOT(ISNUMBER(SEARCH(" ", $A520, 17)))), AND(LEFT($A520, 11)="select_one ", LEN($A520)&gt;11, NOT(ISNUMBER(SEARCH(" ", $A520, 12)))))</formula>
    </cfRule>
  </conditionalFormatting>
  <conditionalFormatting sqref="B520:B522">
    <cfRule type="expression" dxfId="6" priority="2387" stopIfTrue="1">
      <formula>OR($A520="audio audit", $A520="text audit", $A520="speed violations count", $A520="speed violations list", $A520="speed violations audit")</formula>
    </cfRule>
  </conditionalFormatting>
  <conditionalFormatting sqref="B520:C522 D520:E522">
    <cfRule type="expression" dxfId="32" priority="2388" stopIfTrue="1">
      <formula>$A520="file"</formula>
    </cfRule>
  </conditionalFormatting>
  <conditionalFormatting sqref="B520:C522 D520:E522">
    <cfRule type="expression" dxfId="7" priority="2389" stopIfTrue="1">
      <formula>$A520="note"</formula>
    </cfRule>
  </conditionalFormatting>
  <conditionalFormatting sqref="B520:C522 D520:E522">
    <cfRule type="expression" dxfId="8" priority="2390" stopIfTrue="1">
      <formula>$A520="barcode"</formula>
    </cfRule>
  </conditionalFormatting>
  <conditionalFormatting sqref="B520:C522 D520:E522">
    <cfRule type="expression" dxfId="9" priority="2391" stopIfTrue="1">
      <formula>OR($A520="geopoint", $A520="geoshape", $A520="geotrace")</formula>
    </cfRule>
  </conditionalFormatting>
  <conditionalFormatting sqref="B520:B522">
    <cfRule type="expression" dxfId="10" priority="2392" stopIfTrue="1">
      <formula>OR($A520="calculate", $A520="calculate_here")</formula>
    </cfRule>
  </conditionalFormatting>
  <conditionalFormatting sqref="B520:C522 D520:E522">
    <cfRule type="expression" dxfId="11" priority="2393" stopIfTrue="1">
      <formula>OR($A520="date", $A520="datetime", $A520="time")</formula>
    </cfRule>
  </conditionalFormatting>
  <conditionalFormatting sqref="B520:C522 D520:E522">
    <cfRule type="expression" dxfId="12" priority="2394" stopIfTrue="1">
      <formula>$A520="image"</formula>
    </cfRule>
  </conditionalFormatting>
  <conditionalFormatting sqref="B520:C522 D520:E522">
    <cfRule type="expression" dxfId="13" priority="2395" stopIfTrue="1">
      <formula>OR($A520="audio", $A520="video")</formula>
    </cfRule>
  </conditionalFormatting>
  <conditionalFormatting sqref="B520:E522">
    <cfRule type="expression" dxfId="33" priority="2396" stopIfTrue="1">
      <formula>$A520="file"</formula>
    </cfRule>
  </conditionalFormatting>
  <conditionalFormatting sqref="B520:E522">
    <cfRule type="expression" dxfId="34" priority="2397" stopIfTrue="1">
      <formula>$A520="enumerator"</formula>
    </cfRule>
  </conditionalFormatting>
  <conditionalFormatting sqref="B520:E522">
    <cfRule type="expression" dxfId="35" priority="2398" stopIfTrue="1">
      <formula>OR(AND(LEFT($A520, 14)="sensor_stream ", LEN($A520)&gt;14, NOT(ISNUMBER(SEARCH(" ", $A520, 15)))), AND(LEFT($A520, 17)="sensor_statistic ", LEN($A520)&gt;17, NOT(ISNUMBER(SEARCH(" ", $A520, 18)))))</formula>
    </cfRule>
  </conditionalFormatting>
  <conditionalFormatting sqref="B520:E522">
    <cfRule type="expression" dxfId="14" priority="2399" stopIfTrue="1">
      <formula>$A520="comments"</formula>
    </cfRule>
  </conditionalFormatting>
  <conditionalFormatting sqref="B520:E522">
    <cfRule type="expression" dxfId="15" priority="2400" stopIfTrue="1">
      <formula>OR($A520="audio", $A520="video")</formula>
    </cfRule>
  </conditionalFormatting>
  <conditionalFormatting sqref="B520:E522">
    <cfRule type="expression" dxfId="16" priority="2401" stopIfTrue="1">
      <formula>$A520="image"</formula>
    </cfRule>
  </conditionalFormatting>
  <conditionalFormatting sqref="B520:E522">
    <cfRule type="expression" dxfId="17" priority="2402" stopIfTrue="1">
      <formula>OR($A520="date", $A520="datetime", $A520="time")</formula>
    </cfRule>
  </conditionalFormatting>
  <conditionalFormatting sqref="B520:E522">
    <cfRule type="expression" dxfId="18" priority="2403" stopIfTrue="1">
      <formula>OR($A520="calculate", $A520="calculate_here")</formula>
    </cfRule>
  </conditionalFormatting>
  <conditionalFormatting sqref="B520:E522">
    <cfRule type="expression" dxfId="19" priority="2404" stopIfTrue="1">
      <formula>$A520="note"</formula>
    </cfRule>
  </conditionalFormatting>
  <conditionalFormatting sqref="B520:E522">
    <cfRule type="expression" dxfId="20" priority="2405" stopIfTrue="1">
      <formula>$A520="barcode"</formula>
    </cfRule>
  </conditionalFormatting>
  <conditionalFormatting sqref="B520:E522">
    <cfRule type="expression" dxfId="21" priority="2406" stopIfTrue="1">
      <formula>OR($A520="geopoint", $A520="geoshape", $A520="geotrace")</formula>
    </cfRule>
  </conditionalFormatting>
  <conditionalFormatting sqref="B520:E522">
    <cfRule type="expression" dxfId="22" priority="2407" stopIfTrue="1">
      <formula>OR($A520="audio audit", $A520="text audit", $A520="speed violations count", $A520="speed violations list", $A520="speed violations audit")</formula>
    </cfRule>
  </conditionalFormatting>
  <conditionalFormatting sqref="B520:E522">
    <cfRule type="expression" dxfId="23" priority="2408" stopIfTrue="1">
      <formula>OR($A520="username", $A520="phonenumber", $A520="start", $A520="end", $A520="deviceid", $A520="subscriberid", $A520="simserial", $A520="caseid")</formula>
    </cfRule>
  </conditionalFormatting>
  <conditionalFormatting sqref="B520:E522">
    <cfRule type="expression" dxfId="24" priority="2409" stopIfTrue="1">
      <formula>OR(AND(LEFT($A520, 16)="select_multiple ", LEN($A520)&gt;16, NOT(ISNUMBER(SEARCH(" ", $A520, 17)))), AND(LEFT($A520, 11)="select_one ", LEN($A520)&gt;11, NOT(ISNUMBER(SEARCH(" ", $A520, 12)))))</formula>
    </cfRule>
  </conditionalFormatting>
  <conditionalFormatting sqref="B520:E522">
    <cfRule type="expression" dxfId="25" priority="2410" stopIfTrue="1">
      <formula>$A520="decimal"</formula>
    </cfRule>
  </conditionalFormatting>
  <conditionalFormatting sqref="B520:E522">
    <cfRule type="expression" dxfId="26" priority="2411" stopIfTrue="1">
      <formula>$A520="integer"</formula>
    </cfRule>
  </conditionalFormatting>
  <conditionalFormatting sqref="B520:E522">
    <cfRule type="expression" dxfId="27" priority="2412" stopIfTrue="1">
      <formula>$A520="text"</formula>
    </cfRule>
  </conditionalFormatting>
  <conditionalFormatting sqref="B520:E522">
    <cfRule type="expression" dxfId="28" priority="2413" stopIfTrue="1">
      <formula>$A520="end repeat"</formula>
    </cfRule>
  </conditionalFormatting>
  <conditionalFormatting sqref="B520:E522">
    <cfRule type="expression" dxfId="28" priority="2414" stopIfTrue="1">
      <formula>$A520="begin repeat"</formula>
    </cfRule>
  </conditionalFormatting>
  <conditionalFormatting sqref="B520:E522">
    <cfRule type="expression" dxfId="29" priority="2415" stopIfTrue="1">
      <formula>$A520="end group"</formula>
    </cfRule>
  </conditionalFormatting>
  <conditionalFormatting sqref="B520:E522">
    <cfRule type="expression" dxfId="29" priority="2416" stopIfTrue="1">
      <formula>$A520="begin group"</formula>
    </cfRule>
  </conditionalFormatting>
  <conditionalFormatting sqref="B520:B522">
    <cfRule type="expression" dxfId="30" priority="2417" stopIfTrue="1">
      <formula>$A520="comments"</formula>
    </cfRule>
  </conditionalFormatting>
  <conditionalFormatting sqref="B520:B522">
    <cfRule type="expression" dxfId="36" priority="2418" stopIfTrue="1">
      <formula>OR(AND(LEFT($A520, 14)="sensor_stream ", LEN($A520)&gt;14, NOT(ISNUMBER(SEARCH(" ", $A520, 15)))), AND(LEFT($A520, 17)="sensor_statistic ", LEN($A520)&gt;17, NOT(ISNUMBER(SEARCH(" ", $A520, 18)))))</formula>
    </cfRule>
  </conditionalFormatting>
  <conditionalFormatting sqref="B510:C510 D510:E510">
    <cfRule type="expression" dxfId="0" priority="2419" stopIfTrue="1">
      <formula>$A510="begin group"</formula>
    </cfRule>
  </conditionalFormatting>
  <conditionalFormatting sqref="B510:C510 D510:E510">
    <cfRule type="expression" dxfId="1" priority="2420" stopIfTrue="1">
      <formula>$A510="begin repeat"</formula>
    </cfRule>
  </conditionalFormatting>
  <conditionalFormatting sqref="B510:E510">
    <cfRule type="expression" dxfId="31" priority="2421" stopIfTrue="1">
      <formula>$A510="enumerator"</formula>
    </cfRule>
  </conditionalFormatting>
  <conditionalFormatting sqref="B510:E510">
    <cfRule type="expression" dxfId="2" priority="2422" stopIfTrue="1">
      <formula>$A510="text"</formula>
    </cfRule>
  </conditionalFormatting>
  <conditionalFormatting sqref="B510:E510">
    <cfRule type="expression" dxfId="3" priority="2423" stopIfTrue="1">
      <formula>$A510="integer"</formula>
    </cfRule>
  </conditionalFormatting>
  <conditionalFormatting sqref="B510:E510">
    <cfRule type="expression" dxfId="4" priority="2424" stopIfTrue="1">
      <formula>$A510="decimal"</formula>
    </cfRule>
  </conditionalFormatting>
  <conditionalFormatting sqref="B510:C510 D510:E510">
    <cfRule type="expression" dxfId="5" priority="2425" stopIfTrue="1">
      <formula>OR(AND(LEFT($A510, 16)="select_multiple ", LEN($A510)&gt;16, NOT(ISNUMBER(SEARCH(" ", $A510, 17)))), AND(LEFT($A510, 11)="select_one ", LEN($A510)&gt;11, NOT(ISNUMBER(SEARCH(" ", $A510, 12)))))</formula>
    </cfRule>
  </conditionalFormatting>
  <conditionalFormatting sqref="B510">
    <cfRule type="expression" dxfId="6" priority="2426" stopIfTrue="1">
      <formula>OR($A510="audio audit", $A510="text audit", $A510="speed violations count", $A510="speed violations list", $A510="speed violations audit")</formula>
    </cfRule>
  </conditionalFormatting>
  <conditionalFormatting sqref="B510:C510 D510:E510">
    <cfRule type="expression" dxfId="32" priority="2427" stopIfTrue="1">
      <formula>$A510="file"</formula>
    </cfRule>
  </conditionalFormatting>
  <conditionalFormatting sqref="B510:C510 D510:E510">
    <cfRule type="expression" dxfId="7" priority="2428" stopIfTrue="1">
      <formula>$A510="note"</formula>
    </cfRule>
  </conditionalFormatting>
  <conditionalFormatting sqref="B510:C510 D510:E510">
    <cfRule type="expression" dxfId="8" priority="2429" stopIfTrue="1">
      <formula>$A510="barcode"</formula>
    </cfRule>
  </conditionalFormatting>
  <conditionalFormatting sqref="B510:C510 D510:E510">
    <cfRule type="expression" dxfId="9" priority="2430" stopIfTrue="1">
      <formula>OR($A510="geopoint", $A510="geoshape", $A510="geotrace")</formula>
    </cfRule>
  </conditionalFormatting>
  <conditionalFormatting sqref="B510">
    <cfRule type="expression" dxfId="10" priority="2431" stopIfTrue="1">
      <formula>OR($A510="calculate", $A510="calculate_here")</formula>
    </cfRule>
  </conditionalFormatting>
  <conditionalFormatting sqref="B510:C510 D510:E510">
    <cfRule type="expression" dxfId="11" priority="2432" stopIfTrue="1">
      <formula>OR($A510="date", $A510="datetime", $A510="time")</formula>
    </cfRule>
  </conditionalFormatting>
  <conditionalFormatting sqref="B510:C510 D510:E510">
    <cfRule type="expression" dxfId="12" priority="2433" stopIfTrue="1">
      <formula>$A510="image"</formula>
    </cfRule>
  </conditionalFormatting>
  <conditionalFormatting sqref="B510:C510 D510:E510">
    <cfRule type="expression" dxfId="13" priority="2434" stopIfTrue="1">
      <formula>OR($A510="audio", $A510="video")</formula>
    </cfRule>
  </conditionalFormatting>
  <conditionalFormatting sqref="B510:E510">
    <cfRule type="expression" dxfId="33" priority="2435" stopIfTrue="1">
      <formula>$A510="file"</formula>
    </cfRule>
  </conditionalFormatting>
  <conditionalFormatting sqref="B510:E510">
    <cfRule type="expression" dxfId="34" priority="2436" stopIfTrue="1">
      <formula>$A510="enumerator"</formula>
    </cfRule>
  </conditionalFormatting>
  <conditionalFormatting sqref="B510:E510">
    <cfRule type="expression" dxfId="35" priority="2437" stopIfTrue="1">
      <formula>OR(AND(LEFT($A510, 14)="sensor_stream ", LEN($A510)&gt;14, NOT(ISNUMBER(SEARCH(" ", $A510, 15)))), AND(LEFT($A510, 17)="sensor_statistic ", LEN($A510)&gt;17, NOT(ISNUMBER(SEARCH(" ", $A510, 18)))))</formula>
    </cfRule>
  </conditionalFormatting>
  <conditionalFormatting sqref="B510:E510">
    <cfRule type="expression" dxfId="14" priority="2438" stopIfTrue="1">
      <formula>$A510="comments"</formula>
    </cfRule>
  </conditionalFormatting>
  <conditionalFormatting sqref="B510:E510">
    <cfRule type="expression" dxfId="15" priority="2439" stopIfTrue="1">
      <formula>OR($A510="audio", $A510="video")</formula>
    </cfRule>
  </conditionalFormatting>
  <conditionalFormatting sqref="B510:E510">
    <cfRule type="expression" dxfId="16" priority="2440" stopIfTrue="1">
      <formula>$A510="image"</formula>
    </cfRule>
  </conditionalFormatting>
  <conditionalFormatting sqref="B510:E510">
    <cfRule type="expression" dxfId="17" priority="2441" stopIfTrue="1">
      <formula>OR($A510="date", $A510="datetime", $A510="time")</formula>
    </cfRule>
  </conditionalFormatting>
  <conditionalFormatting sqref="B510:E510">
    <cfRule type="expression" dxfId="18" priority="2442" stopIfTrue="1">
      <formula>OR($A510="calculate", $A510="calculate_here")</formula>
    </cfRule>
  </conditionalFormatting>
  <conditionalFormatting sqref="B510:E510">
    <cfRule type="expression" dxfId="19" priority="2443" stopIfTrue="1">
      <formula>$A510="note"</formula>
    </cfRule>
  </conditionalFormatting>
  <conditionalFormatting sqref="B510:E510">
    <cfRule type="expression" dxfId="20" priority="2444" stopIfTrue="1">
      <formula>$A510="barcode"</formula>
    </cfRule>
  </conditionalFormatting>
  <conditionalFormatting sqref="B510:E510">
    <cfRule type="expression" dxfId="21" priority="2445" stopIfTrue="1">
      <formula>OR($A510="geopoint", $A510="geoshape", $A510="geotrace")</formula>
    </cfRule>
  </conditionalFormatting>
  <conditionalFormatting sqref="B510:E510">
    <cfRule type="expression" dxfId="22" priority="2446" stopIfTrue="1">
      <formula>OR($A510="audio audit", $A510="text audit", $A510="speed violations count", $A510="speed violations list", $A510="speed violations audit")</formula>
    </cfRule>
  </conditionalFormatting>
  <conditionalFormatting sqref="B510:E510">
    <cfRule type="expression" dxfId="23" priority="2447" stopIfTrue="1">
      <formula>OR($A510="username", $A510="phonenumber", $A510="start", $A510="end", $A510="deviceid", $A510="subscriberid", $A510="simserial", $A510="caseid")</formula>
    </cfRule>
  </conditionalFormatting>
  <conditionalFormatting sqref="B510:E510">
    <cfRule type="expression" dxfId="24" priority="2448" stopIfTrue="1">
      <formula>OR(AND(LEFT($A510, 16)="select_multiple ", LEN($A510)&gt;16, NOT(ISNUMBER(SEARCH(" ", $A510, 17)))), AND(LEFT($A510, 11)="select_one ", LEN($A510)&gt;11, NOT(ISNUMBER(SEARCH(" ", $A510, 12)))))</formula>
    </cfRule>
  </conditionalFormatting>
  <conditionalFormatting sqref="B510:E510">
    <cfRule type="expression" dxfId="25" priority="2449" stopIfTrue="1">
      <formula>$A510="decimal"</formula>
    </cfRule>
  </conditionalFormatting>
  <conditionalFormatting sqref="B510:E510">
    <cfRule type="expression" dxfId="26" priority="2450" stopIfTrue="1">
      <formula>$A510="integer"</formula>
    </cfRule>
  </conditionalFormatting>
  <conditionalFormatting sqref="B510:E510">
    <cfRule type="expression" dxfId="27" priority="2451" stopIfTrue="1">
      <formula>$A510="text"</formula>
    </cfRule>
  </conditionalFormatting>
  <conditionalFormatting sqref="B510:E510">
    <cfRule type="expression" dxfId="28" priority="2452" stopIfTrue="1">
      <formula>$A510="end repeat"</formula>
    </cfRule>
  </conditionalFormatting>
  <conditionalFormatting sqref="B510:E510">
    <cfRule type="expression" dxfId="28" priority="2453" stopIfTrue="1">
      <formula>$A510="begin repeat"</formula>
    </cfRule>
  </conditionalFormatting>
  <conditionalFormatting sqref="B510:E510">
    <cfRule type="expression" dxfId="29" priority="2454" stopIfTrue="1">
      <formula>$A510="end group"</formula>
    </cfRule>
  </conditionalFormatting>
  <conditionalFormatting sqref="B510:E510">
    <cfRule type="expression" dxfId="29" priority="2455" stopIfTrue="1">
      <formula>$A510="begin group"</formula>
    </cfRule>
  </conditionalFormatting>
  <conditionalFormatting sqref="B510">
    <cfRule type="expression" dxfId="30" priority="2456" stopIfTrue="1">
      <formula>$A510="comments"</formula>
    </cfRule>
  </conditionalFormatting>
  <conditionalFormatting sqref="B510">
    <cfRule type="expression" dxfId="36" priority="2457" stopIfTrue="1">
      <formula>OR(AND(LEFT($A510, 14)="sensor_stream ", LEN($A510)&gt;14, NOT(ISNUMBER(SEARCH(" ", $A510, 15)))), AND(LEFT($A510, 17)="sensor_statistic ", LEN($A510)&gt;17, NOT(ISNUMBER(SEARCH(" ", $A510, 18)))))</formula>
    </cfRule>
  </conditionalFormatting>
  <conditionalFormatting sqref="B503:C503 D503:E503">
    <cfRule type="expression" dxfId="0" priority="2458" stopIfTrue="1">
      <formula>$A503="begin group"</formula>
    </cfRule>
  </conditionalFormatting>
  <conditionalFormatting sqref="B503:C503 D503:E503">
    <cfRule type="expression" dxfId="1" priority="2459" stopIfTrue="1">
      <formula>$A503="begin repeat"</formula>
    </cfRule>
  </conditionalFormatting>
  <conditionalFormatting sqref="B503:E503">
    <cfRule type="expression" dxfId="31" priority="2460" stopIfTrue="1">
      <formula>$A503="enumerator"</formula>
    </cfRule>
  </conditionalFormatting>
  <conditionalFormatting sqref="B503:E503">
    <cfRule type="expression" dxfId="2" priority="2461" stopIfTrue="1">
      <formula>$A503="text"</formula>
    </cfRule>
  </conditionalFormatting>
  <conditionalFormatting sqref="B503:E503">
    <cfRule type="expression" dxfId="3" priority="2462" stopIfTrue="1">
      <formula>$A503="integer"</formula>
    </cfRule>
  </conditionalFormatting>
  <conditionalFormatting sqref="B503:E503">
    <cfRule type="expression" dxfId="4" priority="2463" stopIfTrue="1">
      <formula>$A503="decimal"</formula>
    </cfRule>
  </conditionalFormatting>
  <conditionalFormatting sqref="B503:C503 D503:E503">
    <cfRule type="expression" dxfId="5" priority="2464" stopIfTrue="1">
      <formula>OR(AND(LEFT($A503, 16)="select_multiple ", LEN($A503)&gt;16, NOT(ISNUMBER(SEARCH(" ", $A503, 17)))), AND(LEFT($A503, 11)="select_one ", LEN($A503)&gt;11, NOT(ISNUMBER(SEARCH(" ", $A503, 12)))))</formula>
    </cfRule>
  </conditionalFormatting>
  <conditionalFormatting sqref="B503">
    <cfRule type="expression" dxfId="6" priority="2465" stopIfTrue="1">
      <formula>OR($A503="audio audit", $A503="text audit", $A503="speed violations count", $A503="speed violations list", $A503="speed violations audit")</formula>
    </cfRule>
  </conditionalFormatting>
  <conditionalFormatting sqref="B503:C503 D503:E503">
    <cfRule type="expression" dxfId="32" priority="2466" stopIfTrue="1">
      <formula>$A503="file"</formula>
    </cfRule>
  </conditionalFormatting>
  <conditionalFormatting sqref="B503:C503 D503:E503">
    <cfRule type="expression" dxfId="7" priority="2467" stopIfTrue="1">
      <formula>$A503="note"</formula>
    </cfRule>
  </conditionalFormatting>
  <conditionalFormatting sqref="B503:C503 D503:E503">
    <cfRule type="expression" dxfId="8" priority="2468" stopIfTrue="1">
      <formula>$A503="barcode"</formula>
    </cfRule>
  </conditionalFormatting>
  <conditionalFormatting sqref="B503:C503 D503:E503">
    <cfRule type="expression" dxfId="9" priority="2469" stopIfTrue="1">
      <formula>OR($A503="geopoint", $A503="geoshape", $A503="geotrace")</formula>
    </cfRule>
  </conditionalFormatting>
  <conditionalFormatting sqref="B503">
    <cfRule type="expression" dxfId="10" priority="2470" stopIfTrue="1">
      <formula>OR($A503="calculate", $A503="calculate_here")</formula>
    </cfRule>
  </conditionalFormatting>
  <conditionalFormatting sqref="B503:C503 D503:E503">
    <cfRule type="expression" dxfId="11" priority="2471" stopIfTrue="1">
      <formula>OR($A503="date", $A503="datetime", $A503="time")</formula>
    </cfRule>
  </conditionalFormatting>
  <conditionalFormatting sqref="B503:C503 D503:E503">
    <cfRule type="expression" dxfId="12" priority="2472" stopIfTrue="1">
      <formula>$A503="image"</formula>
    </cfRule>
  </conditionalFormatting>
  <conditionalFormatting sqref="B503:C503 D503:E503">
    <cfRule type="expression" dxfId="13" priority="2473" stopIfTrue="1">
      <formula>OR($A503="audio", $A503="video")</formula>
    </cfRule>
  </conditionalFormatting>
  <conditionalFormatting sqref="B503:E503">
    <cfRule type="expression" dxfId="33" priority="2474" stopIfTrue="1">
      <formula>$A503="file"</formula>
    </cfRule>
  </conditionalFormatting>
  <conditionalFormatting sqref="B503:E503">
    <cfRule type="expression" dxfId="34" priority="2475" stopIfTrue="1">
      <formula>$A503="enumerator"</formula>
    </cfRule>
  </conditionalFormatting>
  <conditionalFormatting sqref="B503:E503">
    <cfRule type="expression" dxfId="35" priority="2476" stopIfTrue="1">
      <formula>OR(AND(LEFT($A503, 14)="sensor_stream ", LEN($A503)&gt;14, NOT(ISNUMBER(SEARCH(" ", $A503, 15)))), AND(LEFT($A503, 17)="sensor_statistic ", LEN($A503)&gt;17, NOT(ISNUMBER(SEARCH(" ", $A503, 18)))))</formula>
    </cfRule>
  </conditionalFormatting>
  <conditionalFormatting sqref="B503:E503">
    <cfRule type="expression" dxfId="14" priority="2477" stopIfTrue="1">
      <formula>$A503="comments"</formula>
    </cfRule>
  </conditionalFormatting>
  <conditionalFormatting sqref="B503:E503">
    <cfRule type="expression" dxfId="15" priority="2478" stopIfTrue="1">
      <formula>OR($A503="audio", $A503="video")</formula>
    </cfRule>
  </conditionalFormatting>
  <conditionalFormatting sqref="B503:E503">
    <cfRule type="expression" dxfId="16" priority="2479" stopIfTrue="1">
      <formula>$A503="image"</formula>
    </cfRule>
  </conditionalFormatting>
  <conditionalFormatting sqref="B503:E503">
    <cfRule type="expression" dxfId="17" priority="2480" stopIfTrue="1">
      <formula>OR($A503="date", $A503="datetime", $A503="time")</formula>
    </cfRule>
  </conditionalFormatting>
  <conditionalFormatting sqref="B503:E503">
    <cfRule type="expression" dxfId="18" priority="2481" stopIfTrue="1">
      <formula>OR($A503="calculate", $A503="calculate_here")</formula>
    </cfRule>
  </conditionalFormatting>
  <conditionalFormatting sqref="B503:E503">
    <cfRule type="expression" dxfId="19" priority="2482" stopIfTrue="1">
      <formula>$A503="note"</formula>
    </cfRule>
  </conditionalFormatting>
  <conditionalFormatting sqref="B503:E503">
    <cfRule type="expression" dxfId="20" priority="2483" stopIfTrue="1">
      <formula>$A503="barcode"</formula>
    </cfRule>
  </conditionalFormatting>
  <conditionalFormatting sqref="B503:E503">
    <cfRule type="expression" dxfId="21" priority="2484" stopIfTrue="1">
      <formula>OR($A503="geopoint", $A503="geoshape", $A503="geotrace")</formula>
    </cfRule>
  </conditionalFormatting>
  <conditionalFormatting sqref="B503:E503">
    <cfRule type="expression" dxfId="22" priority="2485" stopIfTrue="1">
      <formula>OR($A503="audio audit", $A503="text audit", $A503="speed violations count", $A503="speed violations list", $A503="speed violations audit")</formula>
    </cfRule>
  </conditionalFormatting>
  <conditionalFormatting sqref="B503:E503">
    <cfRule type="expression" dxfId="23" priority="2486" stopIfTrue="1">
      <formula>OR($A503="username", $A503="phonenumber", $A503="start", $A503="end", $A503="deviceid", $A503="subscriberid", $A503="simserial", $A503="caseid")</formula>
    </cfRule>
  </conditionalFormatting>
  <conditionalFormatting sqref="B503:E503">
    <cfRule type="expression" dxfId="24" priority="2487" stopIfTrue="1">
      <formula>OR(AND(LEFT($A503, 16)="select_multiple ", LEN($A503)&gt;16, NOT(ISNUMBER(SEARCH(" ", $A503, 17)))), AND(LEFT($A503, 11)="select_one ", LEN($A503)&gt;11, NOT(ISNUMBER(SEARCH(" ", $A503, 12)))))</formula>
    </cfRule>
  </conditionalFormatting>
  <conditionalFormatting sqref="B503:E503">
    <cfRule type="expression" dxfId="25" priority="2488" stopIfTrue="1">
      <formula>$A503="decimal"</formula>
    </cfRule>
  </conditionalFormatting>
  <conditionalFormatting sqref="B503:E503">
    <cfRule type="expression" dxfId="26" priority="2489" stopIfTrue="1">
      <formula>$A503="integer"</formula>
    </cfRule>
  </conditionalFormatting>
  <conditionalFormatting sqref="B503:E503">
    <cfRule type="expression" dxfId="27" priority="2490" stopIfTrue="1">
      <formula>$A503="text"</formula>
    </cfRule>
  </conditionalFormatting>
  <conditionalFormatting sqref="B503:E503">
    <cfRule type="expression" dxfId="28" priority="2491" stopIfTrue="1">
      <formula>$A503="end repeat"</formula>
    </cfRule>
  </conditionalFormatting>
  <conditionalFormatting sqref="B503:E503">
    <cfRule type="expression" dxfId="28" priority="2492" stopIfTrue="1">
      <formula>$A503="begin repeat"</formula>
    </cfRule>
  </conditionalFormatting>
  <conditionalFormatting sqref="B503:E503">
    <cfRule type="expression" dxfId="29" priority="2493" stopIfTrue="1">
      <formula>$A503="end group"</formula>
    </cfRule>
  </conditionalFormatting>
  <conditionalFormatting sqref="B503:E503">
    <cfRule type="expression" dxfId="29" priority="2494" stopIfTrue="1">
      <formula>$A503="begin group"</formula>
    </cfRule>
  </conditionalFormatting>
  <conditionalFormatting sqref="B503">
    <cfRule type="expression" dxfId="30" priority="2495" stopIfTrue="1">
      <formula>$A503="comments"</formula>
    </cfRule>
  </conditionalFormatting>
  <conditionalFormatting sqref="B503">
    <cfRule type="expression" dxfId="36" priority="2496" stopIfTrue="1">
      <formula>OR(AND(LEFT($A503, 14)="sensor_stream ", LEN($A503)&gt;14, NOT(ISNUMBER(SEARCH(" ", $A503, 15)))), AND(LEFT($A503, 17)="sensor_statistic ", LEN($A503)&gt;17, NOT(ISNUMBER(SEARCH(" ", $A503, 18)))))</formula>
    </cfRule>
  </conditionalFormatting>
  <conditionalFormatting sqref="B490:C500 D490:E500">
    <cfRule type="expression" dxfId="0" priority="2497" stopIfTrue="1">
      <formula>$A490="begin group"</formula>
    </cfRule>
  </conditionalFormatting>
  <conditionalFormatting sqref="B490:C500 D490:E500">
    <cfRule type="expression" dxfId="1" priority="2498" stopIfTrue="1">
      <formula>$A490="begin repeat"</formula>
    </cfRule>
  </conditionalFormatting>
  <conditionalFormatting sqref="B490:E500">
    <cfRule type="expression" dxfId="31" priority="2499" stopIfTrue="1">
      <formula>$A490="enumerator"</formula>
    </cfRule>
  </conditionalFormatting>
  <conditionalFormatting sqref="B490:E500">
    <cfRule type="expression" dxfId="2" priority="2500" stopIfTrue="1">
      <formula>$A490="text"</formula>
    </cfRule>
  </conditionalFormatting>
  <conditionalFormatting sqref="B490:E500">
    <cfRule type="expression" dxfId="3" priority="2501" stopIfTrue="1">
      <formula>$A490="integer"</formula>
    </cfRule>
  </conditionalFormatting>
  <conditionalFormatting sqref="B490:E500">
    <cfRule type="expression" dxfId="4" priority="2502" stopIfTrue="1">
      <formula>$A490="decimal"</formula>
    </cfRule>
  </conditionalFormatting>
  <conditionalFormatting sqref="B490:C500 D490:E500">
    <cfRule type="expression" dxfId="5" priority="2503" stopIfTrue="1">
      <formula>OR(AND(LEFT($A490, 16)="select_multiple ", LEN($A490)&gt;16, NOT(ISNUMBER(SEARCH(" ", $A490, 17)))), AND(LEFT($A490, 11)="select_one ", LEN($A490)&gt;11, NOT(ISNUMBER(SEARCH(" ", $A490, 12)))))</formula>
    </cfRule>
  </conditionalFormatting>
  <conditionalFormatting sqref="B490:B500">
    <cfRule type="expression" dxfId="6" priority="2504" stopIfTrue="1">
      <formula>OR($A490="audio audit", $A490="text audit", $A490="speed violations count", $A490="speed violations list", $A490="speed violations audit")</formula>
    </cfRule>
  </conditionalFormatting>
  <conditionalFormatting sqref="B490:C500 D490:E500">
    <cfRule type="expression" dxfId="32" priority="2505" stopIfTrue="1">
      <formula>$A490="file"</formula>
    </cfRule>
  </conditionalFormatting>
  <conditionalFormatting sqref="B490:C500 D490:E500">
    <cfRule type="expression" dxfId="7" priority="2506" stopIfTrue="1">
      <formula>$A490="note"</formula>
    </cfRule>
  </conditionalFormatting>
  <conditionalFormatting sqref="B490:C500 D490:E500">
    <cfRule type="expression" dxfId="8" priority="2507" stopIfTrue="1">
      <formula>$A490="barcode"</formula>
    </cfRule>
  </conditionalFormatting>
  <conditionalFormatting sqref="B490:C500 D490:E500">
    <cfRule type="expression" dxfId="9" priority="2508" stopIfTrue="1">
      <formula>OR($A490="geopoint", $A490="geoshape", $A490="geotrace")</formula>
    </cfRule>
  </conditionalFormatting>
  <conditionalFormatting sqref="B490:B500">
    <cfRule type="expression" dxfId="10" priority="2509" stopIfTrue="1">
      <formula>OR($A490="calculate", $A490="calculate_here")</formula>
    </cfRule>
  </conditionalFormatting>
  <conditionalFormatting sqref="B490:C500 D490:E500">
    <cfRule type="expression" dxfId="11" priority="2510" stopIfTrue="1">
      <formula>OR($A490="date", $A490="datetime", $A490="time")</formula>
    </cfRule>
  </conditionalFormatting>
  <conditionalFormatting sqref="B490:C500 D490:E500">
    <cfRule type="expression" dxfId="12" priority="2511" stopIfTrue="1">
      <formula>$A490="image"</formula>
    </cfRule>
  </conditionalFormatting>
  <conditionalFormatting sqref="B490:C500 D490:E500">
    <cfRule type="expression" dxfId="13" priority="2512" stopIfTrue="1">
      <formula>OR($A490="audio", $A490="video")</formula>
    </cfRule>
  </conditionalFormatting>
  <conditionalFormatting sqref="B490:E500">
    <cfRule type="expression" dxfId="33" priority="2513" stopIfTrue="1">
      <formula>$A490="file"</formula>
    </cfRule>
  </conditionalFormatting>
  <conditionalFormatting sqref="B490:E500">
    <cfRule type="expression" dxfId="34" priority="2514" stopIfTrue="1">
      <formula>$A490="enumerator"</formula>
    </cfRule>
  </conditionalFormatting>
  <conditionalFormatting sqref="B490:E500">
    <cfRule type="expression" dxfId="35" priority="2515" stopIfTrue="1">
      <formula>OR(AND(LEFT($A490, 14)="sensor_stream ", LEN($A490)&gt;14, NOT(ISNUMBER(SEARCH(" ", $A490, 15)))), AND(LEFT($A490, 17)="sensor_statistic ", LEN($A490)&gt;17, NOT(ISNUMBER(SEARCH(" ", $A490, 18)))))</formula>
    </cfRule>
  </conditionalFormatting>
  <conditionalFormatting sqref="B490:E500">
    <cfRule type="expression" dxfId="14" priority="2516" stopIfTrue="1">
      <formula>$A490="comments"</formula>
    </cfRule>
  </conditionalFormatting>
  <conditionalFormatting sqref="B490:E500">
    <cfRule type="expression" dxfId="15" priority="2517" stopIfTrue="1">
      <formula>OR($A490="audio", $A490="video")</formula>
    </cfRule>
  </conditionalFormatting>
  <conditionalFormatting sqref="B490:E500">
    <cfRule type="expression" dxfId="16" priority="2518" stopIfTrue="1">
      <formula>$A490="image"</formula>
    </cfRule>
  </conditionalFormatting>
  <conditionalFormatting sqref="B490:E500">
    <cfRule type="expression" dxfId="17" priority="2519" stopIfTrue="1">
      <formula>OR($A490="date", $A490="datetime", $A490="time")</formula>
    </cfRule>
  </conditionalFormatting>
  <conditionalFormatting sqref="B490:E500">
    <cfRule type="expression" dxfId="18" priority="2520" stopIfTrue="1">
      <formula>OR($A490="calculate", $A490="calculate_here")</formula>
    </cfRule>
  </conditionalFormatting>
  <conditionalFormatting sqref="B490:E500">
    <cfRule type="expression" dxfId="19" priority="2521" stopIfTrue="1">
      <formula>$A490="note"</formula>
    </cfRule>
  </conditionalFormatting>
  <conditionalFormatting sqref="B490:E500">
    <cfRule type="expression" dxfId="20" priority="2522" stopIfTrue="1">
      <formula>$A490="barcode"</formula>
    </cfRule>
  </conditionalFormatting>
  <conditionalFormatting sqref="B490:E500">
    <cfRule type="expression" dxfId="21" priority="2523" stopIfTrue="1">
      <formula>OR($A490="geopoint", $A490="geoshape", $A490="geotrace")</formula>
    </cfRule>
  </conditionalFormatting>
  <conditionalFormatting sqref="B490:E500">
    <cfRule type="expression" dxfId="22" priority="2524" stopIfTrue="1">
      <formula>OR($A490="audio audit", $A490="text audit", $A490="speed violations count", $A490="speed violations list", $A490="speed violations audit")</formula>
    </cfRule>
  </conditionalFormatting>
  <conditionalFormatting sqref="B490:E500">
    <cfRule type="expression" dxfId="23" priority="2525" stopIfTrue="1">
      <formula>OR($A490="username", $A490="phonenumber", $A490="start", $A490="end", $A490="deviceid", $A490="subscriberid", $A490="simserial", $A490="caseid")</formula>
    </cfRule>
  </conditionalFormatting>
  <conditionalFormatting sqref="B490:E500">
    <cfRule type="expression" dxfId="24" priority="2526" stopIfTrue="1">
      <formula>OR(AND(LEFT($A490, 16)="select_multiple ", LEN($A490)&gt;16, NOT(ISNUMBER(SEARCH(" ", $A490, 17)))), AND(LEFT($A490, 11)="select_one ", LEN($A490)&gt;11, NOT(ISNUMBER(SEARCH(" ", $A490, 12)))))</formula>
    </cfRule>
  </conditionalFormatting>
  <conditionalFormatting sqref="B490:E500">
    <cfRule type="expression" dxfId="25" priority="2527" stopIfTrue="1">
      <formula>$A490="decimal"</formula>
    </cfRule>
  </conditionalFormatting>
  <conditionalFormatting sqref="B490:E500">
    <cfRule type="expression" dxfId="26" priority="2528" stopIfTrue="1">
      <formula>$A490="integer"</formula>
    </cfRule>
  </conditionalFormatting>
  <conditionalFormatting sqref="B490:E500">
    <cfRule type="expression" dxfId="27" priority="2529" stopIfTrue="1">
      <formula>$A490="text"</formula>
    </cfRule>
  </conditionalFormatting>
  <conditionalFormatting sqref="B490:E500">
    <cfRule type="expression" dxfId="28" priority="2530" stopIfTrue="1">
      <formula>$A490="end repeat"</formula>
    </cfRule>
  </conditionalFormatting>
  <conditionalFormatting sqref="B490:E500">
    <cfRule type="expression" dxfId="28" priority="2531" stopIfTrue="1">
      <formula>$A490="begin repeat"</formula>
    </cfRule>
  </conditionalFormatting>
  <conditionalFormatting sqref="B490:E500">
    <cfRule type="expression" dxfId="29" priority="2532" stopIfTrue="1">
      <formula>$A490="end group"</formula>
    </cfRule>
  </conditionalFormatting>
  <conditionalFormatting sqref="B490:E500">
    <cfRule type="expression" dxfId="29" priority="2533" stopIfTrue="1">
      <formula>$A490="begin group"</formula>
    </cfRule>
  </conditionalFormatting>
  <conditionalFormatting sqref="B490:B500">
    <cfRule type="expression" dxfId="30" priority="2534" stopIfTrue="1">
      <formula>$A490="comments"</formula>
    </cfRule>
  </conditionalFormatting>
  <conditionalFormatting sqref="B490:B500">
    <cfRule type="expression" dxfId="36" priority="2535" stopIfTrue="1">
      <formula>OR(AND(LEFT($A490, 14)="sensor_stream ", LEN($A490)&gt;14, NOT(ISNUMBER(SEARCH(" ", $A490, 15)))), AND(LEFT($A490, 17)="sensor_statistic ", LEN($A490)&gt;17, NOT(ISNUMBER(SEARCH(" ", $A490, 18)))))</formula>
    </cfRule>
  </conditionalFormatting>
  <conditionalFormatting sqref="B484:C487 D484:E487">
    <cfRule type="expression" dxfId="0" priority="2536" stopIfTrue="1">
      <formula>$A484="begin group"</formula>
    </cfRule>
  </conditionalFormatting>
  <conditionalFormatting sqref="B484:C487 D484:E487">
    <cfRule type="expression" dxfId="1" priority="2537" stopIfTrue="1">
      <formula>$A484="begin repeat"</formula>
    </cfRule>
  </conditionalFormatting>
  <conditionalFormatting sqref="B484:E487">
    <cfRule type="expression" dxfId="31" priority="2538" stopIfTrue="1">
      <formula>$A484="enumerator"</formula>
    </cfRule>
  </conditionalFormatting>
  <conditionalFormatting sqref="B484:E487">
    <cfRule type="expression" dxfId="2" priority="2539" stopIfTrue="1">
      <formula>$A484="text"</formula>
    </cfRule>
  </conditionalFormatting>
  <conditionalFormatting sqref="B484:E487">
    <cfRule type="expression" dxfId="3" priority="2540" stopIfTrue="1">
      <formula>$A484="integer"</formula>
    </cfRule>
  </conditionalFormatting>
  <conditionalFormatting sqref="B484:E487">
    <cfRule type="expression" dxfId="4" priority="2541" stopIfTrue="1">
      <formula>$A484="decimal"</formula>
    </cfRule>
  </conditionalFormatting>
  <conditionalFormatting sqref="B484:C487 D484:E487">
    <cfRule type="expression" dxfId="5" priority="2542" stopIfTrue="1">
      <formula>OR(AND(LEFT($A484, 16)="select_multiple ", LEN($A484)&gt;16, NOT(ISNUMBER(SEARCH(" ", $A484, 17)))), AND(LEFT($A484, 11)="select_one ", LEN($A484)&gt;11, NOT(ISNUMBER(SEARCH(" ", $A484, 12)))))</formula>
    </cfRule>
  </conditionalFormatting>
  <conditionalFormatting sqref="B484:B487">
    <cfRule type="expression" dxfId="6" priority="2543" stopIfTrue="1">
      <formula>OR($A484="audio audit", $A484="text audit", $A484="speed violations count", $A484="speed violations list", $A484="speed violations audit")</formula>
    </cfRule>
  </conditionalFormatting>
  <conditionalFormatting sqref="B484:C487 D484:E487">
    <cfRule type="expression" dxfId="32" priority="2544" stopIfTrue="1">
      <formula>$A484="file"</formula>
    </cfRule>
  </conditionalFormatting>
  <conditionalFormatting sqref="B484:C487 D484:E487">
    <cfRule type="expression" dxfId="7" priority="2545" stopIfTrue="1">
      <formula>$A484="note"</formula>
    </cfRule>
  </conditionalFormatting>
  <conditionalFormatting sqref="B484:C487 D484:E487">
    <cfRule type="expression" dxfId="8" priority="2546" stopIfTrue="1">
      <formula>$A484="barcode"</formula>
    </cfRule>
  </conditionalFormatting>
  <conditionalFormatting sqref="B484:C487 D484:E487">
    <cfRule type="expression" dxfId="9" priority="2547" stopIfTrue="1">
      <formula>OR($A484="geopoint", $A484="geoshape", $A484="geotrace")</formula>
    </cfRule>
  </conditionalFormatting>
  <conditionalFormatting sqref="B484:B487">
    <cfRule type="expression" dxfId="10" priority="2548" stopIfTrue="1">
      <formula>OR($A484="calculate", $A484="calculate_here")</formula>
    </cfRule>
  </conditionalFormatting>
  <conditionalFormatting sqref="B484:C487 D484:E487">
    <cfRule type="expression" dxfId="11" priority="2549" stopIfTrue="1">
      <formula>OR($A484="date", $A484="datetime", $A484="time")</formula>
    </cfRule>
  </conditionalFormatting>
  <conditionalFormatting sqref="B484:C487 D484:E487">
    <cfRule type="expression" dxfId="12" priority="2550" stopIfTrue="1">
      <formula>$A484="image"</formula>
    </cfRule>
  </conditionalFormatting>
  <conditionalFormatting sqref="B484:C487 D484:E487">
    <cfRule type="expression" dxfId="13" priority="2551" stopIfTrue="1">
      <formula>OR($A484="audio", $A484="video")</formula>
    </cfRule>
  </conditionalFormatting>
  <conditionalFormatting sqref="B484:E487">
    <cfRule type="expression" dxfId="33" priority="2552" stopIfTrue="1">
      <formula>$A484="file"</formula>
    </cfRule>
  </conditionalFormatting>
  <conditionalFormatting sqref="B484:E487">
    <cfRule type="expression" dxfId="34" priority="2553" stopIfTrue="1">
      <formula>$A484="enumerator"</formula>
    </cfRule>
  </conditionalFormatting>
  <conditionalFormatting sqref="B484:E487">
    <cfRule type="expression" dxfId="35" priority="2554" stopIfTrue="1">
      <formula>OR(AND(LEFT($A484, 14)="sensor_stream ", LEN($A484)&gt;14, NOT(ISNUMBER(SEARCH(" ", $A484, 15)))), AND(LEFT($A484, 17)="sensor_statistic ", LEN($A484)&gt;17, NOT(ISNUMBER(SEARCH(" ", $A484, 18)))))</formula>
    </cfRule>
  </conditionalFormatting>
  <conditionalFormatting sqref="B484:E487">
    <cfRule type="expression" dxfId="14" priority="2555" stopIfTrue="1">
      <formula>$A484="comments"</formula>
    </cfRule>
  </conditionalFormatting>
  <conditionalFormatting sqref="B484:E487">
    <cfRule type="expression" dxfId="15" priority="2556" stopIfTrue="1">
      <formula>OR($A484="audio", $A484="video")</formula>
    </cfRule>
  </conditionalFormatting>
  <conditionalFormatting sqref="B484:E487">
    <cfRule type="expression" dxfId="16" priority="2557" stopIfTrue="1">
      <formula>$A484="image"</formula>
    </cfRule>
  </conditionalFormatting>
  <conditionalFormatting sqref="B484:E487">
    <cfRule type="expression" dxfId="17" priority="2558" stopIfTrue="1">
      <formula>OR($A484="date", $A484="datetime", $A484="time")</formula>
    </cfRule>
  </conditionalFormatting>
  <conditionalFormatting sqref="B484:E487">
    <cfRule type="expression" dxfId="18" priority="2559" stopIfTrue="1">
      <formula>OR($A484="calculate", $A484="calculate_here")</formula>
    </cfRule>
  </conditionalFormatting>
  <conditionalFormatting sqref="B484:E487">
    <cfRule type="expression" dxfId="19" priority="2560" stopIfTrue="1">
      <formula>$A484="note"</formula>
    </cfRule>
  </conditionalFormatting>
  <conditionalFormatting sqref="B484:E487">
    <cfRule type="expression" dxfId="20" priority="2561" stopIfTrue="1">
      <formula>$A484="barcode"</formula>
    </cfRule>
  </conditionalFormatting>
  <conditionalFormatting sqref="B484:E487">
    <cfRule type="expression" dxfId="21" priority="2562" stopIfTrue="1">
      <formula>OR($A484="geopoint", $A484="geoshape", $A484="geotrace")</formula>
    </cfRule>
  </conditionalFormatting>
  <conditionalFormatting sqref="B484:E487">
    <cfRule type="expression" dxfId="22" priority="2563" stopIfTrue="1">
      <formula>OR($A484="audio audit", $A484="text audit", $A484="speed violations count", $A484="speed violations list", $A484="speed violations audit")</formula>
    </cfRule>
  </conditionalFormatting>
  <conditionalFormatting sqref="B484:E487">
    <cfRule type="expression" dxfId="23" priority="2564" stopIfTrue="1">
      <formula>OR($A484="username", $A484="phonenumber", $A484="start", $A484="end", $A484="deviceid", $A484="subscriberid", $A484="simserial", $A484="caseid")</formula>
    </cfRule>
  </conditionalFormatting>
  <conditionalFormatting sqref="B484:E487">
    <cfRule type="expression" dxfId="24" priority="2565" stopIfTrue="1">
      <formula>OR(AND(LEFT($A484, 16)="select_multiple ", LEN($A484)&gt;16, NOT(ISNUMBER(SEARCH(" ", $A484, 17)))), AND(LEFT($A484, 11)="select_one ", LEN($A484)&gt;11, NOT(ISNUMBER(SEARCH(" ", $A484, 12)))))</formula>
    </cfRule>
  </conditionalFormatting>
  <conditionalFormatting sqref="B484:E487">
    <cfRule type="expression" dxfId="25" priority="2566" stopIfTrue="1">
      <formula>$A484="decimal"</formula>
    </cfRule>
  </conditionalFormatting>
  <conditionalFormatting sqref="B484:E487">
    <cfRule type="expression" dxfId="26" priority="2567" stopIfTrue="1">
      <formula>$A484="integer"</formula>
    </cfRule>
  </conditionalFormatting>
  <conditionalFormatting sqref="B484:E487">
    <cfRule type="expression" dxfId="27" priority="2568" stopIfTrue="1">
      <formula>$A484="text"</formula>
    </cfRule>
  </conditionalFormatting>
  <conditionalFormatting sqref="B484:E487">
    <cfRule type="expression" dxfId="28" priority="2569" stopIfTrue="1">
      <formula>$A484="end repeat"</formula>
    </cfRule>
  </conditionalFormatting>
  <conditionalFormatting sqref="B484:E487">
    <cfRule type="expression" dxfId="28" priority="2570" stopIfTrue="1">
      <formula>$A484="begin repeat"</formula>
    </cfRule>
  </conditionalFormatting>
  <conditionalFormatting sqref="B484:E487">
    <cfRule type="expression" dxfId="29" priority="2571" stopIfTrue="1">
      <formula>$A484="end group"</formula>
    </cfRule>
  </conditionalFormatting>
  <conditionalFormatting sqref="B484:E487">
    <cfRule type="expression" dxfId="29" priority="2572" stopIfTrue="1">
      <formula>$A484="begin group"</formula>
    </cfRule>
  </conditionalFormatting>
  <conditionalFormatting sqref="B484:B487">
    <cfRule type="expression" dxfId="30" priority="2573" stopIfTrue="1">
      <formula>$A484="comments"</formula>
    </cfRule>
  </conditionalFormatting>
  <conditionalFormatting sqref="B484:B487">
    <cfRule type="expression" dxfId="36" priority="2574" stopIfTrue="1">
      <formula>OR(AND(LEFT($A484, 14)="sensor_stream ", LEN($A484)&gt;14, NOT(ISNUMBER(SEARCH(" ", $A484, 15)))), AND(LEFT($A484, 17)="sensor_statistic ", LEN($A484)&gt;17, NOT(ISNUMBER(SEARCH(" ", $A484, 18)))))</formula>
    </cfRule>
  </conditionalFormatting>
  <conditionalFormatting sqref="B478:C481 D478:E481">
    <cfRule type="expression" dxfId="0" priority="2575" stopIfTrue="1">
      <formula>$A478="begin group"</formula>
    </cfRule>
  </conditionalFormatting>
  <conditionalFormatting sqref="B478:C481 D478:E481">
    <cfRule type="expression" dxfId="1" priority="2576" stopIfTrue="1">
      <formula>$A478="begin repeat"</formula>
    </cfRule>
  </conditionalFormatting>
  <conditionalFormatting sqref="B478:E481">
    <cfRule type="expression" dxfId="31" priority="2577" stopIfTrue="1">
      <formula>$A478="enumerator"</formula>
    </cfRule>
  </conditionalFormatting>
  <conditionalFormatting sqref="B478:E481">
    <cfRule type="expression" dxfId="2" priority="2578" stopIfTrue="1">
      <formula>$A478="text"</formula>
    </cfRule>
  </conditionalFormatting>
  <conditionalFormatting sqref="B478:E481">
    <cfRule type="expression" dxfId="3" priority="2579" stopIfTrue="1">
      <formula>$A478="integer"</formula>
    </cfRule>
  </conditionalFormatting>
  <conditionalFormatting sqref="B478:E481">
    <cfRule type="expression" dxfId="4" priority="2580" stopIfTrue="1">
      <formula>$A478="decimal"</formula>
    </cfRule>
  </conditionalFormatting>
  <conditionalFormatting sqref="B478:C481 D478:E481">
    <cfRule type="expression" dxfId="5" priority="2581" stopIfTrue="1">
      <formula>OR(AND(LEFT($A478, 16)="select_multiple ", LEN($A478)&gt;16, NOT(ISNUMBER(SEARCH(" ", $A478, 17)))), AND(LEFT($A478, 11)="select_one ", LEN($A478)&gt;11, NOT(ISNUMBER(SEARCH(" ", $A478, 12)))))</formula>
    </cfRule>
  </conditionalFormatting>
  <conditionalFormatting sqref="B478:B481">
    <cfRule type="expression" dxfId="6" priority="2582" stopIfTrue="1">
      <formula>OR($A478="audio audit", $A478="text audit", $A478="speed violations count", $A478="speed violations list", $A478="speed violations audit")</formula>
    </cfRule>
  </conditionalFormatting>
  <conditionalFormatting sqref="B478:C481 D478:E481">
    <cfRule type="expression" dxfId="32" priority="2583" stopIfTrue="1">
      <formula>$A478="file"</formula>
    </cfRule>
  </conditionalFormatting>
  <conditionalFormatting sqref="B478:C481 D478:E481">
    <cfRule type="expression" dxfId="7" priority="2584" stopIfTrue="1">
      <formula>$A478="note"</formula>
    </cfRule>
  </conditionalFormatting>
  <conditionalFormatting sqref="B478:C481 D478:E481">
    <cfRule type="expression" dxfId="8" priority="2585" stopIfTrue="1">
      <formula>$A478="barcode"</formula>
    </cfRule>
  </conditionalFormatting>
  <conditionalFormatting sqref="B478:C481 D478:E481">
    <cfRule type="expression" dxfId="9" priority="2586" stopIfTrue="1">
      <formula>OR($A478="geopoint", $A478="geoshape", $A478="geotrace")</formula>
    </cfRule>
  </conditionalFormatting>
  <conditionalFormatting sqref="B478:B481">
    <cfRule type="expression" dxfId="10" priority="2587" stopIfTrue="1">
      <formula>OR($A478="calculate", $A478="calculate_here")</formula>
    </cfRule>
  </conditionalFormatting>
  <conditionalFormatting sqref="B478:C481 D478:E481">
    <cfRule type="expression" dxfId="11" priority="2588" stopIfTrue="1">
      <formula>OR($A478="date", $A478="datetime", $A478="time")</formula>
    </cfRule>
  </conditionalFormatting>
  <conditionalFormatting sqref="B478:C481 D478:E481">
    <cfRule type="expression" dxfId="12" priority="2589" stopIfTrue="1">
      <formula>$A478="image"</formula>
    </cfRule>
  </conditionalFormatting>
  <conditionalFormatting sqref="B478:C481 D478:E481">
    <cfRule type="expression" dxfId="13" priority="2590" stopIfTrue="1">
      <formula>OR($A478="audio", $A478="video")</formula>
    </cfRule>
  </conditionalFormatting>
  <conditionalFormatting sqref="B478:E481">
    <cfRule type="expression" dxfId="33" priority="2591" stopIfTrue="1">
      <formula>$A478="file"</formula>
    </cfRule>
  </conditionalFormatting>
  <conditionalFormatting sqref="B478:E481">
    <cfRule type="expression" dxfId="34" priority="2592" stopIfTrue="1">
      <formula>$A478="enumerator"</formula>
    </cfRule>
  </conditionalFormatting>
  <conditionalFormatting sqref="B478:E481">
    <cfRule type="expression" dxfId="35" priority="2593" stopIfTrue="1">
      <formula>OR(AND(LEFT($A478, 14)="sensor_stream ", LEN($A478)&gt;14, NOT(ISNUMBER(SEARCH(" ", $A478, 15)))), AND(LEFT($A478, 17)="sensor_statistic ", LEN($A478)&gt;17, NOT(ISNUMBER(SEARCH(" ", $A478, 18)))))</formula>
    </cfRule>
  </conditionalFormatting>
  <conditionalFormatting sqref="B478:E481">
    <cfRule type="expression" dxfId="14" priority="2594" stopIfTrue="1">
      <formula>$A478="comments"</formula>
    </cfRule>
  </conditionalFormatting>
  <conditionalFormatting sqref="B478:E481">
    <cfRule type="expression" dxfId="15" priority="2595" stopIfTrue="1">
      <formula>OR($A478="audio", $A478="video")</formula>
    </cfRule>
  </conditionalFormatting>
  <conditionalFormatting sqref="B478:E481">
    <cfRule type="expression" dxfId="16" priority="2596" stopIfTrue="1">
      <formula>$A478="image"</formula>
    </cfRule>
  </conditionalFormatting>
  <conditionalFormatting sqref="B478:E481">
    <cfRule type="expression" dxfId="17" priority="2597" stopIfTrue="1">
      <formula>OR($A478="date", $A478="datetime", $A478="time")</formula>
    </cfRule>
  </conditionalFormatting>
  <conditionalFormatting sqref="B478:E481">
    <cfRule type="expression" dxfId="18" priority="2598" stopIfTrue="1">
      <formula>OR($A478="calculate", $A478="calculate_here")</formula>
    </cfRule>
  </conditionalFormatting>
  <conditionalFormatting sqref="B478:E481">
    <cfRule type="expression" dxfId="19" priority="2599" stopIfTrue="1">
      <formula>$A478="note"</formula>
    </cfRule>
  </conditionalFormatting>
  <conditionalFormatting sqref="B478:E481">
    <cfRule type="expression" dxfId="20" priority="2600" stopIfTrue="1">
      <formula>$A478="barcode"</formula>
    </cfRule>
  </conditionalFormatting>
  <conditionalFormatting sqref="B478:E481">
    <cfRule type="expression" dxfId="21" priority="2601" stopIfTrue="1">
      <formula>OR($A478="geopoint", $A478="geoshape", $A478="geotrace")</formula>
    </cfRule>
  </conditionalFormatting>
  <conditionalFormatting sqref="B478:E481">
    <cfRule type="expression" dxfId="22" priority="2602" stopIfTrue="1">
      <formula>OR($A478="audio audit", $A478="text audit", $A478="speed violations count", $A478="speed violations list", $A478="speed violations audit")</formula>
    </cfRule>
  </conditionalFormatting>
  <conditionalFormatting sqref="B478:E481">
    <cfRule type="expression" dxfId="23" priority="2603" stopIfTrue="1">
      <formula>OR($A478="username", $A478="phonenumber", $A478="start", $A478="end", $A478="deviceid", $A478="subscriberid", $A478="simserial", $A478="caseid")</formula>
    </cfRule>
  </conditionalFormatting>
  <conditionalFormatting sqref="B478:E481">
    <cfRule type="expression" dxfId="24" priority="2604" stopIfTrue="1">
      <formula>OR(AND(LEFT($A478, 16)="select_multiple ", LEN($A478)&gt;16, NOT(ISNUMBER(SEARCH(" ", $A478, 17)))), AND(LEFT($A478, 11)="select_one ", LEN($A478)&gt;11, NOT(ISNUMBER(SEARCH(" ", $A478, 12)))))</formula>
    </cfRule>
  </conditionalFormatting>
  <conditionalFormatting sqref="B478:E481">
    <cfRule type="expression" dxfId="25" priority="2605" stopIfTrue="1">
      <formula>$A478="decimal"</formula>
    </cfRule>
  </conditionalFormatting>
  <conditionalFormatting sqref="B478:E481">
    <cfRule type="expression" dxfId="26" priority="2606" stopIfTrue="1">
      <formula>$A478="integer"</formula>
    </cfRule>
  </conditionalFormatting>
  <conditionalFormatting sqref="B478:E481">
    <cfRule type="expression" dxfId="27" priority="2607" stopIfTrue="1">
      <formula>$A478="text"</formula>
    </cfRule>
  </conditionalFormatting>
  <conditionalFormatting sqref="B478:E481">
    <cfRule type="expression" dxfId="28" priority="2608" stopIfTrue="1">
      <formula>$A478="end repeat"</formula>
    </cfRule>
  </conditionalFormatting>
  <conditionalFormatting sqref="B478:E481">
    <cfRule type="expression" dxfId="28" priority="2609" stopIfTrue="1">
      <formula>$A478="begin repeat"</formula>
    </cfRule>
  </conditionalFormatting>
  <conditionalFormatting sqref="B478:E481">
    <cfRule type="expression" dxfId="29" priority="2610" stopIfTrue="1">
      <formula>$A478="end group"</formula>
    </cfRule>
  </conditionalFormatting>
  <conditionalFormatting sqref="B478:E481">
    <cfRule type="expression" dxfId="29" priority="2611" stopIfTrue="1">
      <formula>$A478="begin group"</formula>
    </cfRule>
  </conditionalFormatting>
  <conditionalFormatting sqref="B478:B481">
    <cfRule type="expression" dxfId="30" priority="2612" stopIfTrue="1">
      <formula>$A478="comments"</formula>
    </cfRule>
  </conditionalFormatting>
  <conditionalFormatting sqref="B478:B481">
    <cfRule type="expression" dxfId="36" priority="2613" stopIfTrue="1">
      <formula>OR(AND(LEFT($A478, 14)="sensor_stream ", LEN($A478)&gt;14, NOT(ISNUMBER(SEARCH(" ", $A478, 15)))), AND(LEFT($A478, 17)="sensor_statistic ", LEN($A478)&gt;17, NOT(ISNUMBER(SEARCH(" ", $A478, 18)))))</formula>
    </cfRule>
  </conditionalFormatting>
  <conditionalFormatting sqref="B470:C472 D470:E472">
    <cfRule type="expression" dxfId="0" priority="2614" stopIfTrue="1">
      <formula>$A470="begin group"</formula>
    </cfRule>
  </conditionalFormatting>
  <conditionalFormatting sqref="B470:C472 D470:E472">
    <cfRule type="expression" dxfId="1" priority="2615" stopIfTrue="1">
      <formula>$A470="begin repeat"</formula>
    </cfRule>
  </conditionalFormatting>
  <conditionalFormatting sqref="B470:E472">
    <cfRule type="expression" dxfId="31" priority="2616" stopIfTrue="1">
      <formula>$A470="enumerator"</formula>
    </cfRule>
  </conditionalFormatting>
  <conditionalFormatting sqref="B470:E472">
    <cfRule type="expression" dxfId="2" priority="2617" stopIfTrue="1">
      <formula>$A470="text"</formula>
    </cfRule>
  </conditionalFormatting>
  <conditionalFormatting sqref="B470:E472">
    <cfRule type="expression" dxfId="3" priority="2618" stopIfTrue="1">
      <formula>$A470="integer"</formula>
    </cfRule>
  </conditionalFormatting>
  <conditionalFormatting sqref="B470:E472">
    <cfRule type="expression" dxfId="4" priority="2619" stopIfTrue="1">
      <formula>$A470="decimal"</formula>
    </cfRule>
  </conditionalFormatting>
  <conditionalFormatting sqref="B470:C472 D470:E472">
    <cfRule type="expression" dxfId="5" priority="2620" stopIfTrue="1">
      <formula>OR(AND(LEFT($A470, 16)="select_multiple ", LEN($A470)&gt;16, NOT(ISNUMBER(SEARCH(" ", $A470, 17)))), AND(LEFT($A470, 11)="select_one ", LEN($A470)&gt;11, NOT(ISNUMBER(SEARCH(" ", $A470, 12)))))</formula>
    </cfRule>
  </conditionalFormatting>
  <conditionalFormatting sqref="B470:B472">
    <cfRule type="expression" dxfId="6" priority="2621" stopIfTrue="1">
      <formula>OR($A470="audio audit", $A470="text audit", $A470="speed violations count", $A470="speed violations list", $A470="speed violations audit")</formula>
    </cfRule>
  </conditionalFormatting>
  <conditionalFormatting sqref="B470:C472 D470:E472">
    <cfRule type="expression" dxfId="32" priority="2622" stopIfTrue="1">
      <formula>$A470="file"</formula>
    </cfRule>
  </conditionalFormatting>
  <conditionalFormatting sqref="B470:C472 D470:E472">
    <cfRule type="expression" dxfId="7" priority="2623" stopIfTrue="1">
      <formula>$A470="note"</formula>
    </cfRule>
  </conditionalFormatting>
  <conditionalFormatting sqref="B470:C472 D470:E472">
    <cfRule type="expression" dxfId="8" priority="2624" stopIfTrue="1">
      <formula>$A470="barcode"</formula>
    </cfRule>
  </conditionalFormatting>
  <conditionalFormatting sqref="B470:C472 D470:E472">
    <cfRule type="expression" dxfId="9" priority="2625" stopIfTrue="1">
      <formula>OR($A470="geopoint", $A470="geoshape", $A470="geotrace")</formula>
    </cfRule>
  </conditionalFormatting>
  <conditionalFormatting sqref="B470:B472">
    <cfRule type="expression" dxfId="10" priority="2626" stopIfTrue="1">
      <formula>OR($A470="calculate", $A470="calculate_here")</formula>
    </cfRule>
  </conditionalFormatting>
  <conditionalFormatting sqref="B470:C472 D470:E472">
    <cfRule type="expression" dxfId="11" priority="2627" stopIfTrue="1">
      <formula>OR($A470="date", $A470="datetime", $A470="time")</formula>
    </cfRule>
  </conditionalFormatting>
  <conditionalFormatting sqref="B470:C472 D470:E472">
    <cfRule type="expression" dxfId="12" priority="2628" stopIfTrue="1">
      <formula>$A470="image"</formula>
    </cfRule>
  </conditionalFormatting>
  <conditionalFormatting sqref="B470:C472 D470:E472">
    <cfRule type="expression" dxfId="13" priority="2629" stopIfTrue="1">
      <formula>OR($A470="audio", $A470="video")</formula>
    </cfRule>
  </conditionalFormatting>
  <conditionalFormatting sqref="B470:E472">
    <cfRule type="expression" dxfId="33" priority="2630" stopIfTrue="1">
      <formula>$A470="file"</formula>
    </cfRule>
  </conditionalFormatting>
  <conditionalFormatting sqref="B470:E472">
    <cfRule type="expression" dxfId="34" priority="2631" stopIfTrue="1">
      <formula>$A470="enumerator"</formula>
    </cfRule>
  </conditionalFormatting>
  <conditionalFormatting sqref="B470:E472">
    <cfRule type="expression" dxfId="35" priority="2632" stopIfTrue="1">
      <formula>OR(AND(LEFT($A470, 14)="sensor_stream ", LEN($A470)&gt;14, NOT(ISNUMBER(SEARCH(" ", $A470, 15)))), AND(LEFT($A470, 17)="sensor_statistic ", LEN($A470)&gt;17, NOT(ISNUMBER(SEARCH(" ", $A470, 18)))))</formula>
    </cfRule>
  </conditionalFormatting>
  <conditionalFormatting sqref="B470:E472">
    <cfRule type="expression" dxfId="14" priority="2633" stopIfTrue="1">
      <formula>$A470="comments"</formula>
    </cfRule>
  </conditionalFormatting>
  <conditionalFormatting sqref="B470:E472">
    <cfRule type="expression" dxfId="15" priority="2634" stopIfTrue="1">
      <formula>OR($A470="audio", $A470="video")</formula>
    </cfRule>
  </conditionalFormatting>
  <conditionalFormatting sqref="B470:E472">
    <cfRule type="expression" dxfId="16" priority="2635" stopIfTrue="1">
      <formula>$A470="image"</formula>
    </cfRule>
  </conditionalFormatting>
  <conditionalFormatting sqref="B470:E472">
    <cfRule type="expression" dxfId="17" priority="2636" stopIfTrue="1">
      <formula>OR($A470="date", $A470="datetime", $A470="time")</formula>
    </cfRule>
  </conditionalFormatting>
  <conditionalFormatting sqref="B470:E472">
    <cfRule type="expression" dxfId="18" priority="2637" stopIfTrue="1">
      <formula>OR($A470="calculate", $A470="calculate_here")</formula>
    </cfRule>
  </conditionalFormatting>
  <conditionalFormatting sqref="B470:E472">
    <cfRule type="expression" dxfId="19" priority="2638" stopIfTrue="1">
      <formula>$A470="note"</formula>
    </cfRule>
  </conditionalFormatting>
  <conditionalFormatting sqref="B470:E472">
    <cfRule type="expression" dxfId="20" priority="2639" stopIfTrue="1">
      <formula>$A470="barcode"</formula>
    </cfRule>
  </conditionalFormatting>
  <conditionalFormatting sqref="B470:E472">
    <cfRule type="expression" dxfId="21" priority="2640" stopIfTrue="1">
      <formula>OR($A470="geopoint", $A470="geoshape", $A470="geotrace")</formula>
    </cfRule>
  </conditionalFormatting>
  <conditionalFormatting sqref="B470:E472">
    <cfRule type="expression" dxfId="22" priority="2641" stopIfTrue="1">
      <formula>OR($A470="audio audit", $A470="text audit", $A470="speed violations count", $A470="speed violations list", $A470="speed violations audit")</formula>
    </cfRule>
  </conditionalFormatting>
  <conditionalFormatting sqref="B470:E472">
    <cfRule type="expression" dxfId="23" priority="2642" stopIfTrue="1">
      <formula>OR($A470="username", $A470="phonenumber", $A470="start", $A470="end", $A470="deviceid", $A470="subscriberid", $A470="simserial", $A470="caseid")</formula>
    </cfRule>
  </conditionalFormatting>
  <conditionalFormatting sqref="B470:E472">
    <cfRule type="expression" dxfId="24" priority="2643" stopIfTrue="1">
      <formula>OR(AND(LEFT($A470, 16)="select_multiple ", LEN($A470)&gt;16, NOT(ISNUMBER(SEARCH(" ", $A470, 17)))), AND(LEFT($A470, 11)="select_one ", LEN($A470)&gt;11, NOT(ISNUMBER(SEARCH(" ", $A470, 12)))))</formula>
    </cfRule>
  </conditionalFormatting>
  <conditionalFormatting sqref="B470:E472">
    <cfRule type="expression" dxfId="25" priority="2644" stopIfTrue="1">
      <formula>$A470="decimal"</formula>
    </cfRule>
  </conditionalFormatting>
  <conditionalFormatting sqref="B470:E472">
    <cfRule type="expression" dxfId="26" priority="2645" stopIfTrue="1">
      <formula>$A470="integer"</formula>
    </cfRule>
  </conditionalFormatting>
  <conditionalFormatting sqref="B470:E472">
    <cfRule type="expression" dxfId="27" priority="2646" stopIfTrue="1">
      <formula>$A470="text"</formula>
    </cfRule>
  </conditionalFormatting>
  <conditionalFormatting sqref="B470:E472">
    <cfRule type="expression" dxfId="28" priority="2647" stopIfTrue="1">
      <formula>$A470="end repeat"</formula>
    </cfRule>
  </conditionalFormatting>
  <conditionalFormatting sqref="B470:E472">
    <cfRule type="expression" dxfId="28" priority="2648" stopIfTrue="1">
      <formula>$A470="begin repeat"</formula>
    </cfRule>
  </conditionalFormatting>
  <conditionalFormatting sqref="B470:E472">
    <cfRule type="expression" dxfId="29" priority="2649" stopIfTrue="1">
      <formula>$A470="end group"</formula>
    </cfRule>
  </conditionalFormatting>
  <conditionalFormatting sqref="B470:E472">
    <cfRule type="expression" dxfId="29" priority="2650" stopIfTrue="1">
      <formula>$A470="begin group"</formula>
    </cfRule>
  </conditionalFormatting>
  <conditionalFormatting sqref="B470:B472">
    <cfRule type="expression" dxfId="30" priority="2651" stopIfTrue="1">
      <formula>$A470="comments"</formula>
    </cfRule>
  </conditionalFormatting>
  <conditionalFormatting sqref="B470:B472">
    <cfRule type="expression" dxfId="36" priority="2652" stopIfTrue="1">
      <formula>OR(AND(LEFT($A470, 14)="sensor_stream ", LEN($A470)&gt;14, NOT(ISNUMBER(SEARCH(" ", $A470, 15)))), AND(LEFT($A470, 17)="sensor_statistic ", LEN($A470)&gt;17, NOT(ISNUMBER(SEARCH(" ", $A470, 18)))))</formula>
    </cfRule>
  </conditionalFormatting>
  <conditionalFormatting sqref="B464:C465 D464:E465">
    <cfRule type="expression" dxfId="0" priority="2653" stopIfTrue="1">
      <formula>$A464="begin group"</formula>
    </cfRule>
  </conditionalFormatting>
  <conditionalFormatting sqref="B464:C465 D464:E465">
    <cfRule type="expression" dxfId="1" priority="2654" stopIfTrue="1">
      <formula>$A464="begin repeat"</formula>
    </cfRule>
  </conditionalFormatting>
  <conditionalFormatting sqref="B464:E465">
    <cfRule type="expression" dxfId="31" priority="2655" stopIfTrue="1">
      <formula>$A464="enumerator"</formula>
    </cfRule>
  </conditionalFormatting>
  <conditionalFormatting sqref="B464:E465">
    <cfRule type="expression" dxfId="2" priority="2656" stopIfTrue="1">
      <formula>$A464="text"</formula>
    </cfRule>
  </conditionalFormatting>
  <conditionalFormatting sqref="B464:E465">
    <cfRule type="expression" dxfId="3" priority="2657" stopIfTrue="1">
      <formula>$A464="integer"</formula>
    </cfRule>
  </conditionalFormatting>
  <conditionalFormatting sqref="B464:E465">
    <cfRule type="expression" dxfId="4" priority="2658" stopIfTrue="1">
      <formula>$A464="decimal"</formula>
    </cfRule>
  </conditionalFormatting>
  <conditionalFormatting sqref="B464:C465 D464:E465">
    <cfRule type="expression" dxfId="5" priority="2659" stopIfTrue="1">
      <formula>OR(AND(LEFT($A464, 16)="select_multiple ", LEN($A464)&gt;16, NOT(ISNUMBER(SEARCH(" ", $A464, 17)))), AND(LEFT($A464, 11)="select_one ", LEN($A464)&gt;11, NOT(ISNUMBER(SEARCH(" ", $A464, 12)))))</formula>
    </cfRule>
  </conditionalFormatting>
  <conditionalFormatting sqref="B464:B465">
    <cfRule type="expression" dxfId="6" priority="2660" stopIfTrue="1">
      <formula>OR($A464="audio audit", $A464="text audit", $A464="speed violations count", $A464="speed violations list", $A464="speed violations audit")</formula>
    </cfRule>
  </conditionalFormatting>
  <conditionalFormatting sqref="B464:C465 D464:E465">
    <cfRule type="expression" dxfId="32" priority="2661" stopIfTrue="1">
      <formula>$A464="file"</formula>
    </cfRule>
  </conditionalFormatting>
  <conditionalFormatting sqref="B464:C465 D464:E465">
    <cfRule type="expression" dxfId="7" priority="2662" stopIfTrue="1">
      <formula>$A464="note"</formula>
    </cfRule>
  </conditionalFormatting>
  <conditionalFormatting sqref="B464:C465 D464:E465">
    <cfRule type="expression" dxfId="8" priority="2663" stopIfTrue="1">
      <formula>$A464="barcode"</formula>
    </cfRule>
  </conditionalFormatting>
  <conditionalFormatting sqref="B464:C465 D464:E465">
    <cfRule type="expression" dxfId="9" priority="2664" stopIfTrue="1">
      <formula>OR($A464="geopoint", $A464="geoshape", $A464="geotrace")</formula>
    </cfRule>
  </conditionalFormatting>
  <conditionalFormatting sqref="B464:B465">
    <cfRule type="expression" dxfId="10" priority="2665" stopIfTrue="1">
      <formula>OR($A464="calculate", $A464="calculate_here")</formula>
    </cfRule>
  </conditionalFormatting>
  <conditionalFormatting sqref="B464:C465 D464:E465">
    <cfRule type="expression" dxfId="11" priority="2666" stopIfTrue="1">
      <formula>OR($A464="date", $A464="datetime", $A464="time")</formula>
    </cfRule>
  </conditionalFormatting>
  <conditionalFormatting sqref="B464:C465 D464:E465">
    <cfRule type="expression" dxfId="12" priority="2667" stopIfTrue="1">
      <formula>$A464="image"</formula>
    </cfRule>
  </conditionalFormatting>
  <conditionalFormatting sqref="B464:C465 D464:E465">
    <cfRule type="expression" dxfId="13" priority="2668" stopIfTrue="1">
      <formula>OR($A464="audio", $A464="video")</formula>
    </cfRule>
  </conditionalFormatting>
  <conditionalFormatting sqref="B464:E465">
    <cfRule type="expression" dxfId="33" priority="2669" stopIfTrue="1">
      <formula>$A464="file"</formula>
    </cfRule>
  </conditionalFormatting>
  <conditionalFormatting sqref="B464:E465">
    <cfRule type="expression" dxfId="34" priority="2670" stopIfTrue="1">
      <formula>$A464="enumerator"</formula>
    </cfRule>
  </conditionalFormatting>
  <conditionalFormatting sqref="B464:E465">
    <cfRule type="expression" dxfId="35" priority="2671" stopIfTrue="1">
      <formula>OR(AND(LEFT($A464, 14)="sensor_stream ", LEN($A464)&gt;14, NOT(ISNUMBER(SEARCH(" ", $A464, 15)))), AND(LEFT($A464, 17)="sensor_statistic ", LEN($A464)&gt;17, NOT(ISNUMBER(SEARCH(" ", $A464, 18)))))</formula>
    </cfRule>
  </conditionalFormatting>
  <conditionalFormatting sqref="B464:E465">
    <cfRule type="expression" dxfId="14" priority="2672" stopIfTrue="1">
      <formula>$A464="comments"</formula>
    </cfRule>
  </conditionalFormatting>
  <conditionalFormatting sqref="B464:E465">
    <cfRule type="expression" dxfId="15" priority="2673" stopIfTrue="1">
      <formula>OR($A464="audio", $A464="video")</formula>
    </cfRule>
  </conditionalFormatting>
  <conditionalFormatting sqref="B464:E465">
    <cfRule type="expression" dxfId="16" priority="2674" stopIfTrue="1">
      <formula>$A464="image"</formula>
    </cfRule>
  </conditionalFormatting>
  <conditionalFormatting sqref="B464:E465">
    <cfRule type="expression" dxfId="17" priority="2675" stopIfTrue="1">
      <formula>OR($A464="date", $A464="datetime", $A464="time")</formula>
    </cfRule>
  </conditionalFormatting>
  <conditionalFormatting sqref="B464:E465">
    <cfRule type="expression" dxfId="18" priority="2676" stopIfTrue="1">
      <formula>OR($A464="calculate", $A464="calculate_here")</formula>
    </cfRule>
  </conditionalFormatting>
  <conditionalFormatting sqref="B464:E465">
    <cfRule type="expression" dxfId="19" priority="2677" stopIfTrue="1">
      <formula>$A464="note"</formula>
    </cfRule>
  </conditionalFormatting>
  <conditionalFormatting sqref="B464:E465">
    <cfRule type="expression" dxfId="20" priority="2678" stopIfTrue="1">
      <formula>$A464="barcode"</formula>
    </cfRule>
  </conditionalFormatting>
  <conditionalFormatting sqref="B464:E465">
    <cfRule type="expression" dxfId="21" priority="2679" stopIfTrue="1">
      <formula>OR($A464="geopoint", $A464="geoshape", $A464="geotrace")</formula>
    </cfRule>
  </conditionalFormatting>
  <conditionalFormatting sqref="B464:E465">
    <cfRule type="expression" dxfId="22" priority="2680" stopIfTrue="1">
      <formula>OR($A464="audio audit", $A464="text audit", $A464="speed violations count", $A464="speed violations list", $A464="speed violations audit")</formula>
    </cfRule>
  </conditionalFormatting>
  <conditionalFormatting sqref="B464:E465">
    <cfRule type="expression" dxfId="23" priority="2681" stopIfTrue="1">
      <formula>OR($A464="username", $A464="phonenumber", $A464="start", $A464="end", $A464="deviceid", $A464="subscriberid", $A464="simserial", $A464="caseid")</formula>
    </cfRule>
  </conditionalFormatting>
  <conditionalFormatting sqref="B464:E465">
    <cfRule type="expression" dxfId="24" priority="2682" stopIfTrue="1">
      <formula>OR(AND(LEFT($A464, 16)="select_multiple ", LEN($A464)&gt;16, NOT(ISNUMBER(SEARCH(" ", $A464, 17)))), AND(LEFT($A464, 11)="select_one ", LEN($A464)&gt;11, NOT(ISNUMBER(SEARCH(" ", $A464, 12)))))</formula>
    </cfRule>
  </conditionalFormatting>
  <conditionalFormatting sqref="B464:E465">
    <cfRule type="expression" dxfId="25" priority="2683" stopIfTrue="1">
      <formula>$A464="decimal"</formula>
    </cfRule>
  </conditionalFormatting>
  <conditionalFormatting sqref="B464:E465">
    <cfRule type="expression" dxfId="26" priority="2684" stopIfTrue="1">
      <formula>$A464="integer"</formula>
    </cfRule>
  </conditionalFormatting>
  <conditionalFormatting sqref="B464:E465">
    <cfRule type="expression" dxfId="27" priority="2685" stopIfTrue="1">
      <formula>$A464="text"</formula>
    </cfRule>
  </conditionalFormatting>
  <conditionalFormatting sqref="B464:E465">
    <cfRule type="expression" dxfId="28" priority="2686" stopIfTrue="1">
      <formula>$A464="end repeat"</formula>
    </cfRule>
  </conditionalFormatting>
  <conditionalFormatting sqref="B464:E465">
    <cfRule type="expression" dxfId="28" priority="2687" stopIfTrue="1">
      <formula>$A464="begin repeat"</formula>
    </cfRule>
  </conditionalFormatting>
  <conditionalFormatting sqref="B464:E465">
    <cfRule type="expression" dxfId="29" priority="2688" stopIfTrue="1">
      <formula>$A464="end group"</formula>
    </cfRule>
  </conditionalFormatting>
  <conditionalFormatting sqref="B464:E465">
    <cfRule type="expression" dxfId="29" priority="2689" stopIfTrue="1">
      <formula>$A464="begin group"</formula>
    </cfRule>
  </conditionalFormatting>
  <conditionalFormatting sqref="B464:B465">
    <cfRule type="expression" dxfId="30" priority="2690" stopIfTrue="1">
      <formula>$A464="comments"</formula>
    </cfRule>
  </conditionalFormatting>
  <conditionalFormatting sqref="B464:B465">
    <cfRule type="expression" dxfId="36" priority="2691" stopIfTrue="1">
      <formula>OR(AND(LEFT($A464, 14)="sensor_stream ", LEN($A464)&gt;14, NOT(ISNUMBER(SEARCH(" ", $A464, 15)))), AND(LEFT($A464, 17)="sensor_statistic ", LEN($A464)&gt;17, NOT(ISNUMBER(SEARCH(" ", $A464, 18)))))</formula>
    </cfRule>
  </conditionalFormatting>
  <conditionalFormatting sqref="B458:C462 D458:E462">
    <cfRule type="expression" dxfId="0" priority="2692" stopIfTrue="1">
      <formula>$A458="begin group"</formula>
    </cfRule>
  </conditionalFormatting>
  <conditionalFormatting sqref="B458:C462 D458:E462">
    <cfRule type="expression" dxfId="1" priority="2693" stopIfTrue="1">
      <formula>$A458="begin repeat"</formula>
    </cfRule>
  </conditionalFormatting>
  <conditionalFormatting sqref="B458:E462">
    <cfRule type="expression" dxfId="31" priority="2694" stopIfTrue="1">
      <formula>$A458="enumerator"</formula>
    </cfRule>
  </conditionalFormatting>
  <conditionalFormatting sqref="B458:E462">
    <cfRule type="expression" dxfId="2" priority="2695" stopIfTrue="1">
      <formula>$A458="text"</formula>
    </cfRule>
  </conditionalFormatting>
  <conditionalFormatting sqref="B458:E462">
    <cfRule type="expression" dxfId="3" priority="2696" stopIfTrue="1">
      <formula>$A458="integer"</formula>
    </cfRule>
  </conditionalFormatting>
  <conditionalFormatting sqref="B458:E462">
    <cfRule type="expression" dxfId="4" priority="2697" stopIfTrue="1">
      <formula>$A458="decimal"</formula>
    </cfRule>
  </conditionalFormatting>
  <conditionalFormatting sqref="B458:C462 D458:E462">
    <cfRule type="expression" dxfId="5" priority="2698" stopIfTrue="1">
      <formula>OR(AND(LEFT($A458, 16)="select_multiple ", LEN($A458)&gt;16, NOT(ISNUMBER(SEARCH(" ", $A458, 17)))), AND(LEFT($A458, 11)="select_one ", LEN($A458)&gt;11, NOT(ISNUMBER(SEARCH(" ", $A458, 12)))))</formula>
    </cfRule>
  </conditionalFormatting>
  <conditionalFormatting sqref="B458:B462">
    <cfRule type="expression" dxfId="6" priority="2699" stopIfTrue="1">
      <formula>OR($A458="audio audit", $A458="text audit", $A458="speed violations count", $A458="speed violations list", $A458="speed violations audit")</formula>
    </cfRule>
  </conditionalFormatting>
  <conditionalFormatting sqref="B458:C462 D458:E462">
    <cfRule type="expression" dxfId="32" priority="2700" stopIfTrue="1">
      <formula>$A458="file"</formula>
    </cfRule>
  </conditionalFormatting>
  <conditionalFormatting sqref="B458:C462 D458:E462">
    <cfRule type="expression" dxfId="7" priority="2701" stopIfTrue="1">
      <formula>$A458="note"</formula>
    </cfRule>
  </conditionalFormatting>
  <conditionalFormatting sqref="B458:C462 D458:E462">
    <cfRule type="expression" dxfId="8" priority="2702" stopIfTrue="1">
      <formula>$A458="barcode"</formula>
    </cfRule>
  </conditionalFormatting>
  <conditionalFormatting sqref="B458:C462 D458:E462">
    <cfRule type="expression" dxfId="9" priority="2703" stopIfTrue="1">
      <formula>OR($A458="geopoint", $A458="geoshape", $A458="geotrace")</formula>
    </cfRule>
  </conditionalFormatting>
  <conditionalFormatting sqref="B458:B462">
    <cfRule type="expression" dxfId="10" priority="2704" stopIfTrue="1">
      <formula>OR($A458="calculate", $A458="calculate_here")</formula>
    </cfRule>
  </conditionalFormatting>
  <conditionalFormatting sqref="B458:C462 D458:E462">
    <cfRule type="expression" dxfId="11" priority="2705" stopIfTrue="1">
      <formula>OR($A458="date", $A458="datetime", $A458="time")</formula>
    </cfRule>
  </conditionalFormatting>
  <conditionalFormatting sqref="B458:C462 D458:E462">
    <cfRule type="expression" dxfId="12" priority="2706" stopIfTrue="1">
      <formula>$A458="image"</formula>
    </cfRule>
  </conditionalFormatting>
  <conditionalFormatting sqref="B458:C462 D458:E462">
    <cfRule type="expression" dxfId="13" priority="2707" stopIfTrue="1">
      <formula>OR($A458="audio", $A458="video")</formula>
    </cfRule>
  </conditionalFormatting>
  <conditionalFormatting sqref="B458:E462">
    <cfRule type="expression" dxfId="33" priority="2708" stopIfTrue="1">
      <formula>$A458="file"</formula>
    </cfRule>
  </conditionalFormatting>
  <conditionalFormatting sqref="B458:E462">
    <cfRule type="expression" dxfId="34" priority="2709" stopIfTrue="1">
      <formula>$A458="enumerator"</formula>
    </cfRule>
  </conditionalFormatting>
  <conditionalFormatting sqref="B458:E462">
    <cfRule type="expression" dxfId="35" priority="2710" stopIfTrue="1">
      <formula>OR(AND(LEFT($A458, 14)="sensor_stream ", LEN($A458)&gt;14, NOT(ISNUMBER(SEARCH(" ", $A458, 15)))), AND(LEFT($A458, 17)="sensor_statistic ", LEN($A458)&gt;17, NOT(ISNUMBER(SEARCH(" ", $A458, 18)))))</formula>
    </cfRule>
  </conditionalFormatting>
  <conditionalFormatting sqref="B458:E462">
    <cfRule type="expression" dxfId="14" priority="2711" stopIfTrue="1">
      <formula>$A458="comments"</formula>
    </cfRule>
  </conditionalFormatting>
  <conditionalFormatting sqref="B458:E462">
    <cfRule type="expression" dxfId="15" priority="2712" stopIfTrue="1">
      <formula>OR($A458="audio", $A458="video")</formula>
    </cfRule>
  </conditionalFormatting>
  <conditionalFormatting sqref="B458:E462">
    <cfRule type="expression" dxfId="16" priority="2713" stopIfTrue="1">
      <formula>$A458="image"</formula>
    </cfRule>
  </conditionalFormatting>
  <conditionalFormatting sqref="B458:E462">
    <cfRule type="expression" dxfId="17" priority="2714" stopIfTrue="1">
      <formula>OR($A458="date", $A458="datetime", $A458="time")</formula>
    </cfRule>
  </conditionalFormatting>
  <conditionalFormatting sqref="B458:E462">
    <cfRule type="expression" dxfId="18" priority="2715" stopIfTrue="1">
      <formula>OR($A458="calculate", $A458="calculate_here")</formula>
    </cfRule>
  </conditionalFormatting>
  <conditionalFormatting sqref="B458:E462">
    <cfRule type="expression" dxfId="19" priority="2716" stopIfTrue="1">
      <formula>$A458="note"</formula>
    </cfRule>
  </conditionalFormatting>
  <conditionalFormatting sqref="B458:E462">
    <cfRule type="expression" dxfId="20" priority="2717" stopIfTrue="1">
      <formula>$A458="barcode"</formula>
    </cfRule>
  </conditionalFormatting>
  <conditionalFormatting sqref="B458:E462">
    <cfRule type="expression" dxfId="21" priority="2718" stopIfTrue="1">
      <formula>OR($A458="geopoint", $A458="geoshape", $A458="geotrace")</formula>
    </cfRule>
  </conditionalFormatting>
  <conditionalFormatting sqref="B458:E462">
    <cfRule type="expression" dxfId="22" priority="2719" stopIfTrue="1">
      <formula>OR($A458="audio audit", $A458="text audit", $A458="speed violations count", $A458="speed violations list", $A458="speed violations audit")</formula>
    </cfRule>
  </conditionalFormatting>
  <conditionalFormatting sqref="B458:E462">
    <cfRule type="expression" dxfId="23" priority="2720" stopIfTrue="1">
      <formula>OR($A458="username", $A458="phonenumber", $A458="start", $A458="end", $A458="deviceid", $A458="subscriberid", $A458="simserial", $A458="caseid")</formula>
    </cfRule>
  </conditionalFormatting>
  <conditionalFormatting sqref="B458:E462">
    <cfRule type="expression" dxfId="24" priority="2721" stopIfTrue="1">
      <formula>OR(AND(LEFT($A458, 16)="select_multiple ", LEN($A458)&gt;16, NOT(ISNUMBER(SEARCH(" ", $A458, 17)))), AND(LEFT($A458, 11)="select_one ", LEN($A458)&gt;11, NOT(ISNUMBER(SEARCH(" ", $A458, 12)))))</formula>
    </cfRule>
  </conditionalFormatting>
  <conditionalFormatting sqref="B458:E462">
    <cfRule type="expression" dxfId="25" priority="2722" stopIfTrue="1">
      <formula>$A458="decimal"</formula>
    </cfRule>
  </conditionalFormatting>
  <conditionalFormatting sqref="B458:E462">
    <cfRule type="expression" dxfId="26" priority="2723" stopIfTrue="1">
      <formula>$A458="integer"</formula>
    </cfRule>
  </conditionalFormatting>
  <conditionalFormatting sqref="B458:E462">
    <cfRule type="expression" dxfId="27" priority="2724" stopIfTrue="1">
      <formula>$A458="text"</formula>
    </cfRule>
  </conditionalFormatting>
  <conditionalFormatting sqref="B458:E462">
    <cfRule type="expression" dxfId="28" priority="2725" stopIfTrue="1">
      <formula>$A458="end repeat"</formula>
    </cfRule>
  </conditionalFormatting>
  <conditionalFormatting sqref="B458:E462">
    <cfRule type="expression" dxfId="28" priority="2726" stopIfTrue="1">
      <formula>$A458="begin repeat"</formula>
    </cfRule>
  </conditionalFormatting>
  <conditionalFormatting sqref="B458:E462">
    <cfRule type="expression" dxfId="29" priority="2727" stopIfTrue="1">
      <formula>$A458="end group"</formula>
    </cfRule>
  </conditionalFormatting>
  <conditionalFormatting sqref="B458:E462">
    <cfRule type="expression" dxfId="29" priority="2728" stopIfTrue="1">
      <formula>$A458="begin group"</formula>
    </cfRule>
  </conditionalFormatting>
  <conditionalFormatting sqref="B458:B462">
    <cfRule type="expression" dxfId="30" priority="2729" stopIfTrue="1">
      <formula>$A458="comments"</formula>
    </cfRule>
  </conditionalFormatting>
  <conditionalFormatting sqref="B458:B462">
    <cfRule type="expression" dxfId="36" priority="2730" stopIfTrue="1">
      <formula>OR(AND(LEFT($A458, 14)="sensor_stream ", LEN($A458)&gt;14, NOT(ISNUMBER(SEARCH(" ", $A458, 15)))), AND(LEFT($A458, 17)="sensor_statistic ", LEN($A458)&gt;17, NOT(ISNUMBER(SEARCH(" ", $A458, 18)))))</formula>
    </cfRule>
  </conditionalFormatting>
  <conditionalFormatting sqref="B416:C456 D416:E456">
    <cfRule type="expression" dxfId="0" priority="2731" stopIfTrue="1">
      <formula>$A416="begin group"</formula>
    </cfRule>
  </conditionalFormatting>
  <conditionalFormatting sqref="B416:C456 D416:E456">
    <cfRule type="expression" dxfId="1" priority="2732" stopIfTrue="1">
      <formula>$A416="begin repeat"</formula>
    </cfRule>
  </conditionalFormatting>
  <conditionalFormatting sqref="B416:E456">
    <cfRule type="expression" dxfId="31" priority="2733" stopIfTrue="1">
      <formula>$A416="enumerator"</formula>
    </cfRule>
  </conditionalFormatting>
  <conditionalFormatting sqref="B416:E456">
    <cfRule type="expression" dxfId="2" priority="2734" stopIfTrue="1">
      <formula>$A416="text"</formula>
    </cfRule>
  </conditionalFormatting>
  <conditionalFormatting sqref="B416:E456">
    <cfRule type="expression" dxfId="3" priority="2735" stopIfTrue="1">
      <formula>$A416="integer"</formula>
    </cfRule>
  </conditionalFormatting>
  <conditionalFormatting sqref="B416:E456">
    <cfRule type="expression" dxfId="4" priority="2736" stopIfTrue="1">
      <formula>$A416="decimal"</formula>
    </cfRule>
  </conditionalFormatting>
  <conditionalFormatting sqref="B416:C456 D416:E456">
    <cfRule type="expression" dxfId="5" priority="2737" stopIfTrue="1">
      <formula>OR(AND(LEFT($A416, 16)="select_multiple ", LEN($A416)&gt;16, NOT(ISNUMBER(SEARCH(" ", $A416, 17)))), AND(LEFT($A416, 11)="select_one ", LEN($A416)&gt;11, NOT(ISNUMBER(SEARCH(" ", $A416, 12)))))</formula>
    </cfRule>
  </conditionalFormatting>
  <conditionalFormatting sqref="B416:B456">
    <cfRule type="expression" dxfId="6" priority="2738" stopIfTrue="1">
      <formula>OR($A416="audio audit", $A416="text audit", $A416="speed violations count", $A416="speed violations list", $A416="speed violations audit")</formula>
    </cfRule>
  </conditionalFormatting>
  <conditionalFormatting sqref="B416:C456 D416:E456">
    <cfRule type="expression" dxfId="32" priority="2739" stopIfTrue="1">
      <formula>$A416="file"</formula>
    </cfRule>
  </conditionalFormatting>
  <conditionalFormatting sqref="B416:C456 D416:E456">
    <cfRule type="expression" dxfId="7" priority="2740" stopIfTrue="1">
      <formula>$A416="note"</formula>
    </cfRule>
  </conditionalFormatting>
  <conditionalFormatting sqref="B416:C456 D416:E456">
    <cfRule type="expression" dxfId="8" priority="2741" stopIfTrue="1">
      <formula>$A416="barcode"</formula>
    </cfRule>
  </conditionalFormatting>
  <conditionalFormatting sqref="B416:C456 D416:E456">
    <cfRule type="expression" dxfId="9" priority="2742" stopIfTrue="1">
      <formula>OR($A416="geopoint", $A416="geoshape", $A416="geotrace")</formula>
    </cfRule>
  </conditionalFormatting>
  <conditionalFormatting sqref="B416:B456">
    <cfRule type="expression" dxfId="10" priority="2743" stopIfTrue="1">
      <formula>OR($A416="calculate", $A416="calculate_here")</formula>
    </cfRule>
  </conditionalFormatting>
  <conditionalFormatting sqref="B416:C456 D416:E456">
    <cfRule type="expression" dxfId="11" priority="2744" stopIfTrue="1">
      <formula>OR($A416="date", $A416="datetime", $A416="time")</formula>
    </cfRule>
  </conditionalFormatting>
  <conditionalFormatting sqref="B416:C456 D416:E456">
    <cfRule type="expression" dxfId="12" priority="2745" stopIfTrue="1">
      <formula>$A416="image"</formula>
    </cfRule>
  </conditionalFormatting>
  <conditionalFormatting sqref="B416:C456 D416:E456">
    <cfRule type="expression" dxfId="13" priority="2746" stopIfTrue="1">
      <formula>OR($A416="audio", $A416="video")</formula>
    </cfRule>
  </conditionalFormatting>
  <conditionalFormatting sqref="B416:E456">
    <cfRule type="expression" dxfId="33" priority="2747" stopIfTrue="1">
      <formula>$A416="file"</formula>
    </cfRule>
  </conditionalFormatting>
  <conditionalFormatting sqref="B416:E456">
    <cfRule type="expression" dxfId="34" priority="2748" stopIfTrue="1">
      <formula>$A416="enumerator"</formula>
    </cfRule>
  </conditionalFormatting>
  <conditionalFormatting sqref="B416:E456">
    <cfRule type="expression" dxfId="35" priority="2749" stopIfTrue="1">
      <formula>OR(AND(LEFT($A416, 14)="sensor_stream ", LEN($A416)&gt;14, NOT(ISNUMBER(SEARCH(" ", $A416, 15)))), AND(LEFT($A416, 17)="sensor_statistic ", LEN($A416)&gt;17, NOT(ISNUMBER(SEARCH(" ", $A416, 18)))))</formula>
    </cfRule>
  </conditionalFormatting>
  <conditionalFormatting sqref="B416:E456">
    <cfRule type="expression" dxfId="14" priority="2750" stopIfTrue="1">
      <formula>$A416="comments"</formula>
    </cfRule>
  </conditionalFormatting>
  <conditionalFormatting sqref="B416:E456">
    <cfRule type="expression" dxfId="15" priority="2751" stopIfTrue="1">
      <formula>OR($A416="audio", $A416="video")</formula>
    </cfRule>
  </conditionalFormatting>
  <conditionalFormatting sqref="B416:E456">
    <cfRule type="expression" dxfId="16" priority="2752" stopIfTrue="1">
      <formula>$A416="image"</formula>
    </cfRule>
  </conditionalFormatting>
  <conditionalFormatting sqref="B416:E456">
    <cfRule type="expression" dxfId="17" priority="2753" stopIfTrue="1">
      <formula>OR($A416="date", $A416="datetime", $A416="time")</formula>
    </cfRule>
  </conditionalFormatting>
  <conditionalFormatting sqref="B416:E456">
    <cfRule type="expression" dxfId="18" priority="2754" stopIfTrue="1">
      <formula>OR($A416="calculate", $A416="calculate_here")</formula>
    </cfRule>
  </conditionalFormatting>
  <conditionalFormatting sqref="B416:E456">
    <cfRule type="expression" dxfId="19" priority="2755" stopIfTrue="1">
      <formula>$A416="note"</formula>
    </cfRule>
  </conditionalFormatting>
  <conditionalFormatting sqref="B416:E456">
    <cfRule type="expression" dxfId="20" priority="2756" stopIfTrue="1">
      <formula>$A416="barcode"</formula>
    </cfRule>
  </conditionalFormatting>
  <conditionalFormatting sqref="B416:E456">
    <cfRule type="expression" dxfId="21" priority="2757" stopIfTrue="1">
      <formula>OR($A416="geopoint", $A416="geoshape", $A416="geotrace")</formula>
    </cfRule>
  </conditionalFormatting>
  <conditionalFormatting sqref="B416:E456">
    <cfRule type="expression" dxfId="22" priority="2758" stopIfTrue="1">
      <formula>OR($A416="audio audit", $A416="text audit", $A416="speed violations count", $A416="speed violations list", $A416="speed violations audit")</formula>
    </cfRule>
  </conditionalFormatting>
  <conditionalFormatting sqref="B416:E456">
    <cfRule type="expression" dxfId="23" priority="2759" stopIfTrue="1">
      <formula>OR($A416="username", $A416="phonenumber", $A416="start", $A416="end", $A416="deviceid", $A416="subscriberid", $A416="simserial", $A416="caseid")</formula>
    </cfRule>
  </conditionalFormatting>
  <conditionalFormatting sqref="B416:E456">
    <cfRule type="expression" dxfId="24" priority="2760" stopIfTrue="1">
      <formula>OR(AND(LEFT($A416, 16)="select_multiple ", LEN($A416)&gt;16, NOT(ISNUMBER(SEARCH(" ", $A416, 17)))), AND(LEFT($A416, 11)="select_one ", LEN($A416)&gt;11, NOT(ISNUMBER(SEARCH(" ", $A416, 12)))))</formula>
    </cfRule>
  </conditionalFormatting>
  <conditionalFormatting sqref="B416:E456">
    <cfRule type="expression" dxfId="25" priority="2761" stopIfTrue="1">
      <formula>$A416="decimal"</formula>
    </cfRule>
  </conditionalFormatting>
  <conditionalFormatting sqref="B416:E456">
    <cfRule type="expression" dxfId="26" priority="2762" stopIfTrue="1">
      <formula>$A416="integer"</formula>
    </cfRule>
  </conditionalFormatting>
  <conditionalFormatting sqref="B416:E456">
    <cfRule type="expression" dxfId="27" priority="2763" stopIfTrue="1">
      <formula>$A416="text"</formula>
    </cfRule>
  </conditionalFormatting>
  <conditionalFormatting sqref="B416:E456">
    <cfRule type="expression" dxfId="28" priority="2764" stopIfTrue="1">
      <formula>$A416="end repeat"</formula>
    </cfRule>
  </conditionalFormatting>
  <conditionalFormatting sqref="B416:E456">
    <cfRule type="expression" dxfId="28" priority="2765" stopIfTrue="1">
      <formula>$A416="begin repeat"</formula>
    </cfRule>
  </conditionalFormatting>
  <conditionalFormatting sqref="B416:E456">
    <cfRule type="expression" dxfId="29" priority="2766" stopIfTrue="1">
      <formula>$A416="end group"</formula>
    </cfRule>
  </conditionalFormatting>
  <conditionalFormatting sqref="B416:E456">
    <cfRule type="expression" dxfId="29" priority="2767" stopIfTrue="1">
      <formula>$A416="begin group"</formula>
    </cfRule>
  </conditionalFormatting>
  <conditionalFormatting sqref="B416:B456">
    <cfRule type="expression" dxfId="30" priority="2768" stopIfTrue="1">
      <formula>$A416="comments"</formula>
    </cfRule>
  </conditionalFormatting>
  <conditionalFormatting sqref="B416:B456">
    <cfRule type="expression" dxfId="36" priority="2769" stopIfTrue="1">
      <formula>OR(AND(LEFT($A416, 14)="sensor_stream ", LEN($A416)&gt;14, NOT(ISNUMBER(SEARCH(" ", $A416, 15)))), AND(LEFT($A416, 17)="sensor_statistic ", LEN($A416)&gt;17, NOT(ISNUMBER(SEARCH(" ", $A416, 18)))))</formula>
    </cfRule>
  </conditionalFormatting>
  <conditionalFormatting sqref="B408:C414 D408:E414">
    <cfRule type="expression" dxfId="0" priority="2770" stopIfTrue="1">
      <formula>$A408="begin group"</formula>
    </cfRule>
  </conditionalFormatting>
  <conditionalFormatting sqref="B408:C414 D408:E414">
    <cfRule type="expression" dxfId="1" priority="2771" stopIfTrue="1">
      <formula>$A408="begin repeat"</formula>
    </cfRule>
  </conditionalFormatting>
  <conditionalFormatting sqref="B408:E414">
    <cfRule type="expression" dxfId="31" priority="2772" stopIfTrue="1">
      <formula>$A408="enumerator"</formula>
    </cfRule>
  </conditionalFormatting>
  <conditionalFormatting sqref="B408:E414">
    <cfRule type="expression" dxfId="2" priority="2773" stopIfTrue="1">
      <formula>$A408="text"</formula>
    </cfRule>
  </conditionalFormatting>
  <conditionalFormatting sqref="B408:E414">
    <cfRule type="expression" dxfId="3" priority="2774" stopIfTrue="1">
      <formula>$A408="integer"</formula>
    </cfRule>
  </conditionalFormatting>
  <conditionalFormatting sqref="B408:E414">
    <cfRule type="expression" dxfId="4" priority="2775" stopIfTrue="1">
      <formula>$A408="decimal"</formula>
    </cfRule>
  </conditionalFormatting>
  <conditionalFormatting sqref="B408:C414 D408:E414">
    <cfRule type="expression" dxfId="5" priority="2776" stopIfTrue="1">
      <formula>OR(AND(LEFT($A408, 16)="select_multiple ", LEN($A408)&gt;16, NOT(ISNUMBER(SEARCH(" ", $A408, 17)))), AND(LEFT($A408, 11)="select_one ", LEN($A408)&gt;11, NOT(ISNUMBER(SEARCH(" ", $A408, 12)))))</formula>
    </cfRule>
  </conditionalFormatting>
  <conditionalFormatting sqref="B408:B414">
    <cfRule type="expression" dxfId="6" priority="2777" stopIfTrue="1">
      <formula>OR($A408="audio audit", $A408="text audit", $A408="speed violations count", $A408="speed violations list", $A408="speed violations audit")</formula>
    </cfRule>
  </conditionalFormatting>
  <conditionalFormatting sqref="B408:C414 D408:E414">
    <cfRule type="expression" dxfId="32" priority="2778" stopIfTrue="1">
      <formula>$A408="file"</formula>
    </cfRule>
  </conditionalFormatting>
  <conditionalFormatting sqref="B408:C414 D408:E414">
    <cfRule type="expression" dxfId="7" priority="2779" stopIfTrue="1">
      <formula>$A408="note"</formula>
    </cfRule>
  </conditionalFormatting>
  <conditionalFormatting sqref="B408:C414 D408:E414">
    <cfRule type="expression" dxfId="8" priority="2780" stopIfTrue="1">
      <formula>$A408="barcode"</formula>
    </cfRule>
  </conditionalFormatting>
  <conditionalFormatting sqref="B408:C414 D408:E414">
    <cfRule type="expression" dxfId="9" priority="2781" stopIfTrue="1">
      <formula>OR($A408="geopoint", $A408="geoshape", $A408="geotrace")</formula>
    </cfRule>
  </conditionalFormatting>
  <conditionalFormatting sqref="B408:B414">
    <cfRule type="expression" dxfId="10" priority="2782" stopIfTrue="1">
      <formula>OR($A408="calculate", $A408="calculate_here")</formula>
    </cfRule>
  </conditionalFormatting>
  <conditionalFormatting sqref="B408:C414 D408:E414">
    <cfRule type="expression" dxfId="11" priority="2783" stopIfTrue="1">
      <formula>OR($A408="date", $A408="datetime", $A408="time")</formula>
    </cfRule>
  </conditionalFormatting>
  <conditionalFormatting sqref="B408:C414 D408:E414">
    <cfRule type="expression" dxfId="12" priority="2784" stopIfTrue="1">
      <formula>$A408="image"</formula>
    </cfRule>
  </conditionalFormatting>
  <conditionalFormatting sqref="B408:C414 D408:E414">
    <cfRule type="expression" dxfId="13" priority="2785" stopIfTrue="1">
      <formula>OR($A408="audio", $A408="video")</formula>
    </cfRule>
  </conditionalFormatting>
  <conditionalFormatting sqref="B408:E414">
    <cfRule type="expression" dxfId="33" priority="2786" stopIfTrue="1">
      <formula>$A408="file"</formula>
    </cfRule>
  </conditionalFormatting>
  <conditionalFormatting sqref="B408:E414">
    <cfRule type="expression" dxfId="34" priority="2787" stopIfTrue="1">
      <formula>$A408="enumerator"</formula>
    </cfRule>
  </conditionalFormatting>
  <conditionalFormatting sqref="B408:E414">
    <cfRule type="expression" dxfId="35" priority="2788" stopIfTrue="1">
      <formula>OR(AND(LEFT($A408, 14)="sensor_stream ", LEN($A408)&gt;14, NOT(ISNUMBER(SEARCH(" ", $A408, 15)))), AND(LEFT($A408, 17)="sensor_statistic ", LEN($A408)&gt;17, NOT(ISNUMBER(SEARCH(" ", $A408, 18)))))</formula>
    </cfRule>
  </conditionalFormatting>
  <conditionalFormatting sqref="B408:E414">
    <cfRule type="expression" dxfId="14" priority="2789" stopIfTrue="1">
      <formula>$A408="comments"</formula>
    </cfRule>
  </conditionalFormatting>
  <conditionalFormatting sqref="B408:E414">
    <cfRule type="expression" dxfId="15" priority="2790" stopIfTrue="1">
      <formula>OR($A408="audio", $A408="video")</formula>
    </cfRule>
  </conditionalFormatting>
  <conditionalFormatting sqref="B408:E414">
    <cfRule type="expression" dxfId="16" priority="2791" stopIfTrue="1">
      <formula>$A408="image"</formula>
    </cfRule>
  </conditionalFormatting>
  <conditionalFormatting sqref="B408:E414">
    <cfRule type="expression" dxfId="17" priority="2792" stopIfTrue="1">
      <formula>OR($A408="date", $A408="datetime", $A408="time")</formula>
    </cfRule>
  </conditionalFormatting>
  <conditionalFormatting sqref="B408:E414">
    <cfRule type="expression" dxfId="18" priority="2793" stopIfTrue="1">
      <formula>OR($A408="calculate", $A408="calculate_here")</formula>
    </cfRule>
  </conditionalFormatting>
  <conditionalFormatting sqref="B408:E414">
    <cfRule type="expression" dxfId="19" priority="2794" stopIfTrue="1">
      <formula>$A408="note"</formula>
    </cfRule>
  </conditionalFormatting>
  <conditionalFormatting sqref="B408:E414">
    <cfRule type="expression" dxfId="20" priority="2795" stopIfTrue="1">
      <formula>$A408="barcode"</formula>
    </cfRule>
  </conditionalFormatting>
  <conditionalFormatting sqref="B408:E414">
    <cfRule type="expression" dxfId="21" priority="2796" stopIfTrue="1">
      <formula>OR($A408="geopoint", $A408="geoshape", $A408="geotrace")</formula>
    </cfRule>
  </conditionalFormatting>
  <conditionalFormatting sqref="B408:E414">
    <cfRule type="expression" dxfId="22" priority="2797" stopIfTrue="1">
      <formula>OR($A408="audio audit", $A408="text audit", $A408="speed violations count", $A408="speed violations list", $A408="speed violations audit")</formula>
    </cfRule>
  </conditionalFormatting>
  <conditionalFormatting sqref="B408:E414">
    <cfRule type="expression" dxfId="23" priority="2798" stopIfTrue="1">
      <formula>OR($A408="username", $A408="phonenumber", $A408="start", $A408="end", $A408="deviceid", $A408="subscriberid", $A408="simserial", $A408="caseid")</formula>
    </cfRule>
  </conditionalFormatting>
  <conditionalFormatting sqref="B408:E414">
    <cfRule type="expression" dxfId="24" priority="2799" stopIfTrue="1">
      <formula>OR(AND(LEFT($A408, 16)="select_multiple ", LEN($A408)&gt;16, NOT(ISNUMBER(SEARCH(" ", $A408, 17)))), AND(LEFT($A408, 11)="select_one ", LEN($A408)&gt;11, NOT(ISNUMBER(SEARCH(" ", $A408, 12)))))</formula>
    </cfRule>
  </conditionalFormatting>
  <conditionalFormatting sqref="B408:E414">
    <cfRule type="expression" dxfId="25" priority="2800" stopIfTrue="1">
      <formula>$A408="decimal"</formula>
    </cfRule>
  </conditionalFormatting>
  <conditionalFormatting sqref="B408:E414">
    <cfRule type="expression" dxfId="26" priority="2801" stopIfTrue="1">
      <formula>$A408="integer"</formula>
    </cfRule>
  </conditionalFormatting>
  <conditionalFormatting sqref="B408:E414">
    <cfRule type="expression" dxfId="27" priority="2802" stopIfTrue="1">
      <formula>$A408="text"</formula>
    </cfRule>
  </conditionalFormatting>
  <conditionalFormatting sqref="B408:E414">
    <cfRule type="expression" dxfId="28" priority="2803" stopIfTrue="1">
      <formula>$A408="end repeat"</formula>
    </cfRule>
  </conditionalFormatting>
  <conditionalFormatting sqref="B408:E414">
    <cfRule type="expression" dxfId="28" priority="2804" stopIfTrue="1">
      <formula>$A408="begin repeat"</formula>
    </cfRule>
  </conditionalFormatting>
  <conditionalFormatting sqref="B408:E414">
    <cfRule type="expression" dxfId="29" priority="2805" stopIfTrue="1">
      <formula>$A408="end group"</formula>
    </cfRule>
  </conditionalFormatting>
  <conditionalFormatting sqref="B408:E414">
    <cfRule type="expression" dxfId="29" priority="2806" stopIfTrue="1">
      <formula>$A408="begin group"</formula>
    </cfRule>
  </conditionalFormatting>
  <conditionalFormatting sqref="B408:B414">
    <cfRule type="expression" dxfId="30" priority="2807" stopIfTrue="1">
      <formula>$A408="comments"</formula>
    </cfRule>
  </conditionalFormatting>
  <conditionalFormatting sqref="B408:B414">
    <cfRule type="expression" dxfId="36" priority="2808" stopIfTrue="1">
      <formula>OR(AND(LEFT($A408, 14)="sensor_stream ", LEN($A408)&gt;14, NOT(ISNUMBER(SEARCH(" ", $A408, 15)))), AND(LEFT($A408, 17)="sensor_statistic ", LEN($A408)&gt;17, NOT(ISNUMBER(SEARCH(" ", $A408, 18)))))</formula>
    </cfRule>
  </conditionalFormatting>
  <conditionalFormatting sqref="B406:C406 D406:E406">
    <cfRule type="expression" dxfId="0" priority="2809" stopIfTrue="1">
      <formula>$A406="begin group"</formula>
    </cfRule>
  </conditionalFormatting>
  <conditionalFormatting sqref="B406:C406 D406:E406">
    <cfRule type="expression" dxfId="1" priority="2810" stopIfTrue="1">
      <formula>$A406="begin repeat"</formula>
    </cfRule>
  </conditionalFormatting>
  <conditionalFormatting sqref="B406:E406">
    <cfRule type="expression" dxfId="31" priority="2811" stopIfTrue="1">
      <formula>$A406="enumerator"</formula>
    </cfRule>
  </conditionalFormatting>
  <conditionalFormatting sqref="B406:E406">
    <cfRule type="expression" dxfId="2" priority="2812" stopIfTrue="1">
      <formula>$A406="text"</formula>
    </cfRule>
  </conditionalFormatting>
  <conditionalFormatting sqref="B406:E406">
    <cfRule type="expression" dxfId="3" priority="2813" stopIfTrue="1">
      <formula>$A406="integer"</formula>
    </cfRule>
  </conditionalFormatting>
  <conditionalFormatting sqref="B406:E406">
    <cfRule type="expression" dxfId="4" priority="2814" stopIfTrue="1">
      <formula>$A406="decimal"</formula>
    </cfRule>
  </conditionalFormatting>
  <conditionalFormatting sqref="B406:C406 D406:E406">
    <cfRule type="expression" dxfId="5" priority="2815" stopIfTrue="1">
      <formula>OR(AND(LEFT($A406, 16)="select_multiple ", LEN($A406)&gt;16, NOT(ISNUMBER(SEARCH(" ", $A406, 17)))), AND(LEFT($A406, 11)="select_one ", LEN($A406)&gt;11, NOT(ISNUMBER(SEARCH(" ", $A406, 12)))))</formula>
    </cfRule>
  </conditionalFormatting>
  <conditionalFormatting sqref="B406">
    <cfRule type="expression" dxfId="6" priority="2816" stopIfTrue="1">
      <formula>OR($A406="audio audit", $A406="text audit", $A406="speed violations count", $A406="speed violations list", $A406="speed violations audit")</formula>
    </cfRule>
  </conditionalFormatting>
  <conditionalFormatting sqref="B406:C406 D406:E406">
    <cfRule type="expression" dxfId="32" priority="2817" stopIfTrue="1">
      <formula>$A406="file"</formula>
    </cfRule>
  </conditionalFormatting>
  <conditionalFormatting sqref="B406:C406 D406:E406">
    <cfRule type="expression" dxfId="7" priority="2818" stopIfTrue="1">
      <formula>$A406="note"</formula>
    </cfRule>
  </conditionalFormatting>
  <conditionalFormatting sqref="B406:C406 D406:E406">
    <cfRule type="expression" dxfId="8" priority="2819" stopIfTrue="1">
      <formula>$A406="barcode"</formula>
    </cfRule>
  </conditionalFormatting>
  <conditionalFormatting sqref="B406:C406 D406:E406">
    <cfRule type="expression" dxfId="9" priority="2820" stopIfTrue="1">
      <formula>OR($A406="geopoint", $A406="geoshape", $A406="geotrace")</formula>
    </cfRule>
  </conditionalFormatting>
  <conditionalFormatting sqref="B406">
    <cfRule type="expression" dxfId="10" priority="2821" stopIfTrue="1">
      <formula>OR($A406="calculate", $A406="calculate_here")</formula>
    </cfRule>
  </conditionalFormatting>
  <conditionalFormatting sqref="B406:C406 D406:E406">
    <cfRule type="expression" dxfId="11" priority="2822" stopIfTrue="1">
      <formula>OR($A406="date", $A406="datetime", $A406="time")</formula>
    </cfRule>
  </conditionalFormatting>
  <conditionalFormatting sqref="B406:C406 D406:E406">
    <cfRule type="expression" dxfId="12" priority="2823" stopIfTrue="1">
      <formula>$A406="image"</formula>
    </cfRule>
  </conditionalFormatting>
  <conditionalFormatting sqref="B406:C406 D406:E406">
    <cfRule type="expression" dxfId="13" priority="2824" stopIfTrue="1">
      <formula>OR($A406="audio", $A406="video")</formula>
    </cfRule>
  </conditionalFormatting>
  <conditionalFormatting sqref="B406:E406">
    <cfRule type="expression" dxfId="33" priority="2825" stopIfTrue="1">
      <formula>$A406="file"</formula>
    </cfRule>
  </conditionalFormatting>
  <conditionalFormatting sqref="B406:E406">
    <cfRule type="expression" dxfId="34" priority="2826" stopIfTrue="1">
      <formula>$A406="enumerator"</formula>
    </cfRule>
  </conditionalFormatting>
  <conditionalFormatting sqref="B406:E406">
    <cfRule type="expression" dxfId="35" priority="2827" stopIfTrue="1">
      <formula>OR(AND(LEFT($A406, 14)="sensor_stream ", LEN($A406)&gt;14, NOT(ISNUMBER(SEARCH(" ", $A406, 15)))), AND(LEFT($A406, 17)="sensor_statistic ", LEN($A406)&gt;17, NOT(ISNUMBER(SEARCH(" ", $A406, 18)))))</formula>
    </cfRule>
  </conditionalFormatting>
  <conditionalFormatting sqref="B406:E406">
    <cfRule type="expression" dxfId="14" priority="2828" stopIfTrue="1">
      <formula>$A406="comments"</formula>
    </cfRule>
  </conditionalFormatting>
  <conditionalFormatting sqref="B406:E406">
    <cfRule type="expression" dxfId="15" priority="2829" stopIfTrue="1">
      <formula>OR($A406="audio", $A406="video")</formula>
    </cfRule>
  </conditionalFormatting>
  <conditionalFormatting sqref="B406:E406">
    <cfRule type="expression" dxfId="16" priority="2830" stopIfTrue="1">
      <formula>$A406="image"</formula>
    </cfRule>
  </conditionalFormatting>
  <conditionalFormatting sqref="B406:E406">
    <cfRule type="expression" dxfId="17" priority="2831" stopIfTrue="1">
      <formula>OR($A406="date", $A406="datetime", $A406="time")</formula>
    </cfRule>
  </conditionalFormatting>
  <conditionalFormatting sqref="B406:E406">
    <cfRule type="expression" dxfId="18" priority="2832" stopIfTrue="1">
      <formula>OR($A406="calculate", $A406="calculate_here")</formula>
    </cfRule>
  </conditionalFormatting>
  <conditionalFormatting sqref="B406:E406">
    <cfRule type="expression" dxfId="19" priority="2833" stopIfTrue="1">
      <formula>$A406="note"</formula>
    </cfRule>
  </conditionalFormatting>
  <conditionalFormatting sqref="B406:E406">
    <cfRule type="expression" dxfId="20" priority="2834" stopIfTrue="1">
      <formula>$A406="barcode"</formula>
    </cfRule>
  </conditionalFormatting>
  <conditionalFormatting sqref="B406:E406">
    <cfRule type="expression" dxfId="21" priority="2835" stopIfTrue="1">
      <formula>OR($A406="geopoint", $A406="geoshape", $A406="geotrace")</formula>
    </cfRule>
  </conditionalFormatting>
  <conditionalFormatting sqref="B406:E406">
    <cfRule type="expression" dxfId="22" priority="2836" stopIfTrue="1">
      <formula>OR($A406="audio audit", $A406="text audit", $A406="speed violations count", $A406="speed violations list", $A406="speed violations audit")</formula>
    </cfRule>
  </conditionalFormatting>
  <conditionalFormatting sqref="B406:E406">
    <cfRule type="expression" dxfId="23" priority="2837" stopIfTrue="1">
      <formula>OR($A406="username", $A406="phonenumber", $A406="start", $A406="end", $A406="deviceid", $A406="subscriberid", $A406="simserial", $A406="caseid")</formula>
    </cfRule>
  </conditionalFormatting>
  <conditionalFormatting sqref="B406:E406">
    <cfRule type="expression" dxfId="24" priority="2838" stopIfTrue="1">
      <formula>OR(AND(LEFT($A406, 16)="select_multiple ", LEN($A406)&gt;16, NOT(ISNUMBER(SEARCH(" ", $A406, 17)))), AND(LEFT($A406, 11)="select_one ", LEN($A406)&gt;11, NOT(ISNUMBER(SEARCH(" ", $A406, 12)))))</formula>
    </cfRule>
  </conditionalFormatting>
  <conditionalFormatting sqref="B406:E406">
    <cfRule type="expression" dxfId="25" priority="2839" stopIfTrue="1">
      <formula>$A406="decimal"</formula>
    </cfRule>
  </conditionalFormatting>
  <conditionalFormatting sqref="B406:E406">
    <cfRule type="expression" dxfId="26" priority="2840" stopIfTrue="1">
      <formula>$A406="integer"</formula>
    </cfRule>
  </conditionalFormatting>
  <conditionalFormatting sqref="B406:E406">
    <cfRule type="expression" dxfId="27" priority="2841" stopIfTrue="1">
      <formula>$A406="text"</formula>
    </cfRule>
  </conditionalFormatting>
  <conditionalFormatting sqref="B406:E406">
    <cfRule type="expression" dxfId="28" priority="2842" stopIfTrue="1">
      <formula>$A406="end repeat"</formula>
    </cfRule>
  </conditionalFormatting>
  <conditionalFormatting sqref="B406:E406">
    <cfRule type="expression" dxfId="28" priority="2843" stopIfTrue="1">
      <formula>$A406="begin repeat"</formula>
    </cfRule>
  </conditionalFormatting>
  <conditionalFormatting sqref="B406:E406">
    <cfRule type="expression" dxfId="29" priority="2844" stopIfTrue="1">
      <formula>$A406="end group"</formula>
    </cfRule>
  </conditionalFormatting>
  <conditionalFormatting sqref="B406:E406">
    <cfRule type="expression" dxfId="29" priority="2845" stopIfTrue="1">
      <formula>$A406="begin group"</formula>
    </cfRule>
  </conditionalFormatting>
  <conditionalFormatting sqref="B406">
    <cfRule type="expression" dxfId="30" priority="2846" stopIfTrue="1">
      <formula>$A406="comments"</formula>
    </cfRule>
  </conditionalFormatting>
  <conditionalFormatting sqref="B406">
    <cfRule type="expression" dxfId="36" priority="2847" stopIfTrue="1">
      <formula>OR(AND(LEFT($A406, 14)="sensor_stream ", LEN($A406)&gt;14, NOT(ISNUMBER(SEARCH(" ", $A406, 15)))), AND(LEFT($A406, 17)="sensor_statistic ", LEN($A406)&gt;17, NOT(ISNUMBER(SEARCH(" ", $A406, 18)))))</formula>
    </cfRule>
  </conditionalFormatting>
  <conditionalFormatting sqref="B399:C402 D399:E402">
    <cfRule type="expression" dxfId="0" priority="2848" stopIfTrue="1">
      <formula>$A399="begin group"</formula>
    </cfRule>
  </conditionalFormatting>
  <conditionalFormatting sqref="B399:C402 D399:E402">
    <cfRule type="expression" dxfId="1" priority="2849" stopIfTrue="1">
      <formula>$A399="begin repeat"</formula>
    </cfRule>
  </conditionalFormatting>
  <conditionalFormatting sqref="B399:E402">
    <cfRule type="expression" dxfId="31" priority="2850" stopIfTrue="1">
      <formula>$A399="enumerator"</formula>
    </cfRule>
  </conditionalFormatting>
  <conditionalFormatting sqref="B399:E402">
    <cfRule type="expression" dxfId="2" priority="2851" stopIfTrue="1">
      <formula>$A399="text"</formula>
    </cfRule>
  </conditionalFormatting>
  <conditionalFormatting sqref="B399:E402">
    <cfRule type="expression" dxfId="3" priority="2852" stopIfTrue="1">
      <formula>$A399="integer"</formula>
    </cfRule>
  </conditionalFormatting>
  <conditionalFormatting sqref="B399:E402">
    <cfRule type="expression" dxfId="4" priority="2853" stopIfTrue="1">
      <formula>$A399="decimal"</formula>
    </cfRule>
  </conditionalFormatting>
  <conditionalFormatting sqref="B399:C402 D399:E402">
    <cfRule type="expression" dxfId="5" priority="2854" stopIfTrue="1">
      <formula>OR(AND(LEFT($A399, 16)="select_multiple ", LEN($A399)&gt;16, NOT(ISNUMBER(SEARCH(" ", $A399, 17)))), AND(LEFT($A399, 11)="select_one ", LEN($A399)&gt;11, NOT(ISNUMBER(SEARCH(" ", $A399, 12)))))</formula>
    </cfRule>
  </conditionalFormatting>
  <conditionalFormatting sqref="B399:B402">
    <cfRule type="expression" dxfId="6" priority="2855" stopIfTrue="1">
      <formula>OR($A399="audio audit", $A399="text audit", $A399="speed violations count", $A399="speed violations list", $A399="speed violations audit")</formula>
    </cfRule>
  </conditionalFormatting>
  <conditionalFormatting sqref="B399:C402 D399:E402">
    <cfRule type="expression" dxfId="32" priority="2856" stopIfTrue="1">
      <formula>$A399="file"</formula>
    </cfRule>
  </conditionalFormatting>
  <conditionalFormatting sqref="B399:C402 D399:E402">
    <cfRule type="expression" dxfId="7" priority="2857" stopIfTrue="1">
      <formula>$A399="note"</formula>
    </cfRule>
  </conditionalFormatting>
  <conditionalFormatting sqref="B399:C402 D399:E402">
    <cfRule type="expression" dxfId="8" priority="2858" stopIfTrue="1">
      <formula>$A399="barcode"</formula>
    </cfRule>
  </conditionalFormatting>
  <conditionalFormatting sqref="B399:C402 D399:E402">
    <cfRule type="expression" dxfId="9" priority="2859" stopIfTrue="1">
      <formula>OR($A399="geopoint", $A399="geoshape", $A399="geotrace")</formula>
    </cfRule>
  </conditionalFormatting>
  <conditionalFormatting sqref="B399:B402">
    <cfRule type="expression" dxfId="10" priority="2860" stopIfTrue="1">
      <formula>OR($A399="calculate", $A399="calculate_here")</formula>
    </cfRule>
  </conditionalFormatting>
  <conditionalFormatting sqref="B399:C402 D399:E402">
    <cfRule type="expression" dxfId="11" priority="2861" stopIfTrue="1">
      <formula>OR($A399="date", $A399="datetime", $A399="time")</formula>
    </cfRule>
  </conditionalFormatting>
  <conditionalFormatting sqref="B399:C402 D399:E402">
    <cfRule type="expression" dxfId="12" priority="2862" stopIfTrue="1">
      <formula>$A399="image"</formula>
    </cfRule>
  </conditionalFormatting>
  <conditionalFormatting sqref="B399:C402 D399:E402">
    <cfRule type="expression" dxfId="13" priority="2863" stopIfTrue="1">
      <formula>OR($A399="audio", $A399="video")</formula>
    </cfRule>
  </conditionalFormatting>
  <conditionalFormatting sqref="B399:E402">
    <cfRule type="expression" dxfId="33" priority="2864" stopIfTrue="1">
      <formula>$A399="file"</formula>
    </cfRule>
  </conditionalFormatting>
  <conditionalFormatting sqref="B399:E402">
    <cfRule type="expression" dxfId="34" priority="2865" stopIfTrue="1">
      <formula>$A399="enumerator"</formula>
    </cfRule>
  </conditionalFormatting>
  <conditionalFormatting sqref="B399:E402">
    <cfRule type="expression" dxfId="35" priority="2866" stopIfTrue="1">
      <formula>OR(AND(LEFT($A399, 14)="sensor_stream ", LEN($A399)&gt;14, NOT(ISNUMBER(SEARCH(" ", $A399, 15)))), AND(LEFT($A399, 17)="sensor_statistic ", LEN($A399)&gt;17, NOT(ISNUMBER(SEARCH(" ", $A399, 18)))))</formula>
    </cfRule>
  </conditionalFormatting>
  <conditionalFormatting sqref="B399:E402">
    <cfRule type="expression" dxfId="14" priority="2867" stopIfTrue="1">
      <formula>$A399="comments"</formula>
    </cfRule>
  </conditionalFormatting>
  <conditionalFormatting sqref="B399:E402">
    <cfRule type="expression" dxfId="15" priority="2868" stopIfTrue="1">
      <formula>OR($A399="audio", $A399="video")</formula>
    </cfRule>
  </conditionalFormatting>
  <conditionalFormatting sqref="B399:E402">
    <cfRule type="expression" dxfId="16" priority="2869" stopIfTrue="1">
      <formula>$A399="image"</formula>
    </cfRule>
  </conditionalFormatting>
  <conditionalFormatting sqref="B399:E402">
    <cfRule type="expression" dxfId="17" priority="2870" stopIfTrue="1">
      <formula>OR($A399="date", $A399="datetime", $A399="time")</formula>
    </cfRule>
  </conditionalFormatting>
  <conditionalFormatting sqref="B399:E402">
    <cfRule type="expression" dxfId="18" priority="2871" stopIfTrue="1">
      <formula>OR($A399="calculate", $A399="calculate_here")</formula>
    </cfRule>
  </conditionalFormatting>
  <conditionalFormatting sqref="B399:E402">
    <cfRule type="expression" dxfId="19" priority="2872" stopIfTrue="1">
      <formula>$A399="note"</formula>
    </cfRule>
  </conditionalFormatting>
  <conditionalFormatting sqref="B399:E402">
    <cfRule type="expression" dxfId="20" priority="2873" stopIfTrue="1">
      <formula>$A399="barcode"</formula>
    </cfRule>
  </conditionalFormatting>
  <conditionalFormatting sqref="B399:E402">
    <cfRule type="expression" dxfId="21" priority="2874" stopIfTrue="1">
      <formula>OR($A399="geopoint", $A399="geoshape", $A399="geotrace")</formula>
    </cfRule>
  </conditionalFormatting>
  <conditionalFormatting sqref="B399:E402">
    <cfRule type="expression" dxfId="22" priority="2875" stopIfTrue="1">
      <formula>OR($A399="audio audit", $A399="text audit", $A399="speed violations count", $A399="speed violations list", $A399="speed violations audit")</formula>
    </cfRule>
  </conditionalFormatting>
  <conditionalFormatting sqref="B399:E402">
    <cfRule type="expression" dxfId="23" priority="2876" stopIfTrue="1">
      <formula>OR($A399="username", $A399="phonenumber", $A399="start", $A399="end", $A399="deviceid", $A399="subscriberid", $A399="simserial", $A399="caseid")</formula>
    </cfRule>
  </conditionalFormatting>
  <conditionalFormatting sqref="B399:E402">
    <cfRule type="expression" dxfId="24" priority="2877" stopIfTrue="1">
      <formula>OR(AND(LEFT($A399, 16)="select_multiple ", LEN($A399)&gt;16, NOT(ISNUMBER(SEARCH(" ", $A399, 17)))), AND(LEFT($A399, 11)="select_one ", LEN($A399)&gt;11, NOT(ISNUMBER(SEARCH(" ", $A399, 12)))))</formula>
    </cfRule>
  </conditionalFormatting>
  <conditionalFormatting sqref="B399:E402">
    <cfRule type="expression" dxfId="25" priority="2878" stopIfTrue="1">
      <formula>$A399="decimal"</formula>
    </cfRule>
  </conditionalFormatting>
  <conditionalFormatting sqref="B399:E402">
    <cfRule type="expression" dxfId="26" priority="2879" stopIfTrue="1">
      <formula>$A399="integer"</formula>
    </cfRule>
  </conditionalFormatting>
  <conditionalFormatting sqref="B399:E402">
    <cfRule type="expression" dxfId="27" priority="2880" stopIfTrue="1">
      <formula>$A399="text"</formula>
    </cfRule>
  </conditionalFormatting>
  <conditionalFormatting sqref="B399:E402">
    <cfRule type="expression" dxfId="28" priority="2881" stopIfTrue="1">
      <formula>$A399="end repeat"</formula>
    </cfRule>
  </conditionalFormatting>
  <conditionalFormatting sqref="B399:E402">
    <cfRule type="expression" dxfId="28" priority="2882" stopIfTrue="1">
      <formula>$A399="begin repeat"</formula>
    </cfRule>
  </conditionalFormatting>
  <conditionalFormatting sqref="B399:E402">
    <cfRule type="expression" dxfId="29" priority="2883" stopIfTrue="1">
      <formula>$A399="end group"</formula>
    </cfRule>
  </conditionalFormatting>
  <conditionalFormatting sqref="B399:E402">
    <cfRule type="expression" dxfId="29" priority="2884" stopIfTrue="1">
      <formula>$A399="begin group"</formula>
    </cfRule>
  </conditionalFormatting>
  <conditionalFormatting sqref="B399:B402">
    <cfRule type="expression" dxfId="30" priority="2885" stopIfTrue="1">
      <formula>$A399="comments"</formula>
    </cfRule>
  </conditionalFormatting>
  <conditionalFormatting sqref="B399:B402">
    <cfRule type="expression" dxfId="36" priority="2886" stopIfTrue="1">
      <formula>OR(AND(LEFT($A399, 14)="sensor_stream ", LEN($A399)&gt;14, NOT(ISNUMBER(SEARCH(" ", $A399, 15)))), AND(LEFT($A399, 17)="sensor_statistic ", LEN($A399)&gt;17, NOT(ISNUMBER(SEARCH(" ", $A399, 18)))))</formula>
    </cfRule>
  </conditionalFormatting>
  <conditionalFormatting sqref="B392:C396 D392:E396">
    <cfRule type="expression" dxfId="0" priority="2887" stopIfTrue="1">
      <formula>$A392="begin group"</formula>
    </cfRule>
  </conditionalFormatting>
  <conditionalFormatting sqref="B392:C396 D392:E396">
    <cfRule type="expression" dxfId="1" priority="2888" stopIfTrue="1">
      <formula>$A392="begin repeat"</formula>
    </cfRule>
  </conditionalFormatting>
  <conditionalFormatting sqref="B392:E396">
    <cfRule type="expression" dxfId="31" priority="2889" stopIfTrue="1">
      <formula>$A392="enumerator"</formula>
    </cfRule>
  </conditionalFormatting>
  <conditionalFormatting sqref="B392:E396">
    <cfRule type="expression" dxfId="2" priority="2890" stopIfTrue="1">
      <formula>$A392="text"</formula>
    </cfRule>
  </conditionalFormatting>
  <conditionalFormatting sqref="B392:E396">
    <cfRule type="expression" dxfId="3" priority="2891" stopIfTrue="1">
      <formula>$A392="integer"</formula>
    </cfRule>
  </conditionalFormatting>
  <conditionalFormatting sqref="B392:E396">
    <cfRule type="expression" dxfId="4" priority="2892" stopIfTrue="1">
      <formula>$A392="decimal"</formula>
    </cfRule>
  </conditionalFormatting>
  <conditionalFormatting sqref="B392:C396 D392:E396">
    <cfRule type="expression" dxfId="5" priority="2893" stopIfTrue="1">
      <formula>OR(AND(LEFT($A392, 16)="select_multiple ", LEN($A392)&gt;16, NOT(ISNUMBER(SEARCH(" ", $A392, 17)))), AND(LEFT($A392, 11)="select_one ", LEN($A392)&gt;11, NOT(ISNUMBER(SEARCH(" ", $A392, 12)))))</formula>
    </cfRule>
  </conditionalFormatting>
  <conditionalFormatting sqref="B392:B396">
    <cfRule type="expression" dxfId="6" priority="2894" stopIfTrue="1">
      <formula>OR($A392="audio audit", $A392="text audit", $A392="speed violations count", $A392="speed violations list", $A392="speed violations audit")</formula>
    </cfRule>
  </conditionalFormatting>
  <conditionalFormatting sqref="B392:C396 D392:E396">
    <cfRule type="expression" dxfId="32" priority="2895" stopIfTrue="1">
      <formula>$A392="file"</formula>
    </cfRule>
  </conditionalFormatting>
  <conditionalFormatting sqref="B392:C396 D392:E396">
    <cfRule type="expression" dxfId="7" priority="2896" stopIfTrue="1">
      <formula>$A392="note"</formula>
    </cfRule>
  </conditionalFormatting>
  <conditionalFormatting sqref="B392:C396 D392:E396">
    <cfRule type="expression" dxfId="8" priority="2897" stopIfTrue="1">
      <formula>$A392="barcode"</formula>
    </cfRule>
  </conditionalFormatting>
  <conditionalFormatting sqref="B392:C396 D392:E396">
    <cfRule type="expression" dxfId="9" priority="2898" stopIfTrue="1">
      <formula>OR($A392="geopoint", $A392="geoshape", $A392="geotrace")</formula>
    </cfRule>
  </conditionalFormatting>
  <conditionalFormatting sqref="B392:B396">
    <cfRule type="expression" dxfId="10" priority="2899" stopIfTrue="1">
      <formula>OR($A392="calculate", $A392="calculate_here")</formula>
    </cfRule>
  </conditionalFormatting>
  <conditionalFormatting sqref="B392:C396 D392:E396">
    <cfRule type="expression" dxfId="11" priority="2900" stopIfTrue="1">
      <formula>OR($A392="date", $A392="datetime", $A392="time")</formula>
    </cfRule>
  </conditionalFormatting>
  <conditionalFormatting sqref="B392:C396 D392:E396">
    <cfRule type="expression" dxfId="12" priority="2901" stopIfTrue="1">
      <formula>$A392="image"</formula>
    </cfRule>
  </conditionalFormatting>
  <conditionalFormatting sqref="B392:C396 D392:E396">
    <cfRule type="expression" dxfId="13" priority="2902" stopIfTrue="1">
      <formula>OR($A392="audio", $A392="video")</formula>
    </cfRule>
  </conditionalFormatting>
  <conditionalFormatting sqref="B392:E396">
    <cfRule type="expression" dxfId="33" priority="2903" stopIfTrue="1">
      <formula>$A392="file"</formula>
    </cfRule>
  </conditionalFormatting>
  <conditionalFormatting sqref="B392:E396">
    <cfRule type="expression" dxfId="34" priority="2904" stopIfTrue="1">
      <formula>$A392="enumerator"</formula>
    </cfRule>
  </conditionalFormatting>
  <conditionalFormatting sqref="B392:E396">
    <cfRule type="expression" dxfId="35" priority="2905" stopIfTrue="1">
      <formula>OR(AND(LEFT($A392, 14)="sensor_stream ", LEN($A392)&gt;14, NOT(ISNUMBER(SEARCH(" ", $A392, 15)))), AND(LEFT($A392, 17)="sensor_statistic ", LEN($A392)&gt;17, NOT(ISNUMBER(SEARCH(" ", $A392, 18)))))</formula>
    </cfRule>
  </conditionalFormatting>
  <conditionalFormatting sqref="B392:E396">
    <cfRule type="expression" dxfId="14" priority="2906" stopIfTrue="1">
      <formula>$A392="comments"</formula>
    </cfRule>
  </conditionalFormatting>
  <conditionalFormatting sqref="B392:E396">
    <cfRule type="expression" dxfId="15" priority="2907" stopIfTrue="1">
      <formula>OR($A392="audio", $A392="video")</formula>
    </cfRule>
  </conditionalFormatting>
  <conditionalFormatting sqref="B392:E396">
    <cfRule type="expression" dxfId="16" priority="2908" stopIfTrue="1">
      <formula>$A392="image"</formula>
    </cfRule>
  </conditionalFormatting>
  <conditionalFormatting sqref="B392:E396">
    <cfRule type="expression" dxfId="17" priority="2909" stopIfTrue="1">
      <formula>OR($A392="date", $A392="datetime", $A392="time")</formula>
    </cfRule>
  </conditionalFormatting>
  <conditionalFormatting sqref="B392:E396">
    <cfRule type="expression" dxfId="18" priority="2910" stopIfTrue="1">
      <formula>OR($A392="calculate", $A392="calculate_here")</formula>
    </cfRule>
  </conditionalFormatting>
  <conditionalFormatting sqref="B392:E396">
    <cfRule type="expression" dxfId="19" priority="2911" stopIfTrue="1">
      <formula>$A392="note"</formula>
    </cfRule>
  </conditionalFormatting>
  <conditionalFormatting sqref="B392:E396">
    <cfRule type="expression" dxfId="20" priority="2912" stopIfTrue="1">
      <formula>$A392="barcode"</formula>
    </cfRule>
  </conditionalFormatting>
  <conditionalFormatting sqref="B392:E396">
    <cfRule type="expression" dxfId="21" priority="2913" stopIfTrue="1">
      <formula>OR($A392="geopoint", $A392="geoshape", $A392="geotrace")</formula>
    </cfRule>
  </conditionalFormatting>
  <conditionalFormatting sqref="B392:E396">
    <cfRule type="expression" dxfId="22" priority="2914" stopIfTrue="1">
      <formula>OR($A392="audio audit", $A392="text audit", $A392="speed violations count", $A392="speed violations list", $A392="speed violations audit")</formula>
    </cfRule>
  </conditionalFormatting>
  <conditionalFormatting sqref="B392:E396">
    <cfRule type="expression" dxfId="23" priority="2915" stopIfTrue="1">
      <formula>OR($A392="username", $A392="phonenumber", $A392="start", $A392="end", $A392="deviceid", $A392="subscriberid", $A392="simserial", $A392="caseid")</formula>
    </cfRule>
  </conditionalFormatting>
  <conditionalFormatting sqref="B392:E396">
    <cfRule type="expression" dxfId="24" priority="2916" stopIfTrue="1">
      <formula>OR(AND(LEFT($A392, 16)="select_multiple ", LEN($A392)&gt;16, NOT(ISNUMBER(SEARCH(" ", $A392, 17)))), AND(LEFT($A392, 11)="select_one ", LEN($A392)&gt;11, NOT(ISNUMBER(SEARCH(" ", $A392, 12)))))</formula>
    </cfRule>
  </conditionalFormatting>
  <conditionalFormatting sqref="B392:E396">
    <cfRule type="expression" dxfId="25" priority="2917" stopIfTrue="1">
      <formula>$A392="decimal"</formula>
    </cfRule>
  </conditionalFormatting>
  <conditionalFormatting sqref="B392:E396">
    <cfRule type="expression" dxfId="26" priority="2918" stopIfTrue="1">
      <formula>$A392="integer"</formula>
    </cfRule>
  </conditionalFormatting>
  <conditionalFormatting sqref="B392:E396">
    <cfRule type="expression" dxfId="27" priority="2919" stopIfTrue="1">
      <formula>$A392="text"</formula>
    </cfRule>
  </conditionalFormatting>
  <conditionalFormatting sqref="B392:E396">
    <cfRule type="expression" dxfId="28" priority="2920" stopIfTrue="1">
      <formula>$A392="end repeat"</formula>
    </cfRule>
  </conditionalFormatting>
  <conditionalFormatting sqref="B392:E396">
    <cfRule type="expression" dxfId="28" priority="2921" stopIfTrue="1">
      <formula>$A392="begin repeat"</formula>
    </cfRule>
  </conditionalFormatting>
  <conditionalFormatting sqref="B392:E396">
    <cfRule type="expression" dxfId="29" priority="2922" stopIfTrue="1">
      <formula>$A392="end group"</formula>
    </cfRule>
  </conditionalFormatting>
  <conditionalFormatting sqref="B392:E396">
    <cfRule type="expression" dxfId="29" priority="2923" stopIfTrue="1">
      <formula>$A392="begin group"</formula>
    </cfRule>
  </conditionalFormatting>
  <conditionalFormatting sqref="B392:B396">
    <cfRule type="expression" dxfId="30" priority="2924" stopIfTrue="1">
      <formula>$A392="comments"</formula>
    </cfRule>
  </conditionalFormatting>
  <conditionalFormatting sqref="B392:B396">
    <cfRule type="expression" dxfId="36" priority="2925" stopIfTrue="1">
      <formula>OR(AND(LEFT($A392, 14)="sensor_stream ", LEN($A392)&gt;14, NOT(ISNUMBER(SEARCH(" ", $A392, 15)))), AND(LEFT($A392, 17)="sensor_statistic ", LEN($A392)&gt;17, NOT(ISNUMBER(SEARCH(" ", $A392, 18)))))</formula>
    </cfRule>
  </conditionalFormatting>
  <conditionalFormatting sqref="B387:C388 D387:E388">
    <cfRule type="expression" dxfId="0" priority="2926" stopIfTrue="1">
      <formula>$A387="begin group"</formula>
    </cfRule>
  </conditionalFormatting>
  <conditionalFormatting sqref="B387:C388 D387:E388">
    <cfRule type="expression" dxfId="1" priority="2927" stopIfTrue="1">
      <formula>$A387="begin repeat"</formula>
    </cfRule>
  </conditionalFormatting>
  <conditionalFormatting sqref="B387:E388">
    <cfRule type="expression" dxfId="31" priority="2928" stopIfTrue="1">
      <formula>$A387="enumerator"</formula>
    </cfRule>
  </conditionalFormatting>
  <conditionalFormatting sqref="B387:E388">
    <cfRule type="expression" dxfId="2" priority="2929" stopIfTrue="1">
      <formula>$A387="text"</formula>
    </cfRule>
  </conditionalFormatting>
  <conditionalFormatting sqref="B387:E388">
    <cfRule type="expression" dxfId="3" priority="2930" stopIfTrue="1">
      <formula>$A387="integer"</formula>
    </cfRule>
  </conditionalFormatting>
  <conditionalFormatting sqref="B387:E388">
    <cfRule type="expression" dxfId="4" priority="2931" stopIfTrue="1">
      <formula>$A387="decimal"</formula>
    </cfRule>
  </conditionalFormatting>
  <conditionalFormatting sqref="B387:C388 D387:E388">
    <cfRule type="expression" dxfId="5" priority="2932" stopIfTrue="1">
      <formula>OR(AND(LEFT($A387, 16)="select_multiple ", LEN($A387)&gt;16, NOT(ISNUMBER(SEARCH(" ", $A387, 17)))), AND(LEFT($A387, 11)="select_one ", LEN($A387)&gt;11, NOT(ISNUMBER(SEARCH(" ", $A387, 12)))))</formula>
    </cfRule>
  </conditionalFormatting>
  <conditionalFormatting sqref="B387:B388">
    <cfRule type="expression" dxfId="6" priority="2933" stopIfTrue="1">
      <formula>OR($A387="audio audit", $A387="text audit", $A387="speed violations count", $A387="speed violations list", $A387="speed violations audit")</formula>
    </cfRule>
  </conditionalFormatting>
  <conditionalFormatting sqref="B387:C388 D387:E388">
    <cfRule type="expression" dxfId="32" priority="2934" stopIfTrue="1">
      <formula>$A387="file"</formula>
    </cfRule>
  </conditionalFormatting>
  <conditionalFormatting sqref="B387:C388 D387:E388">
    <cfRule type="expression" dxfId="7" priority="2935" stopIfTrue="1">
      <formula>$A387="note"</formula>
    </cfRule>
  </conditionalFormatting>
  <conditionalFormatting sqref="B387:C388 D387:E388">
    <cfRule type="expression" dxfId="8" priority="2936" stopIfTrue="1">
      <formula>$A387="barcode"</formula>
    </cfRule>
  </conditionalFormatting>
  <conditionalFormatting sqref="B387:C388 D387:E388">
    <cfRule type="expression" dxfId="9" priority="2937" stopIfTrue="1">
      <formula>OR($A387="geopoint", $A387="geoshape", $A387="geotrace")</formula>
    </cfRule>
  </conditionalFormatting>
  <conditionalFormatting sqref="B387:B388">
    <cfRule type="expression" dxfId="10" priority="2938" stopIfTrue="1">
      <formula>OR($A387="calculate", $A387="calculate_here")</formula>
    </cfRule>
  </conditionalFormatting>
  <conditionalFormatting sqref="B387:C388 D387:E388">
    <cfRule type="expression" dxfId="11" priority="2939" stopIfTrue="1">
      <formula>OR($A387="date", $A387="datetime", $A387="time")</formula>
    </cfRule>
  </conditionalFormatting>
  <conditionalFormatting sqref="B387:C388 D387:E388">
    <cfRule type="expression" dxfId="12" priority="2940" stopIfTrue="1">
      <formula>$A387="image"</formula>
    </cfRule>
  </conditionalFormatting>
  <conditionalFormatting sqref="B387:C388 D387:E388">
    <cfRule type="expression" dxfId="13" priority="2941" stopIfTrue="1">
      <formula>OR($A387="audio", $A387="video")</formula>
    </cfRule>
  </conditionalFormatting>
  <conditionalFormatting sqref="B387:E388">
    <cfRule type="expression" dxfId="33" priority="2942" stopIfTrue="1">
      <formula>$A387="file"</formula>
    </cfRule>
  </conditionalFormatting>
  <conditionalFormatting sqref="B387:E388">
    <cfRule type="expression" dxfId="34" priority="2943" stopIfTrue="1">
      <formula>$A387="enumerator"</formula>
    </cfRule>
  </conditionalFormatting>
  <conditionalFormatting sqref="B387:E388">
    <cfRule type="expression" dxfId="35" priority="2944" stopIfTrue="1">
      <formula>OR(AND(LEFT($A387, 14)="sensor_stream ", LEN($A387)&gt;14, NOT(ISNUMBER(SEARCH(" ", $A387, 15)))), AND(LEFT($A387, 17)="sensor_statistic ", LEN($A387)&gt;17, NOT(ISNUMBER(SEARCH(" ", $A387, 18)))))</formula>
    </cfRule>
  </conditionalFormatting>
  <conditionalFormatting sqref="B387:E388">
    <cfRule type="expression" dxfId="14" priority="2945" stopIfTrue="1">
      <formula>$A387="comments"</formula>
    </cfRule>
  </conditionalFormatting>
  <conditionalFormatting sqref="B387:E388">
    <cfRule type="expression" dxfId="15" priority="2946" stopIfTrue="1">
      <formula>OR($A387="audio", $A387="video")</formula>
    </cfRule>
  </conditionalFormatting>
  <conditionalFormatting sqref="B387:E388">
    <cfRule type="expression" dxfId="16" priority="2947" stopIfTrue="1">
      <formula>$A387="image"</formula>
    </cfRule>
  </conditionalFormatting>
  <conditionalFormatting sqref="B387:E388">
    <cfRule type="expression" dxfId="17" priority="2948" stopIfTrue="1">
      <formula>OR($A387="date", $A387="datetime", $A387="time")</formula>
    </cfRule>
  </conditionalFormatting>
  <conditionalFormatting sqref="B387:E388">
    <cfRule type="expression" dxfId="18" priority="2949" stopIfTrue="1">
      <formula>OR($A387="calculate", $A387="calculate_here")</formula>
    </cfRule>
  </conditionalFormatting>
  <conditionalFormatting sqref="B387:E388">
    <cfRule type="expression" dxfId="19" priority="2950" stopIfTrue="1">
      <formula>$A387="note"</formula>
    </cfRule>
  </conditionalFormatting>
  <conditionalFormatting sqref="B387:E388">
    <cfRule type="expression" dxfId="20" priority="2951" stopIfTrue="1">
      <formula>$A387="barcode"</formula>
    </cfRule>
  </conditionalFormatting>
  <conditionalFormatting sqref="B387:E388">
    <cfRule type="expression" dxfId="21" priority="2952" stopIfTrue="1">
      <formula>OR($A387="geopoint", $A387="geoshape", $A387="geotrace")</formula>
    </cfRule>
  </conditionalFormatting>
  <conditionalFormatting sqref="B387:E388">
    <cfRule type="expression" dxfId="22" priority="2953" stopIfTrue="1">
      <formula>OR($A387="audio audit", $A387="text audit", $A387="speed violations count", $A387="speed violations list", $A387="speed violations audit")</formula>
    </cfRule>
  </conditionalFormatting>
  <conditionalFormatting sqref="B387:E388">
    <cfRule type="expression" dxfId="23" priority="2954" stopIfTrue="1">
      <formula>OR($A387="username", $A387="phonenumber", $A387="start", $A387="end", $A387="deviceid", $A387="subscriberid", $A387="simserial", $A387="caseid")</formula>
    </cfRule>
  </conditionalFormatting>
  <conditionalFormatting sqref="B387:E388">
    <cfRule type="expression" dxfId="24" priority="2955" stopIfTrue="1">
      <formula>OR(AND(LEFT($A387, 16)="select_multiple ", LEN($A387)&gt;16, NOT(ISNUMBER(SEARCH(" ", $A387, 17)))), AND(LEFT($A387, 11)="select_one ", LEN($A387)&gt;11, NOT(ISNUMBER(SEARCH(" ", $A387, 12)))))</formula>
    </cfRule>
  </conditionalFormatting>
  <conditionalFormatting sqref="B387:E388">
    <cfRule type="expression" dxfId="25" priority="2956" stopIfTrue="1">
      <formula>$A387="decimal"</formula>
    </cfRule>
  </conditionalFormatting>
  <conditionalFormatting sqref="B387:E388">
    <cfRule type="expression" dxfId="26" priority="2957" stopIfTrue="1">
      <formula>$A387="integer"</formula>
    </cfRule>
  </conditionalFormatting>
  <conditionalFormatting sqref="B387:E388">
    <cfRule type="expression" dxfId="27" priority="2958" stopIfTrue="1">
      <formula>$A387="text"</formula>
    </cfRule>
  </conditionalFormatting>
  <conditionalFormatting sqref="B387:E388">
    <cfRule type="expression" dxfId="28" priority="2959" stopIfTrue="1">
      <formula>$A387="end repeat"</formula>
    </cfRule>
  </conditionalFormatting>
  <conditionalFormatting sqref="B387:E388">
    <cfRule type="expression" dxfId="28" priority="2960" stopIfTrue="1">
      <formula>$A387="begin repeat"</formula>
    </cfRule>
  </conditionalFormatting>
  <conditionalFormatting sqref="B387:E388">
    <cfRule type="expression" dxfId="29" priority="2961" stopIfTrue="1">
      <formula>$A387="end group"</formula>
    </cfRule>
  </conditionalFormatting>
  <conditionalFormatting sqref="B387:E388">
    <cfRule type="expression" dxfId="29" priority="2962" stopIfTrue="1">
      <formula>$A387="begin group"</formula>
    </cfRule>
  </conditionalFormatting>
  <conditionalFormatting sqref="B387:B388">
    <cfRule type="expression" dxfId="30" priority="2963" stopIfTrue="1">
      <formula>$A387="comments"</formula>
    </cfRule>
  </conditionalFormatting>
  <conditionalFormatting sqref="B387:B388">
    <cfRule type="expression" dxfId="36" priority="2964" stopIfTrue="1">
      <formula>OR(AND(LEFT($A387, 14)="sensor_stream ", LEN($A387)&gt;14, NOT(ISNUMBER(SEARCH(" ", $A387, 15)))), AND(LEFT($A387, 17)="sensor_statistic ", LEN($A387)&gt;17, NOT(ISNUMBER(SEARCH(" ", $A387, 18)))))</formula>
    </cfRule>
  </conditionalFormatting>
  <conditionalFormatting sqref="B379:C383 D379:E383">
    <cfRule type="expression" dxfId="0" priority="2965" stopIfTrue="1">
      <formula>$A379="begin group"</formula>
    </cfRule>
  </conditionalFormatting>
  <conditionalFormatting sqref="B379:C383 D379:E383">
    <cfRule type="expression" dxfId="1" priority="2966" stopIfTrue="1">
      <formula>$A379="begin repeat"</formula>
    </cfRule>
  </conditionalFormatting>
  <conditionalFormatting sqref="B379:E383">
    <cfRule type="expression" dxfId="31" priority="2967" stopIfTrue="1">
      <formula>$A379="enumerator"</formula>
    </cfRule>
  </conditionalFormatting>
  <conditionalFormatting sqref="B379:E383">
    <cfRule type="expression" dxfId="2" priority="2968" stopIfTrue="1">
      <formula>$A379="text"</formula>
    </cfRule>
  </conditionalFormatting>
  <conditionalFormatting sqref="B379:E383">
    <cfRule type="expression" dxfId="3" priority="2969" stopIfTrue="1">
      <formula>$A379="integer"</formula>
    </cfRule>
  </conditionalFormatting>
  <conditionalFormatting sqref="B379:E383">
    <cfRule type="expression" dxfId="4" priority="2970" stopIfTrue="1">
      <formula>$A379="decimal"</formula>
    </cfRule>
  </conditionalFormatting>
  <conditionalFormatting sqref="B379:C383 D379:E383">
    <cfRule type="expression" dxfId="5" priority="2971" stopIfTrue="1">
      <formula>OR(AND(LEFT($A379, 16)="select_multiple ", LEN($A379)&gt;16, NOT(ISNUMBER(SEARCH(" ", $A379, 17)))), AND(LEFT($A379, 11)="select_one ", LEN($A379)&gt;11, NOT(ISNUMBER(SEARCH(" ", $A379, 12)))))</formula>
    </cfRule>
  </conditionalFormatting>
  <conditionalFormatting sqref="B379:B383">
    <cfRule type="expression" dxfId="6" priority="2972" stopIfTrue="1">
      <formula>OR($A379="audio audit", $A379="text audit", $A379="speed violations count", $A379="speed violations list", $A379="speed violations audit")</formula>
    </cfRule>
  </conditionalFormatting>
  <conditionalFormatting sqref="B379:C383 D379:E383">
    <cfRule type="expression" dxfId="32" priority="2973" stopIfTrue="1">
      <formula>$A379="file"</formula>
    </cfRule>
  </conditionalFormatting>
  <conditionalFormatting sqref="B379:C383 D379:E383">
    <cfRule type="expression" dxfId="7" priority="2974" stopIfTrue="1">
      <formula>$A379="note"</formula>
    </cfRule>
  </conditionalFormatting>
  <conditionalFormatting sqref="B379:C383 D379:E383">
    <cfRule type="expression" dxfId="8" priority="2975" stopIfTrue="1">
      <formula>$A379="barcode"</formula>
    </cfRule>
  </conditionalFormatting>
  <conditionalFormatting sqref="B379:C383 D379:E383">
    <cfRule type="expression" dxfId="9" priority="2976" stopIfTrue="1">
      <formula>OR($A379="geopoint", $A379="geoshape", $A379="geotrace")</formula>
    </cfRule>
  </conditionalFormatting>
  <conditionalFormatting sqref="B379:B383">
    <cfRule type="expression" dxfId="10" priority="2977" stopIfTrue="1">
      <formula>OR($A379="calculate", $A379="calculate_here")</formula>
    </cfRule>
  </conditionalFormatting>
  <conditionalFormatting sqref="B379:C383 D379:E383">
    <cfRule type="expression" dxfId="11" priority="2978" stopIfTrue="1">
      <formula>OR($A379="date", $A379="datetime", $A379="time")</formula>
    </cfRule>
  </conditionalFormatting>
  <conditionalFormatting sqref="B379:C383 D379:E383">
    <cfRule type="expression" dxfId="12" priority="2979" stopIfTrue="1">
      <formula>$A379="image"</formula>
    </cfRule>
  </conditionalFormatting>
  <conditionalFormatting sqref="B379:C383 D379:E383">
    <cfRule type="expression" dxfId="13" priority="2980" stopIfTrue="1">
      <formula>OR($A379="audio", $A379="video")</formula>
    </cfRule>
  </conditionalFormatting>
  <conditionalFormatting sqref="B379:E383">
    <cfRule type="expression" dxfId="33" priority="2981" stopIfTrue="1">
      <formula>$A379="file"</formula>
    </cfRule>
  </conditionalFormatting>
  <conditionalFormatting sqref="B379:E383">
    <cfRule type="expression" dxfId="34" priority="2982" stopIfTrue="1">
      <formula>$A379="enumerator"</formula>
    </cfRule>
  </conditionalFormatting>
  <conditionalFormatting sqref="B379:E383">
    <cfRule type="expression" dxfId="35" priority="2983" stopIfTrue="1">
      <formula>OR(AND(LEFT($A379, 14)="sensor_stream ", LEN($A379)&gt;14, NOT(ISNUMBER(SEARCH(" ", $A379, 15)))), AND(LEFT($A379, 17)="sensor_statistic ", LEN($A379)&gt;17, NOT(ISNUMBER(SEARCH(" ", $A379, 18)))))</formula>
    </cfRule>
  </conditionalFormatting>
  <conditionalFormatting sqref="B379:E383">
    <cfRule type="expression" dxfId="14" priority="2984" stopIfTrue="1">
      <formula>$A379="comments"</formula>
    </cfRule>
  </conditionalFormatting>
  <conditionalFormatting sqref="B379:E383">
    <cfRule type="expression" dxfId="15" priority="2985" stopIfTrue="1">
      <formula>OR($A379="audio", $A379="video")</formula>
    </cfRule>
  </conditionalFormatting>
  <conditionalFormatting sqref="B379:E383">
    <cfRule type="expression" dxfId="16" priority="2986" stopIfTrue="1">
      <formula>$A379="image"</formula>
    </cfRule>
  </conditionalFormatting>
  <conditionalFormatting sqref="B379:E383">
    <cfRule type="expression" dxfId="17" priority="2987" stopIfTrue="1">
      <formula>OR($A379="date", $A379="datetime", $A379="time")</formula>
    </cfRule>
  </conditionalFormatting>
  <conditionalFormatting sqref="B379:E383">
    <cfRule type="expression" dxfId="18" priority="2988" stopIfTrue="1">
      <formula>OR($A379="calculate", $A379="calculate_here")</formula>
    </cfRule>
  </conditionalFormatting>
  <conditionalFormatting sqref="B379:E383">
    <cfRule type="expression" dxfId="19" priority="2989" stopIfTrue="1">
      <formula>$A379="note"</formula>
    </cfRule>
  </conditionalFormatting>
  <conditionalFormatting sqref="B379:E383">
    <cfRule type="expression" dxfId="20" priority="2990" stopIfTrue="1">
      <formula>$A379="barcode"</formula>
    </cfRule>
  </conditionalFormatting>
  <conditionalFormatting sqref="B379:E383">
    <cfRule type="expression" dxfId="21" priority="2991" stopIfTrue="1">
      <formula>OR($A379="geopoint", $A379="geoshape", $A379="geotrace")</formula>
    </cfRule>
  </conditionalFormatting>
  <conditionalFormatting sqref="B379:E383">
    <cfRule type="expression" dxfId="22" priority="2992" stopIfTrue="1">
      <formula>OR($A379="audio audit", $A379="text audit", $A379="speed violations count", $A379="speed violations list", $A379="speed violations audit")</formula>
    </cfRule>
  </conditionalFormatting>
  <conditionalFormatting sqref="B379:E383">
    <cfRule type="expression" dxfId="23" priority="2993" stopIfTrue="1">
      <formula>OR($A379="username", $A379="phonenumber", $A379="start", $A379="end", $A379="deviceid", $A379="subscriberid", $A379="simserial", $A379="caseid")</formula>
    </cfRule>
  </conditionalFormatting>
  <conditionalFormatting sqref="B379:E383">
    <cfRule type="expression" dxfId="24" priority="2994" stopIfTrue="1">
      <formula>OR(AND(LEFT($A379, 16)="select_multiple ", LEN($A379)&gt;16, NOT(ISNUMBER(SEARCH(" ", $A379, 17)))), AND(LEFT($A379, 11)="select_one ", LEN($A379)&gt;11, NOT(ISNUMBER(SEARCH(" ", $A379, 12)))))</formula>
    </cfRule>
  </conditionalFormatting>
  <conditionalFormatting sqref="B379:E383">
    <cfRule type="expression" dxfId="25" priority="2995" stopIfTrue="1">
      <formula>$A379="decimal"</formula>
    </cfRule>
  </conditionalFormatting>
  <conditionalFormatting sqref="B379:E383">
    <cfRule type="expression" dxfId="26" priority="2996" stopIfTrue="1">
      <formula>$A379="integer"</formula>
    </cfRule>
  </conditionalFormatting>
  <conditionalFormatting sqref="B379:E383">
    <cfRule type="expression" dxfId="27" priority="2997" stopIfTrue="1">
      <formula>$A379="text"</formula>
    </cfRule>
  </conditionalFormatting>
  <conditionalFormatting sqref="B379:E383">
    <cfRule type="expression" dxfId="28" priority="2998" stopIfTrue="1">
      <formula>$A379="end repeat"</formula>
    </cfRule>
  </conditionalFormatting>
  <conditionalFormatting sqref="B379:E383">
    <cfRule type="expression" dxfId="28" priority="2999" stopIfTrue="1">
      <formula>$A379="begin repeat"</formula>
    </cfRule>
  </conditionalFormatting>
  <conditionalFormatting sqref="B379:E383">
    <cfRule type="expression" dxfId="29" priority="3000" stopIfTrue="1">
      <formula>$A379="end group"</formula>
    </cfRule>
  </conditionalFormatting>
  <conditionalFormatting sqref="B379:E383">
    <cfRule type="expression" dxfId="29" priority="3001" stopIfTrue="1">
      <formula>$A379="begin group"</formula>
    </cfRule>
  </conditionalFormatting>
  <conditionalFormatting sqref="B379:B383">
    <cfRule type="expression" dxfId="30" priority="3002" stopIfTrue="1">
      <formula>$A379="comments"</formula>
    </cfRule>
  </conditionalFormatting>
  <conditionalFormatting sqref="B379:B383">
    <cfRule type="expression" dxfId="36" priority="3003" stopIfTrue="1">
      <formula>OR(AND(LEFT($A379, 14)="sensor_stream ", LEN($A379)&gt;14, NOT(ISNUMBER(SEARCH(" ", $A379, 15)))), AND(LEFT($A379, 17)="sensor_statistic ", LEN($A379)&gt;17, NOT(ISNUMBER(SEARCH(" ", $A379, 18)))))</formula>
    </cfRule>
  </conditionalFormatting>
  <conditionalFormatting sqref="B376:C376 D376:E376">
    <cfRule type="expression" dxfId="0" priority="3004" stopIfTrue="1">
      <formula>$A376="begin group"</formula>
    </cfRule>
  </conditionalFormatting>
  <conditionalFormatting sqref="B376:C376 D376:E376">
    <cfRule type="expression" dxfId="1" priority="3005" stopIfTrue="1">
      <formula>$A376="begin repeat"</formula>
    </cfRule>
  </conditionalFormatting>
  <conditionalFormatting sqref="B376:E376">
    <cfRule type="expression" dxfId="31" priority="3006" stopIfTrue="1">
      <formula>$A376="enumerator"</formula>
    </cfRule>
  </conditionalFormatting>
  <conditionalFormatting sqref="B376:E376">
    <cfRule type="expression" dxfId="2" priority="3007" stopIfTrue="1">
      <formula>$A376="text"</formula>
    </cfRule>
  </conditionalFormatting>
  <conditionalFormatting sqref="B376:E376">
    <cfRule type="expression" dxfId="3" priority="3008" stopIfTrue="1">
      <formula>$A376="integer"</formula>
    </cfRule>
  </conditionalFormatting>
  <conditionalFormatting sqref="B376:E376">
    <cfRule type="expression" dxfId="4" priority="3009" stopIfTrue="1">
      <formula>$A376="decimal"</formula>
    </cfRule>
  </conditionalFormatting>
  <conditionalFormatting sqref="B376:C376 D376:E376">
    <cfRule type="expression" dxfId="5" priority="3010" stopIfTrue="1">
      <formula>OR(AND(LEFT($A376, 16)="select_multiple ", LEN($A376)&gt;16, NOT(ISNUMBER(SEARCH(" ", $A376, 17)))), AND(LEFT($A376, 11)="select_one ", LEN($A376)&gt;11, NOT(ISNUMBER(SEARCH(" ", $A376, 12)))))</formula>
    </cfRule>
  </conditionalFormatting>
  <conditionalFormatting sqref="B376">
    <cfRule type="expression" dxfId="6" priority="3011" stopIfTrue="1">
      <formula>OR($A376="audio audit", $A376="text audit", $A376="speed violations count", $A376="speed violations list", $A376="speed violations audit")</formula>
    </cfRule>
  </conditionalFormatting>
  <conditionalFormatting sqref="B376:C376 D376:E376">
    <cfRule type="expression" dxfId="32" priority="3012" stopIfTrue="1">
      <formula>$A376="file"</formula>
    </cfRule>
  </conditionalFormatting>
  <conditionalFormatting sqref="B376:C376 D376:E376">
    <cfRule type="expression" dxfId="7" priority="3013" stopIfTrue="1">
      <formula>$A376="note"</formula>
    </cfRule>
  </conditionalFormatting>
  <conditionalFormatting sqref="B376:C376 D376:E376">
    <cfRule type="expression" dxfId="8" priority="3014" stopIfTrue="1">
      <formula>$A376="barcode"</formula>
    </cfRule>
  </conditionalFormatting>
  <conditionalFormatting sqref="B376:C376 D376:E376">
    <cfRule type="expression" dxfId="9" priority="3015" stopIfTrue="1">
      <formula>OR($A376="geopoint", $A376="geoshape", $A376="geotrace")</formula>
    </cfRule>
  </conditionalFormatting>
  <conditionalFormatting sqref="B376">
    <cfRule type="expression" dxfId="10" priority="3016" stopIfTrue="1">
      <formula>OR($A376="calculate", $A376="calculate_here")</formula>
    </cfRule>
  </conditionalFormatting>
  <conditionalFormatting sqref="B376:C376 D376:E376">
    <cfRule type="expression" dxfId="11" priority="3017" stopIfTrue="1">
      <formula>OR($A376="date", $A376="datetime", $A376="time")</formula>
    </cfRule>
  </conditionalFormatting>
  <conditionalFormatting sqref="B376:C376 D376:E376">
    <cfRule type="expression" dxfId="12" priority="3018" stopIfTrue="1">
      <formula>$A376="image"</formula>
    </cfRule>
  </conditionalFormatting>
  <conditionalFormatting sqref="B376:C376 D376:E376">
    <cfRule type="expression" dxfId="13" priority="3019" stopIfTrue="1">
      <formula>OR($A376="audio", $A376="video")</formula>
    </cfRule>
  </conditionalFormatting>
  <conditionalFormatting sqref="B376:E376">
    <cfRule type="expression" dxfId="33" priority="3020" stopIfTrue="1">
      <formula>$A376="file"</formula>
    </cfRule>
  </conditionalFormatting>
  <conditionalFormatting sqref="B376:E376">
    <cfRule type="expression" dxfId="34" priority="3021" stopIfTrue="1">
      <formula>$A376="enumerator"</formula>
    </cfRule>
  </conditionalFormatting>
  <conditionalFormatting sqref="B376:E376">
    <cfRule type="expression" dxfId="35" priority="3022" stopIfTrue="1">
      <formula>OR(AND(LEFT($A376, 14)="sensor_stream ", LEN($A376)&gt;14, NOT(ISNUMBER(SEARCH(" ", $A376, 15)))), AND(LEFT($A376, 17)="sensor_statistic ", LEN($A376)&gt;17, NOT(ISNUMBER(SEARCH(" ", $A376, 18)))))</formula>
    </cfRule>
  </conditionalFormatting>
  <conditionalFormatting sqref="B376:E376">
    <cfRule type="expression" dxfId="14" priority="3023" stopIfTrue="1">
      <formula>$A376="comments"</formula>
    </cfRule>
  </conditionalFormatting>
  <conditionalFormatting sqref="B376:E376">
    <cfRule type="expression" dxfId="15" priority="3024" stopIfTrue="1">
      <formula>OR($A376="audio", $A376="video")</formula>
    </cfRule>
  </conditionalFormatting>
  <conditionalFormatting sqref="B376:E376">
    <cfRule type="expression" dxfId="16" priority="3025" stopIfTrue="1">
      <formula>$A376="image"</formula>
    </cfRule>
  </conditionalFormatting>
  <conditionalFormatting sqref="B376:E376">
    <cfRule type="expression" dxfId="17" priority="3026" stopIfTrue="1">
      <formula>OR($A376="date", $A376="datetime", $A376="time")</formula>
    </cfRule>
  </conditionalFormatting>
  <conditionalFormatting sqref="B376:E376">
    <cfRule type="expression" dxfId="18" priority="3027" stopIfTrue="1">
      <formula>OR($A376="calculate", $A376="calculate_here")</formula>
    </cfRule>
  </conditionalFormatting>
  <conditionalFormatting sqref="B376:E376">
    <cfRule type="expression" dxfId="19" priority="3028" stopIfTrue="1">
      <formula>$A376="note"</formula>
    </cfRule>
  </conditionalFormatting>
  <conditionalFormatting sqref="B376:E376">
    <cfRule type="expression" dxfId="20" priority="3029" stopIfTrue="1">
      <formula>$A376="barcode"</formula>
    </cfRule>
  </conditionalFormatting>
  <conditionalFormatting sqref="B376:E376">
    <cfRule type="expression" dxfId="21" priority="3030" stopIfTrue="1">
      <formula>OR($A376="geopoint", $A376="geoshape", $A376="geotrace")</formula>
    </cfRule>
  </conditionalFormatting>
  <conditionalFormatting sqref="B376:E376">
    <cfRule type="expression" dxfId="22" priority="3031" stopIfTrue="1">
      <formula>OR($A376="audio audit", $A376="text audit", $A376="speed violations count", $A376="speed violations list", $A376="speed violations audit")</formula>
    </cfRule>
  </conditionalFormatting>
  <conditionalFormatting sqref="B376:E376">
    <cfRule type="expression" dxfId="23" priority="3032" stopIfTrue="1">
      <formula>OR($A376="username", $A376="phonenumber", $A376="start", $A376="end", $A376="deviceid", $A376="subscriberid", $A376="simserial", $A376="caseid")</formula>
    </cfRule>
  </conditionalFormatting>
  <conditionalFormatting sqref="B376:E376">
    <cfRule type="expression" dxfId="24" priority="3033" stopIfTrue="1">
      <formula>OR(AND(LEFT($A376, 16)="select_multiple ", LEN($A376)&gt;16, NOT(ISNUMBER(SEARCH(" ", $A376, 17)))), AND(LEFT($A376, 11)="select_one ", LEN($A376)&gt;11, NOT(ISNUMBER(SEARCH(" ", $A376, 12)))))</formula>
    </cfRule>
  </conditionalFormatting>
  <conditionalFormatting sqref="B376:E376">
    <cfRule type="expression" dxfId="25" priority="3034" stopIfTrue="1">
      <formula>$A376="decimal"</formula>
    </cfRule>
  </conditionalFormatting>
  <conditionalFormatting sqref="B376:E376">
    <cfRule type="expression" dxfId="26" priority="3035" stopIfTrue="1">
      <formula>$A376="integer"</formula>
    </cfRule>
  </conditionalFormatting>
  <conditionalFormatting sqref="B376:E376">
    <cfRule type="expression" dxfId="27" priority="3036" stopIfTrue="1">
      <formula>$A376="text"</formula>
    </cfRule>
  </conditionalFormatting>
  <conditionalFormatting sqref="B376:E376">
    <cfRule type="expression" dxfId="28" priority="3037" stopIfTrue="1">
      <formula>$A376="end repeat"</formula>
    </cfRule>
  </conditionalFormatting>
  <conditionalFormatting sqref="B376:E376">
    <cfRule type="expression" dxfId="28" priority="3038" stopIfTrue="1">
      <formula>$A376="begin repeat"</formula>
    </cfRule>
  </conditionalFormatting>
  <conditionalFormatting sqref="B376:E376">
    <cfRule type="expression" dxfId="29" priority="3039" stopIfTrue="1">
      <formula>$A376="end group"</formula>
    </cfRule>
  </conditionalFormatting>
  <conditionalFormatting sqref="B376:E376">
    <cfRule type="expression" dxfId="29" priority="3040" stopIfTrue="1">
      <formula>$A376="begin group"</formula>
    </cfRule>
  </conditionalFormatting>
  <conditionalFormatting sqref="B376">
    <cfRule type="expression" dxfId="30" priority="3041" stopIfTrue="1">
      <formula>$A376="comments"</formula>
    </cfRule>
  </conditionalFormatting>
  <conditionalFormatting sqref="B376">
    <cfRule type="expression" dxfId="36" priority="3042" stopIfTrue="1">
      <formula>OR(AND(LEFT($A376, 14)="sensor_stream ", LEN($A376)&gt;14, NOT(ISNUMBER(SEARCH(" ", $A376, 15)))), AND(LEFT($A376, 17)="sensor_statistic ", LEN($A376)&gt;17, NOT(ISNUMBER(SEARCH(" ", $A376, 18)))))</formula>
    </cfRule>
  </conditionalFormatting>
  <conditionalFormatting sqref="B373:C373 D373:E373">
    <cfRule type="expression" dxfId="0" priority="3043" stopIfTrue="1">
      <formula>$A373="begin group"</formula>
    </cfRule>
  </conditionalFormatting>
  <conditionalFormatting sqref="B373:C373 D373:E373">
    <cfRule type="expression" dxfId="1" priority="3044" stopIfTrue="1">
      <formula>$A373="begin repeat"</formula>
    </cfRule>
  </conditionalFormatting>
  <conditionalFormatting sqref="B373:E373">
    <cfRule type="expression" dxfId="31" priority="3045" stopIfTrue="1">
      <formula>$A373="enumerator"</formula>
    </cfRule>
  </conditionalFormatting>
  <conditionalFormatting sqref="B373:E373">
    <cfRule type="expression" dxfId="2" priority="3046" stopIfTrue="1">
      <formula>$A373="text"</formula>
    </cfRule>
  </conditionalFormatting>
  <conditionalFormatting sqref="B373:E373">
    <cfRule type="expression" dxfId="3" priority="3047" stopIfTrue="1">
      <formula>$A373="integer"</formula>
    </cfRule>
  </conditionalFormatting>
  <conditionalFormatting sqref="B373:E373">
    <cfRule type="expression" dxfId="4" priority="3048" stopIfTrue="1">
      <formula>$A373="decimal"</formula>
    </cfRule>
  </conditionalFormatting>
  <conditionalFormatting sqref="B373:C373 D373:E373">
    <cfRule type="expression" dxfId="5" priority="3049" stopIfTrue="1">
      <formula>OR(AND(LEFT($A373, 16)="select_multiple ", LEN($A373)&gt;16, NOT(ISNUMBER(SEARCH(" ", $A373, 17)))), AND(LEFT($A373, 11)="select_one ", LEN($A373)&gt;11, NOT(ISNUMBER(SEARCH(" ", $A373, 12)))))</formula>
    </cfRule>
  </conditionalFormatting>
  <conditionalFormatting sqref="B373">
    <cfRule type="expression" dxfId="6" priority="3050" stopIfTrue="1">
      <formula>OR($A373="audio audit", $A373="text audit", $A373="speed violations count", $A373="speed violations list", $A373="speed violations audit")</formula>
    </cfRule>
  </conditionalFormatting>
  <conditionalFormatting sqref="B373:C373 D373:E373">
    <cfRule type="expression" dxfId="32" priority="3051" stopIfTrue="1">
      <formula>$A373="file"</formula>
    </cfRule>
  </conditionalFormatting>
  <conditionalFormatting sqref="B373:C373 D373:E373">
    <cfRule type="expression" dxfId="7" priority="3052" stopIfTrue="1">
      <formula>$A373="note"</formula>
    </cfRule>
  </conditionalFormatting>
  <conditionalFormatting sqref="B373:C373 D373:E373">
    <cfRule type="expression" dxfId="8" priority="3053" stopIfTrue="1">
      <formula>$A373="barcode"</formula>
    </cfRule>
  </conditionalFormatting>
  <conditionalFormatting sqref="B373:C373 D373:E373">
    <cfRule type="expression" dxfId="9" priority="3054" stopIfTrue="1">
      <formula>OR($A373="geopoint", $A373="geoshape", $A373="geotrace")</formula>
    </cfRule>
  </conditionalFormatting>
  <conditionalFormatting sqref="B373">
    <cfRule type="expression" dxfId="10" priority="3055" stopIfTrue="1">
      <formula>OR($A373="calculate", $A373="calculate_here")</formula>
    </cfRule>
  </conditionalFormatting>
  <conditionalFormatting sqref="B373:C373 D373:E373">
    <cfRule type="expression" dxfId="11" priority="3056" stopIfTrue="1">
      <formula>OR($A373="date", $A373="datetime", $A373="time")</formula>
    </cfRule>
  </conditionalFormatting>
  <conditionalFormatting sqref="B373:C373 D373:E373">
    <cfRule type="expression" dxfId="12" priority="3057" stopIfTrue="1">
      <formula>$A373="image"</formula>
    </cfRule>
  </conditionalFormatting>
  <conditionalFormatting sqref="B373:C373 D373:E373">
    <cfRule type="expression" dxfId="13" priority="3058" stopIfTrue="1">
      <formula>OR($A373="audio", $A373="video")</formula>
    </cfRule>
  </conditionalFormatting>
  <conditionalFormatting sqref="B373:E373">
    <cfRule type="expression" dxfId="33" priority="3059" stopIfTrue="1">
      <formula>$A373="file"</formula>
    </cfRule>
  </conditionalFormatting>
  <conditionalFormatting sqref="B373:E373">
    <cfRule type="expression" dxfId="34" priority="3060" stopIfTrue="1">
      <formula>$A373="enumerator"</formula>
    </cfRule>
  </conditionalFormatting>
  <conditionalFormatting sqref="B373:E373">
    <cfRule type="expression" dxfId="35" priority="3061" stopIfTrue="1">
      <formula>OR(AND(LEFT($A373, 14)="sensor_stream ", LEN($A373)&gt;14, NOT(ISNUMBER(SEARCH(" ", $A373, 15)))), AND(LEFT($A373, 17)="sensor_statistic ", LEN($A373)&gt;17, NOT(ISNUMBER(SEARCH(" ", $A373, 18)))))</formula>
    </cfRule>
  </conditionalFormatting>
  <conditionalFormatting sqref="B373:E373">
    <cfRule type="expression" dxfId="14" priority="3062" stopIfTrue="1">
      <formula>$A373="comments"</formula>
    </cfRule>
  </conditionalFormatting>
  <conditionalFormatting sqref="B373:E373">
    <cfRule type="expression" dxfId="15" priority="3063" stopIfTrue="1">
      <formula>OR($A373="audio", $A373="video")</formula>
    </cfRule>
  </conditionalFormatting>
  <conditionalFormatting sqref="B373:E373">
    <cfRule type="expression" dxfId="16" priority="3064" stopIfTrue="1">
      <formula>$A373="image"</formula>
    </cfRule>
  </conditionalFormatting>
  <conditionalFormatting sqref="B373:E373">
    <cfRule type="expression" dxfId="17" priority="3065" stopIfTrue="1">
      <formula>OR($A373="date", $A373="datetime", $A373="time")</formula>
    </cfRule>
  </conditionalFormatting>
  <conditionalFormatting sqref="B373:E373">
    <cfRule type="expression" dxfId="18" priority="3066" stopIfTrue="1">
      <formula>OR($A373="calculate", $A373="calculate_here")</formula>
    </cfRule>
  </conditionalFormatting>
  <conditionalFormatting sqref="B373:E373">
    <cfRule type="expression" dxfId="19" priority="3067" stopIfTrue="1">
      <formula>$A373="note"</formula>
    </cfRule>
  </conditionalFormatting>
  <conditionalFormatting sqref="B373:E373">
    <cfRule type="expression" dxfId="20" priority="3068" stopIfTrue="1">
      <formula>$A373="barcode"</formula>
    </cfRule>
  </conditionalFormatting>
  <conditionalFormatting sqref="B373:E373">
    <cfRule type="expression" dxfId="21" priority="3069" stopIfTrue="1">
      <formula>OR($A373="geopoint", $A373="geoshape", $A373="geotrace")</formula>
    </cfRule>
  </conditionalFormatting>
  <conditionalFormatting sqref="B373:E373">
    <cfRule type="expression" dxfId="22" priority="3070" stopIfTrue="1">
      <formula>OR($A373="audio audit", $A373="text audit", $A373="speed violations count", $A373="speed violations list", $A373="speed violations audit")</formula>
    </cfRule>
  </conditionalFormatting>
  <conditionalFormatting sqref="B373:E373">
    <cfRule type="expression" dxfId="23" priority="3071" stopIfTrue="1">
      <formula>OR($A373="username", $A373="phonenumber", $A373="start", $A373="end", $A373="deviceid", $A373="subscriberid", $A373="simserial", $A373="caseid")</formula>
    </cfRule>
  </conditionalFormatting>
  <conditionalFormatting sqref="B373:E373">
    <cfRule type="expression" dxfId="24" priority="3072" stopIfTrue="1">
      <formula>OR(AND(LEFT($A373, 16)="select_multiple ", LEN($A373)&gt;16, NOT(ISNUMBER(SEARCH(" ", $A373, 17)))), AND(LEFT($A373, 11)="select_one ", LEN($A373)&gt;11, NOT(ISNUMBER(SEARCH(" ", $A373, 12)))))</formula>
    </cfRule>
  </conditionalFormatting>
  <conditionalFormatting sqref="B373:E373">
    <cfRule type="expression" dxfId="25" priority="3073" stopIfTrue="1">
      <formula>$A373="decimal"</formula>
    </cfRule>
  </conditionalFormatting>
  <conditionalFormatting sqref="B373:E373">
    <cfRule type="expression" dxfId="26" priority="3074" stopIfTrue="1">
      <formula>$A373="integer"</formula>
    </cfRule>
  </conditionalFormatting>
  <conditionalFormatting sqref="B373:E373">
    <cfRule type="expression" dxfId="27" priority="3075" stopIfTrue="1">
      <formula>$A373="text"</formula>
    </cfRule>
  </conditionalFormatting>
  <conditionalFormatting sqref="B373:E373">
    <cfRule type="expression" dxfId="28" priority="3076" stopIfTrue="1">
      <formula>$A373="end repeat"</formula>
    </cfRule>
  </conditionalFormatting>
  <conditionalFormatting sqref="B373:E373">
    <cfRule type="expression" dxfId="28" priority="3077" stopIfTrue="1">
      <formula>$A373="begin repeat"</formula>
    </cfRule>
  </conditionalFormatting>
  <conditionalFormatting sqref="B373:E373">
    <cfRule type="expression" dxfId="29" priority="3078" stopIfTrue="1">
      <formula>$A373="end group"</formula>
    </cfRule>
  </conditionalFormatting>
  <conditionalFormatting sqref="B373:E373">
    <cfRule type="expression" dxfId="29" priority="3079" stopIfTrue="1">
      <formula>$A373="begin group"</formula>
    </cfRule>
  </conditionalFormatting>
  <conditionalFormatting sqref="B373">
    <cfRule type="expression" dxfId="30" priority="3080" stopIfTrue="1">
      <formula>$A373="comments"</formula>
    </cfRule>
  </conditionalFormatting>
  <conditionalFormatting sqref="B373">
    <cfRule type="expression" dxfId="36" priority="3081" stopIfTrue="1">
      <formula>OR(AND(LEFT($A373, 14)="sensor_stream ", LEN($A373)&gt;14, NOT(ISNUMBER(SEARCH(" ", $A373, 15)))), AND(LEFT($A373, 17)="sensor_statistic ", LEN($A373)&gt;17, NOT(ISNUMBER(SEARCH(" ", $A373, 18)))))</formula>
    </cfRule>
  </conditionalFormatting>
  <conditionalFormatting sqref="B371:C371 D371:E371">
    <cfRule type="expression" dxfId="0" priority="3082" stopIfTrue="1">
      <formula>$A371="begin group"</formula>
    </cfRule>
  </conditionalFormatting>
  <conditionalFormatting sqref="B371:C371 D371:E371">
    <cfRule type="expression" dxfId="1" priority="3083" stopIfTrue="1">
      <formula>$A371="begin repeat"</formula>
    </cfRule>
  </conditionalFormatting>
  <conditionalFormatting sqref="B371:E371">
    <cfRule type="expression" dxfId="31" priority="3084" stopIfTrue="1">
      <formula>$A371="enumerator"</formula>
    </cfRule>
  </conditionalFormatting>
  <conditionalFormatting sqref="B371:E371">
    <cfRule type="expression" dxfId="2" priority="3085" stopIfTrue="1">
      <formula>$A371="text"</formula>
    </cfRule>
  </conditionalFormatting>
  <conditionalFormatting sqref="B371:E371">
    <cfRule type="expression" dxfId="3" priority="3086" stopIfTrue="1">
      <formula>$A371="integer"</formula>
    </cfRule>
  </conditionalFormatting>
  <conditionalFormatting sqref="B371:E371">
    <cfRule type="expression" dxfId="4" priority="3087" stopIfTrue="1">
      <formula>$A371="decimal"</formula>
    </cfRule>
  </conditionalFormatting>
  <conditionalFormatting sqref="B371:C371 D371:E371">
    <cfRule type="expression" dxfId="5" priority="3088" stopIfTrue="1">
      <formula>OR(AND(LEFT($A371, 16)="select_multiple ", LEN($A371)&gt;16, NOT(ISNUMBER(SEARCH(" ", $A371, 17)))), AND(LEFT($A371, 11)="select_one ", LEN($A371)&gt;11, NOT(ISNUMBER(SEARCH(" ", $A371, 12)))))</formula>
    </cfRule>
  </conditionalFormatting>
  <conditionalFormatting sqref="B371">
    <cfRule type="expression" dxfId="6" priority="3089" stopIfTrue="1">
      <formula>OR($A371="audio audit", $A371="text audit", $A371="speed violations count", $A371="speed violations list", $A371="speed violations audit")</formula>
    </cfRule>
  </conditionalFormatting>
  <conditionalFormatting sqref="B371:C371 D371:E371">
    <cfRule type="expression" dxfId="32" priority="3090" stopIfTrue="1">
      <formula>$A371="file"</formula>
    </cfRule>
  </conditionalFormatting>
  <conditionalFormatting sqref="B371:C371 D371:E371">
    <cfRule type="expression" dxfId="7" priority="3091" stopIfTrue="1">
      <formula>$A371="note"</formula>
    </cfRule>
  </conditionalFormatting>
  <conditionalFormatting sqref="B371:C371 D371:E371">
    <cfRule type="expression" dxfId="8" priority="3092" stopIfTrue="1">
      <formula>$A371="barcode"</formula>
    </cfRule>
  </conditionalFormatting>
  <conditionalFormatting sqref="B371:C371 D371:E371">
    <cfRule type="expression" dxfId="9" priority="3093" stopIfTrue="1">
      <formula>OR($A371="geopoint", $A371="geoshape", $A371="geotrace")</formula>
    </cfRule>
  </conditionalFormatting>
  <conditionalFormatting sqref="B371">
    <cfRule type="expression" dxfId="10" priority="3094" stopIfTrue="1">
      <formula>OR($A371="calculate", $A371="calculate_here")</formula>
    </cfRule>
  </conditionalFormatting>
  <conditionalFormatting sqref="B371:C371 D371:E371">
    <cfRule type="expression" dxfId="11" priority="3095" stopIfTrue="1">
      <formula>OR($A371="date", $A371="datetime", $A371="time")</formula>
    </cfRule>
  </conditionalFormatting>
  <conditionalFormatting sqref="B371:C371 D371:E371">
    <cfRule type="expression" dxfId="12" priority="3096" stopIfTrue="1">
      <formula>$A371="image"</formula>
    </cfRule>
  </conditionalFormatting>
  <conditionalFormatting sqref="B371:C371 D371:E371">
    <cfRule type="expression" dxfId="13" priority="3097" stopIfTrue="1">
      <formula>OR($A371="audio", $A371="video")</formula>
    </cfRule>
  </conditionalFormatting>
  <conditionalFormatting sqref="B371:E371">
    <cfRule type="expression" dxfId="33" priority="3098" stopIfTrue="1">
      <formula>$A371="file"</formula>
    </cfRule>
  </conditionalFormatting>
  <conditionalFormatting sqref="B371:E371">
    <cfRule type="expression" dxfId="34" priority="3099" stopIfTrue="1">
      <formula>$A371="enumerator"</formula>
    </cfRule>
  </conditionalFormatting>
  <conditionalFormatting sqref="B371:E371">
    <cfRule type="expression" dxfId="35" priority="3100" stopIfTrue="1">
      <formula>OR(AND(LEFT($A371, 14)="sensor_stream ", LEN($A371)&gt;14, NOT(ISNUMBER(SEARCH(" ", $A371, 15)))), AND(LEFT($A371, 17)="sensor_statistic ", LEN($A371)&gt;17, NOT(ISNUMBER(SEARCH(" ", $A371, 18)))))</formula>
    </cfRule>
  </conditionalFormatting>
  <conditionalFormatting sqref="B371:E371">
    <cfRule type="expression" dxfId="14" priority="3101" stopIfTrue="1">
      <formula>$A371="comments"</formula>
    </cfRule>
  </conditionalFormatting>
  <conditionalFormatting sqref="B371:E371">
    <cfRule type="expression" dxfId="15" priority="3102" stopIfTrue="1">
      <formula>OR($A371="audio", $A371="video")</formula>
    </cfRule>
  </conditionalFormatting>
  <conditionalFormatting sqref="B371:E371">
    <cfRule type="expression" dxfId="16" priority="3103" stopIfTrue="1">
      <formula>$A371="image"</formula>
    </cfRule>
  </conditionalFormatting>
  <conditionalFormatting sqref="B371:E371">
    <cfRule type="expression" dxfId="17" priority="3104" stopIfTrue="1">
      <formula>OR($A371="date", $A371="datetime", $A371="time")</formula>
    </cfRule>
  </conditionalFormatting>
  <conditionalFormatting sqref="B371:E371">
    <cfRule type="expression" dxfId="18" priority="3105" stopIfTrue="1">
      <formula>OR($A371="calculate", $A371="calculate_here")</formula>
    </cfRule>
  </conditionalFormatting>
  <conditionalFormatting sqref="B371:E371">
    <cfRule type="expression" dxfId="19" priority="3106" stopIfTrue="1">
      <formula>$A371="note"</formula>
    </cfRule>
  </conditionalFormatting>
  <conditionalFormatting sqref="B371:E371">
    <cfRule type="expression" dxfId="20" priority="3107" stopIfTrue="1">
      <formula>$A371="barcode"</formula>
    </cfRule>
  </conditionalFormatting>
  <conditionalFormatting sqref="B371:E371">
    <cfRule type="expression" dxfId="21" priority="3108" stopIfTrue="1">
      <formula>OR($A371="geopoint", $A371="geoshape", $A371="geotrace")</formula>
    </cfRule>
  </conditionalFormatting>
  <conditionalFormatting sqref="B371:E371">
    <cfRule type="expression" dxfId="22" priority="3109" stopIfTrue="1">
      <formula>OR($A371="audio audit", $A371="text audit", $A371="speed violations count", $A371="speed violations list", $A371="speed violations audit")</formula>
    </cfRule>
  </conditionalFormatting>
  <conditionalFormatting sqref="B371:E371">
    <cfRule type="expression" dxfId="23" priority="3110" stopIfTrue="1">
      <formula>OR($A371="username", $A371="phonenumber", $A371="start", $A371="end", $A371="deviceid", $A371="subscriberid", $A371="simserial", $A371="caseid")</formula>
    </cfRule>
  </conditionalFormatting>
  <conditionalFormatting sqref="B371:E371">
    <cfRule type="expression" dxfId="24" priority="3111" stopIfTrue="1">
      <formula>OR(AND(LEFT($A371, 16)="select_multiple ", LEN($A371)&gt;16, NOT(ISNUMBER(SEARCH(" ", $A371, 17)))), AND(LEFT($A371, 11)="select_one ", LEN($A371)&gt;11, NOT(ISNUMBER(SEARCH(" ", $A371, 12)))))</formula>
    </cfRule>
  </conditionalFormatting>
  <conditionalFormatting sqref="B371:E371">
    <cfRule type="expression" dxfId="25" priority="3112" stopIfTrue="1">
      <formula>$A371="decimal"</formula>
    </cfRule>
  </conditionalFormatting>
  <conditionalFormatting sqref="B371:E371">
    <cfRule type="expression" dxfId="26" priority="3113" stopIfTrue="1">
      <formula>$A371="integer"</formula>
    </cfRule>
  </conditionalFormatting>
  <conditionalFormatting sqref="B371:E371">
    <cfRule type="expression" dxfId="27" priority="3114" stopIfTrue="1">
      <formula>$A371="text"</formula>
    </cfRule>
  </conditionalFormatting>
  <conditionalFormatting sqref="B371:E371">
    <cfRule type="expression" dxfId="28" priority="3115" stopIfTrue="1">
      <formula>$A371="end repeat"</formula>
    </cfRule>
  </conditionalFormatting>
  <conditionalFormatting sqref="B371:E371">
    <cfRule type="expression" dxfId="28" priority="3116" stopIfTrue="1">
      <formula>$A371="begin repeat"</formula>
    </cfRule>
  </conditionalFormatting>
  <conditionalFormatting sqref="B371:E371">
    <cfRule type="expression" dxfId="29" priority="3117" stopIfTrue="1">
      <formula>$A371="end group"</formula>
    </cfRule>
  </conditionalFormatting>
  <conditionalFormatting sqref="B371:E371">
    <cfRule type="expression" dxfId="29" priority="3118" stopIfTrue="1">
      <formula>$A371="begin group"</formula>
    </cfRule>
  </conditionalFormatting>
  <conditionalFormatting sqref="B371">
    <cfRule type="expression" dxfId="30" priority="3119" stopIfTrue="1">
      <formula>$A371="comments"</formula>
    </cfRule>
  </conditionalFormatting>
  <conditionalFormatting sqref="B371">
    <cfRule type="expression" dxfId="36" priority="3120" stopIfTrue="1">
      <formula>OR(AND(LEFT($A371, 14)="sensor_stream ", LEN($A371)&gt;14, NOT(ISNUMBER(SEARCH(" ", $A371, 15)))), AND(LEFT($A371, 17)="sensor_statistic ", LEN($A371)&gt;17, NOT(ISNUMBER(SEARCH(" ", $A371, 18)))))</formula>
    </cfRule>
  </conditionalFormatting>
  <conditionalFormatting sqref="B368:C368 D368:E368">
    <cfRule type="expression" dxfId="0" priority="3121" stopIfTrue="1">
      <formula>$A368="begin group"</formula>
    </cfRule>
  </conditionalFormatting>
  <conditionalFormatting sqref="B368:C368 D368:E368">
    <cfRule type="expression" dxfId="1" priority="3122" stopIfTrue="1">
      <formula>$A368="begin repeat"</formula>
    </cfRule>
  </conditionalFormatting>
  <conditionalFormatting sqref="B368:E368">
    <cfRule type="expression" dxfId="31" priority="3123" stopIfTrue="1">
      <formula>$A368="enumerator"</formula>
    </cfRule>
  </conditionalFormatting>
  <conditionalFormatting sqref="B368:E368">
    <cfRule type="expression" dxfId="2" priority="3124" stopIfTrue="1">
      <formula>$A368="text"</formula>
    </cfRule>
  </conditionalFormatting>
  <conditionalFormatting sqref="B368:E368">
    <cfRule type="expression" dxfId="3" priority="3125" stopIfTrue="1">
      <formula>$A368="integer"</formula>
    </cfRule>
  </conditionalFormatting>
  <conditionalFormatting sqref="B368:E368">
    <cfRule type="expression" dxfId="4" priority="3126" stopIfTrue="1">
      <formula>$A368="decimal"</formula>
    </cfRule>
  </conditionalFormatting>
  <conditionalFormatting sqref="B368:C368 D368:E368">
    <cfRule type="expression" dxfId="5" priority="3127" stopIfTrue="1">
      <formula>OR(AND(LEFT($A368, 16)="select_multiple ", LEN($A368)&gt;16, NOT(ISNUMBER(SEARCH(" ", $A368, 17)))), AND(LEFT($A368, 11)="select_one ", LEN($A368)&gt;11, NOT(ISNUMBER(SEARCH(" ", $A368, 12)))))</formula>
    </cfRule>
  </conditionalFormatting>
  <conditionalFormatting sqref="B368">
    <cfRule type="expression" dxfId="6" priority="3128" stopIfTrue="1">
      <formula>OR($A368="audio audit", $A368="text audit", $A368="speed violations count", $A368="speed violations list", $A368="speed violations audit")</formula>
    </cfRule>
  </conditionalFormatting>
  <conditionalFormatting sqref="B368:C368 D368:E368">
    <cfRule type="expression" dxfId="32" priority="3129" stopIfTrue="1">
      <formula>$A368="file"</formula>
    </cfRule>
  </conditionalFormatting>
  <conditionalFormatting sqref="B368:C368 D368:E368">
    <cfRule type="expression" dxfId="7" priority="3130" stopIfTrue="1">
      <formula>$A368="note"</formula>
    </cfRule>
  </conditionalFormatting>
  <conditionalFormatting sqref="B368:C368 D368:E368">
    <cfRule type="expression" dxfId="8" priority="3131" stopIfTrue="1">
      <formula>$A368="barcode"</formula>
    </cfRule>
  </conditionalFormatting>
  <conditionalFormatting sqref="B368:C368 D368:E368">
    <cfRule type="expression" dxfId="9" priority="3132" stopIfTrue="1">
      <formula>OR($A368="geopoint", $A368="geoshape", $A368="geotrace")</formula>
    </cfRule>
  </conditionalFormatting>
  <conditionalFormatting sqref="B368">
    <cfRule type="expression" dxfId="10" priority="3133" stopIfTrue="1">
      <formula>OR($A368="calculate", $A368="calculate_here")</formula>
    </cfRule>
  </conditionalFormatting>
  <conditionalFormatting sqref="B368:C368 D368:E368">
    <cfRule type="expression" dxfId="11" priority="3134" stopIfTrue="1">
      <formula>OR($A368="date", $A368="datetime", $A368="time")</formula>
    </cfRule>
  </conditionalFormatting>
  <conditionalFormatting sqref="B368:C368 D368:E368">
    <cfRule type="expression" dxfId="12" priority="3135" stopIfTrue="1">
      <formula>$A368="image"</formula>
    </cfRule>
  </conditionalFormatting>
  <conditionalFormatting sqref="B368:C368 D368:E368">
    <cfRule type="expression" dxfId="13" priority="3136" stopIfTrue="1">
      <formula>OR($A368="audio", $A368="video")</formula>
    </cfRule>
  </conditionalFormatting>
  <conditionalFormatting sqref="B368:E368">
    <cfRule type="expression" dxfId="33" priority="3137" stopIfTrue="1">
      <formula>$A368="file"</formula>
    </cfRule>
  </conditionalFormatting>
  <conditionalFormatting sqref="B368:E368">
    <cfRule type="expression" dxfId="34" priority="3138" stopIfTrue="1">
      <formula>$A368="enumerator"</formula>
    </cfRule>
  </conditionalFormatting>
  <conditionalFormatting sqref="B368:E368">
    <cfRule type="expression" dxfId="35" priority="3139" stopIfTrue="1">
      <formula>OR(AND(LEFT($A368, 14)="sensor_stream ", LEN($A368)&gt;14, NOT(ISNUMBER(SEARCH(" ", $A368, 15)))), AND(LEFT($A368, 17)="sensor_statistic ", LEN($A368)&gt;17, NOT(ISNUMBER(SEARCH(" ", $A368, 18)))))</formula>
    </cfRule>
  </conditionalFormatting>
  <conditionalFormatting sqref="B368:E368">
    <cfRule type="expression" dxfId="14" priority="3140" stopIfTrue="1">
      <formula>$A368="comments"</formula>
    </cfRule>
  </conditionalFormatting>
  <conditionalFormatting sqref="B368:E368">
    <cfRule type="expression" dxfId="15" priority="3141" stopIfTrue="1">
      <formula>OR($A368="audio", $A368="video")</formula>
    </cfRule>
  </conditionalFormatting>
  <conditionalFormatting sqref="B368:E368">
    <cfRule type="expression" dxfId="16" priority="3142" stopIfTrue="1">
      <formula>$A368="image"</formula>
    </cfRule>
  </conditionalFormatting>
  <conditionalFormatting sqref="B368:E368">
    <cfRule type="expression" dxfId="17" priority="3143" stopIfTrue="1">
      <formula>OR($A368="date", $A368="datetime", $A368="time")</formula>
    </cfRule>
  </conditionalFormatting>
  <conditionalFormatting sqref="B368:E368">
    <cfRule type="expression" dxfId="18" priority="3144" stopIfTrue="1">
      <formula>OR($A368="calculate", $A368="calculate_here")</formula>
    </cfRule>
  </conditionalFormatting>
  <conditionalFormatting sqref="B368:E368">
    <cfRule type="expression" dxfId="19" priority="3145" stopIfTrue="1">
      <formula>$A368="note"</formula>
    </cfRule>
  </conditionalFormatting>
  <conditionalFormatting sqref="B368:E368">
    <cfRule type="expression" dxfId="20" priority="3146" stopIfTrue="1">
      <formula>$A368="barcode"</formula>
    </cfRule>
  </conditionalFormatting>
  <conditionalFormatting sqref="B368:E368">
    <cfRule type="expression" dxfId="21" priority="3147" stopIfTrue="1">
      <formula>OR($A368="geopoint", $A368="geoshape", $A368="geotrace")</formula>
    </cfRule>
  </conditionalFormatting>
  <conditionalFormatting sqref="B368:E368">
    <cfRule type="expression" dxfId="22" priority="3148" stopIfTrue="1">
      <formula>OR($A368="audio audit", $A368="text audit", $A368="speed violations count", $A368="speed violations list", $A368="speed violations audit")</formula>
    </cfRule>
  </conditionalFormatting>
  <conditionalFormatting sqref="B368:E368">
    <cfRule type="expression" dxfId="23" priority="3149" stopIfTrue="1">
      <formula>OR($A368="username", $A368="phonenumber", $A368="start", $A368="end", $A368="deviceid", $A368="subscriberid", $A368="simserial", $A368="caseid")</formula>
    </cfRule>
  </conditionalFormatting>
  <conditionalFormatting sqref="B368:E368">
    <cfRule type="expression" dxfId="24" priority="3150" stopIfTrue="1">
      <formula>OR(AND(LEFT($A368, 16)="select_multiple ", LEN($A368)&gt;16, NOT(ISNUMBER(SEARCH(" ", $A368, 17)))), AND(LEFT($A368, 11)="select_one ", LEN($A368)&gt;11, NOT(ISNUMBER(SEARCH(" ", $A368, 12)))))</formula>
    </cfRule>
  </conditionalFormatting>
  <conditionalFormatting sqref="B368:E368">
    <cfRule type="expression" dxfId="25" priority="3151" stopIfTrue="1">
      <formula>$A368="decimal"</formula>
    </cfRule>
  </conditionalFormatting>
  <conditionalFormatting sqref="B368:E368">
    <cfRule type="expression" dxfId="26" priority="3152" stopIfTrue="1">
      <formula>$A368="integer"</formula>
    </cfRule>
  </conditionalFormatting>
  <conditionalFormatting sqref="B368:E368">
    <cfRule type="expression" dxfId="27" priority="3153" stopIfTrue="1">
      <formula>$A368="text"</formula>
    </cfRule>
  </conditionalFormatting>
  <conditionalFormatting sqref="B368:E368">
    <cfRule type="expression" dxfId="28" priority="3154" stopIfTrue="1">
      <formula>$A368="end repeat"</formula>
    </cfRule>
  </conditionalFormatting>
  <conditionalFormatting sqref="B368:E368">
    <cfRule type="expression" dxfId="28" priority="3155" stopIfTrue="1">
      <formula>$A368="begin repeat"</formula>
    </cfRule>
  </conditionalFormatting>
  <conditionalFormatting sqref="B368:E368">
    <cfRule type="expression" dxfId="29" priority="3156" stopIfTrue="1">
      <formula>$A368="end group"</formula>
    </cfRule>
  </conditionalFormatting>
  <conditionalFormatting sqref="B368:E368">
    <cfRule type="expression" dxfId="29" priority="3157" stopIfTrue="1">
      <formula>$A368="begin group"</formula>
    </cfRule>
  </conditionalFormatting>
  <conditionalFormatting sqref="B368">
    <cfRule type="expression" dxfId="30" priority="3158" stopIfTrue="1">
      <formula>$A368="comments"</formula>
    </cfRule>
  </conditionalFormatting>
  <conditionalFormatting sqref="B368">
    <cfRule type="expression" dxfId="36" priority="3159" stopIfTrue="1">
      <formula>OR(AND(LEFT($A368, 14)="sensor_stream ", LEN($A368)&gt;14, NOT(ISNUMBER(SEARCH(" ", $A368, 15)))), AND(LEFT($A368, 17)="sensor_statistic ", LEN($A368)&gt;17, NOT(ISNUMBER(SEARCH(" ", $A368, 18)))))</formula>
    </cfRule>
  </conditionalFormatting>
  <conditionalFormatting sqref="B355:C365 D355:E365">
    <cfRule type="expression" dxfId="0" priority="3160" stopIfTrue="1">
      <formula>$A355="begin group"</formula>
    </cfRule>
  </conditionalFormatting>
  <conditionalFormatting sqref="B355:C365 D355:E365">
    <cfRule type="expression" dxfId="1" priority="3161" stopIfTrue="1">
      <formula>$A355="begin repeat"</formula>
    </cfRule>
  </conditionalFormatting>
  <conditionalFormatting sqref="B355:E365">
    <cfRule type="expression" dxfId="31" priority="3162" stopIfTrue="1">
      <formula>$A355="enumerator"</formula>
    </cfRule>
  </conditionalFormatting>
  <conditionalFormatting sqref="B355:E365">
    <cfRule type="expression" dxfId="2" priority="3163" stopIfTrue="1">
      <formula>$A355="text"</formula>
    </cfRule>
  </conditionalFormatting>
  <conditionalFormatting sqref="B355:E365">
    <cfRule type="expression" dxfId="3" priority="3164" stopIfTrue="1">
      <formula>$A355="integer"</formula>
    </cfRule>
  </conditionalFormatting>
  <conditionalFormatting sqref="B355:E365">
    <cfRule type="expression" dxfId="4" priority="3165" stopIfTrue="1">
      <formula>$A355="decimal"</formula>
    </cfRule>
  </conditionalFormatting>
  <conditionalFormatting sqref="B355:C365 D355:E365">
    <cfRule type="expression" dxfId="5" priority="3166" stopIfTrue="1">
      <formula>OR(AND(LEFT($A355, 16)="select_multiple ", LEN($A355)&gt;16, NOT(ISNUMBER(SEARCH(" ", $A355, 17)))), AND(LEFT($A355, 11)="select_one ", LEN($A355)&gt;11, NOT(ISNUMBER(SEARCH(" ", $A355, 12)))))</formula>
    </cfRule>
  </conditionalFormatting>
  <conditionalFormatting sqref="B355:B365">
    <cfRule type="expression" dxfId="6" priority="3167" stopIfTrue="1">
      <formula>OR($A355="audio audit", $A355="text audit", $A355="speed violations count", $A355="speed violations list", $A355="speed violations audit")</formula>
    </cfRule>
  </conditionalFormatting>
  <conditionalFormatting sqref="B355:C365 D355:E365">
    <cfRule type="expression" dxfId="32" priority="3168" stopIfTrue="1">
      <formula>$A355="file"</formula>
    </cfRule>
  </conditionalFormatting>
  <conditionalFormatting sqref="B355:C365 D355:E365">
    <cfRule type="expression" dxfId="7" priority="3169" stopIfTrue="1">
      <formula>$A355="note"</formula>
    </cfRule>
  </conditionalFormatting>
  <conditionalFormatting sqref="B355:C365 D355:E365">
    <cfRule type="expression" dxfId="8" priority="3170" stopIfTrue="1">
      <formula>$A355="barcode"</formula>
    </cfRule>
  </conditionalFormatting>
  <conditionalFormatting sqref="B355:C365 D355:E365">
    <cfRule type="expression" dxfId="9" priority="3171" stopIfTrue="1">
      <formula>OR($A355="geopoint", $A355="geoshape", $A355="geotrace")</formula>
    </cfRule>
  </conditionalFormatting>
  <conditionalFormatting sqref="B355:B365">
    <cfRule type="expression" dxfId="10" priority="3172" stopIfTrue="1">
      <formula>OR($A355="calculate", $A355="calculate_here")</formula>
    </cfRule>
  </conditionalFormatting>
  <conditionalFormatting sqref="B355:C365 D355:E365">
    <cfRule type="expression" dxfId="11" priority="3173" stopIfTrue="1">
      <formula>OR($A355="date", $A355="datetime", $A355="time")</formula>
    </cfRule>
  </conditionalFormatting>
  <conditionalFormatting sqref="B355:C365 D355:E365">
    <cfRule type="expression" dxfId="12" priority="3174" stopIfTrue="1">
      <formula>$A355="image"</formula>
    </cfRule>
  </conditionalFormatting>
  <conditionalFormatting sqref="B355:C365 D355:E365">
    <cfRule type="expression" dxfId="13" priority="3175" stopIfTrue="1">
      <formula>OR($A355="audio", $A355="video")</formula>
    </cfRule>
  </conditionalFormatting>
  <conditionalFormatting sqref="B355:E365">
    <cfRule type="expression" dxfId="33" priority="3176" stopIfTrue="1">
      <formula>$A355="file"</formula>
    </cfRule>
  </conditionalFormatting>
  <conditionalFormatting sqref="B355:E365">
    <cfRule type="expression" dxfId="34" priority="3177" stopIfTrue="1">
      <formula>$A355="enumerator"</formula>
    </cfRule>
  </conditionalFormatting>
  <conditionalFormatting sqref="B355:E365">
    <cfRule type="expression" dxfId="35" priority="3178" stopIfTrue="1">
      <formula>OR(AND(LEFT($A355, 14)="sensor_stream ", LEN($A355)&gt;14, NOT(ISNUMBER(SEARCH(" ", $A355, 15)))), AND(LEFT($A355, 17)="sensor_statistic ", LEN($A355)&gt;17, NOT(ISNUMBER(SEARCH(" ", $A355, 18)))))</formula>
    </cfRule>
  </conditionalFormatting>
  <conditionalFormatting sqref="B355:E365">
    <cfRule type="expression" dxfId="14" priority="3179" stopIfTrue="1">
      <formula>$A355="comments"</formula>
    </cfRule>
  </conditionalFormatting>
  <conditionalFormatting sqref="B355:E365">
    <cfRule type="expression" dxfId="15" priority="3180" stopIfTrue="1">
      <formula>OR($A355="audio", $A355="video")</formula>
    </cfRule>
  </conditionalFormatting>
  <conditionalFormatting sqref="B355:E365">
    <cfRule type="expression" dxfId="16" priority="3181" stopIfTrue="1">
      <formula>$A355="image"</formula>
    </cfRule>
  </conditionalFormatting>
  <conditionalFormatting sqref="B355:E365">
    <cfRule type="expression" dxfId="17" priority="3182" stopIfTrue="1">
      <formula>OR($A355="date", $A355="datetime", $A355="time")</formula>
    </cfRule>
  </conditionalFormatting>
  <conditionalFormatting sqref="B355:E365">
    <cfRule type="expression" dxfId="18" priority="3183" stopIfTrue="1">
      <formula>OR($A355="calculate", $A355="calculate_here")</formula>
    </cfRule>
  </conditionalFormatting>
  <conditionalFormatting sqref="B355:E365">
    <cfRule type="expression" dxfId="19" priority="3184" stopIfTrue="1">
      <formula>$A355="note"</formula>
    </cfRule>
  </conditionalFormatting>
  <conditionalFormatting sqref="B355:E365">
    <cfRule type="expression" dxfId="20" priority="3185" stopIfTrue="1">
      <formula>$A355="barcode"</formula>
    </cfRule>
  </conditionalFormatting>
  <conditionalFormatting sqref="B355:E365">
    <cfRule type="expression" dxfId="21" priority="3186" stopIfTrue="1">
      <formula>OR($A355="geopoint", $A355="geoshape", $A355="geotrace")</formula>
    </cfRule>
  </conditionalFormatting>
  <conditionalFormatting sqref="B355:E365">
    <cfRule type="expression" dxfId="22" priority="3187" stopIfTrue="1">
      <formula>OR($A355="audio audit", $A355="text audit", $A355="speed violations count", $A355="speed violations list", $A355="speed violations audit")</formula>
    </cfRule>
  </conditionalFormatting>
  <conditionalFormatting sqref="B355:E365">
    <cfRule type="expression" dxfId="23" priority="3188" stopIfTrue="1">
      <formula>OR($A355="username", $A355="phonenumber", $A355="start", $A355="end", $A355="deviceid", $A355="subscriberid", $A355="simserial", $A355="caseid")</formula>
    </cfRule>
  </conditionalFormatting>
  <conditionalFormatting sqref="B355:E365">
    <cfRule type="expression" dxfId="24" priority="3189" stopIfTrue="1">
      <formula>OR(AND(LEFT($A355, 16)="select_multiple ", LEN($A355)&gt;16, NOT(ISNUMBER(SEARCH(" ", $A355, 17)))), AND(LEFT($A355, 11)="select_one ", LEN($A355)&gt;11, NOT(ISNUMBER(SEARCH(" ", $A355, 12)))))</formula>
    </cfRule>
  </conditionalFormatting>
  <conditionalFormatting sqref="B355:E365">
    <cfRule type="expression" dxfId="25" priority="3190" stopIfTrue="1">
      <formula>$A355="decimal"</formula>
    </cfRule>
  </conditionalFormatting>
  <conditionalFormatting sqref="B355:E365">
    <cfRule type="expression" dxfId="26" priority="3191" stopIfTrue="1">
      <formula>$A355="integer"</formula>
    </cfRule>
  </conditionalFormatting>
  <conditionalFormatting sqref="B355:E365">
    <cfRule type="expression" dxfId="27" priority="3192" stopIfTrue="1">
      <formula>$A355="text"</formula>
    </cfRule>
  </conditionalFormatting>
  <conditionalFormatting sqref="B355:E365">
    <cfRule type="expression" dxfId="28" priority="3193" stopIfTrue="1">
      <formula>$A355="end repeat"</formula>
    </cfRule>
  </conditionalFormatting>
  <conditionalFormatting sqref="B355:E365">
    <cfRule type="expression" dxfId="28" priority="3194" stopIfTrue="1">
      <formula>$A355="begin repeat"</formula>
    </cfRule>
  </conditionalFormatting>
  <conditionalFormatting sqref="B355:E365">
    <cfRule type="expression" dxfId="29" priority="3195" stopIfTrue="1">
      <formula>$A355="end group"</formula>
    </cfRule>
  </conditionalFormatting>
  <conditionalFormatting sqref="B355:E365">
    <cfRule type="expression" dxfId="29" priority="3196" stopIfTrue="1">
      <formula>$A355="begin group"</formula>
    </cfRule>
  </conditionalFormatting>
  <conditionalFormatting sqref="B355:B365">
    <cfRule type="expression" dxfId="30" priority="3197" stopIfTrue="1">
      <formula>$A355="comments"</formula>
    </cfRule>
  </conditionalFormatting>
  <conditionalFormatting sqref="B355:B365">
    <cfRule type="expression" dxfId="36" priority="3198" stopIfTrue="1">
      <formula>OR(AND(LEFT($A355, 14)="sensor_stream ", LEN($A355)&gt;14, NOT(ISNUMBER(SEARCH(" ", $A355, 15)))), AND(LEFT($A355, 17)="sensor_statistic ", LEN($A355)&gt;17, NOT(ISNUMBER(SEARCH(" ", $A355, 18)))))</formula>
    </cfRule>
  </conditionalFormatting>
  <conditionalFormatting sqref="B348:C352 D348:E352">
    <cfRule type="expression" dxfId="0" priority="3199" stopIfTrue="1">
      <formula>$A348="begin group"</formula>
    </cfRule>
  </conditionalFormatting>
  <conditionalFormatting sqref="B348:C352 D348:E352">
    <cfRule type="expression" dxfId="1" priority="3200" stopIfTrue="1">
      <formula>$A348="begin repeat"</formula>
    </cfRule>
  </conditionalFormatting>
  <conditionalFormatting sqref="B348:E352">
    <cfRule type="expression" dxfId="31" priority="3201" stopIfTrue="1">
      <formula>$A348="enumerator"</formula>
    </cfRule>
  </conditionalFormatting>
  <conditionalFormatting sqref="B348:E352">
    <cfRule type="expression" dxfId="2" priority="3202" stopIfTrue="1">
      <formula>$A348="text"</formula>
    </cfRule>
  </conditionalFormatting>
  <conditionalFormatting sqref="B348:E352">
    <cfRule type="expression" dxfId="3" priority="3203" stopIfTrue="1">
      <formula>$A348="integer"</formula>
    </cfRule>
  </conditionalFormatting>
  <conditionalFormatting sqref="B348:E352">
    <cfRule type="expression" dxfId="4" priority="3204" stopIfTrue="1">
      <formula>$A348="decimal"</formula>
    </cfRule>
  </conditionalFormatting>
  <conditionalFormatting sqref="B348:C352 D348:E352">
    <cfRule type="expression" dxfId="5" priority="3205" stopIfTrue="1">
      <formula>OR(AND(LEFT($A348, 16)="select_multiple ", LEN($A348)&gt;16, NOT(ISNUMBER(SEARCH(" ", $A348, 17)))), AND(LEFT($A348, 11)="select_one ", LEN($A348)&gt;11, NOT(ISNUMBER(SEARCH(" ", $A348, 12)))))</formula>
    </cfRule>
  </conditionalFormatting>
  <conditionalFormatting sqref="B348:B352">
    <cfRule type="expression" dxfId="6" priority="3206" stopIfTrue="1">
      <formula>OR($A348="audio audit", $A348="text audit", $A348="speed violations count", $A348="speed violations list", $A348="speed violations audit")</formula>
    </cfRule>
  </conditionalFormatting>
  <conditionalFormatting sqref="B348:C352 D348:E352">
    <cfRule type="expression" dxfId="32" priority="3207" stopIfTrue="1">
      <formula>$A348="file"</formula>
    </cfRule>
  </conditionalFormatting>
  <conditionalFormatting sqref="B348:C352 D348:E352">
    <cfRule type="expression" dxfId="7" priority="3208" stopIfTrue="1">
      <formula>$A348="note"</formula>
    </cfRule>
  </conditionalFormatting>
  <conditionalFormatting sqref="B348:C352 D348:E352">
    <cfRule type="expression" dxfId="8" priority="3209" stopIfTrue="1">
      <formula>$A348="barcode"</formula>
    </cfRule>
  </conditionalFormatting>
  <conditionalFormatting sqref="B348:C352 D348:E352">
    <cfRule type="expression" dxfId="9" priority="3210" stopIfTrue="1">
      <formula>OR($A348="geopoint", $A348="geoshape", $A348="geotrace")</formula>
    </cfRule>
  </conditionalFormatting>
  <conditionalFormatting sqref="B348:B352">
    <cfRule type="expression" dxfId="10" priority="3211" stopIfTrue="1">
      <formula>OR($A348="calculate", $A348="calculate_here")</formula>
    </cfRule>
  </conditionalFormatting>
  <conditionalFormatting sqref="B348:C352 D348:E352">
    <cfRule type="expression" dxfId="11" priority="3212" stopIfTrue="1">
      <formula>OR($A348="date", $A348="datetime", $A348="time")</formula>
    </cfRule>
  </conditionalFormatting>
  <conditionalFormatting sqref="B348:C352 D348:E352">
    <cfRule type="expression" dxfId="12" priority="3213" stopIfTrue="1">
      <formula>$A348="image"</formula>
    </cfRule>
  </conditionalFormatting>
  <conditionalFormatting sqref="B348:C352 D348:E352">
    <cfRule type="expression" dxfId="13" priority="3214" stopIfTrue="1">
      <formula>OR($A348="audio", $A348="video")</formula>
    </cfRule>
  </conditionalFormatting>
  <conditionalFormatting sqref="B348:E352">
    <cfRule type="expression" dxfId="33" priority="3215" stopIfTrue="1">
      <formula>$A348="file"</formula>
    </cfRule>
  </conditionalFormatting>
  <conditionalFormatting sqref="B348:E352">
    <cfRule type="expression" dxfId="34" priority="3216" stopIfTrue="1">
      <formula>$A348="enumerator"</formula>
    </cfRule>
  </conditionalFormatting>
  <conditionalFormatting sqref="B348:E352">
    <cfRule type="expression" dxfId="35" priority="3217" stopIfTrue="1">
      <formula>OR(AND(LEFT($A348, 14)="sensor_stream ", LEN($A348)&gt;14, NOT(ISNUMBER(SEARCH(" ", $A348, 15)))), AND(LEFT($A348, 17)="sensor_statistic ", LEN($A348)&gt;17, NOT(ISNUMBER(SEARCH(" ", $A348, 18)))))</formula>
    </cfRule>
  </conditionalFormatting>
  <conditionalFormatting sqref="B348:E352">
    <cfRule type="expression" dxfId="14" priority="3218" stopIfTrue="1">
      <formula>$A348="comments"</formula>
    </cfRule>
  </conditionalFormatting>
  <conditionalFormatting sqref="B348:E352">
    <cfRule type="expression" dxfId="15" priority="3219" stopIfTrue="1">
      <formula>OR($A348="audio", $A348="video")</formula>
    </cfRule>
  </conditionalFormatting>
  <conditionalFormatting sqref="B348:E352">
    <cfRule type="expression" dxfId="16" priority="3220" stopIfTrue="1">
      <formula>$A348="image"</formula>
    </cfRule>
  </conditionalFormatting>
  <conditionalFormatting sqref="B348:E352">
    <cfRule type="expression" dxfId="17" priority="3221" stopIfTrue="1">
      <formula>OR($A348="date", $A348="datetime", $A348="time")</formula>
    </cfRule>
  </conditionalFormatting>
  <conditionalFormatting sqref="B348:E352">
    <cfRule type="expression" dxfId="18" priority="3222" stopIfTrue="1">
      <formula>OR($A348="calculate", $A348="calculate_here")</formula>
    </cfRule>
  </conditionalFormatting>
  <conditionalFormatting sqref="B348:E352">
    <cfRule type="expression" dxfId="19" priority="3223" stopIfTrue="1">
      <formula>$A348="note"</formula>
    </cfRule>
  </conditionalFormatting>
  <conditionalFormatting sqref="B348:E352">
    <cfRule type="expression" dxfId="20" priority="3224" stopIfTrue="1">
      <formula>$A348="barcode"</formula>
    </cfRule>
  </conditionalFormatting>
  <conditionalFormatting sqref="B348:E352">
    <cfRule type="expression" dxfId="21" priority="3225" stopIfTrue="1">
      <formula>OR($A348="geopoint", $A348="geoshape", $A348="geotrace")</formula>
    </cfRule>
  </conditionalFormatting>
  <conditionalFormatting sqref="B348:E352">
    <cfRule type="expression" dxfId="22" priority="3226" stopIfTrue="1">
      <formula>OR($A348="audio audit", $A348="text audit", $A348="speed violations count", $A348="speed violations list", $A348="speed violations audit")</formula>
    </cfRule>
  </conditionalFormatting>
  <conditionalFormatting sqref="B348:E352">
    <cfRule type="expression" dxfId="23" priority="3227" stopIfTrue="1">
      <formula>OR($A348="username", $A348="phonenumber", $A348="start", $A348="end", $A348="deviceid", $A348="subscriberid", $A348="simserial", $A348="caseid")</formula>
    </cfRule>
  </conditionalFormatting>
  <conditionalFormatting sqref="B348:E352">
    <cfRule type="expression" dxfId="24" priority="3228" stopIfTrue="1">
      <formula>OR(AND(LEFT($A348, 16)="select_multiple ", LEN($A348)&gt;16, NOT(ISNUMBER(SEARCH(" ", $A348, 17)))), AND(LEFT($A348, 11)="select_one ", LEN($A348)&gt;11, NOT(ISNUMBER(SEARCH(" ", $A348, 12)))))</formula>
    </cfRule>
  </conditionalFormatting>
  <conditionalFormatting sqref="B348:E352">
    <cfRule type="expression" dxfId="25" priority="3229" stopIfTrue="1">
      <formula>$A348="decimal"</formula>
    </cfRule>
  </conditionalFormatting>
  <conditionalFormatting sqref="B348:E352">
    <cfRule type="expression" dxfId="26" priority="3230" stopIfTrue="1">
      <formula>$A348="integer"</formula>
    </cfRule>
  </conditionalFormatting>
  <conditionalFormatting sqref="B348:E352">
    <cfRule type="expression" dxfId="27" priority="3231" stopIfTrue="1">
      <formula>$A348="text"</formula>
    </cfRule>
  </conditionalFormatting>
  <conditionalFormatting sqref="B348:E352">
    <cfRule type="expression" dxfId="28" priority="3232" stopIfTrue="1">
      <formula>$A348="end repeat"</formula>
    </cfRule>
  </conditionalFormatting>
  <conditionalFormatting sqref="B348:E352">
    <cfRule type="expression" dxfId="28" priority="3233" stopIfTrue="1">
      <formula>$A348="begin repeat"</formula>
    </cfRule>
  </conditionalFormatting>
  <conditionalFormatting sqref="B348:E352">
    <cfRule type="expression" dxfId="29" priority="3234" stopIfTrue="1">
      <formula>$A348="end group"</formula>
    </cfRule>
  </conditionalFormatting>
  <conditionalFormatting sqref="B348:E352">
    <cfRule type="expression" dxfId="29" priority="3235" stopIfTrue="1">
      <formula>$A348="begin group"</formula>
    </cfRule>
  </conditionalFormatting>
  <conditionalFormatting sqref="B348:B352">
    <cfRule type="expression" dxfId="30" priority="3236" stopIfTrue="1">
      <formula>$A348="comments"</formula>
    </cfRule>
  </conditionalFormatting>
  <conditionalFormatting sqref="B348:B352">
    <cfRule type="expression" dxfId="36" priority="3237" stopIfTrue="1">
      <formula>OR(AND(LEFT($A348, 14)="sensor_stream ", LEN($A348)&gt;14, NOT(ISNUMBER(SEARCH(" ", $A348, 15)))), AND(LEFT($A348, 17)="sensor_statistic ", LEN($A348)&gt;17, NOT(ISNUMBER(SEARCH(" ", $A348, 18)))))</formula>
    </cfRule>
  </conditionalFormatting>
  <conditionalFormatting sqref="B341:C345 D341:E345">
    <cfRule type="expression" dxfId="0" priority="3238" stopIfTrue="1">
      <formula>$A341="begin group"</formula>
    </cfRule>
  </conditionalFormatting>
  <conditionalFormatting sqref="B341:C345 D341:E345">
    <cfRule type="expression" dxfId="1" priority="3239" stopIfTrue="1">
      <formula>$A341="begin repeat"</formula>
    </cfRule>
  </conditionalFormatting>
  <conditionalFormatting sqref="B341:E345">
    <cfRule type="expression" dxfId="31" priority="3240" stopIfTrue="1">
      <formula>$A341="enumerator"</formula>
    </cfRule>
  </conditionalFormatting>
  <conditionalFormatting sqref="B341:E345">
    <cfRule type="expression" dxfId="2" priority="3241" stopIfTrue="1">
      <formula>$A341="text"</formula>
    </cfRule>
  </conditionalFormatting>
  <conditionalFormatting sqref="B341:E345">
    <cfRule type="expression" dxfId="3" priority="3242" stopIfTrue="1">
      <formula>$A341="integer"</formula>
    </cfRule>
  </conditionalFormatting>
  <conditionalFormatting sqref="B341:E345">
    <cfRule type="expression" dxfId="4" priority="3243" stopIfTrue="1">
      <formula>$A341="decimal"</formula>
    </cfRule>
  </conditionalFormatting>
  <conditionalFormatting sqref="B341:C345 D341:E345">
    <cfRule type="expression" dxfId="5" priority="3244" stopIfTrue="1">
      <formula>OR(AND(LEFT($A341, 16)="select_multiple ", LEN($A341)&gt;16, NOT(ISNUMBER(SEARCH(" ", $A341, 17)))), AND(LEFT($A341, 11)="select_one ", LEN($A341)&gt;11, NOT(ISNUMBER(SEARCH(" ", $A341, 12)))))</formula>
    </cfRule>
  </conditionalFormatting>
  <conditionalFormatting sqref="B341:B345">
    <cfRule type="expression" dxfId="6" priority="3245" stopIfTrue="1">
      <formula>OR($A341="audio audit", $A341="text audit", $A341="speed violations count", $A341="speed violations list", $A341="speed violations audit")</formula>
    </cfRule>
  </conditionalFormatting>
  <conditionalFormatting sqref="B341:C345 D341:E345">
    <cfRule type="expression" dxfId="32" priority="3246" stopIfTrue="1">
      <formula>$A341="file"</formula>
    </cfRule>
  </conditionalFormatting>
  <conditionalFormatting sqref="B341:C345 D341:E345">
    <cfRule type="expression" dxfId="7" priority="3247" stopIfTrue="1">
      <formula>$A341="note"</formula>
    </cfRule>
  </conditionalFormatting>
  <conditionalFormatting sqref="B341:C345 D341:E345">
    <cfRule type="expression" dxfId="8" priority="3248" stopIfTrue="1">
      <formula>$A341="barcode"</formula>
    </cfRule>
  </conditionalFormatting>
  <conditionalFormatting sqref="B341:C345 D341:E345">
    <cfRule type="expression" dxfId="9" priority="3249" stopIfTrue="1">
      <formula>OR($A341="geopoint", $A341="geoshape", $A341="geotrace")</formula>
    </cfRule>
  </conditionalFormatting>
  <conditionalFormatting sqref="B341:B345">
    <cfRule type="expression" dxfId="10" priority="3250" stopIfTrue="1">
      <formula>OR($A341="calculate", $A341="calculate_here")</formula>
    </cfRule>
  </conditionalFormatting>
  <conditionalFormatting sqref="B341:C345 D341:E345">
    <cfRule type="expression" dxfId="11" priority="3251" stopIfTrue="1">
      <formula>OR($A341="date", $A341="datetime", $A341="time")</formula>
    </cfRule>
  </conditionalFormatting>
  <conditionalFormatting sqref="B341:C345 D341:E345">
    <cfRule type="expression" dxfId="12" priority="3252" stopIfTrue="1">
      <formula>$A341="image"</formula>
    </cfRule>
  </conditionalFormatting>
  <conditionalFormatting sqref="B341:C345 D341:E345">
    <cfRule type="expression" dxfId="13" priority="3253" stopIfTrue="1">
      <formula>OR($A341="audio", $A341="video")</formula>
    </cfRule>
  </conditionalFormatting>
  <conditionalFormatting sqref="B341:E345">
    <cfRule type="expression" dxfId="33" priority="3254" stopIfTrue="1">
      <formula>$A341="file"</formula>
    </cfRule>
  </conditionalFormatting>
  <conditionalFormatting sqref="B341:E345">
    <cfRule type="expression" dxfId="34" priority="3255" stopIfTrue="1">
      <formula>$A341="enumerator"</formula>
    </cfRule>
  </conditionalFormatting>
  <conditionalFormatting sqref="B341:E345">
    <cfRule type="expression" dxfId="35" priority="3256" stopIfTrue="1">
      <formula>OR(AND(LEFT($A341, 14)="sensor_stream ", LEN($A341)&gt;14, NOT(ISNUMBER(SEARCH(" ", $A341, 15)))), AND(LEFT($A341, 17)="sensor_statistic ", LEN($A341)&gt;17, NOT(ISNUMBER(SEARCH(" ", $A341, 18)))))</formula>
    </cfRule>
  </conditionalFormatting>
  <conditionalFormatting sqref="B341:E345">
    <cfRule type="expression" dxfId="14" priority="3257" stopIfTrue="1">
      <formula>$A341="comments"</formula>
    </cfRule>
  </conditionalFormatting>
  <conditionalFormatting sqref="B341:E345">
    <cfRule type="expression" dxfId="15" priority="3258" stopIfTrue="1">
      <formula>OR($A341="audio", $A341="video")</formula>
    </cfRule>
  </conditionalFormatting>
  <conditionalFormatting sqref="B341:E345">
    <cfRule type="expression" dxfId="16" priority="3259" stopIfTrue="1">
      <formula>$A341="image"</formula>
    </cfRule>
  </conditionalFormatting>
  <conditionalFormatting sqref="B341:E345">
    <cfRule type="expression" dxfId="17" priority="3260" stopIfTrue="1">
      <formula>OR($A341="date", $A341="datetime", $A341="time")</formula>
    </cfRule>
  </conditionalFormatting>
  <conditionalFormatting sqref="B341:E345">
    <cfRule type="expression" dxfId="18" priority="3261" stopIfTrue="1">
      <formula>OR($A341="calculate", $A341="calculate_here")</formula>
    </cfRule>
  </conditionalFormatting>
  <conditionalFormatting sqref="B341:E345">
    <cfRule type="expression" dxfId="19" priority="3262" stopIfTrue="1">
      <formula>$A341="note"</formula>
    </cfRule>
  </conditionalFormatting>
  <conditionalFormatting sqref="B341:E345">
    <cfRule type="expression" dxfId="20" priority="3263" stopIfTrue="1">
      <formula>$A341="barcode"</formula>
    </cfRule>
  </conditionalFormatting>
  <conditionalFormatting sqref="B341:E345">
    <cfRule type="expression" dxfId="21" priority="3264" stopIfTrue="1">
      <formula>OR($A341="geopoint", $A341="geoshape", $A341="geotrace")</formula>
    </cfRule>
  </conditionalFormatting>
  <conditionalFormatting sqref="B341:E345">
    <cfRule type="expression" dxfId="22" priority="3265" stopIfTrue="1">
      <formula>OR($A341="audio audit", $A341="text audit", $A341="speed violations count", $A341="speed violations list", $A341="speed violations audit")</formula>
    </cfRule>
  </conditionalFormatting>
  <conditionalFormatting sqref="B341:E345">
    <cfRule type="expression" dxfId="23" priority="3266" stopIfTrue="1">
      <formula>OR($A341="username", $A341="phonenumber", $A341="start", $A341="end", $A341="deviceid", $A341="subscriberid", $A341="simserial", $A341="caseid")</formula>
    </cfRule>
  </conditionalFormatting>
  <conditionalFormatting sqref="B341:E345">
    <cfRule type="expression" dxfId="24" priority="3267" stopIfTrue="1">
      <formula>OR(AND(LEFT($A341, 16)="select_multiple ", LEN($A341)&gt;16, NOT(ISNUMBER(SEARCH(" ", $A341, 17)))), AND(LEFT($A341, 11)="select_one ", LEN($A341)&gt;11, NOT(ISNUMBER(SEARCH(" ", $A341, 12)))))</formula>
    </cfRule>
  </conditionalFormatting>
  <conditionalFormatting sqref="B341:E345">
    <cfRule type="expression" dxfId="25" priority="3268" stopIfTrue="1">
      <formula>$A341="decimal"</formula>
    </cfRule>
  </conditionalFormatting>
  <conditionalFormatting sqref="B341:E345">
    <cfRule type="expression" dxfId="26" priority="3269" stopIfTrue="1">
      <formula>$A341="integer"</formula>
    </cfRule>
  </conditionalFormatting>
  <conditionalFormatting sqref="B341:E345">
    <cfRule type="expression" dxfId="27" priority="3270" stopIfTrue="1">
      <formula>$A341="text"</formula>
    </cfRule>
  </conditionalFormatting>
  <conditionalFormatting sqref="B341:E345">
    <cfRule type="expression" dxfId="28" priority="3271" stopIfTrue="1">
      <formula>$A341="end repeat"</formula>
    </cfRule>
  </conditionalFormatting>
  <conditionalFormatting sqref="B341:E345">
    <cfRule type="expression" dxfId="28" priority="3272" stopIfTrue="1">
      <formula>$A341="begin repeat"</formula>
    </cfRule>
  </conditionalFormatting>
  <conditionalFormatting sqref="B341:E345">
    <cfRule type="expression" dxfId="29" priority="3273" stopIfTrue="1">
      <formula>$A341="end group"</formula>
    </cfRule>
  </conditionalFormatting>
  <conditionalFormatting sqref="B341:E345">
    <cfRule type="expression" dxfId="29" priority="3274" stopIfTrue="1">
      <formula>$A341="begin group"</formula>
    </cfRule>
  </conditionalFormatting>
  <conditionalFormatting sqref="B341:B345">
    <cfRule type="expression" dxfId="30" priority="3275" stopIfTrue="1">
      <formula>$A341="comments"</formula>
    </cfRule>
  </conditionalFormatting>
  <conditionalFormatting sqref="B341:B345">
    <cfRule type="expression" dxfId="36" priority="3276" stopIfTrue="1">
      <formula>OR(AND(LEFT($A341, 14)="sensor_stream ", LEN($A341)&gt;14, NOT(ISNUMBER(SEARCH(" ", $A341, 15)))), AND(LEFT($A341, 17)="sensor_statistic ", LEN($A341)&gt;17, NOT(ISNUMBER(SEARCH(" ", $A341, 18)))))</formula>
    </cfRule>
  </conditionalFormatting>
  <conditionalFormatting sqref="B336:C338 D336:E338">
    <cfRule type="expression" dxfId="0" priority="3277" stopIfTrue="1">
      <formula>$A336="begin group"</formula>
    </cfRule>
  </conditionalFormatting>
  <conditionalFormatting sqref="B336:C338 D336:E338">
    <cfRule type="expression" dxfId="1" priority="3278" stopIfTrue="1">
      <formula>$A336="begin repeat"</formula>
    </cfRule>
  </conditionalFormatting>
  <conditionalFormatting sqref="B336:E338">
    <cfRule type="expression" dxfId="31" priority="3279" stopIfTrue="1">
      <formula>$A336="enumerator"</formula>
    </cfRule>
  </conditionalFormatting>
  <conditionalFormatting sqref="B336:E338">
    <cfRule type="expression" dxfId="2" priority="3280" stopIfTrue="1">
      <formula>$A336="text"</formula>
    </cfRule>
  </conditionalFormatting>
  <conditionalFormatting sqref="B336:E338">
    <cfRule type="expression" dxfId="3" priority="3281" stopIfTrue="1">
      <formula>$A336="integer"</formula>
    </cfRule>
  </conditionalFormatting>
  <conditionalFormatting sqref="B336:E338">
    <cfRule type="expression" dxfId="4" priority="3282" stopIfTrue="1">
      <formula>$A336="decimal"</formula>
    </cfRule>
  </conditionalFormatting>
  <conditionalFormatting sqref="B336:C338 D336:E338">
    <cfRule type="expression" dxfId="5" priority="3283" stopIfTrue="1">
      <formula>OR(AND(LEFT($A336, 16)="select_multiple ", LEN($A336)&gt;16, NOT(ISNUMBER(SEARCH(" ", $A336, 17)))), AND(LEFT($A336, 11)="select_one ", LEN($A336)&gt;11, NOT(ISNUMBER(SEARCH(" ", $A336, 12)))))</formula>
    </cfRule>
  </conditionalFormatting>
  <conditionalFormatting sqref="B336:B338">
    <cfRule type="expression" dxfId="6" priority="3284" stopIfTrue="1">
      <formula>OR($A336="audio audit", $A336="text audit", $A336="speed violations count", $A336="speed violations list", $A336="speed violations audit")</formula>
    </cfRule>
  </conditionalFormatting>
  <conditionalFormatting sqref="B336:C338 D336:E338">
    <cfRule type="expression" dxfId="32" priority="3285" stopIfTrue="1">
      <formula>$A336="file"</formula>
    </cfRule>
  </conditionalFormatting>
  <conditionalFormatting sqref="B336:C338 D336:E338">
    <cfRule type="expression" dxfId="7" priority="3286" stopIfTrue="1">
      <formula>$A336="note"</formula>
    </cfRule>
  </conditionalFormatting>
  <conditionalFormatting sqref="B336:C338 D336:E338">
    <cfRule type="expression" dxfId="8" priority="3287" stopIfTrue="1">
      <formula>$A336="barcode"</formula>
    </cfRule>
  </conditionalFormatting>
  <conditionalFormatting sqref="B336:C338 D336:E338">
    <cfRule type="expression" dxfId="9" priority="3288" stopIfTrue="1">
      <formula>OR($A336="geopoint", $A336="geoshape", $A336="geotrace")</formula>
    </cfRule>
  </conditionalFormatting>
  <conditionalFormatting sqref="B336:B338">
    <cfRule type="expression" dxfId="10" priority="3289" stopIfTrue="1">
      <formula>OR($A336="calculate", $A336="calculate_here")</formula>
    </cfRule>
  </conditionalFormatting>
  <conditionalFormatting sqref="B336:C338 D336:E338">
    <cfRule type="expression" dxfId="11" priority="3290" stopIfTrue="1">
      <formula>OR($A336="date", $A336="datetime", $A336="time")</formula>
    </cfRule>
  </conditionalFormatting>
  <conditionalFormatting sqref="B336:C338 D336:E338">
    <cfRule type="expression" dxfId="12" priority="3291" stopIfTrue="1">
      <formula>$A336="image"</formula>
    </cfRule>
  </conditionalFormatting>
  <conditionalFormatting sqref="B336:C338 D336:E338">
    <cfRule type="expression" dxfId="13" priority="3292" stopIfTrue="1">
      <formula>OR($A336="audio", $A336="video")</formula>
    </cfRule>
  </conditionalFormatting>
  <conditionalFormatting sqref="B336:E338">
    <cfRule type="expression" dxfId="33" priority="3293" stopIfTrue="1">
      <formula>$A336="file"</formula>
    </cfRule>
  </conditionalFormatting>
  <conditionalFormatting sqref="B336:E338">
    <cfRule type="expression" dxfId="34" priority="3294" stopIfTrue="1">
      <formula>$A336="enumerator"</formula>
    </cfRule>
  </conditionalFormatting>
  <conditionalFormatting sqref="B336:E338">
    <cfRule type="expression" dxfId="35" priority="3295" stopIfTrue="1">
      <formula>OR(AND(LEFT($A336, 14)="sensor_stream ", LEN($A336)&gt;14, NOT(ISNUMBER(SEARCH(" ", $A336, 15)))), AND(LEFT($A336, 17)="sensor_statistic ", LEN($A336)&gt;17, NOT(ISNUMBER(SEARCH(" ", $A336, 18)))))</formula>
    </cfRule>
  </conditionalFormatting>
  <conditionalFormatting sqref="B336:E338">
    <cfRule type="expression" dxfId="14" priority="3296" stopIfTrue="1">
      <formula>$A336="comments"</formula>
    </cfRule>
  </conditionalFormatting>
  <conditionalFormatting sqref="B336:E338">
    <cfRule type="expression" dxfId="15" priority="3297" stopIfTrue="1">
      <formula>OR($A336="audio", $A336="video")</formula>
    </cfRule>
  </conditionalFormatting>
  <conditionalFormatting sqref="B336:E338">
    <cfRule type="expression" dxfId="16" priority="3298" stopIfTrue="1">
      <formula>$A336="image"</formula>
    </cfRule>
  </conditionalFormatting>
  <conditionalFormatting sqref="B336:E338">
    <cfRule type="expression" dxfId="17" priority="3299" stopIfTrue="1">
      <formula>OR($A336="date", $A336="datetime", $A336="time")</formula>
    </cfRule>
  </conditionalFormatting>
  <conditionalFormatting sqref="B336:E338">
    <cfRule type="expression" dxfId="18" priority="3300" stopIfTrue="1">
      <formula>OR($A336="calculate", $A336="calculate_here")</formula>
    </cfRule>
  </conditionalFormatting>
  <conditionalFormatting sqref="B336:E338">
    <cfRule type="expression" dxfId="19" priority="3301" stopIfTrue="1">
      <formula>$A336="note"</formula>
    </cfRule>
  </conditionalFormatting>
  <conditionalFormatting sqref="B336:E338">
    <cfRule type="expression" dxfId="20" priority="3302" stopIfTrue="1">
      <formula>$A336="barcode"</formula>
    </cfRule>
  </conditionalFormatting>
  <conditionalFormatting sqref="B336:E338">
    <cfRule type="expression" dxfId="21" priority="3303" stopIfTrue="1">
      <formula>OR($A336="geopoint", $A336="geoshape", $A336="geotrace")</formula>
    </cfRule>
  </conditionalFormatting>
  <conditionalFormatting sqref="B336:E338">
    <cfRule type="expression" dxfId="22" priority="3304" stopIfTrue="1">
      <formula>OR($A336="audio audit", $A336="text audit", $A336="speed violations count", $A336="speed violations list", $A336="speed violations audit")</formula>
    </cfRule>
  </conditionalFormatting>
  <conditionalFormatting sqref="B336:E338">
    <cfRule type="expression" dxfId="23" priority="3305" stopIfTrue="1">
      <formula>OR($A336="username", $A336="phonenumber", $A336="start", $A336="end", $A336="deviceid", $A336="subscriberid", $A336="simserial", $A336="caseid")</formula>
    </cfRule>
  </conditionalFormatting>
  <conditionalFormatting sqref="B336:E338">
    <cfRule type="expression" dxfId="24" priority="3306" stopIfTrue="1">
      <formula>OR(AND(LEFT($A336, 16)="select_multiple ", LEN($A336)&gt;16, NOT(ISNUMBER(SEARCH(" ", $A336, 17)))), AND(LEFT($A336, 11)="select_one ", LEN($A336)&gt;11, NOT(ISNUMBER(SEARCH(" ", $A336, 12)))))</formula>
    </cfRule>
  </conditionalFormatting>
  <conditionalFormatting sqref="B336:E338">
    <cfRule type="expression" dxfId="25" priority="3307" stopIfTrue="1">
      <formula>$A336="decimal"</formula>
    </cfRule>
  </conditionalFormatting>
  <conditionalFormatting sqref="B336:E338">
    <cfRule type="expression" dxfId="26" priority="3308" stopIfTrue="1">
      <formula>$A336="integer"</formula>
    </cfRule>
  </conditionalFormatting>
  <conditionalFormatting sqref="B336:E338">
    <cfRule type="expression" dxfId="27" priority="3309" stopIfTrue="1">
      <formula>$A336="text"</formula>
    </cfRule>
  </conditionalFormatting>
  <conditionalFormatting sqref="B336:E338">
    <cfRule type="expression" dxfId="28" priority="3310" stopIfTrue="1">
      <formula>$A336="end repeat"</formula>
    </cfRule>
  </conditionalFormatting>
  <conditionalFormatting sqref="B336:E338">
    <cfRule type="expression" dxfId="28" priority="3311" stopIfTrue="1">
      <formula>$A336="begin repeat"</formula>
    </cfRule>
  </conditionalFormatting>
  <conditionalFormatting sqref="B336:E338">
    <cfRule type="expression" dxfId="29" priority="3312" stopIfTrue="1">
      <formula>$A336="end group"</formula>
    </cfRule>
  </conditionalFormatting>
  <conditionalFormatting sqref="B336:E338">
    <cfRule type="expression" dxfId="29" priority="3313" stopIfTrue="1">
      <formula>$A336="begin group"</formula>
    </cfRule>
  </conditionalFormatting>
  <conditionalFormatting sqref="B336:B338">
    <cfRule type="expression" dxfId="30" priority="3314" stopIfTrue="1">
      <formula>$A336="comments"</formula>
    </cfRule>
  </conditionalFormatting>
  <conditionalFormatting sqref="B336:B338">
    <cfRule type="expression" dxfId="36" priority="3315" stopIfTrue="1">
      <formula>OR(AND(LEFT($A336, 14)="sensor_stream ", LEN($A336)&gt;14, NOT(ISNUMBER(SEARCH(" ", $A336, 15)))), AND(LEFT($A336, 17)="sensor_statistic ", LEN($A336)&gt;17, NOT(ISNUMBER(SEARCH(" ", $A336, 18)))))</formula>
    </cfRule>
  </conditionalFormatting>
  <conditionalFormatting sqref="B322:C333 D322:E333">
    <cfRule type="expression" dxfId="0" priority="3316" stopIfTrue="1">
      <formula>$A322="begin group"</formula>
    </cfRule>
  </conditionalFormatting>
  <conditionalFormatting sqref="B322:C333 D322:E333">
    <cfRule type="expression" dxfId="1" priority="3317" stopIfTrue="1">
      <formula>$A322="begin repeat"</formula>
    </cfRule>
  </conditionalFormatting>
  <conditionalFormatting sqref="B322:E333">
    <cfRule type="expression" dxfId="31" priority="3318" stopIfTrue="1">
      <formula>$A322="enumerator"</formula>
    </cfRule>
  </conditionalFormatting>
  <conditionalFormatting sqref="B322:E333">
    <cfRule type="expression" dxfId="2" priority="3319" stopIfTrue="1">
      <formula>$A322="text"</formula>
    </cfRule>
  </conditionalFormatting>
  <conditionalFormatting sqref="B322:E333">
    <cfRule type="expression" dxfId="3" priority="3320" stopIfTrue="1">
      <formula>$A322="integer"</formula>
    </cfRule>
  </conditionalFormatting>
  <conditionalFormatting sqref="B322:E333">
    <cfRule type="expression" dxfId="4" priority="3321" stopIfTrue="1">
      <formula>$A322="decimal"</formula>
    </cfRule>
  </conditionalFormatting>
  <conditionalFormatting sqref="B322:C333 D322:E333">
    <cfRule type="expression" dxfId="5" priority="3322" stopIfTrue="1">
      <formula>OR(AND(LEFT($A322, 16)="select_multiple ", LEN($A322)&gt;16, NOT(ISNUMBER(SEARCH(" ", $A322, 17)))), AND(LEFT($A322, 11)="select_one ", LEN($A322)&gt;11, NOT(ISNUMBER(SEARCH(" ", $A322, 12)))))</formula>
    </cfRule>
  </conditionalFormatting>
  <conditionalFormatting sqref="B322:B333">
    <cfRule type="expression" dxfId="6" priority="3323" stopIfTrue="1">
      <formula>OR($A322="audio audit", $A322="text audit", $A322="speed violations count", $A322="speed violations list", $A322="speed violations audit")</formula>
    </cfRule>
  </conditionalFormatting>
  <conditionalFormatting sqref="B322:C333 D322:E333">
    <cfRule type="expression" dxfId="32" priority="3324" stopIfTrue="1">
      <formula>$A322="file"</formula>
    </cfRule>
  </conditionalFormatting>
  <conditionalFormatting sqref="B322:C333 D322:E333">
    <cfRule type="expression" dxfId="7" priority="3325" stopIfTrue="1">
      <formula>$A322="note"</formula>
    </cfRule>
  </conditionalFormatting>
  <conditionalFormatting sqref="B322:C333 D322:E333">
    <cfRule type="expression" dxfId="8" priority="3326" stopIfTrue="1">
      <formula>$A322="barcode"</formula>
    </cfRule>
  </conditionalFormatting>
  <conditionalFormatting sqref="B322:C333 D322:E333">
    <cfRule type="expression" dxfId="9" priority="3327" stopIfTrue="1">
      <formula>OR($A322="geopoint", $A322="geoshape", $A322="geotrace")</formula>
    </cfRule>
  </conditionalFormatting>
  <conditionalFormatting sqref="B322:B333">
    <cfRule type="expression" dxfId="10" priority="3328" stopIfTrue="1">
      <formula>OR($A322="calculate", $A322="calculate_here")</formula>
    </cfRule>
  </conditionalFormatting>
  <conditionalFormatting sqref="B322:C333 D322:E333">
    <cfRule type="expression" dxfId="11" priority="3329" stopIfTrue="1">
      <formula>OR($A322="date", $A322="datetime", $A322="time")</formula>
    </cfRule>
  </conditionalFormatting>
  <conditionalFormatting sqref="B322:C333 D322:E333">
    <cfRule type="expression" dxfId="12" priority="3330" stopIfTrue="1">
      <formula>$A322="image"</formula>
    </cfRule>
  </conditionalFormatting>
  <conditionalFormatting sqref="B322:C333 D322:E333">
    <cfRule type="expression" dxfId="13" priority="3331" stopIfTrue="1">
      <formula>OR($A322="audio", $A322="video")</formula>
    </cfRule>
  </conditionalFormatting>
  <conditionalFormatting sqref="B322:E333">
    <cfRule type="expression" dxfId="33" priority="3332" stopIfTrue="1">
      <formula>$A322="file"</formula>
    </cfRule>
  </conditionalFormatting>
  <conditionalFormatting sqref="B322:E333">
    <cfRule type="expression" dxfId="34" priority="3333" stopIfTrue="1">
      <formula>$A322="enumerator"</formula>
    </cfRule>
  </conditionalFormatting>
  <conditionalFormatting sqref="B322:E333">
    <cfRule type="expression" dxfId="35" priority="3334" stopIfTrue="1">
      <formula>OR(AND(LEFT($A322, 14)="sensor_stream ", LEN($A322)&gt;14, NOT(ISNUMBER(SEARCH(" ", $A322, 15)))), AND(LEFT($A322, 17)="sensor_statistic ", LEN($A322)&gt;17, NOT(ISNUMBER(SEARCH(" ", $A322, 18)))))</formula>
    </cfRule>
  </conditionalFormatting>
  <conditionalFormatting sqref="B322:E333">
    <cfRule type="expression" dxfId="14" priority="3335" stopIfTrue="1">
      <formula>$A322="comments"</formula>
    </cfRule>
  </conditionalFormatting>
  <conditionalFormatting sqref="B322:E333">
    <cfRule type="expression" dxfId="15" priority="3336" stopIfTrue="1">
      <formula>OR($A322="audio", $A322="video")</formula>
    </cfRule>
  </conditionalFormatting>
  <conditionalFormatting sqref="B322:E333">
    <cfRule type="expression" dxfId="16" priority="3337" stopIfTrue="1">
      <formula>$A322="image"</formula>
    </cfRule>
  </conditionalFormatting>
  <conditionalFormatting sqref="B322:E333">
    <cfRule type="expression" dxfId="17" priority="3338" stopIfTrue="1">
      <formula>OR($A322="date", $A322="datetime", $A322="time")</formula>
    </cfRule>
  </conditionalFormatting>
  <conditionalFormatting sqref="B322:E333">
    <cfRule type="expression" dxfId="18" priority="3339" stopIfTrue="1">
      <formula>OR($A322="calculate", $A322="calculate_here")</formula>
    </cfRule>
  </conditionalFormatting>
  <conditionalFormatting sqref="B322:E333">
    <cfRule type="expression" dxfId="19" priority="3340" stopIfTrue="1">
      <formula>$A322="note"</formula>
    </cfRule>
  </conditionalFormatting>
  <conditionalFormatting sqref="B322:E333">
    <cfRule type="expression" dxfId="20" priority="3341" stopIfTrue="1">
      <formula>$A322="barcode"</formula>
    </cfRule>
  </conditionalFormatting>
  <conditionalFormatting sqref="B322:E333">
    <cfRule type="expression" dxfId="21" priority="3342" stopIfTrue="1">
      <formula>OR($A322="geopoint", $A322="geoshape", $A322="geotrace")</formula>
    </cfRule>
  </conditionalFormatting>
  <conditionalFormatting sqref="B322:E333">
    <cfRule type="expression" dxfId="22" priority="3343" stopIfTrue="1">
      <formula>OR($A322="audio audit", $A322="text audit", $A322="speed violations count", $A322="speed violations list", $A322="speed violations audit")</formula>
    </cfRule>
  </conditionalFormatting>
  <conditionalFormatting sqref="B322:E333">
    <cfRule type="expression" dxfId="23" priority="3344" stopIfTrue="1">
      <formula>OR($A322="username", $A322="phonenumber", $A322="start", $A322="end", $A322="deviceid", $A322="subscriberid", $A322="simserial", $A322="caseid")</formula>
    </cfRule>
  </conditionalFormatting>
  <conditionalFormatting sqref="B322:E333">
    <cfRule type="expression" dxfId="24" priority="3345" stopIfTrue="1">
      <formula>OR(AND(LEFT($A322, 16)="select_multiple ", LEN($A322)&gt;16, NOT(ISNUMBER(SEARCH(" ", $A322, 17)))), AND(LEFT($A322, 11)="select_one ", LEN($A322)&gt;11, NOT(ISNUMBER(SEARCH(" ", $A322, 12)))))</formula>
    </cfRule>
  </conditionalFormatting>
  <conditionalFormatting sqref="B322:E333">
    <cfRule type="expression" dxfId="25" priority="3346" stopIfTrue="1">
      <formula>$A322="decimal"</formula>
    </cfRule>
  </conditionalFormatting>
  <conditionalFormatting sqref="B322:E333">
    <cfRule type="expression" dxfId="26" priority="3347" stopIfTrue="1">
      <formula>$A322="integer"</formula>
    </cfRule>
  </conditionalFormatting>
  <conditionalFormatting sqref="B322:E333">
    <cfRule type="expression" dxfId="27" priority="3348" stopIfTrue="1">
      <formula>$A322="text"</formula>
    </cfRule>
  </conditionalFormatting>
  <conditionalFormatting sqref="B322:E333">
    <cfRule type="expression" dxfId="28" priority="3349" stopIfTrue="1">
      <formula>$A322="end repeat"</formula>
    </cfRule>
  </conditionalFormatting>
  <conditionalFormatting sqref="B322:E333">
    <cfRule type="expression" dxfId="28" priority="3350" stopIfTrue="1">
      <formula>$A322="begin repeat"</formula>
    </cfRule>
  </conditionalFormatting>
  <conditionalFormatting sqref="B322:E333">
    <cfRule type="expression" dxfId="29" priority="3351" stopIfTrue="1">
      <formula>$A322="end group"</formula>
    </cfRule>
  </conditionalFormatting>
  <conditionalFormatting sqref="B322:E333">
    <cfRule type="expression" dxfId="29" priority="3352" stopIfTrue="1">
      <formula>$A322="begin group"</formula>
    </cfRule>
  </conditionalFormatting>
  <conditionalFormatting sqref="B322:B333">
    <cfRule type="expression" dxfId="30" priority="3353" stopIfTrue="1">
      <formula>$A322="comments"</formula>
    </cfRule>
  </conditionalFormatting>
  <conditionalFormatting sqref="B322:B333">
    <cfRule type="expression" dxfId="36" priority="3354" stopIfTrue="1">
      <formula>OR(AND(LEFT($A322, 14)="sensor_stream ", LEN($A322)&gt;14, NOT(ISNUMBER(SEARCH(" ", $A322, 15)))), AND(LEFT($A322, 17)="sensor_statistic ", LEN($A322)&gt;17, NOT(ISNUMBER(SEARCH(" ", $A322, 18)))))</formula>
    </cfRule>
  </conditionalFormatting>
  <conditionalFormatting sqref="B319:C319 D319:E319">
    <cfRule type="expression" dxfId="0" priority="3355" stopIfTrue="1">
      <formula>$A319="begin group"</formula>
    </cfRule>
  </conditionalFormatting>
  <conditionalFormatting sqref="B319:C319 D319:E319">
    <cfRule type="expression" dxfId="1" priority="3356" stopIfTrue="1">
      <formula>$A319="begin repeat"</formula>
    </cfRule>
  </conditionalFormatting>
  <conditionalFormatting sqref="B319:E319">
    <cfRule type="expression" dxfId="31" priority="3357" stopIfTrue="1">
      <formula>$A319="enumerator"</formula>
    </cfRule>
  </conditionalFormatting>
  <conditionalFormatting sqref="B319:E319">
    <cfRule type="expression" dxfId="2" priority="3358" stopIfTrue="1">
      <formula>$A319="text"</formula>
    </cfRule>
  </conditionalFormatting>
  <conditionalFormatting sqref="B319:E319">
    <cfRule type="expression" dxfId="3" priority="3359" stopIfTrue="1">
      <formula>$A319="integer"</formula>
    </cfRule>
  </conditionalFormatting>
  <conditionalFormatting sqref="B319:E319">
    <cfRule type="expression" dxfId="4" priority="3360" stopIfTrue="1">
      <formula>$A319="decimal"</formula>
    </cfRule>
  </conditionalFormatting>
  <conditionalFormatting sqref="B319:C319 D319:E319">
    <cfRule type="expression" dxfId="5" priority="3361" stopIfTrue="1">
      <formula>OR(AND(LEFT($A319, 16)="select_multiple ", LEN($A319)&gt;16, NOT(ISNUMBER(SEARCH(" ", $A319, 17)))), AND(LEFT($A319, 11)="select_one ", LEN($A319)&gt;11, NOT(ISNUMBER(SEARCH(" ", $A319, 12)))))</formula>
    </cfRule>
  </conditionalFormatting>
  <conditionalFormatting sqref="B319">
    <cfRule type="expression" dxfId="6" priority="3362" stopIfTrue="1">
      <formula>OR($A319="audio audit", $A319="text audit", $A319="speed violations count", $A319="speed violations list", $A319="speed violations audit")</formula>
    </cfRule>
  </conditionalFormatting>
  <conditionalFormatting sqref="B319:C319 D319:E319">
    <cfRule type="expression" dxfId="32" priority="3363" stopIfTrue="1">
      <formula>$A319="file"</formula>
    </cfRule>
  </conditionalFormatting>
  <conditionalFormatting sqref="B319:C319 D319:E319">
    <cfRule type="expression" dxfId="7" priority="3364" stopIfTrue="1">
      <formula>$A319="note"</formula>
    </cfRule>
  </conditionalFormatting>
  <conditionalFormatting sqref="B319:C319 D319:E319">
    <cfRule type="expression" dxfId="8" priority="3365" stopIfTrue="1">
      <formula>$A319="barcode"</formula>
    </cfRule>
  </conditionalFormatting>
  <conditionalFormatting sqref="B319:C319 D319:E319">
    <cfRule type="expression" dxfId="9" priority="3366" stopIfTrue="1">
      <formula>OR($A319="geopoint", $A319="geoshape", $A319="geotrace")</formula>
    </cfRule>
  </conditionalFormatting>
  <conditionalFormatting sqref="B319">
    <cfRule type="expression" dxfId="10" priority="3367" stopIfTrue="1">
      <formula>OR($A319="calculate", $A319="calculate_here")</formula>
    </cfRule>
  </conditionalFormatting>
  <conditionalFormatting sqref="B319:C319 D319:E319">
    <cfRule type="expression" dxfId="11" priority="3368" stopIfTrue="1">
      <formula>OR($A319="date", $A319="datetime", $A319="time")</formula>
    </cfRule>
  </conditionalFormatting>
  <conditionalFormatting sqref="B319:C319 D319:E319">
    <cfRule type="expression" dxfId="12" priority="3369" stopIfTrue="1">
      <formula>$A319="image"</formula>
    </cfRule>
  </conditionalFormatting>
  <conditionalFormatting sqref="B319:C319 D319:E319">
    <cfRule type="expression" dxfId="13" priority="3370" stopIfTrue="1">
      <formula>OR($A319="audio", $A319="video")</formula>
    </cfRule>
  </conditionalFormatting>
  <conditionalFormatting sqref="B319:E319">
    <cfRule type="expression" dxfId="33" priority="3371" stopIfTrue="1">
      <formula>$A319="file"</formula>
    </cfRule>
  </conditionalFormatting>
  <conditionalFormatting sqref="B319:E319">
    <cfRule type="expression" dxfId="34" priority="3372" stopIfTrue="1">
      <formula>$A319="enumerator"</formula>
    </cfRule>
  </conditionalFormatting>
  <conditionalFormatting sqref="B319:E319">
    <cfRule type="expression" dxfId="35" priority="3373" stopIfTrue="1">
      <formula>OR(AND(LEFT($A319, 14)="sensor_stream ", LEN($A319)&gt;14, NOT(ISNUMBER(SEARCH(" ", $A319, 15)))), AND(LEFT($A319, 17)="sensor_statistic ", LEN($A319)&gt;17, NOT(ISNUMBER(SEARCH(" ", $A319, 18)))))</formula>
    </cfRule>
  </conditionalFormatting>
  <conditionalFormatting sqref="B319:E319">
    <cfRule type="expression" dxfId="14" priority="3374" stopIfTrue="1">
      <formula>$A319="comments"</formula>
    </cfRule>
  </conditionalFormatting>
  <conditionalFormatting sqref="B319:E319">
    <cfRule type="expression" dxfId="15" priority="3375" stopIfTrue="1">
      <formula>OR($A319="audio", $A319="video")</formula>
    </cfRule>
  </conditionalFormatting>
  <conditionalFormatting sqref="B319:E319">
    <cfRule type="expression" dxfId="16" priority="3376" stopIfTrue="1">
      <formula>$A319="image"</formula>
    </cfRule>
  </conditionalFormatting>
  <conditionalFormatting sqref="B319:E319">
    <cfRule type="expression" dxfId="17" priority="3377" stopIfTrue="1">
      <formula>OR($A319="date", $A319="datetime", $A319="time")</formula>
    </cfRule>
  </conditionalFormatting>
  <conditionalFormatting sqref="B319:E319">
    <cfRule type="expression" dxfId="18" priority="3378" stopIfTrue="1">
      <formula>OR($A319="calculate", $A319="calculate_here")</formula>
    </cfRule>
  </conditionalFormatting>
  <conditionalFormatting sqref="B319:E319">
    <cfRule type="expression" dxfId="19" priority="3379" stopIfTrue="1">
      <formula>$A319="note"</formula>
    </cfRule>
  </conditionalFormatting>
  <conditionalFormatting sqref="B319:E319">
    <cfRule type="expression" dxfId="20" priority="3380" stopIfTrue="1">
      <formula>$A319="barcode"</formula>
    </cfRule>
  </conditionalFormatting>
  <conditionalFormatting sqref="B319:E319">
    <cfRule type="expression" dxfId="21" priority="3381" stopIfTrue="1">
      <formula>OR($A319="geopoint", $A319="geoshape", $A319="geotrace")</formula>
    </cfRule>
  </conditionalFormatting>
  <conditionalFormatting sqref="B319:E319">
    <cfRule type="expression" dxfId="22" priority="3382" stopIfTrue="1">
      <formula>OR($A319="audio audit", $A319="text audit", $A319="speed violations count", $A319="speed violations list", $A319="speed violations audit")</formula>
    </cfRule>
  </conditionalFormatting>
  <conditionalFormatting sqref="B319:E319">
    <cfRule type="expression" dxfId="23" priority="3383" stopIfTrue="1">
      <formula>OR($A319="username", $A319="phonenumber", $A319="start", $A319="end", $A319="deviceid", $A319="subscriberid", $A319="simserial", $A319="caseid")</formula>
    </cfRule>
  </conditionalFormatting>
  <conditionalFormatting sqref="B319:E319">
    <cfRule type="expression" dxfId="24" priority="3384" stopIfTrue="1">
      <formula>OR(AND(LEFT($A319, 16)="select_multiple ", LEN($A319)&gt;16, NOT(ISNUMBER(SEARCH(" ", $A319, 17)))), AND(LEFT($A319, 11)="select_one ", LEN($A319)&gt;11, NOT(ISNUMBER(SEARCH(" ", $A319, 12)))))</formula>
    </cfRule>
  </conditionalFormatting>
  <conditionalFormatting sqref="B319:E319">
    <cfRule type="expression" dxfId="25" priority="3385" stopIfTrue="1">
      <formula>$A319="decimal"</formula>
    </cfRule>
  </conditionalFormatting>
  <conditionalFormatting sqref="B319:E319">
    <cfRule type="expression" dxfId="26" priority="3386" stopIfTrue="1">
      <formula>$A319="integer"</formula>
    </cfRule>
  </conditionalFormatting>
  <conditionalFormatting sqref="B319:E319">
    <cfRule type="expression" dxfId="27" priority="3387" stopIfTrue="1">
      <formula>$A319="text"</formula>
    </cfRule>
  </conditionalFormatting>
  <conditionalFormatting sqref="B319:E319">
    <cfRule type="expression" dxfId="28" priority="3388" stopIfTrue="1">
      <formula>$A319="end repeat"</formula>
    </cfRule>
  </conditionalFormatting>
  <conditionalFormatting sqref="B319:E319">
    <cfRule type="expression" dxfId="28" priority="3389" stopIfTrue="1">
      <formula>$A319="begin repeat"</formula>
    </cfRule>
  </conditionalFormatting>
  <conditionalFormatting sqref="B319:E319">
    <cfRule type="expression" dxfId="29" priority="3390" stopIfTrue="1">
      <formula>$A319="end group"</formula>
    </cfRule>
  </conditionalFormatting>
  <conditionalFormatting sqref="B319:E319">
    <cfRule type="expression" dxfId="29" priority="3391" stopIfTrue="1">
      <formula>$A319="begin group"</formula>
    </cfRule>
  </conditionalFormatting>
  <conditionalFormatting sqref="B319">
    <cfRule type="expression" dxfId="30" priority="3392" stopIfTrue="1">
      <formula>$A319="comments"</formula>
    </cfRule>
  </conditionalFormatting>
  <conditionalFormatting sqref="B319">
    <cfRule type="expression" dxfId="36" priority="3393" stopIfTrue="1">
      <formula>OR(AND(LEFT($A319, 14)="sensor_stream ", LEN($A319)&gt;14, NOT(ISNUMBER(SEARCH(" ", $A319, 15)))), AND(LEFT($A319, 17)="sensor_statistic ", LEN($A319)&gt;17, NOT(ISNUMBER(SEARCH(" ", $A319, 18)))))</formula>
    </cfRule>
  </conditionalFormatting>
  <conditionalFormatting sqref="B315:C317 D315:E317">
    <cfRule type="expression" dxfId="0" priority="3394" stopIfTrue="1">
      <formula>$A315="begin group"</formula>
    </cfRule>
  </conditionalFormatting>
  <conditionalFormatting sqref="B315:C317 D315:E317">
    <cfRule type="expression" dxfId="1" priority="3395" stopIfTrue="1">
      <formula>$A315="begin repeat"</formula>
    </cfRule>
  </conditionalFormatting>
  <conditionalFormatting sqref="B315:E317">
    <cfRule type="expression" dxfId="31" priority="3396" stopIfTrue="1">
      <formula>$A315="enumerator"</formula>
    </cfRule>
  </conditionalFormatting>
  <conditionalFormatting sqref="B315:E317">
    <cfRule type="expression" dxfId="2" priority="3397" stopIfTrue="1">
      <formula>$A315="text"</formula>
    </cfRule>
  </conditionalFormatting>
  <conditionalFormatting sqref="B315:E317">
    <cfRule type="expression" dxfId="3" priority="3398" stopIfTrue="1">
      <formula>$A315="integer"</formula>
    </cfRule>
  </conditionalFormatting>
  <conditionalFormatting sqref="B315:E317">
    <cfRule type="expression" dxfId="4" priority="3399" stopIfTrue="1">
      <formula>$A315="decimal"</formula>
    </cfRule>
  </conditionalFormatting>
  <conditionalFormatting sqref="B315:C317 D315:E317">
    <cfRule type="expression" dxfId="5" priority="3400" stopIfTrue="1">
      <formula>OR(AND(LEFT($A315, 16)="select_multiple ", LEN($A315)&gt;16, NOT(ISNUMBER(SEARCH(" ", $A315, 17)))), AND(LEFT($A315, 11)="select_one ", LEN($A315)&gt;11, NOT(ISNUMBER(SEARCH(" ", $A315, 12)))))</formula>
    </cfRule>
  </conditionalFormatting>
  <conditionalFormatting sqref="B315:B317">
    <cfRule type="expression" dxfId="6" priority="3401" stopIfTrue="1">
      <formula>OR($A315="audio audit", $A315="text audit", $A315="speed violations count", $A315="speed violations list", $A315="speed violations audit")</formula>
    </cfRule>
  </conditionalFormatting>
  <conditionalFormatting sqref="B315:C317 D315:E317">
    <cfRule type="expression" dxfId="32" priority="3402" stopIfTrue="1">
      <formula>$A315="file"</formula>
    </cfRule>
  </conditionalFormatting>
  <conditionalFormatting sqref="B315:C317 D315:E317">
    <cfRule type="expression" dxfId="7" priority="3403" stopIfTrue="1">
      <formula>$A315="note"</formula>
    </cfRule>
  </conditionalFormatting>
  <conditionalFormatting sqref="B315:C317 D315:E317">
    <cfRule type="expression" dxfId="8" priority="3404" stopIfTrue="1">
      <formula>$A315="barcode"</formula>
    </cfRule>
  </conditionalFormatting>
  <conditionalFormatting sqref="B315:C317 D315:E317">
    <cfRule type="expression" dxfId="9" priority="3405" stopIfTrue="1">
      <formula>OR($A315="geopoint", $A315="geoshape", $A315="geotrace")</formula>
    </cfRule>
  </conditionalFormatting>
  <conditionalFormatting sqref="B315:B317">
    <cfRule type="expression" dxfId="10" priority="3406" stopIfTrue="1">
      <formula>OR($A315="calculate", $A315="calculate_here")</formula>
    </cfRule>
  </conditionalFormatting>
  <conditionalFormatting sqref="B315:C317 D315:E317">
    <cfRule type="expression" dxfId="11" priority="3407" stopIfTrue="1">
      <formula>OR($A315="date", $A315="datetime", $A315="time")</formula>
    </cfRule>
  </conditionalFormatting>
  <conditionalFormatting sqref="B315:C317 D315:E317">
    <cfRule type="expression" dxfId="12" priority="3408" stopIfTrue="1">
      <formula>$A315="image"</formula>
    </cfRule>
  </conditionalFormatting>
  <conditionalFormatting sqref="B315:C317 D315:E317">
    <cfRule type="expression" dxfId="13" priority="3409" stopIfTrue="1">
      <formula>OR($A315="audio", $A315="video")</formula>
    </cfRule>
  </conditionalFormatting>
  <conditionalFormatting sqref="B315:E317">
    <cfRule type="expression" dxfId="33" priority="3410" stopIfTrue="1">
      <formula>$A315="file"</formula>
    </cfRule>
  </conditionalFormatting>
  <conditionalFormatting sqref="B315:E317">
    <cfRule type="expression" dxfId="34" priority="3411" stopIfTrue="1">
      <formula>$A315="enumerator"</formula>
    </cfRule>
  </conditionalFormatting>
  <conditionalFormatting sqref="B315:E317">
    <cfRule type="expression" dxfId="35" priority="3412" stopIfTrue="1">
      <formula>OR(AND(LEFT($A315, 14)="sensor_stream ", LEN($A315)&gt;14, NOT(ISNUMBER(SEARCH(" ", $A315, 15)))), AND(LEFT($A315, 17)="sensor_statistic ", LEN($A315)&gt;17, NOT(ISNUMBER(SEARCH(" ", $A315, 18)))))</formula>
    </cfRule>
  </conditionalFormatting>
  <conditionalFormatting sqref="B315:E317">
    <cfRule type="expression" dxfId="14" priority="3413" stopIfTrue="1">
      <formula>$A315="comments"</formula>
    </cfRule>
  </conditionalFormatting>
  <conditionalFormatting sqref="B315:E317">
    <cfRule type="expression" dxfId="15" priority="3414" stopIfTrue="1">
      <formula>OR($A315="audio", $A315="video")</formula>
    </cfRule>
  </conditionalFormatting>
  <conditionalFormatting sqref="B315:E317">
    <cfRule type="expression" dxfId="16" priority="3415" stopIfTrue="1">
      <formula>$A315="image"</formula>
    </cfRule>
  </conditionalFormatting>
  <conditionalFormatting sqref="B315:E317">
    <cfRule type="expression" dxfId="17" priority="3416" stopIfTrue="1">
      <formula>OR($A315="date", $A315="datetime", $A315="time")</formula>
    </cfRule>
  </conditionalFormatting>
  <conditionalFormatting sqref="B315:E317">
    <cfRule type="expression" dxfId="18" priority="3417" stopIfTrue="1">
      <formula>OR($A315="calculate", $A315="calculate_here")</formula>
    </cfRule>
  </conditionalFormatting>
  <conditionalFormatting sqref="B315:E317">
    <cfRule type="expression" dxfId="19" priority="3418" stopIfTrue="1">
      <formula>$A315="note"</formula>
    </cfRule>
  </conditionalFormatting>
  <conditionalFormatting sqref="B315:E317">
    <cfRule type="expression" dxfId="20" priority="3419" stopIfTrue="1">
      <formula>$A315="barcode"</formula>
    </cfRule>
  </conditionalFormatting>
  <conditionalFormatting sqref="B315:E317">
    <cfRule type="expression" dxfId="21" priority="3420" stopIfTrue="1">
      <formula>OR($A315="geopoint", $A315="geoshape", $A315="geotrace")</formula>
    </cfRule>
  </conditionalFormatting>
  <conditionalFormatting sqref="B315:E317">
    <cfRule type="expression" dxfId="22" priority="3421" stopIfTrue="1">
      <formula>OR($A315="audio audit", $A315="text audit", $A315="speed violations count", $A315="speed violations list", $A315="speed violations audit")</formula>
    </cfRule>
  </conditionalFormatting>
  <conditionalFormatting sqref="B315:E317">
    <cfRule type="expression" dxfId="23" priority="3422" stopIfTrue="1">
      <formula>OR($A315="username", $A315="phonenumber", $A315="start", $A315="end", $A315="deviceid", $A315="subscriberid", $A315="simserial", $A315="caseid")</formula>
    </cfRule>
  </conditionalFormatting>
  <conditionalFormatting sqref="B315:E317">
    <cfRule type="expression" dxfId="24" priority="3423" stopIfTrue="1">
      <formula>OR(AND(LEFT($A315, 16)="select_multiple ", LEN($A315)&gt;16, NOT(ISNUMBER(SEARCH(" ", $A315, 17)))), AND(LEFT($A315, 11)="select_one ", LEN($A315)&gt;11, NOT(ISNUMBER(SEARCH(" ", $A315, 12)))))</formula>
    </cfRule>
  </conditionalFormatting>
  <conditionalFormatting sqref="B315:E317">
    <cfRule type="expression" dxfId="25" priority="3424" stopIfTrue="1">
      <formula>$A315="decimal"</formula>
    </cfRule>
  </conditionalFormatting>
  <conditionalFormatting sqref="B315:E317">
    <cfRule type="expression" dxfId="26" priority="3425" stopIfTrue="1">
      <formula>$A315="integer"</formula>
    </cfRule>
  </conditionalFormatting>
  <conditionalFormatting sqref="B315:E317">
    <cfRule type="expression" dxfId="27" priority="3426" stopIfTrue="1">
      <formula>$A315="text"</formula>
    </cfRule>
  </conditionalFormatting>
  <conditionalFormatting sqref="B315:E317">
    <cfRule type="expression" dxfId="28" priority="3427" stopIfTrue="1">
      <formula>$A315="end repeat"</formula>
    </cfRule>
  </conditionalFormatting>
  <conditionalFormatting sqref="B315:E317">
    <cfRule type="expression" dxfId="28" priority="3428" stopIfTrue="1">
      <formula>$A315="begin repeat"</formula>
    </cfRule>
  </conditionalFormatting>
  <conditionalFormatting sqref="B315:E317">
    <cfRule type="expression" dxfId="29" priority="3429" stopIfTrue="1">
      <formula>$A315="end group"</formula>
    </cfRule>
  </conditionalFormatting>
  <conditionalFormatting sqref="B315:E317">
    <cfRule type="expression" dxfId="29" priority="3430" stopIfTrue="1">
      <formula>$A315="begin group"</formula>
    </cfRule>
  </conditionalFormatting>
  <conditionalFormatting sqref="B315:B317">
    <cfRule type="expression" dxfId="30" priority="3431" stopIfTrue="1">
      <formula>$A315="comments"</formula>
    </cfRule>
  </conditionalFormatting>
  <conditionalFormatting sqref="B315:B317">
    <cfRule type="expression" dxfId="36" priority="3432" stopIfTrue="1">
      <formula>OR(AND(LEFT($A315, 14)="sensor_stream ", LEN($A315)&gt;14, NOT(ISNUMBER(SEARCH(" ", $A315, 15)))), AND(LEFT($A315, 17)="sensor_statistic ", LEN($A315)&gt;17, NOT(ISNUMBER(SEARCH(" ", $A315, 18)))))</formula>
    </cfRule>
  </conditionalFormatting>
  <conditionalFormatting sqref="B305:C312 D305:E312">
    <cfRule type="expression" dxfId="0" priority="3433" stopIfTrue="1">
      <formula>$A305="begin group"</formula>
    </cfRule>
  </conditionalFormatting>
  <conditionalFormatting sqref="B305:C312 D305:E312">
    <cfRule type="expression" dxfId="1" priority="3434" stopIfTrue="1">
      <formula>$A305="begin repeat"</formula>
    </cfRule>
  </conditionalFormatting>
  <conditionalFormatting sqref="B305:E312">
    <cfRule type="expression" dxfId="31" priority="3435" stopIfTrue="1">
      <formula>$A305="enumerator"</formula>
    </cfRule>
  </conditionalFormatting>
  <conditionalFormatting sqref="B305:E312">
    <cfRule type="expression" dxfId="2" priority="3436" stopIfTrue="1">
      <formula>$A305="text"</formula>
    </cfRule>
  </conditionalFormatting>
  <conditionalFormatting sqref="B305:E312">
    <cfRule type="expression" dxfId="3" priority="3437" stopIfTrue="1">
      <formula>$A305="integer"</formula>
    </cfRule>
  </conditionalFormatting>
  <conditionalFormatting sqref="B305:E312">
    <cfRule type="expression" dxfId="4" priority="3438" stopIfTrue="1">
      <formula>$A305="decimal"</formula>
    </cfRule>
  </conditionalFormatting>
  <conditionalFormatting sqref="B305:C312 D305:E312">
    <cfRule type="expression" dxfId="5" priority="3439" stopIfTrue="1">
      <formula>OR(AND(LEFT($A305, 16)="select_multiple ", LEN($A305)&gt;16, NOT(ISNUMBER(SEARCH(" ", $A305, 17)))), AND(LEFT($A305, 11)="select_one ", LEN($A305)&gt;11, NOT(ISNUMBER(SEARCH(" ", $A305, 12)))))</formula>
    </cfRule>
  </conditionalFormatting>
  <conditionalFormatting sqref="B305:B312">
    <cfRule type="expression" dxfId="6" priority="3440" stopIfTrue="1">
      <formula>OR($A305="audio audit", $A305="text audit", $A305="speed violations count", $A305="speed violations list", $A305="speed violations audit")</formula>
    </cfRule>
  </conditionalFormatting>
  <conditionalFormatting sqref="B305:C312 D305:E312">
    <cfRule type="expression" dxfId="32" priority="3441" stopIfTrue="1">
      <formula>$A305="file"</formula>
    </cfRule>
  </conditionalFormatting>
  <conditionalFormatting sqref="B305:C312 D305:E312">
    <cfRule type="expression" dxfId="7" priority="3442" stopIfTrue="1">
      <formula>$A305="note"</formula>
    </cfRule>
  </conditionalFormatting>
  <conditionalFormatting sqref="B305:C312 D305:E312">
    <cfRule type="expression" dxfId="8" priority="3443" stopIfTrue="1">
      <formula>$A305="barcode"</formula>
    </cfRule>
  </conditionalFormatting>
  <conditionalFormatting sqref="B305:C312 D305:E312">
    <cfRule type="expression" dxfId="9" priority="3444" stopIfTrue="1">
      <formula>OR($A305="geopoint", $A305="geoshape", $A305="geotrace")</formula>
    </cfRule>
  </conditionalFormatting>
  <conditionalFormatting sqref="B305:B312">
    <cfRule type="expression" dxfId="10" priority="3445" stopIfTrue="1">
      <formula>OR($A305="calculate", $A305="calculate_here")</formula>
    </cfRule>
  </conditionalFormatting>
  <conditionalFormatting sqref="B305:C312 D305:E312">
    <cfRule type="expression" dxfId="11" priority="3446" stopIfTrue="1">
      <formula>OR($A305="date", $A305="datetime", $A305="time")</formula>
    </cfRule>
  </conditionalFormatting>
  <conditionalFormatting sqref="B305:C312 D305:E312">
    <cfRule type="expression" dxfId="12" priority="3447" stopIfTrue="1">
      <formula>$A305="image"</formula>
    </cfRule>
  </conditionalFormatting>
  <conditionalFormatting sqref="B305:C312 D305:E312">
    <cfRule type="expression" dxfId="13" priority="3448" stopIfTrue="1">
      <formula>OR($A305="audio", $A305="video")</formula>
    </cfRule>
  </conditionalFormatting>
  <conditionalFormatting sqref="B305:E312">
    <cfRule type="expression" dxfId="33" priority="3449" stopIfTrue="1">
      <formula>$A305="file"</formula>
    </cfRule>
  </conditionalFormatting>
  <conditionalFormatting sqref="B305:E312">
    <cfRule type="expression" dxfId="34" priority="3450" stopIfTrue="1">
      <formula>$A305="enumerator"</formula>
    </cfRule>
  </conditionalFormatting>
  <conditionalFormatting sqref="B305:E312">
    <cfRule type="expression" dxfId="35" priority="3451" stopIfTrue="1">
      <formula>OR(AND(LEFT($A305, 14)="sensor_stream ", LEN($A305)&gt;14, NOT(ISNUMBER(SEARCH(" ", $A305, 15)))), AND(LEFT($A305, 17)="sensor_statistic ", LEN($A305)&gt;17, NOT(ISNUMBER(SEARCH(" ", $A305, 18)))))</formula>
    </cfRule>
  </conditionalFormatting>
  <conditionalFormatting sqref="B305:E312">
    <cfRule type="expression" dxfId="14" priority="3452" stopIfTrue="1">
      <formula>$A305="comments"</formula>
    </cfRule>
  </conditionalFormatting>
  <conditionalFormatting sqref="B305:E312">
    <cfRule type="expression" dxfId="15" priority="3453" stopIfTrue="1">
      <formula>OR($A305="audio", $A305="video")</formula>
    </cfRule>
  </conditionalFormatting>
  <conditionalFormatting sqref="B305:E312">
    <cfRule type="expression" dxfId="16" priority="3454" stopIfTrue="1">
      <formula>$A305="image"</formula>
    </cfRule>
  </conditionalFormatting>
  <conditionalFormatting sqref="B305:E312">
    <cfRule type="expression" dxfId="17" priority="3455" stopIfTrue="1">
      <formula>OR($A305="date", $A305="datetime", $A305="time")</formula>
    </cfRule>
  </conditionalFormatting>
  <conditionalFormatting sqref="B305:E312">
    <cfRule type="expression" dxfId="18" priority="3456" stopIfTrue="1">
      <formula>OR($A305="calculate", $A305="calculate_here")</formula>
    </cfRule>
  </conditionalFormatting>
  <conditionalFormatting sqref="B305:E312">
    <cfRule type="expression" dxfId="19" priority="3457" stopIfTrue="1">
      <formula>$A305="note"</formula>
    </cfRule>
  </conditionalFormatting>
  <conditionalFormatting sqref="B305:E312">
    <cfRule type="expression" dxfId="20" priority="3458" stopIfTrue="1">
      <formula>$A305="barcode"</formula>
    </cfRule>
  </conditionalFormatting>
  <conditionalFormatting sqref="B305:E312">
    <cfRule type="expression" dxfId="21" priority="3459" stopIfTrue="1">
      <formula>OR($A305="geopoint", $A305="geoshape", $A305="geotrace")</formula>
    </cfRule>
  </conditionalFormatting>
  <conditionalFormatting sqref="B305:E312">
    <cfRule type="expression" dxfId="22" priority="3460" stopIfTrue="1">
      <formula>OR($A305="audio audit", $A305="text audit", $A305="speed violations count", $A305="speed violations list", $A305="speed violations audit")</formula>
    </cfRule>
  </conditionalFormatting>
  <conditionalFormatting sqref="B305:E312">
    <cfRule type="expression" dxfId="23" priority="3461" stopIfTrue="1">
      <formula>OR($A305="username", $A305="phonenumber", $A305="start", $A305="end", $A305="deviceid", $A305="subscriberid", $A305="simserial", $A305="caseid")</formula>
    </cfRule>
  </conditionalFormatting>
  <conditionalFormatting sqref="B305:E312">
    <cfRule type="expression" dxfId="24" priority="3462" stopIfTrue="1">
      <formula>OR(AND(LEFT($A305, 16)="select_multiple ", LEN($A305)&gt;16, NOT(ISNUMBER(SEARCH(" ", $A305, 17)))), AND(LEFT($A305, 11)="select_one ", LEN($A305)&gt;11, NOT(ISNUMBER(SEARCH(" ", $A305, 12)))))</formula>
    </cfRule>
  </conditionalFormatting>
  <conditionalFormatting sqref="B305:E312">
    <cfRule type="expression" dxfId="25" priority="3463" stopIfTrue="1">
      <formula>$A305="decimal"</formula>
    </cfRule>
  </conditionalFormatting>
  <conditionalFormatting sqref="B305:E312">
    <cfRule type="expression" dxfId="26" priority="3464" stopIfTrue="1">
      <formula>$A305="integer"</formula>
    </cfRule>
  </conditionalFormatting>
  <conditionalFormatting sqref="B305:E312">
    <cfRule type="expression" dxfId="27" priority="3465" stopIfTrue="1">
      <formula>$A305="text"</formula>
    </cfRule>
  </conditionalFormatting>
  <conditionalFormatting sqref="B305:E312">
    <cfRule type="expression" dxfId="28" priority="3466" stopIfTrue="1">
      <formula>$A305="end repeat"</formula>
    </cfRule>
  </conditionalFormatting>
  <conditionalFormatting sqref="B305:E312">
    <cfRule type="expression" dxfId="28" priority="3467" stopIfTrue="1">
      <formula>$A305="begin repeat"</formula>
    </cfRule>
  </conditionalFormatting>
  <conditionalFormatting sqref="B305:E312">
    <cfRule type="expression" dxfId="29" priority="3468" stopIfTrue="1">
      <formula>$A305="end group"</formula>
    </cfRule>
  </conditionalFormatting>
  <conditionalFormatting sqref="B305:E312">
    <cfRule type="expression" dxfId="29" priority="3469" stopIfTrue="1">
      <formula>$A305="begin group"</formula>
    </cfRule>
  </conditionalFormatting>
  <conditionalFormatting sqref="B305:B312">
    <cfRule type="expression" dxfId="30" priority="3470" stopIfTrue="1">
      <formula>$A305="comments"</formula>
    </cfRule>
  </conditionalFormatting>
  <conditionalFormatting sqref="B305:B312">
    <cfRule type="expression" dxfId="36" priority="3471" stopIfTrue="1">
      <formula>OR(AND(LEFT($A305, 14)="sensor_stream ", LEN($A305)&gt;14, NOT(ISNUMBER(SEARCH(" ", $A305, 15)))), AND(LEFT($A305, 17)="sensor_statistic ", LEN($A305)&gt;17, NOT(ISNUMBER(SEARCH(" ", $A305, 18)))))</formula>
    </cfRule>
  </conditionalFormatting>
  <conditionalFormatting sqref="B292:C302 D292:E302">
    <cfRule type="expression" dxfId="0" priority="3472" stopIfTrue="1">
      <formula>$A292="begin group"</formula>
    </cfRule>
  </conditionalFormatting>
  <conditionalFormatting sqref="B292:C302 D292:E302">
    <cfRule type="expression" dxfId="1" priority="3473" stopIfTrue="1">
      <formula>$A292="begin repeat"</formula>
    </cfRule>
  </conditionalFormatting>
  <conditionalFormatting sqref="B292:E302">
    <cfRule type="expression" dxfId="31" priority="3474" stopIfTrue="1">
      <formula>$A292="enumerator"</formula>
    </cfRule>
  </conditionalFormatting>
  <conditionalFormatting sqref="B292:E302">
    <cfRule type="expression" dxfId="2" priority="3475" stopIfTrue="1">
      <formula>$A292="text"</formula>
    </cfRule>
  </conditionalFormatting>
  <conditionalFormatting sqref="B292:E302">
    <cfRule type="expression" dxfId="3" priority="3476" stopIfTrue="1">
      <formula>$A292="integer"</formula>
    </cfRule>
  </conditionalFormatting>
  <conditionalFormatting sqref="B292:E302">
    <cfRule type="expression" dxfId="4" priority="3477" stopIfTrue="1">
      <formula>$A292="decimal"</formula>
    </cfRule>
  </conditionalFormatting>
  <conditionalFormatting sqref="B292:C302 D292:E302">
    <cfRule type="expression" dxfId="5" priority="3478" stopIfTrue="1">
      <formula>OR(AND(LEFT($A292, 16)="select_multiple ", LEN($A292)&gt;16, NOT(ISNUMBER(SEARCH(" ", $A292, 17)))), AND(LEFT($A292, 11)="select_one ", LEN($A292)&gt;11, NOT(ISNUMBER(SEARCH(" ", $A292, 12)))))</formula>
    </cfRule>
  </conditionalFormatting>
  <conditionalFormatting sqref="B292:B302">
    <cfRule type="expression" dxfId="6" priority="3479" stopIfTrue="1">
      <formula>OR($A292="audio audit", $A292="text audit", $A292="speed violations count", $A292="speed violations list", $A292="speed violations audit")</formula>
    </cfRule>
  </conditionalFormatting>
  <conditionalFormatting sqref="B292:C302 D292:E302">
    <cfRule type="expression" dxfId="32" priority="3480" stopIfTrue="1">
      <formula>$A292="file"</formula>
    </cfRule>
  </conditionalFormatting>
  <conditionalFormatting sqref="B292:C302 D292:E302">
    <cfRule type="expression" dxfId="7" priority="3481" stopIfTrue="1">
      <formula>$A292="note"</formula>
    </cfRule>
  </conditionalFormatting>
  <conditionalFormatting sqref="B292:C302 D292:E302">
    <cfRule type="expression" dxfId="8" priority="3482" stopIfTrue="1">
      <formula>$A292="barcode"</formula>
    </cfRule>
  </conditionalFormatting>
  <conditionalFormatting sqref="B292:C302 D292:E302">
    <cfRule type="expression" dxfId="9" priority="3483" stopIfTrue="1">
      <formula>OR($A292="geopoint", $A292="geoshape", $A292="geotrace")</formula>
    </cfRule>
  </conditionalFormatting>
  <conditionalFormatting sqref="B292:B302">
    <cfRule type="expression" dxfId="10" priority="3484" stopIfTrue="1">
      <formula>OR($A292="calculate", $A292="calculate_here")</formula>
    </cfRule>
  </conditionalFormatting>
  <conditionalFormatting sqref="B292:C302 D292:E302">
    <cfRule type="expression" dxfId="11" priority="3485" stopIfTrue="1">
      <formula>OR($A292="date", $A292="datetime", $A292="time")</formula>
    </cfRule>
  </conditionalFormatting>
  <conditionalFormatting sqref="B292:C302 D292:E302">
    <cfRule type="expression" dxfId="12" priority="3486" stopIfTrue="1">
      <formula>$A292="image"</formula>
    </cfRule>
  </conditionalFormatting>
  <conditionalFormatting sqref="B292:C302 D292:E302">
    <cfRule type="expression" dxfId="13" priority="3487" stopIfTrue="1">
      <formula>OR($A292="audio", $A292="video")</formula>
    </cfRule>
  </conditionalFormatting>
  <conditionalFormatting sqref="B292:E302">
    <cfRule type="expression" dxfId="33" priority="3488" stopIfTrue="1">
      <formula>$A292="file"</formula>
    </cfRule>
  </conditionalFormatting>
  <conditionalFormatting sqref="B292:E302">
    <cfRule type="expression" dxfId="34" priority="3489" stopIfTrue="1">
      <formula>$A292="enumerator"</formula>
    </cfRule>
  </conditionalFormatting>
  <conditionalFormatting sqref="B292:E302">
    <cfRule type="expression" dxfId="35" priority="3490" stopIfTrue="1">
      <formula>OR(AND(LEFT($A292, 14)="sensor_stream ", LEN($A292)&gt;14, NOT(ISNUMBER(SEARCH(" ", $A292, 15)))), AND(LEFT($A292, 17)="sensor_statistic ", LEN($A292)&gt;17, NOT(ISNUMBER(SEARCH(" ", $A292, 18)))))</formula>
    </cfRule>
  </conditionalFormatting>
  <conditionalFormatting sqref="B292:E302">
    <cfRule type="expression" dxfId="14" priority="3491" stopIfTrue="1">
      <formula>$A292="comments"</formula>
    </cfRule>
  </conditionalFormatting>
  <conditionalFormatting sqref="B292:E302">
    <cfRule type="expression" dxfId="15" priority="3492" stopIfTrue="1">
      <formula>OR($A292="audio", $A292="video")</formula>
    </cfRule>
  </conditionalFormatting>
  <conditionalFormatting sqref="B292:E302">
    <cfRule type="expression" dxfId="16" priority="3493" stopIfTrue="1">
      <formula>$A292="image"</formula>
    </cfRule>
  </conditionalFormatting>
  <conditionalFormatting sqref="B292:E302">
    <cfRule type="expression" dxfId="17" priority="3494" stopIfTrue="1">
      <formula>OR($A292="date", $A292="datetime", $A292="time")</formula>
    </cfRule>
  </conditionalFormatting>
  <conditionalFormatting sqref="B292:E302">
    <cfRule type="expression" dxfId="18" priority="3495" stopIfTrue="1">
      <formula>OR($A292="calculate", $A292="calculate_here")</formula>
    </cfRule>
  </conditionalFormatting>
  <conditionalFormatting sqref="B292:E302">
    <cfRule type="expression" dxfId="19" priority="3496" stopIfTrue="1">
      <formula>$A292="note"</formula>
    </cfRule>
  </conditionalFormatting>
  <conditionalFormatting sqref="B292:E302">
    <cfRule type="expression" dxfId="20" priority="3497" stopIfTrue="1">
      <formula>$A292="barcode"</formula>
    </cfRule>
  </conditionalFormatting>
  <conditionalFormatting sqref="B292:E302">
    <cfRule type="expression" dxfId="21" priority="3498" stopIfTrue="1">
      <formula>OR($A292="geopoint", $A292="geoshape", $A292="geotrace")</formula>
    </cfRule>
  </conditionalFormatting>
  <conditionalFormatting sqref="B292:E302">
    <cfRule type="expression" dxfId="22" priority="3499" stopIfTrue="1">
      <formula>OR($A292="audio audit", $A292="text audit", $A292="speed violations count", $A292="speed violations list", $A292="speed violations audit")</formula>
    </cfRule>
  </conditionalFormatting>
  <conditionalFormatting sqref="B292:E302">
    <cfRule type="expression" dxfId="23" priority="3500" stopIfTrue="1">
      <formula>OR($A292="username", $A292="phonenumber", $A292="start", $A292="end", $A292="deviceid", $A292="subscriberid", $A292="simserial", $A292="caseid")</formula>
    </cfRule>
  </conditionalFormatting>
  <conditionalFormatting sqref="B292:E302">
    <cfRule type="expression" dxfId="24" priority="3501" stopIfTrue="1">
      <formula>OR(AND(LEFT($A292, 16)="select_multiple ", LEN($A292)&gt;16, NOT(ISNUMBER(SEARCH(" ", $A292, 17)))), AND(LEFT($A292, 11)="select_one ", LEN($A292)&gt;11, NOT(ISNUMBER(SEARCH(" ", $A292, 12)))))</formula>
    </cfRule>
  </conditionalFormatting>
  <conditionalFormatting sqref="B292:E302">
    <cfRule type="expression" dxfId="25" priority="3502" stopIfTrue="1">
      <formula>$A292="decimal"</formula>
    </cfRule>
  </conditionalFormatting>
  <conditionalFormatting sqref="B292:E302">
    <cfRule type="expression" dxfId="26" priority="3503" stopIfTrue="1">
      <formula>$A292="integer"</formula>
    </cfRule>
  </conditionalFormatting>
  <conditionalFormatting sqref="B292:E302">
    <cfRule type="expression" dxfId="27" priority="3504" stopIfTrue="1">
      <formula>$A292="text"</formula>
    </cfRule>
  </conditionalFormatting>
  <conditionalFormatting sqref="B292:E302">
    <cfRule type="expression" dxfId="28" priority="3505" stopIfTrue="1">
      <formula>$A292="end repeat"</formula>
    </cfRule>
  </conditionalFormatting>
  <conditionalFormatting sqref="B292:E302">
    <cfRule type="expression" dxfId="28" priority="3506" stopIfTrue="1">
      <formula>$A292="begin repeat"</formula>
    </cfRule>
  </conditionalFormatting>
  <conditionalFormatting sqref="B292:E302">
    <cfRule type="expression" dxfId="29" priority="3507" stopIfTrue="1">
      <formula>$A292="end group"</formula>
    </cfRule>
  </conditionalFormatting>
  <conditionalFormatting sqref="B292:E302">
    <cfRule type="expression" dxfId="29" priority="3508" stopIfTrue="1">
      <formula>$A292="begin group"</formula>
    </cfRule>
  </conditionalFormatting>
  <conditionalFormatting sqref="B292:B302">
    <cfRule type="expression" dxfId="30" priority="3509" stopIfTrue="1">
      <formula>$A292="comments"</formula>
    </cfRule>
  </conditionalFormatting>
  <conditionalFormatting sqref="B292:B302">
    <cfRule type="expression" dxfId="36" priority="3510" stopIfTrue="1">
      <formula>OR(AND(LEFT($A292, 14)="sensor_stream ", LEN($A292)&gt;14, NOT(ISNUMBER(SEARCH(" ", $A292, 15)))), AND(LEFT($A292, 17)="sensor_statistic ", LEN($A292)&gt;17, NOT(ISNUMBER(SEARCH(" ", $A292, 18)))))</formula>
    </cfRule>
  </conditionalFormatting>
  <conditionalFormatting sqref="B284:C285 D284:E285">
    <cfRule type="expression" dxfId="0" priority="3511" stopIfTrue="1">
      <formula>$A284="begin group"</formula>
    </cfRule>
  </conditionalFormatting>
  <conditionalFormatting sqref="B284:C285 D284:E285">
    <cfRule type="expression" dxfId="1" priority="3512" stopIfTrue="1">
      <formula>$A284="begin repeat"</formula>
    </cfRule>
  </conditionalFormatting>
  <conditionalFormatting sqref="B284:E285">
    <cfRule type="expression" dxfId="31" priority="3513" stopIfTrue="1">
      <formula>$A284="enumerator"</formula>
    </cfRule>
  </conditionalFormatting>
  <conditionalFormatting sqref="B284:E285">
    <cfRule type="expression" dxfId="2" priority="3514" stopIfTrue="1">
      <formula>$A284="text"</formula>
    </cfRule>
  </conditionalFormatting>
  <conditionalFormatting sqref="B284:E285">
    <cfRule type="expression" dxfId="3" priority="3515" stopIfTrue="1">
      <formula>$A284="integer"</formula>
    </cfRule>
  </conditionalFormatting>
  <conditionalFormatting sqref="B284:E285">
    <cfRule type="expression" dxfId="4" priority="3516" stopIfTrue="1">
      <formula>$A284="decimal"</formula>
    </cfRule>
  </conditionalFormatting>
  <conditionalFormatting sqref="B284:C285 D284:E285">
    <cfRule type="expression" dxfId="5" priority="3517" stopIfTrue="1">
      <formula>OR(AND(LEFT($A284, 16)="select_multiple ", LEN($A284)&gt;16, NOT(ISNUMBER(SEARCH(" ", $A284, 17)))), AND(LEFT($A284, 11)="select_one ", LEN($A284)&gt;11, NOT(ISNUMBER(SEARCH(" ", $A284, 12)))))</formula>
    </cfRule>
  </conditionalFormatting>
  <conditionalFormatting sqref="B284:B285">
    <cfRule type="expression" dxfId="6" priority="3518" stopIfTrue="1">
      <formula>OR($A284="audio audit", $A284="text audit", $A284="speed violations count", $A284="speed violations list", $A284="speed violations audit")</formula>
    </cfRule>
  </conditionalFormatting>
  <conditionalFormatting sqref="B284:C285 D284:E285">
    <cfRule type="expression" dxfId="32" priority="3519" stopIfTrue="1">
      <formula>$A284="file"</formula>
    </cfRule>
  </conditionalFormatting>
  <conditionalFormatting sqref="B284:C285 D284:E285">
    <cfRule type="expression" dxfId="7" priority="3520" stopIfTrue="1">
      <formula>$A284="note"</formula>
    </cfRule>
  </conditionalFormatting>
  <conditionalFormatting sqref="B284:C285 D284:E285">
    <cfRule type="expression" dxfId="8" priority="3521" stopIfTrue="1">
      <formula>$A284="barcode"</formula>
    </cfRule>
  </conditionalFormatting>
  <conditionalFormatting sqref="B284:C285 D284:E285">
    <cfRule type="expression" dxfId="9" priority="3522" stopIfTrue="1">
      <formula>OR($A284="geopoint", $A284="geoshape", $A284="geotrace")</formula>
    </cfRule>
  </conditionalFormatting>
  <conditionalFormatting sqref="B284:B285">
    <cfRule type="expression" dxfId="10" priority="3523" stopIfTrue="1">
      <formula>OR($A284="calculate", $A284="calculate_here")</formula>
    </cfRule>
  </conditionalFormatting>
  <conditionalFormatting sqref="B284:C285 D284:E285">
    <cfRule type="expression" dxfId="11" priority="3524" stopIfTrue="1">
      <formula>OR($A284="date", $A284="datetime", $A284="time")</formula>
    </cfRule>
  </conditionalFormatting>
  <conditionalFormatting sqref="B284:C285 D284:E285">
    <cfRule type="expression" dxfId="12" priority="3525" stopIfTrue="1">
      <formula>$A284="image"</formula>
    </cfRule>
  </conditionalFormatting>
  <conditionalFormatting sqref="B284:C285 D284:E285">
    <cfRule type="expression" dxfId="13" priority="3526" stopIfTrue="1">
      <formula>OR($A284="audio", $A284="video")</formula>
    </cfRule>
  </conditionalFormatting>
  <conditionalFormatting sqref="B284:E285">
    <cfRule type="expression" dxfId="33" priority="3527" stopIfTrue="1">
      <formula>$A284="file"</formula>
    </cfRule>
  </conditionalFormatting>
  <conditionalFormatting sqref="B284:E285">
    <cfRule type="expression" dxfId="34" priority="3528" stopIfTrue="1">
      <formula>$A284="enumerator"</formula>
    </cfRule>
  </conditionalFormatting>
  <conditionalFormatting sqref="B284:E285">
    <cfRule type="expression" dxfId="35" priority="3529" stopIfTrue="1">
      <formula>OR(AND(LEFT($A284, 14)="sensor_stream ", LEN($A284)&gt;14, NOT(ISNUMBER(SEARCH(" ", $A284, 15)))), AND(LEFT($A284, 17)="sensor_statistic ", LEN($A284)&gt;17, NOT(ISNUMBER(SEARCH(" ", $A284, 18)))))</formula>
    </cfRule>
  </conditionalFormatting>
  <conditionalFormatting sqref="B284:E285">
    <cfRule type="expression" dxfId="14" priority="3530" stopIfTrue="1">
      <formula>$A284="comments"</formula>
    </cfRule>
  </conditionalFormatting>
  <conditionalFormatting sqref="B284:E285">
    <cfRule type="expression" dxfId="15" priority="3531" stopIfTrue="1">
      <formula>OR($A284="audio", $A284="video")</formula>
    </cfRule>
  </conditionalFormatting>
  <conditionalFormatting sqref="B284:E285">
    <cfRule type="expression" dxfId="16" priority="3532" stopIfTrue="1">
      <formula>$A284="image"</formula>
    </cfRule>
  </conditionalFormatting>
  <conditionalFormatting sqref="B284:E285">
    <cfRule type="expression" dxfId="17" priority="3533" stopIfTrue="1">
      <formula>OR($A284="date", $A284="datetime", $A284="time")</formula>
    </cfRule>
  </conditionalFormatting>
  <conditionalFormatting sqref="B284:E285">
    <cfRule type="expression" dxfId="18" priority="3534" stopIfTrue="1">
      <formula>OR($A284="calculate", $A284="calculate_here")</formula>
    </cfRule>
  </conditionalFormatting>
  <conditionalFormatting sqref="B284:E285">
    <cfRule type="expression" dxfId="19" priority="3535" stopIfTrue="1">
      <formula>$A284="note"</formula>
    </cfRule>
  </conditionalFormatting>
  <conditionalFormatting sqref="B284:E285">
    <cfRule type="expression" dxfId="20" priority="3536" stopIfTrue="1">
      <formula>$A284="barcode"</formula>
    </cfRule>
  </conditionalFormatting>
  <conditionalFormatting sqref="B284:E285">
    <cfRule type="expression" dxfId="21" priority="3537" stopIfTrue="1">
      <formula>OR($A284="geopoint", $A284="geoshape", $A284="geotrace")</formula>
    </cfRule>
  </conditionalFormatting>
  <conditionalFormatting sqref="B284:E285">
    <cfRule type="expression" dxfId="22" priority="3538" stopIfTrue="1">
      <formula>OR($A284="audio audit", $A284="text audit", $A284="speed violations count", $A284="speed violations list", $A284="speed violations audit")</formula>
    </cfRule>
  </conditionalFormatting>
  <conditionalFormatting sqref="B284:E285">
    <cfRule type="expression" dxfId="23" priority="3539" stopIfTrue="1">
      <formula>OR($A284="username", $A284="phonenumber", $A284="start", $A284="end", $A284="deviceid", $A284="subscriberid", $A284="simserial", $A284="caseid")</formula>
    </cfRule>
  </conditionalFormatting>
  <conditionalFormatting sqref="B284:E285">
    <cfRule type="expression" dxfId="24" priority="3540" stopIfTrue="1">
      <formula>OR(AND(LEFT($A284, 16)="select_multiple ", LEN($A284)&gt;16, NOT(ISNUMBER(SEARCH(" ", $A284, 17)))), AND(LEFT($A284, 11)="select_one ", LEN($A284)&gt;11, NOT(ISNUMBER(SEARCH(" ", $A284, 12)))))</formula>
    </cfRule>
  </conditionalFormatting>
  <conditionalFormatting sqref="B284:E285">
    <cfRule type="expression" dxfId="25" priority="3541" stopIfTrue="1">
      <formula>$A284="decimal"</formula>
    </cfRule>
  </conditionalFormatting>
  <conditionalFormatting sqref="B284:E285">
    <cfRule type="expression" dxfId="26" priority="3542" stopIfTrue="1">
      <formula>$A284="integer"</formula>
    </cfRule>
  </conditionalFormatting>
  <conditionalFormatting sqref="B284:E285">
    <cfRule type="expression" dxfId="27" priority="3543" stopIfTrue="1">
      <formula>$A284="text"</formula>
    </cfRule>
  </conditionalFormatting>
  <conditionalFormatting sqref="B284:E285">
    <cfRule type="expression" dxfId="28" priority="3544" stopIfTrue="1">
      <formula>$A284="end repeat"</formula>
    </cfRule>
  </conditionalFormatting>
  <conditionalFormatting sqref="B284:E285">
    <cfRule type="expression" dxfId="28" priority="3545" stopIfTrue="1">
      <formula>$A284="begin repeat"</formula>
    </cfRule>
  </conditionalFormatting>
  <conditionalFormatting sqref="B284:E285">
    <cfRule type="expression" dxfId="29" priority="3546" stopIfTrue="1">
      <formula>$A284="end group"</formula>
    </cfRule>
  </conditionalFormatting>
  <conditionalFormatting sqref="B284:E285">
    <cfRule type="expression" dxfId="29" priority="3547" stopIfTrue="1">
      <formula>$A284="begin group"</formula>
    </cfRule>
  </conditionalFormatting>
  <conditionalFormatting sqref="B284:B285">
    <cfRule type="expression" dxfId="30" priority="3548" stopIfTrue="1">
      <formula>$A284="comments"</formula>
    </cfRule>
  </conditionalFormatting>
  <conditionalFormatting sqref="B284:B285">
    <cfRule type="expression" dxfId="36" priority="3549" stopIfTrue="1">
      <formula>OR(AND(LEFT($A284, 14)="sensor_stream ", LEN($A284)&gt;14, NOT(ISNUMBER(SEARCH(" ", $A284, 15)))), AND(LEFT($A284, 17)="sensor_statistic ", LEN($A284)&gt;17, NOT(ISNUMBER(SEARCH(" ", $A284, 18)))))</formula>
    </cfRule>
  </conditionalFormatting>
  <conditionalFormatting sqref="B279:C281 D279:E281">
    <cfRule type="expression" dxfId="0" priority="3550" stopIfTrue="1">
      <formula>$A279="begin group"</formula>
    </cfRule>
  </conditionalFormatting>
  <conditionalFormatting sqref="B279:C281 D279:E281">
    <cfRule type="expression" dxfId="1" priority="3551" stopIfTrue="1">
      <formula>$A279="begin repeat"</formula>
    </cfRule>
  </conditionalFormatting>
  <conditionalFormatting sqref="B279:E281">
    <cfRule type="expression" dxfId="31" priority="3552" stopIfTrue="1">
      <formula>$A279="enumerator"</formula>
    </cfRule>
  </conditionalFormatting>
  <conditionalFormatting sqref="B279:E281">
    <cfRule type="expression" dxfId="2" priority="3553" stopIfTrue="1">
      <formula>$A279="text"</formula>
    </cfRule>
  </conditionalFormatting>
  <conditionalFormatting sqref="B279:E281">
    <cfRule type="expression" dxfId="3" priority="3554" stopIfTrue="1">
      <formula>$A279="integer"</formula>
    </cfRule>
  </conditionalFormatting>
  <conditionalFormatting sqref="B279:E281">
    <cfRule type="expression" dxfId="4" priority="3555" stopIfTrue="1">
      <formula>$A279="decimal"</formula>
    </cfRule>
  </conditionalFormatting>
  <conditionalFormatting sqref="B279:C281 D279:E281">
    <cfRule type="expression" dxfId="5" priority="3556" stopIfTrue="1">
      <formula>OR(AND(LEFT($A279, 16)="select_multiple ", LEN($A279)&gt;16, NOT(ISNUMBER(SEARCH(" ", $A279, 17)))), AND(LEFT($A279, 11)="select_one ", LEN($A279)&gt;11, NOT(ISNUMBER(SEARCH(" ", $A279, 12)))))</formula>
    </cfRule>
  </conditionalFormatting>
  <conditionalFormatting sqref="B279:B281">
    <cfRule type="expression" dxfId="6" priority="3557" stopIfTrue="1">
      <formula>OR($A279="audio audit", $A279="text audit", $A279="speed violations count", $A279="speed violations list", $A279="speed violations audit")</formula>
    </cfRule>
  </conditionalFormatting>
  <conditionalFormatting sqref="B279:C281 D279:E281">
    <cfRule type="expression" dxfId="32" priority="3558" stopIfTrue="1">
      <formula>$A279="file"</formula>
    </cfRule>
  </conditionalFormatting>
  <conditionalFormatting sqref="B279:C281 D279:E281">
    <cfRule type="expression" dxfId="7" priority="3559" stopIfTrue="1">
      <formula>$A279="note"</formula>
    </cfRule>
  </conditionalFormatting>
  <conditionalFormatting sqref="B279:C281 D279:E281">
    <cfRule type="expression" dxfId="8" priority="3560" stopIfTrue="1">
      <formula>$A279="barcode"</formula>
    </cfRule>
  </conditionalFormatting>
  <conditionalFormatting sqref="B279:C281 D279:E281">
    <cfRule type="expression" dxfId="9" priority="3561" stopIfTrue="1">
      <formula>OR($A279="geopoint", $A279="geoshape", $A279="geotrace")</formula>
    </cfRule>
  </conditionalFormatting>
  <conditionalFormatting sqref="B279:B281">
    <cfRule type="expression" dxfId="10" priority="3562" stopIfTrue="1">
      <formula>OR($A279="calculate", $A279="calculate_here")</formula>
    </cfRule>
  </conditionalFormatting>
  <conditionalFormatting sqref="B279:C281 D279:E281">
    <cfRule type="expression" dxfId="11" priority="3563" stopIfTrue="1">
      <formula>OR($A279="date", $A279="datetime", $A279="time")</formula>
    </cfRule>
  </conditionalFormatting>
  <conditionalFormatting sqref="B279:C281 D279:E281">
    <cfRule type="expression" dxfId="12" priority="3564" stopIfTrue="1">
      <formula>$A279="image"</formula>
    </cfRule>
  </conditionalFormatting>
  <conditionalFormatting sqref="B279:C281 D279:E281">
    <cfRule type="expression" dxfId="13" priority="3565" stopIfTrue="1">
      <formula>OR($A279="audio", $A279="video")</formula>
    </cfRule>
  </conditionalFormatting>
  <conditionalFormatting sqref="B279:E281">
    <cfRule type="expression" dxfId="33" priority="3566" stopIfTrue="1">
      <formula>$A279="file"</formula>
    </cfRule>
  </conditionalFormatting>
  <conditionalFormatting sqref="B279:E281">
    <cfRule type="expression" dxfId="34" priority="3567" stopIfTrue="1">
      <formula>$A279="enumerator"</formula>
    </cfRule>
  </conditionalFormatting>
  <conditionalFormatting sqref="B279:E281">
    <cfRule type="expression" dxfId="35" priority="3568" stopIfTrue="1">
      <formula>OR(AND(LEFT($A279, 14)="sensor_stream ", LEN($A279)&gt;14, NOT(ISNUMBER(SEARCH(" ", $A279, 15)))), AND(LEFT($A279, 17)="sensor_statistic ", LEN($A279)&gt;17, NOT(ISNUMBER(SEARCH(" ", $A279, 18)))))</formula>
    </cfRule>
  </conditionalFormatting>
  <conditionalFormatting sqref="B279:E281">
    <cfRule type="expression" dxfId="14" priority="3569" stopIfTrue="1">
      <formula>$A279="comments"</formula>
    </cfRule>
  </conditionalFormatting>
  <conditionalFormatting sqref="B279:E281">
    <cfRule type="expression" dxfId="15" priority="3570" stopIfTrue="1">
      <formula>OR($A279="audio", $A279="video")</formula>
    </cfRule>
  </conditionalFormatting>
  <conditionalFormatting sqref="B279:E281">
    <cfRule type="expression" dxfId="16" priority="3571" stopIfTrue="1">
      <formula>$A279="image"</formula>
    </cfRule>
  </conditionalFormatting>
  <conditionalFormatting sqref="B279:E281">
    <cfRule type="expression" dxfId="17" priority="3572" stopIfTrue="1">
      <formula>OR($A279="date", $A279="datetime", $A279="time")</formula>
    </cfRule>
  </conditionalFormatting>
  <conditionalFormatting sqref="B279:E281">
    <cfRule type="expression" dxfId="18" priority="3573" stopIfTrue="1">
      <formula>OR($A279="calculate", $A279="calculate_here")</formula>
    </cfRule>
  </conditionalFormatting>
  <conditionalFormatting sqref="B279:E281">
    <cfRule type="expression" dxfId="19" priority="3574" stopIfTrue="1">
      <formula>$A279="note"</formula>
    </cfRule>
  </conditionalFormatting>
  <conditionalFormatting sqref="B279:E281">
    <cfRule type="expression" dxfId="20" priority="3575" stopIfTrue="1">
      <formula>$A279="barcode"</formula>
    </cfRule>
  </conditionalFormatting>
  <conditionalFormatting sqref="B279:E281">
    <cfRule type="expression" dxfId="21" priority="3576" stopIfTrue="1">
      <formula>OR($A279="geopoint", $A279="geoshape", $A279="geotrace")</formula>
    </cfRule>
  </conditionalFormatting>
  <conditionalFormatting sqref="B279:E281">
    <cfRule type="expression" dxfId="22" priority="3577" stopIfTrue="1">
      <formula>OR($A279="audio audit", $A279="text audit", $A279="speed violations count", $A279="speed violations list", $A279="speed violations audit")</formula>
    </cfRule>
  </conditionalFormatting>
  <conditionalFormatting sqref="B279:E281">
    <cfRule type="expression" dxfId="23" priority="3578" stopIfTrue="1">
      <formula>OR($A279="username", $A279="phonenumber", $A279="start", $A279="end", $A279="deviceid", $A279="subscriberid", $A279="simserial", $A279="caseid")</formula>
    </cfRule>
  </conditionalFormatting>
  <conditionalFormatting sqref="B279:E281">
    <cfRule type="expression" dxfId="24" priority="3579" stopIfTrue="1">
      <formula>OR(AND(LEFT($A279, 16)="select_multiple ", LEN($A279)&gt;16, NOT(ISNUMBER(SEARCH(" ", $A279, 17)))), AND(LEFT($A279, 11)="select_one ", LEN($A279)&gt;11, NOT(ISNUMBER(SEARCH(" ", $A279, 12)))))</formula>
    </cfRule>
  </conditionalFormatting>
  <conditionalFormatting sqref="B279:E281">
    <cfRule type="expression" dxfId="25" priority="3580" stopIfTrue="1">
      <formula>$A279="decimal"</formula>
    </cfRule>
  </conditionalFormatting>
  <conditionalFormatting sqref="B279:E281">
    <cfRule type="expression" dxfId="26" priority="3581" stopIfTrue="1">
      <formula>$A279="integer"</formula>
    </cfRule>
  </conditionalFormatting>
  <conditionalFormatting sqref="B279:E281">
    <cfRule type="expression" dxfId="27" priority="3582" stopIfTrue="1">
      <formula>$A279="text"</formula>
    </cfRule>
  </conditionalFormatting>
  <conditionalFormatting sqref="B279:E281">
    <cfRule type="expression" dxfId="28" priority="3583" stopIfTrue="1">
      <formula>$A279="end repeat"</formula>
    </cfRule>
  </conditionalFormatting>
  <conditionalFormatting sqref="B279:E281">
    <cfRule type="expression" dxfId="28" priority="3584" stopIfTrue="1">
      <formula>$A279="begin repeat"</formula>
    </cfRule>
  </conditionalFormatting>
  <conditionalFormatting sqref="B279:E281">
    <cfRule type="expression" dxfId="29" priority="3585" stopIfTrue="1">
      <formula>$A279="end group"</formula>
    </cfRule>
  </conditionalFormatting>
  <conditionalFormatting sqref="B279:E281">
    <cfRule type="expression" dxfId="29" priority="3586" stopIfTrue="1">
      <formula>$A279="begin group"</formula>
    </cfRule>
  </conditionalFormatting>
  <conditionalFormatting sqref="B279:B281">
    <cfRule type="expression" dxfId="30" priority="3587" stopIfTrue="1">
      <formula>$A279="comments"</formula>
    </cfRule>
  </conditionalFormatting>
  <conditionalFormatting sqref="B279:B281">
    <cfRule type="expression" dxfId="36" priority="3588" stopIfTrue="1">
      <formula>OR(AND(LEFT($A279, 14)="sensor_stream ", LEN($A279)&gt;14, NOT(ISNUMBER(SEARCH(" ", $A279, 15)))), AND(LEFT($A279, 17)="sensor_statistic ", LEN($A279)&gt;17, NOT(ISNUMBER(SEARCH(" ", $A279, 18)))))</formula>
    </cfRule>
  </conditionalFormatting>
  <conditionalFormatting sqref="B259:C275 D259:E275">
    <cfRule type="expression" dxfId="0" priority="3589" stopIfTrue="1">
      <formula>$A259="begin group"</formula>
    </cfRule>
  </conditionalFormatting>
  <conditionalFormatting sqref="B259:C275 D259:E275">
    <cfRule type="expression" dxfId="1" priority="3590" stopIfTrue="1">
      <formula>$A259="begin repeat"</formula>
    </cfRule>
  </conditionalFormatting>
  <conditionalFormatting sqref="B259:E275">
    <cfRule type="expression" dxfId="31" priority="3591" stopIfTrue="1">
      <formula>$A259="enumerator"</formula>
    </cfRule>
  </conditionalFormatting>
  <conditionalFormatting sqref="B259:E275">
    <cfRule type="expression" dxfId="2" priority="3592" stopIfTrue="1">
      <formula>$A259="text"</formula>
    </cfRule>
  </conditionalFormatting>
  <conditionalFormatting sqref="B259:E275">
    <cfRule type="expression" dxfId="3" priority="3593" stopIfTrue="1">
      <formula>$A259="integer"</formula>
    </cfRule>
  </conditionalFormatting>
  <conditionalFormatting sqref="B259:E275">
    <cfRule type="expression" dxfId="4" priority="3594" stopIfTrue="1">
      <formula>$A259="decimal"</formula>
    </cfRule>
  </conditionalFormatting>
  <conditionalFormatting sqref="B259:C275 D259:E275">
    <cfRule type="expression" dxfId="5" priority="3595" stopIfTrue="1">
      <formula>OR(AND(LEFT($A259, 16)="select_multiple ", LEN($A259)&gt;16, NOT(ISNUMBER(SEARCH(" ", $A259, 17)))), AND(LEFT($A259, 11)="select_one ", LEN($A259)&gt;11, NOT(ISNUMBER(SEARCH(" ", $A259, 12)))))</formula>
    </cfRule>
  </conditionalFormatting>
  <conditionalFormatting sqref="B259:B275">
    <cfRule type="expression" dxfId="6" priority="3596" stopIfTrue="1">
      <formula>OR($A259="audio audit", $A259="text audit", $A259="speed violations count", $A259="speed violations list", $A259="speed violations audit")</formula>
    </cfRule>
  </conditionalFormatting>
  <conditionalFormatting sqref="B259:C275 D259:E275">
    <cfRule type="expression" dxfId="32" priority="3597" stopIfTrue="1">
      <formula>$A259="file"</formula>
    </cfRule>
  </conditionalFormatting>
  <conditionalFormatting sqref="B259:C275 D259:E275">
    <cfRule type="expression" dxfId="7" priority="3598" stopIfTrue="1">
      <formula>$A259="note"</formula>
    </cfRule>
  </conditionalFormatting>
  <conditionalFormatting sqref="B259:C275 D259:E275">
    <cfRule type="expression" dxfId="8" priority="3599" stopIfTrue="1">
      <formula>$A259="barcode"</formula>
    </cfRule>
  </conditionalFormatting>
  <conditionalFormatting sqref="B259:C275 D259:E275">
    <cfRule type="expression" dxfId="9" priority="3600" stopIfTrue="1">
      <formula>OR($A259="geopoint", $A259="geoshape", $A259="geotrace")</formula>
    </cfRule>
  </conditionalFormatting>
  <conditionalFormatting sqref="B259:B275">
    <cfRule type="expression" dxfId="10" priority="3601" stopIfTrue="1">
      <formula>OR($A259="calculate", $A259="calculate_here")</formula>
    </cfRule>
  </conditionalFormatting>
  <conditionalFormatting sqref="B259:C275 D259:E275">
    <cfRule type="expression" dxfId="11" priority="3602" stopIfTrue="1">
      <formula>OR($A259="date", $A259="datetime", $A259="time")</formula>
    </cfRule>
  </conditionalFormatting>
  <conditionalFormatting sqref="B259:C275 D259:E275">
    <cfRule type="expression" dxfId="12" priority="3603" stopIfTrue="1">
      <formula>$A259="image"</formula>
    </cfRule>
  </conditionalFormatting>
  <conditionalFormatting sqref="B259:C275 D259:E275">
    <cfRule type="expression" dxfId="13" priority="3604" stopIfTrue="1">
      <formula>OR($A259="audio", $A259="video")</formula>
    </cfRule>
  </conditionalFormatting>
  <conditionalFormatting sqref="B259:E275">
    <cfRule type="expression" dxfId="33" priority="3605" stopIfTrue="1">
      <formula>$A259="file"</formula>
    </cfRule>
  </conditionalFormatting>
  <conditionalFormatting sqref="B259:E275">
    <cfRule type="expression" dxfId="34" priority="3606" stopIfTrue="1">
      <formula>$A259="enumerator"</formula>
    </cfRule>
  </conditionalFormatting>
  <conditionalFormatting sqref="B259:E275">
    <cfRule type="expression" dxfId="35" priority="3607" stopIfTrue="1">
      <formula>OR(AND(LEFT($A259, 14)="sensor_stream ", LEN($A259)&gt;14, NOT(ISNUMBER(SEARCH(" ", $A259, 15)))), AND(LEFT($A259, 17)="sensor_statistic ", LEN($A259)&gt;17, NOT(ISNUMBER(SEARCH(" ", $A259, 18)))))</formula>
    </cfRule>
  </conditionalFormatting>
  <conditionalFormatting sqref="B259:E275">
    <cfRule type="expression" dxfId="14" priority="3608" stopIfTrue="1">
      <formula>$A259="comments"</formula>
    </cfRule>
  </conditionalFormatting>
  <conditionalFormatting sqref="B259:E275">
    <cfRule type="expression" dxfId="15" priority="3609" stopIfTrue="1">
      <formula>OR($A259="audio", $A259="video")</formula>
    </cfRule>
  </conditionalFormatting>
  <conditionalFormatting sqref="B259:E275">
    <cfRule type="expression" dxfId="16" priority="3610" stopIfTrue="1">
      <formula>$A259="image"</formula>
    </cfRule>
  </conditionalFormatting>
  <conditionalFormatting sqref="B259:E275">
    <cfRule type="expression" dxfId="17" priority="3611" stopIfTrue="1">
      <formula>OR($A259="date", $A259="datetime", $A259="time")</formula>
    </cfRule>
  </conditionalFormatting>
  <conditionalFormatting sqref="B259:E275">
    <cfRule type="expression" dxfId="18" priority="3612" stopIfTrue="1">
      <formula>OR($A259="calculate", $A259="calculate_here")</formula>
    </cfRule>
  </conditionalFormatting>
  <conditionalFormatting sqref="B259:E275">
    <cfRule type="expression" dxfId="19" priority="3613" stopIfTrue="1">
      <formula>$A259="note"</formula>
    </cfRule>
  </conditionalFormatting>
  <conditionalFormatting sqref="B259:E275">
    <cfRule type="expression" dxfId="20" priority="3614" stopIfTrue="1">
      <formula>$A259="barcode"</formula>
    </cfRule>
  </conditionalFormatting>
  <conditionalFormatting sqref="B259:E275">
    <cfRule type="expression" dxfId="21" priority="3615" stopIfTrue="1">
      <formula>OR($A259="geopoint", $A259="geoshape", $A259="geotrace")</formula>
    </cfRule>
  </conditionalFormatting>
  <conditionalFormatting sqref="B259:E275">
    <cfRule type="expression" dxfId="22" priority="3616" stopIfTrue="1">
      <formula>OR($A259="audio audit", $A259="text audit", $A259="speed violations count", $A259="speed violations list", $A259="speed violations audit")</formula>
    </cfRule>
  </conditionalFormatting>
  <conditionalFormatting sqref="B259:E275">
    <cfRule type="expression" dxfId="23" priority="3617" stopIfTrue="1">
      <formula>OR($A259="username", $A259="phonenumber", $A259="start", $A259="end", $A259="deviceid", $A259="subscriberid", $A259="simserial", $A259="caseid")</formula>
    </cfRule>
  </conditionalFormatting>
  <conditionalFormatting sqref="B259:E275">
    <cfRule type="expression" dxfId="24" priority="3618" stopIfTrue="1">
      <formula>OR(AND(LEFT($A259, 16)="select_multiple ", LEN($A259)&gt;16, NOT(ISNUMBER(SEARCH(" ", $A259, 17)))), AND(LEFT($A259, 11)="select_one ", LEN($A259)&gt;11, NOT(ISNUMBER(SEARCH(" ", $A259, 12)))))</formula>
    </cfRule>
  </conditionalFormatting>
  <conditionalFormatting sqref="B259:E275">
    <cfRule type="expression" dxfId="25" priority="3619" stopIfTrue="1">
      <formula>$A259="decimal"</formula>
    </cfRule>
  </conditionalFormatting>
  <conditionalFormatting sqref="B259:E275">
    <cfRule type="expression" dxfId="26" priority="3620" stopIfTrue="1">
      <formula>$A259="integer"</formula>
    </cfRule>
  </conditionalFormatting>
  <conditionalFormatting sqref="B259:E275">
    <cfRule type="expression" dxfId="27" priority="3621" stopIfTrue="1">
      <formula>$A259="text"</formula>
    </cfRule>
  </conditionalFormatting>
  <conditionalFormatting sqref="B259:E275">
    <cfRule type="expression" dxfId="28" priority="3622" stopIfTrue="1">
      <formula>$A259="end repeat"</formula>
    </cfRule>
  </conditionalFormatting>
  <conditionalFormatting sqref="B259:E275">
    <cfRule type="expression" dxfId="28" priority="3623" stopIfTrue="1">
      <formula>$A259="begin repeat"</formula>
    </cfRule>
  </conditionalFormatting>
  <conditionalFormatting sqref="B259:E275">
    <cfRule type="expression" dxfId="29" priority="3624" stopIfTrue="1">
      <formula>$A259="end group"</formula>
    </cfRule>
  </conditionalFormatting>
  <conditionalFormatting sqref="B259:E275">
    <cfRule type="expression" dxfId="29" priority="3625" stopIfTrue="1">
      <formula>$A259="begin group"</formula>
    </cfRule>
  </conditionalFormatting>
  <conditionalFormatting sqref="B259:B275">
    <cfRule type="expression" dxfId="30" priority="3626" stopIfTrue="1">
      <formula>$A259="comments"</formula>
    </cfRule>
  </conditionalFormatting>
  <conditionalFormatting sqref="B259:B275">
    <cfRule type="expression" dxfId="36" priority="3627" stopIfTrue="1">
      <formula>OR(AND(LEFT($A259, 14)="sensor_stream ", LEN($A259)&gt;14, NOT(ISNUMBER(SEARCH(" ", $A259, 15)))), AND(LEFT($A259, 17)="sensor_statistic ", LEN($A259)&gt;17, NOT(ISNUMBER(SEARCH(" ", $A259, 18)))))</formula>
    </cfRule>
  </conditionalFormatting>
  <conditionalFormatting sqref="B257:C257 D257:E257">
    <cfRule type="expression" dxfId="0" priority="3628" stopIfTrue="1">
      <formula>$A257="begin group"</formula>
    </cfRule>
  </conditionalFormatting>
  <conditionalFormatting sqref="B257:C257 D257:E257">
    <cfRule type="expression" dxfId="1" priority="3629" stopIfTrue="1">
      <formula>$A257="begin repeat"</formula>
    </cfRule>
  </conditionalFormatting>
  <conditionalFormatting sqref="B257:E257">
    <cfRule type="expression" dxfId="31" priority="3630" stopIfTrue="1">
      <formula>$A257="enumerator"</formula>
    </cfRule>
  </conditionalFormatting>
  <conditionalFormatting sqref="B257:E257">
    <cfRule type="expression" dxfId="2" priority="3631" stopIfTrue="1">
      <formula>$A257="text"</formula>
    </cfRule>
  </conditionalFormatting>
  <conditionalFormatting sqref="B257:E257">
    <cfRule type="expression" dxfId="3" priority="3632" stopIfTrue="1">
      <formula>$A257="integer"</formula>
    </cfRule>
  </conditionalFormatting>
  <conditionalFormatting sqref="B257:E257">
    <cfRule type="expression" dxfId="4" priority="3633" stopIfTrue="1">
      <formula>$A257="decimal"</formula>
    </cfRule>
  </conditionalFormatting>
  <conditionalFormatting sqref="B257:C257 D257:E257">
    <cfRule type="expression" dxfId="5" priority="3634" stopIfTrue="1">
      <formula>OR(AND(LEFT($A257, 16)="select_multiple ", LEN($A257)&gt;16, NOT(ISNUMBER(SEARCH(" ", $A257, 17)))), AND(LEFT($A257, 11)="select_one ", LEN($A257)&gt;11, NOT(ISNUMBER(SEARCH(" ", $A257, 12)))))</formula>
    </cfRule>
  </conditionalFormatting>
  <conditionalFormatting sqref="B257">
    <cfRule type="expression" dxfId="6" priority="3635" stopIfTrue="1">
      <formula>OR($A257="audio audit", $A257="text audit", $A257="speed violations count", $A257="speed violations list", $A257="speed violations audit")</formula>
    </cfRule>
  </conditionalFormatting>
  <conditionalFormatting sqref="B257:C257 D257:E257">
    <cfRule type="expression" dxfId="32" priority="3636" stopIfTrue="1">
      <formula>$A257="file"</formula>
    </cfRule>
  </conditionalFormatting>
  <conditionalFormatting sqref="B257:C257 D257:E257">
    <cfRule type="expression" dxfId="7" priority="3637" stopIfTrue="1">
      <formula>$A257="note"</formula>
    </cfRule>
  </conditionalFormatting>
  <conditionalFormatting sqref="B257:C257 D257:E257">
    <cfRule type="expression" dxfId="8" priority="3638" stopIfTrue="1">
      <formula>$A257="barcode"</formula>
    </cfRule>
  </conditionalFormatting>
  <conditionalFormatting sqref="B257:C257 D257:E257">
    <cfRule type="expression" dxfId="9" priority="3639" stopIfTrue="1">
      <formula>OR($A257="geopoint", $A257="geoshape", $A257="geotrace")</formula>
    </cfRule>
  </conditionalFormatting>
  <conditionalFormatting sqref="B257">
    <cfRule type="expression" dxfId="10" priority="3640" stopIfTrue="1">
      <formula>OR($A257="calculate", $A257="calculate_here")</formula>
    </cfRule>
  </conditionalFormatting>
  <conditionalFormatting sqref="B257:C257 D257:E257">
    <cfRule type="expression" dxfId="11" priority="3641" stopIfTrue="1">
      <formula>OR($A257="date", $A257="datetime", $A257="time")</formula>
    </cfRule>
  </conditionalFormatting>
  <conditionalFormatting sqref="B257:C257 D257:E257">
    <cfRule type="expression" dxfId="12" priority="3642" stopIfTrue="1">
      <formula>$A257="image"</formula>
    </cfRule>
  </conditionalFormatting>
  <conditionalFormatting sqref="B257:C257 D257:E257">
    <cfRule type="expression" dxfId="13" priority="3643" stopIfTrue="1">
      <formula>OR($A257="audio", $A257="video")</formula>
    </cfRule>
  </conditionalFormatting>
  <conditionalFormatting sqref="B257:E257">
    <cfRule type="expression" dxfId="33" priority="3644" stopIfTrue="1">
      <formula>$A257="file"</formula>
    </cfRule>
  </conditionalFormatting>
  <conditionalFormatting sqref="B257:E257">
    <cfRule type="expression" dxfId="34" priority="3645" stopIfTrue="1">
      <formula>$A257="enumerator"</formula>
    </cfRule>
  </conditionalFormatting>
  <conditionalFormatting sqref="B257:E257">
    <cfRule type="expression" dxfId="35" priority="3646" stopIfTrue="1">
      <formula>OR(AND(LEFT($A257, 14)="sensor_stream ", LEN($A257)&gt;14, NOT(ISNUMBER(SEARCH(" ", $A257, 15)))), AND(LEFT($A257, 17)="sensor_statistic ", LEN($A257)&gt;17, NOT(ISNUMBER(SEARCH(" ", $A257, 18)))))</formula>
    </cfRule>
  </conditionalFormatting>
  <conditionalFormatting sqref="B257:E257">
    <cfRule type="expression" dxfId="14" priority="3647" stopIfTrue="1">
      <formula>$A257="comments"</formula>
    </cfRule>
  </conditionalFormatting>
  <conditionalFormatting sqref="B257:E257">
    <cfRule type="expression" dxfId="15" priority="3648" stopIfTrue="1">
      <formula>OR($A257="audio", $A257="video")</formula>
    </cfRule>
  </conditionalFormatting>
  <conditionalFormatting sqref="B257:E257">
    <cfRule type="expression" dxfId="16" priority="3649" stopIfTrue="1">
      <formula>$A257="image"</formula>
    </cfRule>
  </conditionalFormatting>
  <conditionalFormatting sqref="B257:E257">
    <cfRule type="expression" dxfId="17" priority="3650" stopIfTrue="1">
      <formula>OR($A257="date", $A257="datetime", $A257="time")</formula>
    </cfRule>
  </conditionalFormatting>
  <conditionalFormatting sqref="B257:E257">
    <cfRule type="expression" dxfId="18" priority="3651" stopIfTrue="1">
      <formula>OR($A257="calculate", $A257="calculate_here")</formula>
    </cfRule>
  </conditionalFormatting>
  <conditionalFormatting sqref="B257:E257">
    <cfRule type="expression" dxfId="19" priority="3652" stopIfTrue="1">
      <formula>$A257="note"</formula>
    </cfRule>
  </conditionalFormatting>
  <conditionalFormatting sqref="B257:E257">
    <cfRule type="expression" dxfId="20" priority="3653" stopIfTrue="1">
      <formula>$A257="barcode"</formula>
    </cfRule>
  </conditionalFormatting>
  <conditionalFormatting sqref="B257:E257">
    <cfRule type="expression" dxfId="21" priority="3654" stopIfTrue="1">
      <formula>OR($A257="geopoint", $A257="geoshape", $A257="geotrace")</formula>
    </cfRule>
  </conditionalFormatting>
  <conditionalFormatting sqref="B257:E257">
    <cfRule type="expression" dxfId="22" priority="3655" stopIfTrue="1">
      <formula>OR($A257="audio audit", $A257="text audit", $A257="speed violations count", $A257="speed violations list", $A257="speed violations audit")</formula>
    </cfRule>
  </conditionalFormatting>
  <conditionalFormatting sqref="B257:E257">
    <cfRule type="expression" dxfId="23" priority="3656" stopIfTrue="1">
      <formula>OR($A257="username", $A257="phonenumber", $A257="start", $A257="end", $A257="deviceid", $A257="subscriberid", $A257="simserial", $A257="caseid")</formula>
    </cfRule>
  </conditionalFormatting>
  <conditionalFormatting sqref="B257:E257">
    <cfRule type="expression" dxfId="24" priority="3657" stopIfTrue="1">
      <formula>OR(AND(LEFT($A257, 16)="select_multiple ", LEN($A257)&gt;16, NOT(ISNUMBER(SEARCH(" ", $A257, 17)))), AND(LEFT($A257, 11)="select_one ", LEN($A257)&gt;11, NOT(ISNUMBER(SEARCH(" ", $A257, 12)))))</formula>
    </cfRule>
  </conditionalFormatting>
  <conditionalFormatting sqref="B257:E257">
    <cfRule type="expression" dxfId="25" priority="3658" stopIfTrue="1">
      <formula>$A257="decimal"</formula>
    </cfRule>
  </conditionalFormatting>
  <conditionalFormatting sqref="B257:E257">
    <cfRule type="expression" dxfId="26" priority="3659" stopIfTrue="1">
      <formula>$A257="integer"</formula>
    </cfRule>
  </conditionalFormatting>
  <conditionalFormatting sqref="B257:E257">
    <cfRule type="expression" dxfId="27" priority="3660" stopIfTrue="1">
      <formula>$A257="text"</formula>
    </cfRule>
  </conditionalFormatting>
  <conditionalFormatting sqref="B257:E257">
    <cfRule type="expression" dxfId="28" priority="3661" stopIfTrue="1">
      <formula>$A257="end repeat"</formula>
    </cfRule>
  </conditionalFormatting>
  <conditionalFormatting sqref="B257:E257">
    <cfRule type="expression" dxfId="28" priority="3662" stopIfTrue="1">
      <formula>$A257="begin repeat"</formula>
    </cfRule>
  </conditionalFormatting>
  <conditionalFormatting sqref="B257:E257">
    <cfRule type="expression" dxfId="29" priority="3663" stopIfTrue="1">
      <formula>$A257="end group"</formula>
    </cfRule>
  </conditionalFormatting>
  <conditionalFormatting sqref="B257:E257">
    <cfRule type="expression" dxfId="29" priority="3664" stopIfTrue="1">
      <formula>$A257="begin group"</formula>
    </cfRule>
  </conditionalFormatting>
  <conditionalFormatting sqref="B257">
    <cfRule type="expression" dxfId="30" priority="3665" stopIfTrue="1">
      <formula>$A257="comments"</formula>
    </cfRule>
  </conditionalFormatting>
  <conditionalFormatting sqref="B257">
    <cfRule type="expression" dxfId="36" priority="3666" stopIfTrue="1">
      <formula>OR(AND(LEFT($A257, 14)="sensor_stream ", LEN($A257)&gt;14, NOT(ISNUMBER(SEARCH(" ", $A257, 15)))), AND(LEFT($A257, 17)="sensor_statistic ", LEN($A257)&gt;17, NOT(ISNUMBER(SEARCH(" ", $A257, 18)))))</formula>
    </cfRule>
  </conditionalFormatting>
  <conditionalFormatting sqref="B235:C247 D235:E247">
    <cfRule type="expression" dxfId="0" priority="3667" stopIfTrue="1">
      <formula>$A235="begin group"</formula>
    </cfRule>
  </conditionalFormatting>
  <conditionalFormatting sqref="B235:C247 D235:E247">
    <cfRule type="expression" dxfId="1" priority="3668" stopIfTrue="1">
      <formula>$A235="begin repeat"</formula>
    </cfRule>
  </conditionalFormatting>
  <conditionalFormatting sqref="B235:E247">
    <cfRule type="expression" dxfId="31" priority="3669" stopIfTrue="1">
      <formula>$A235="enumerator"</formula>
    </cfRule>
  </conditionalFormatting>
  <conditionalFormatting sqref="B235:E247">
    <cfRule type="expression" dxfId="2" priority="3670" stopIfTrue="1">
      <formula>$A235="text"</formula>
    </cfRule>
  </conditionalFormatting>
  <conditionalFormatting sqref="B235:E247">
    <cfRule type="expression" dxfId="3" priority="3671" stopIfTrue="1">
      <formula>$A235="integer"</formula>
    </cfRule>
  </conditionalFormatting>
  <conditionalFormatting sqref="B235:E247">
    <cfRule type="expression" dxfId="4" priority="3672" stopIfTrue="1">
      <formula>$A235="decimal"</formula>
    </cfRule>
  </conditionalFormatting>
  <conditionalFormatting sqref="B235:C247 D235:E247">
    <cfRule type="expression" dxfId="5" priority="3673" stopIfTrue="1">
      <formula>OR(AND(LEFT($A235, 16)="select_multiple ", LEN($A235)&gt;16, NOT(ISNUMBER(SEARCH(" ", $A235, 17)))), AND(LEFT($A235, 11)="select_one ", LEN($A235)&gt;11, NOT(ISNUMBER(SEARCH(" ", $A235, 12)))))</formula>
    </cfRule>
  </conditionalFormatting>
  <conditionalFormatting sqref="B235:B247">
    <cfRule type="expression" dxfId="6" priority="3674" stopIfTrue="1">
      <formula>OR($A235="audio audit", $A235="text audit", $A235="speed violations count", $A235="speed violations list", $A235="speed violations audit")</formula>
    </cfRule>
  </conditionalFormatting>
  <conditionalFormatting sqref="B235:C247 D235:E247">
    <cfRule type="expression" dxfId="32" priority="3675" stopIfTrue="1">
      <formula>$A235="file"</formula>
    </cfRule>
  </conditionalFormatting>
  <conditionalFormatting sqref="B235:C247 D235:E247">
    <cfRule type="expression" dxfId="7" priority="3676" stopIfTrue="1">
      <formula>$A235="note"</formula>
    </cfRule>
  </conditionalFormatting>
  <conditionalFormatting sqref="B235:C247 D235:E247">
    <cfRule type="expression" dxfId="8" priority="3677" stopIfTrue="1">
      <formula>$A235="barcode"</formula>
    </cfRule>
  </conditionalFormatting>
  <conditionalFormatting sqref="B235:C247 D235:E247">
    <cfRule type="expression" dxfId="9" priority="3678" stopIfTrue="1">
      <formula>OR($A235="geopoint", $A235="geoshape", $A235="geotrace")</formula>
    </cfRule>
  </conditionalFormatting>
  <conditionalFormatting sqref="B235:B247">
    <cfRule type="expression" dxfId="10" priority="3679" stopIfTrue="1">
      <formula>OR($A235="calculate", $A235="calculate_here")</formula>
    </cfRule>
  </conditionalFormatting>
  <conditionalFormatting sqref="B235:C247 D235:E247">
    <cfRule type="expression" dxfId="11" priority="3680" stopIfTrue="1">
      <formula>OR($A235="date", $A235="datetime", $A235="time")</formula>
    </cfRule>
  </conditionalFormatting>
  <conditionalFormatting sqref="B235:C247 D235:E247">
    <cfRule type="expression" dxfId="12" priority="3681" stopIfTrue="1">
      <formula>$A235="image"</formula>
    </cfRule>
  </conditionalFormatting>
  <conditionalFormatting sqref="B235:C247 D235:E247">
    <cfRule type="expression" dxfId="13" priority="3682" stopIfTrue="1">
      <formula>OR($A235="audio", $A235="video")</formula>
    </cfRule>
  </conditionalFormatting>
  <conditionalFormatting sqref="B235:E247">
    <cfRule type="expression" dxfId="33" priority="3683" stopIfTrue="1">
      <formula>$A235="file"</formula>
    </cfRule>
  </conditionalFormatting>
  <conditionalFormatting sqref="B235:E247">
    <cfRule type="expression" dxfId="34" priority="3684" stopIfTrue="1">
      <formula>$A235="enumerator"</formula>
    </cfRule>
  </conditionalFormatting>
  <conditionalFormatting sqref="B235:E247">
    <cfRule type="expression" dxfId="35" priority="3685" stopIfTrue="1">
      <formula>OR(AND(LEFT($A235, 14)="sensor_stream ", LEN($A235)&gt;14, NOT(ISNUMBER(SEARCH(" ", $A235, 15)))), AND(LEFT($A235, 17)="sensor_statistic ", LEN($A235)&gt;17, NOT(ISNUMBER(SEARCH(" ", $A235, 18)))))</formula>
    </cfRule>
  </conditionalFormatting>
  <conditionalFormatting sqref="B235:E247">
    <cfRule type="expression" dxfId="14" priority="3686" stopIfTrue="1">
      <formula>$A235="comments"</formula>
    </cfRule>
  </conditionalFormatting>
  <conditionalFormatting sqref="B235:E247">
    <cfRule type="expression" dxfId="15" priority="3687" stopIfTrue="1">
      <formula>OR($A235="audio", $A235="video")</formula>
    </cfRule>
  </conditionalFormatting>
  <conditionalFormatting sqref="B235:E247">
    <cfRule type="expression" dxfId="16" priority="3688" stopIfTrue="1">
      <formula>$A235="image"</formula>
    </cfRule>
  </conditionalFormatting>
  <conditionalFormatting sqref="B235:E247">
    <cfRule type="expression" dxfId="17" priority="3689" stopIfTrue="1">
      <formula>OR($A235="date", $A235="datetime", $A235="time")</formula>
    </cfRule>
  </conditionalFormatting>
  <conditionalFormatting sqref="B235:E247">
    <cfRule type="expression" dxfId="18" priority="3690" stopIfTrue="1">
      <formula>OR($A235="calculate", $A235="calculate_here")</formula>
    </cfRule>
  </conditionalFormatting>
  <conditionalFormatting sqref="B235:E247">
    <cfRule type="expression" dxfId="19" priority="3691" stopIfTrue="1">
      <formula>$A235="note"</formula>
    </cfRule>
  </conditionalFormatting>
  <conditionalFormatting sqref="B235:E247">
    <cfRule type="expression" dxfId="20" priority="3692" stopIfTrue="1">
      <formula>$A235="barcode"</formula>
    </cfRule>
  </conditionalFormatting>
  <conditionalFormatting sqref="B235:E247">
    <cfRule type="expression" dxfId="21" priority="3693" stopIfTrue="1">
      <formula>OR($A235="geopoint", $A235="geoshape", $A235="geotrace")</formula>
    </cfRule>
  </conditionalFormatting>
  <conditionalFormatting sqref="B235:E247">
    <cfRule type="expression" dxfId="22" priority="3694" stopIfTrue="1">
      <formula>OR($A235="audio audit", $A235="text audit", $A235="speed violations count", $A235="speed violations list", $A235="speed violations audit")</formula>
    </cfRule>
  </conditionalFormatting>
  <conditionalFormatting sqref="B235:E247">
    <cfRule type="expression" dxfId="23" priority="3695" stopIfTrue="1">
      <formula>OR($A235="username", $A235="phonenumber", $A235="start", $A235="end", $A235="deviceid", $A235="subscriberid", $A235="simserial", $A235="caseid")</formula>
    </cfRule>
  </conditionalFormatting>
  <conditionalFormatting sqref="B235:E247">
    <cfRule type="expression" dxfId="24" priority="3696" stopIfTrue="1">
      <formula>OR(AND(LEFT($A235, 16)="select_multiple ", LEN($A235)&gt;16, NOT(ISNUMBER(SEARCH(" ", $A235, 17)))), AND(LEFT($A235, 11)="select_one ", LEN($A235)&gt;11, NOT(ISNUMBER(SEARCH(" ", $A235, 12)))))</formula>
    </cfRule>
  </conditionalFormatting>
  <conditionalFormatting sqref="B235:E247">
    <cfRule type="expression" dxfId="25" priority="3697" stopIfTrue="1">
      <formula>$A235="decimal"</formula>
    </cfRule>
  </conditionalFormatting>
  <conditionalFormatting sqref="B235:E247">
    <cfRule type="expression" dxfId="26" priority="3698" stopIfTrue="1">
      <formula>$A235="integer"</formula>
    </cfRule>
  </conditionalFormatting>
  <conditionalFormatting sqref="B235:E247">
    <cfRule type="expression" dxfId="27" priority="3699" stopIfTrue="1">
      <formula>$A235="text"</formula>
    </cfRule>
  </conditionalFormatting>
  <conditionalFormatting sqref="B235:E247">
    <cfRule type="expression" dxfId="28" priority="3700" stopIfTrue="1">
      <formula>$A235="end repeat"</formula>
    </cfRule>
  </conditionalFormatting>
  <conditionalFormatting sqref="B235:E247">
    <cfRule type="expression" dxfId="28" priority="3701" stopIfTrue="1">
      <formula>$A235="begin repeat"</formula>
    </cfRule>
  </conditionalFormatting>
  <conditionalFormatting sqref="B235:E247">
    <cfRule type="expression" dxfId="29" priority="3702" stopIfTrue="1">
      <formula>$A235="end group"</formula>
    </cfRule>
  </conditionalFormatting>
  <conditionalFormatting sqref="B235:E247">
    <cfRule type="expression" dxfId="29" priority="3703" stopIfTrue="1">
      <formula>$A235="begin group"</formula>
    </cfRule>
  </conditionalFormatting>
  <conditionalFormatting sqref="B235:B247">
    <cfRule type="expression" dxfId="30" priority="3704" stopIfTrue="1">
      <formula>$A235="comments"</formula>
    </cfRule>
  </conditionalFormatting>
  <conditionalFormatting sqref="B235:B247">
    <cfRule type="expression" dxfId="36" priority="3705" stopIfTrue="1">
      <formula>OR(AND(LEFT($A235, 14)="sensor_stream ", LEN($A235)&gt;14, NOT(ISNUMBER(SEARCH(" ", $A235, 15)))), AND(LEFT($A235, 17)="sensor_statistic ", LEN($A235)&gt;17, NOT(ISNUMBER(SEARCH(" ", $A235, 18)))))</formula>
    </cfRule>
  </conditionalFormatting>
  <conditionalFormatting sqref="B221:C228 D221:E228">
    <cfRule type="expression" dxfId="0" priority="3706" stopIfTrue="1">
      <formula>$A221="begin group"</formula>
    </cfRule>
  </conditionalFormatting>
  <conditionalFormatting sqref="B221:C228 D221:E228">
    <cfRule type="expression" dxfId="1" priority="3707" stopIfTrue="1">
      <formula>$A221="begin repeat"</formula>
    </cfRule>
  </conditionalFormatting>
  <conditionalFormatting sqref="B221:E228">
    <cfRule type="expression" dxfId="31" priority="3708" stopIfTrue="1">
      <formula>$A221="enumerator"</formula>
    </cfRule>
  </conditionalFormatting>
  <conditionalFormatting sqref="B221:E228">
    <cfRule type="expression" dxfId="2" priority="3709" stopIfTrue="1">
      <formula>$A221="text"</formula>
    </cfRule>
  </conditionalFormatting>
  <conditionalFormatting sqref="B221:E228">
    <cfRule type="expression" dxfId="3" priority="3710" stopIfTrue="1">
      <formula>$A221="integer"</formula>
    </cfRule>
  </conditionalFormatting>
  <conditionalFormatting sqref="B221:E228">
    <cfRule type="expression" dxfId="4" priority="3711" stopIfTrue="1">
      <formula>$A221="decimal"</formula>
    </cfRule>
  </conditionalFormatting>
  <conditionalFormatting sqref="B221:C228 D221:E228">
    <cfRule type="expression" dxfId="5" priority="3712" stopIfTrue="1">
      <formula>OR(AND(LEFT($A221, 16)="select_multiple ", LEN($A221)&gt;16, NOT(ISNUMBER(SEARCH(" ", $A221, 17)))), AND(LEFT($A221, 11)="select_one ", LEN($A221)&gt;11, NOT(ISNUMBER(SEARCH(" ", $A221, 12)))))</formula>
    </cfRule>
  </conditionalFormatting>
  <conditionalFormatting sqref="B221:B228">
    <cfRule type="expression" dxfId="6" priority="3713" stopIfTrue="1">
      <formula>OR($A221="audio audit", $A221="text audit", $A221="speed violations count", $A221="speed violations list", $A221="speed violations audit")</formula>
    </cfRule>
  </conditionalFormatting>
  <conditionalFormatting sqref="B221:C228 D221:E228">
    <cfRule type="expression" dxfId="32" priority="3714" stopIfTrue="1">
      <formula>$A221="file"</formula>
    </cfRule>
  </conditionalFormatting>
  <conditionalFormatting sqref="B221:C228 D221:E228">
    <cfRule type="expression" dxfId="7" priority="3715" stopIfTrue="1">
      <formula>$A221="note"</formula>
    </cfRule>
  </conditionalFormatting>
  <conditionalFormatting sqref="B221:C228 D221:E228">
    <cfRule type="expression" dxfId="8" priority="3716" stopIfTrue="1">
      <formula>$A221="barcode"</formula>
    </cfRule>
  </conditionalFormatting>
  <conditionalFormatting sqref="B221:C228 D221:E228">
    <cfRule type="expression" dxfId="9" priority="3717" stopIfTrue="1">
      <formula>OR($A221="geopoint", $A221="geoshape", $A221="geotrace")</formula>
    </cfRule>
  </conditionalFormatting>
  <conditionalFormatting sqref="B221:B228">
    <cfRule type="expression" dxfId="10" priority="3718" stopIfTrue="1">
      <formula>OR($A221="calculate", $A221="calculate_here")</formula>
    </cfRule>
  </conditionalFormatting>
  <conditionalFormatting sqref="B221:C228 D221:E228">
    <cfRule type="expression" dxfId="11" priority="3719" stopIfTrue="1">
      <formula>OR($A221="date", $A221="datetime", $A221="time")</formula>
    </cfRule>
  </conditionalFormatting>
  <conditionalFormatting sqref="B221:C228 D221:E228">
    <cfRule type="expression" dxfId="12" priority="3720" stopIfTrue="1">
      <formula>$A221="image"</formula>
    </cfRule>
  </conditionalFormatting>
  <conditionalFormatting sqref="B221:C228 D221:E228">
    <cfRule type="expression" dxfId="13" priority="3721" stopIfTrue="1">
      <formula>OR($A221="audio", $A221="video")</formula>
    </cfRule>
  </conditionalFormatting>
  <conditionalFormatting sqref="B221:E228">
    <cfRule type="expression" dxfId="33" priority="3722" stopIfTrue="1">
      <formula>$A221="file"</formula>
    </cfRule>
  </conditionalFormatting>
  <conditionalFormatting sqref="B221:E228">
    <cfRule type="expression" dxfId="34" priority="3723" stopIfTrue="1">
      <formula>$A221="enumerator"</formula>
    </cfRule>
  </conditionalFormatting>
  <conditionalFormatting sqref="B221:E228">
    <cfRule type="expression" dxfId="35" priority="3724" stopIfTrue="1">
      <formula>OR(AND(LEFT($A221, 14)="sensor_stream ", LEN($A221)&gt;14, NOT(ISNUMBER(SEARCH(" ", $A221, 15)))), AND(LEFT($A221, 17)="sensor_statistic ", LEN($A221)&gt;17, NOT(ISNUMBER(SEARCH(" ", $A221, 18)))))</formula>
    </cfRule>
  </conditionalFormatting>
  <conditionalFormatting sqref="B221:E228">
    <cfRule type="expression" dxfId="14" priority="3725" stopIfTrue="1">
      <formula>$A221="comments"</formula>
    </cfRule>
  </conditionalFormatting>
  <conditionalFormatting sqref="B221:E228">
    <cfRule type="expression" dxfId="15" priority="3726" stopIfTrue="1">
      <formula>OR($A221="audio", $A221="video")</formula>
    </cfRule>
  </conditionalFormatting>
  <conditionalFormatting sqref="B221:E228">
    <cfRule type="expression" dxfId="16" priority="3727" stopIfTrue="1">
      <formula>$A221="image"</formula>
    </cfRule>
  </conditionalFormatting>
  <conditionalFormatting sqref="B221:E228">
    <cfRule type="expression" dxfId="17" priority="3728" stopIfTrue="1">
      <formula>OR($A221="date", $A221="datetime", $A221="time")</formula>
    </cfRule>
  </conditionalFormatting>
  <conditionalFormatting sqref="B221:E228">
    <cfRule type="expression" dxfId="18" priority="3729" stopIfTrue="1">
      <formula>OR($A221="calculate", $A221="calculate_here")</formula>
    </cfRule>
  </conditionalFormatting>
  <conditionalFormatting sqref="B221:E228">
    <cfRule type="expression" dxfId="19" priority="3730" stopIfTrue="1">
      <formula>$A221="note"</formula>
    </cfRule>
  </conditionalFormatting>
  <conditionalFormatting sqref="B221:E228">
    <cfRule type="expression" dxfId="20" priority="3731" stopIfTrue="1">
      <formula>$A221="barcode"</formula>
    </cfRule>
  </conditionalFormatting>
  <conditionalFormatting sqref="B221:E228">
    <cfRule type="expression" dxfId="21" priority="3732" stopIfTrue="1">
      <formula>OR($A221="geopoint", $A221="geoshape", $A221="geotrace")</formula>
    </cfRule>
  </conditionalFormatting>
  <conditionalFormatting sqref="B221:E228">
    <cfRule type="expression" dxfId="22" priority="3733" stopIfTrue="1">
      <formula>OR($A221="audio audit", $A221="text audit", $A221="speed violations count", $A221="speed violations list", $A221="speed violations audit")</formula>
    </cfRule>
  </conditionalFormatting>
  <conditionalFormatting sqref="B221:E228">
    <cfRule type="expression" dxfId="23" priority="3734" stopIfTrue="1">
      <formula>OR($A221="username", $A221="phonenumber", $A221="start", $A221="end", $A221="deviceid", $A221="subscriberid", $A221="simserial", $A221="caseid")</formula>
    </cfRule>
  </conditionalFormatting>
  <conditionalFormatting sqref="B221:E228">
    <cfRule type="expression" dxfId="24" priority="3735" stopIfTrue="1">
      <formula>OR(AND(LEFT($A221, 16)="select_multiple ", LEN($A221)&gt;16, NOT(ISNUMBER(SEARCH(" ", $A221, 17)))), AND(LEFT($A221, 11)="select_one ", LEN($A221)&gt;11, NOT(ISNUMBER(SEARCH(" ", $A221, 12)))))</formula>
    </cfRule>
  </conditionalFormatting>
  <conditionalFormatting sqref="B221:E228">
    <cfRule type="expression" dxfId="25" priority="3736" stopIfTrue="1">
      <formula>$A221="decimal"</formula>
    </cfRule>
  </conditionalFormatting>
  <conditionalFormatting sqref="B221:E228">
    <cfRule type="expression" dxfId="26" priority="3737" stopIfTrue="1">
      <formula>$A221="integer"</formula>
    </cfRule>
  </conditionalFormatting>
  <conditionalFormatting sqref="B221:E228">
    <cfRule type="expression" dxfId="27" priority="3738" stopIfTrue="1">
      <formula>$A221="text"</formula>
    </cfRule>
  </conditionalFormatting>
  <conditionalFormatting sqref="B221:E228">
    <cfRule type="expression" dxfId="28" priority="3739" stopIfTrue="1">
      <formula>$A221="end repeat"</formula>
    </cfRule>
  </conditionalFormatting>
  <conditionalFormatting sqref="B221:E228">
    <cfRule type="expression" dxfId="28" priority="3740" stopIfTrue="1">
      <formula>$A221="begin repeat"</formula>
    </cfRule>
  </conditionalFormatting>
  <conditionalFormatting sqref="B221:E228">
    <cfRule type="expression" dxfId="29" priority="3741" stopIfTrue="1">
      <formula>$A221="end group"</formula>
    </cfRule>
  </conditionalFormatting>
  <conditionalFormatting sqref="B221:E228">
    <cfRule type="expression" dxfId="29" priority="3742" stopIfTrue="1">
      <formula>$A221="begin group"</formula>
    </cfRule>
  </conditionalFormatting>
  <conditionalFormatting sqref="B221:B228">
    <cfRule type="expression" dxfId="30" priority="3743" stopIfTrue="1">
      <formula>$A221="comments"</formula>
    </cfRule>
  </conditionalFormatting>
  <conditionalFormatting sqref="B221:B228">
    <cfRule type="expression" dxfId="36" priority="3744" stopIfTrue="1">
      <formula>OR(AND(LEFT($A221, 14)="sensor_stream ", LEN($A221)&gt;14, NOT(ISNUMBER(SEARCH(" ", $A221, 15)))), AND(LEFT($A221, 17)="sensor_statistic ", LEN($A221)&gt;17, NOT(ISNUMBER(SEARCH(" ", $A221, 18)))))</formula>
    </cfRule>
  </conditionalFormatting>
  <conditionalFormatting sqref="B208:C217 D208:E217">
    <cfRule type="expression" dxfId="0" priority="3745" stopIfTrue="1">
      <formula>$A208="begin group"</formula>
    </cfRule>
  </conditionalFormatting>
  <conditionalFormatting sqref="B208:C217 D208:E217">
    <cfRule type="expression" dxfId="1" priority="3746" stopIfTrue="1">
      <formula>$A208="begin repeat"</formula>
    </cfRule>
  </conditionalFormatting>
  <conditionalFormatting sqref="B208:E217">
    <cfRule type="expression" dxfId="31" priority="3747" stopIfTrue="1">
      <formula>$A208="enumerator"</formula>
    </cfRule>
  </conditionalFormatting>
  <conditionalFormatting sqref="B208:E217">
    <cfRule type="expression" dxfId="2" priority="3748" stopIfTrue="1">
      <formula>$A208="text"</formula>
    </cfRule>
  </conditionalFormatting>
  <conditionalFormatting sqref="B208:E217">
    <cfRule type="expression" dxfId="3" priority="3749" stopIfTrue="1">
      <formula>$A208="integer"</formula>
    </cfRule>
  </conditionalFormatting>
  <conditionalFormatting sqref="B208:E217">
    <cfRule type="expression" dxfId="4" priority="3750" stopIfTrue="1">
      <formula>$A208="decimal"</formula>
    </cfRule>
  </conditionalFormatting>
  <conditionalFormatting sqref="B208:C217 D208:E217">
    <cfRule type="expression" dxfId="5" priority="3751" stopIfTrue="1">
      <formula>OR(AND(LEFT($A208, 16)="select_multiple ", LEN($A208)&gt;16, NOT(ISNUMBER(SEARCH(" ", $A208, 17)))), AND(LEFT($A208, 11)="select_one ", LEN($A208)&gt;11, NOT(ISNUMBER(SEARCH(" ", $A208, 12)))))</formula>
    </cfRule>
  </conditionalFormatting>
  <conditionalFormatting sqref="B208:B217">
    <cfRule type="expression" dxfId="6" priority="3752" stopIfTrue="1">
      <formula>OR($A208="audio audit", $A208="text audit", $A208="speed violations count", $A208="speed violations list", $A208="speed violations audit")</formula>
    </cfRule>
  </conditionalFormatting>
  <conditionalFormatting sqref="B208:C217 D208:E217">
    <cfRule type="expression" dxfId="32" priority="3753" stopIfTrue="1">
      <formula>$A208="file"</formula>
    </cfRule>
  </conditionalFormatting>
  <conditionalFormatting sqref="B208:C217 D208:E217">
    <cfRule type="expression" dxfId="7" priority="3754" stopIfTrue="1">
      <formula>$A208="note"</formula>
    </cfRule>
  </conditionalFormatting>
  <conditionalFormatting sqref="B208:C217 D208:E217">
    <cfRule type="expression" dxfId="8" priority="3755" stopIfTrue="1">
      <formula>$A208="barcode"</formula>
    </cfRule>
  </conditionalFormatting>
  <conditionalFormatting sqref="B208:C217 D208:E217">
    <cfRule type="expression" dxfId="9" priority="3756" stopIfTrue="1">
      <formula>OR($A208="geopoint", $A208="geoshape", $A208="geotrace")</formula>
    </cfRule>
  </conditionalFormatting>
  <conditionalFormatting sqref="B208:B217">
    <cfRule type="expression" dxfId="10" priority="3757" stopIfTrue="1">
      <formula>OR($A208="calculate", $A208="calculate_here")</formula>
    </cfRule>
  </conditionalFormatting>
  <conditionalFormatting sqref="B208:C217 D208:E217">
    <cfRule type="expression" dxfId="11" priority="3758" stopIfTrue="1">
      <formula>OR($A208="date", $A208="datetime", $A208="time")</formula>
    </cfRule>
  </conditionalFormatting>
  <conditionalFormatting sqref="B208:C217 D208:E217">
    <cfRule type="expression" dxfId="12" priority="3759" stopIfTrue="1">
      <formula>$A208="image"</formula>
    </cfRule>
  </conditionalFormatting>
  <conditionalFormatting sqref="B208:C217 D208:E217">
    <cfRule type="expression" dxfId="13" priority="3760" stopIfTrue="1">
      <formula>OR($A208="audio", $A208="video")</formula>
    </cfRule>
  </conditionalFormatting>
  <conditionalFormatting sqref="B208:E217">
    <cfRule type="expression" dxfId="33" priority="3761" stopIfTrue="1">
      <formula>$A208="file"</formula>
    </cfRule>
  </conditionalFormatting>
  <conditionalFormatting sqref="B208:E217">
    <cfRule type="expression" dxfId="34" priority="3762" stopIfTrue="1">
      <formula>$A208="enumerator"</formula>
    </cfRule>
  </conditionalFormatting>
  <conditionalFormatting sqref="B208:E217">
    <cfRule type="expression" dxfId="35" priority="3763" stopIfTrue="1">
      <formula>OR(AND(LEFT($A208, 14)="sensor_stream ", LEN($A208)&gt;14, NOT(ISNUMBER(SEARCH(" ", $A208, 15)))), AND(LEFT($A208, 17)="sensor_statistic ", LEN($A208)&gt;17, NOT(ISNUMBER(SEARCH(" ", $A208, 18)))))</formula>
    </cfRule>
  </conditionalFormatting>
  <conditionalFormatting sqref="B208:E217">
    <cfRule type="expression" dxfId="14" priority="3764" stopIfTrue="1">
      <formula>$A208="comments"</formula>
    </cfRule>
  </conditionalFormatting>
  <conditionalFormatting sqref="B208:E217">
    <cfRule type="expression" dxfId="15" priority="3765" stopIfTrue="1">
      <formula>OR($A208="audio", $A208="video")</formula>
    </cfRule>
  </conditionalFormatting>
  <conditionalFormatting sqref="B208:E217">
    <cfRule type="expression" dxfId="16" priority="3766" stopIfTrue="1">
      <formula>$A208="image"</formula>
    </cfRule>
  </conditionalFormatting>
  <conditionalFormatting sqref="B208:E217">
    <cfRule type="expression" dxfId="17" priority="3767" stopIfTrue="1">
      <formula>OR($A208="date", $A208="datetime", $A208="time")</formula>
    </cfRule>
  </conditionalFormatting>
  <conditionalFormatting sqref="B208:E217">
    <cfRule type="expression" dxfId="18" priority="3768" stopIfTrue="1">
      <formula>OR($A208="calculate", $A208="calculate_here")</formula>
    </cfRule>
  </conditionalFormatting>
  <conditionalFormatting sqref="B208:E217">
    <cfRule type="expression" dxfId="19" priority="3769" stopIfTrue="1">
      <formula>$A208="note"</formula>
    </cfRule>
  </conditionalFormatting>
  <conditionalFormatting sqref="B208:E217">
    <cfRule type="expression" dxfId="20" priority="3770" stopIfTrue="1">
      <formula>$A208="barcode"</formula>
    </cfRule>
  </conditionalFormatting>
  <conditionalFormatting sqref="B208:E217">
    <cfRule type="expression" dxfId="21" priority="3771" stopIfTrue="1">
      <formula>OR($A208="geopoint", $A208="geoshape", $A208="geotrace")</formula>
    </cfRule>
  </conditionalFormatting>
  <conditionalFormatting sqref="B208:E217">
    <cfRule type="expression" dxfId="22" priority="3772" stopIfTrue="1">
      <formula>OR($A208="audio audit", $A208="text audit", $A208="speed violations count", $A208="speed violations list", $A208="speed violations audit")</formula>
    </cfRule>
  </conditionalFormatting>
  <conditionalFormatting sqref="B208:E217">
    <cfRule type="expression" dxfId="23" priority="3773" stopIfTrue="1">
      <formula>OR($A208="username", $A208="phonenumber", $A208="start", $A208="end", $A208="deviceid", $A208="subscriberid", $A208="simserial", $A208="caseid")</formula>
    </cfRule>
  </conditionalFormatting>
  <conditionalFormatting sqref="B208:E217">
    <cfRule type="expression" dxfId="24" priority="3774" stopIfTrue="1">
      <formula>OR(AND(LEFT($A208, 16)="select_multiple ", LEN($A208)&gt;16, NOT(ISNUMBER(SEARCH(" ", $A208, 17)))), AND(LEFT($A208, 11)="select_one ", LEN($A208)&gt;11, NOT(ISNUMBER(SEARCH(" ", $A208, 12)))))</formula>
    </cfRule>
  </conditionalFormatting>
  <conditionalFormatting sqref="B208:E217">
    <cfRule type="expression" dxfId="25" priority="3775" stopIfTrue="1">
      <formula>$A208="decimal"</formula>
    </cfRule>
  </conditionalFormatting>
  <conditionalFormatting sqref="B208:E217">
    <cfRule type="expression" dxfId="26" priority="3776" stopIfTrue="1">
      <formula>$A208="integer"</formula>
    </cfRule>
  </conditionalFormatting>
  <conditionalFormatting sqref="B208:E217">
    <cfRule type="expression" dxfId="27" priority="3777" stopIfTrue="1">
      <formula>$A208="text"</formula>
    </cfRule>
  </conditionalFormatting>
  <conditionalFormatting sqref="B208:E217">
    <cfRule type="expression" dxfId="28" priority="3778" stopIfTrue="1">
      <formula>$A208="end repeat"</formula>
    </cfRule>
  </conditionalFormatting>
  <conditionalFormatting sqref="B208:E217">
    <cfRule type="expression" dxfId="28" priority="3779" stopIfTrue="1">
      <formula>$A208="begin repeat"</formula>
    </cfRule>
  </conditionalFormatting>
  <conditionalFormatting sqref="B208:E217">
    <cfRule type="expression" dxfId="29" priority="3780" stopIfTrue="1">
      <formula>$A208="end group"</formula>
    </cfRule>
  </conditionalFormatting>
  <conditionalFormatting sqref="B208:E217">
    <cfRule type="expression" dxfId="29" priority="3781" stopIfTrue="1">
      <formula>$A208="begin group"</formula>
    </cfRule>
  </conditionalFormatting>
  <conditionalFormatting sqref="B208:B217">
    <cfRule type="expression" dxfId="30" priority="3782" stopIfTrue="1">
      <formula>$A208="comments"</formula>
    </cfRule>
  </conditionalFormatting>
  <conditionalFormatting sqref="B208:B217">
    <cfRule type="expression" dxfId="36" priority="3783" stopIfTrue="1">
      <formula>OR(AND(LEFT($A208, 14)="sensor_stream ", LEN($A208)&gt;14, NOT(ISNUMBER(SEARCH(" ", $A208, 15)))), AND(LEFT($A208, 17)="sensor_statistic ", LEN($A208)&gt;17, NOT(ISNUMBER(SEARCH(" ", $A208, 18)))))</formula>
    </cfRule>
  </conditionalFormatting>
  <conditionalFormatting sqref="B201:C202 D201:E202">
    <cfRule type="expression" dxfId="0" priority="3784" stopIfTrue="1">
      <formula>$A201="begin group"</formula>
    </cfRule>
  </conditionalFormatting>
  <conditionalFormatting sqref="B201:C202 D201:E202">
    <cfRule type="expression" dxfId="1" priority="3785" stopIfTrue="1">
      <formula>$A201="begin repeat"</formula>
    </cfRule>
  </conditionalFormatting>
  <conditionalFormatting sqref="B201:E202">
    <cfRule type="expression" dxfId="31" priority="3786" stopIfTrue="1">
      <formula>$A201="enumerator"</formula>
    </cfRule>
  </conditionalFormatting>
  <conditionalFormatting sqref="B201:E202">
    <cfRule type="expression" dxfId="2" priority="3787" stopIfTrue="1">
      <formula>$A201="text"</formula>
    </cfRule>
  </conditionalFormatting>
  <conditionalFormatting sqref="B201:E202">
    <cfRule type="expression" dxfId="3" priority="3788" stopIfTrue="1">
      <formula>$A201="integer"</formula>
    </cfRule>
  </conditionalFormatting>
  <conditionalFormatting sqref="B201:E202">
    <cfRule type="expression" dxfId="4" priority="3789" stopIfTrue="1">
      <formula>$A201="decimal"</formula>
    </cfRule>
  </conditionalFormatting>
  <conditionalFormatting sqref="B201:C202 D201:E202">
    <cfRule type="expression" dxfId="5" priority="3790" stopIfTrue="1">
      <formula>OR(AND(LEFT($A201, 16)="select_multiple ", LEN($A201)&gt;16, NOT(ISNUMBER(SEARCH(" ", $A201, 17)))), AND(LEFT($A201, 11)="select_one ", LEN($A201)&gt;11, NOT(ISNUMBER(SEARCH(" ", $A201, 12)))))</formula>
    </cfRule>
  </conditionalFormatting>
  <conditionalFormatting sqref="B201:B202">
    <cfRule type="expression" dxfId="6" priority="3791" stopIfTrue="1">
      <formula>OR($A201="audio audit", $A201="text audit", $A201="speed violations count", $A201="speed violations list", $A201="speed violations audit")</formula>
    </cfRule>
  </conditionalFormatting>
  <conditionalFormatting sqref="B201:C202 D201:E202">
    <cfRule type="expression" dxfId="32" priority="3792" stopIfTrue="1">
      <formula>$A201="file"</formula>
    </cfRule>
  </conditionalFormatting>
  <conditionalFormatting sqref="B201:C202 D201:E202">
    <cfRule type="expression" dxfId="7" priority="3793" stopIfTrue="1">
      <formula>$A201="note"</formula>
    </cfRule>
  </conditionalFormatting>
  <conditionalFormatting sqref="B201:C202 D201:E202">
    <cfRule type="expression" dxfId="8" priority="3794" stopIfTrue="1">
      <formula>$A201="barcode"</formula>
    </cfRule>
  </conditionalFormatting>
  <conditionalFormatting sqref="B201:C202 D201:E202">
    <cfRule type="expression" dxfId="9" priority="3795" stopIfTrue="1">
      <formula>OR($A201="geopoint", $A201="geoshape", $A201="geotrace")</formula>
    </cfRule>
  </conditionalFormatting>
  <conditionalFormatting sqref="B201:B202">
    <cfRule type="expression" dxfId="10" priority="3796" stopIfTrue="1">
      <formula>OR($A201="calculate", $A201="calculate_here")</formula>
    </cfRule>
  </conditionalFormatting>
  <conditionalFormatting sqref="B201:C202 D201:E202">
    <cfRule type="expression" dxfId="11" priority="3797" stopIfTrue="1">
      <formula>OR($A201="date", $A201="datetime", $A201="time")</formula>
    </cfRule>
  </conditionalFormatting>
  <conditionalFormatting sqref="B201:C202 D201:E202">
    <cfRule type="expression" dxfId="12" priority="3798" stopIfTrue="1">
      <formula>$A201="image"</formula>
    </cfRule>
  </conditionalFormatting>
  <conditionalFormatting sqref="B201:C202 D201:E202">
    <cfRule type="expression" dxfId="13" priority="3799" stopIfTrue="1">
      <formula>OR($A201="audio", $A201="video")</formula>
    </cfRule>
  </conditionalFormatting>
  <conditionalFormatting sqref="B201:E202">
    <cfRule type="expression" dxfId="33" priority="3800" stopIfTrue="1">
      <formula>$A201="file"</formula>
    </cfRule>
  </conditionalFormatting>
  <conditionalFormatting sqref="B201:E202">
    <cfRule type="expression" dxfId="34" priority="3801" stopIfTrue="1">
      <formula>$A201="enumerator"</formula>
    </cfRule>
  </conditionalFormatting>
  <conditionalFormatting sqref="B201:E202">
    <cfRule type="expression" dxfId="35" priority="3802" stopIfTrue="1">
      <formula>OR(AND(LEFT($A201, 14)="sensor_stream ", LEN($A201)&gt;14, NOT(ISNUMBER(SEARCH(" ", $A201, 15)))), AND(LEFT($A201, 17)="sensor_statistic ", LEN($A201)&gt;17, NOT(ISNUMBER(SEARCH(" ", $A201, 18)))))</formula>
    </cfRule>
  </conditionalFormatting>
  <conditionalFormatting sqref="B201:E202">
    <cfRule type="expression" dxfId="14" priority="3803" stopIfTrue="1">
      <formula>$A201="comments"</formula>
    </cfRule>
  </conditionalFormatting>
  <conditionalFormatting sqref="B201:E202">
    <cfRule type="expression" dxfId="15" priority="3804" stopIfTrue="1">
      <formula>OR($A201="audio", $A201="video")</formula>
    </cfRule>
  </conditionalFormatting>
  <conditionalFormatting sqref="B201:E202">
    <cfRule type="expression" dxfId="16" priority="3805" stopIfTrue="1">
      <formula>$A201="image"</formula>
    </cfRule>
  </conditionalFormatting>
  <conditionalFormatting sqref="B201:E202">
    <cfRule type="expression" dxfId="17" priority="3806" stopIfTrue="1">
      <formula>OR($A201="date", $A201="datetime", $A201="time")</formula>
    </cfRule>
  </conditionalFormatting>
  <conditionalFormatting sqref="B201:E202">
    <cfRule type="expression" dxfId="18" priority="3807" stopIfTrue="1">
      <formula>OR($A201="calculate", $A201="calculate_here")</formula>
    </cfRule>
  </conditionalFormatting>
  <conditionalFormatting sqref="B201:E202">
    <cfRule type="expression" dxfId="19" priority="3808" stopIfTrue="1">
      <formula>$A201="note"</formula>
    </cfRule>
  </conditionalFormatting>
  <conditionalFormatting sqref="B201:E202">
    <cfRule type="expression" dxfId="20" priority="3809" stopIfTrue="1">
      <formula>$A201="barcode"</formula>
    </cfRule>
  </conditionalFormatting>
  <conditionalFormatting sqref="B201:E202">
    <cfRule type="expression" dxfId="21" priority="3810" stopIfTrue="1">
      <formula>OR($A201="geopoint", $A201="geoshape", $A201="geotrace")</formula>
    </cfRule>
  </conditionalFormatting>
  <conditionalFormatting sqref="B201:E202">
    <cfRule type="expression" dxfId="22" priority="3811" stopIfTrue="1">
      <formula>OR($A201="audio audit", $A201="text audit", $A201="speed violations count", $A201="speed violations list", $A201="speed violations audit")</formula>
    </cfRule>
  </conditionalFormatting>
  <conditionalFormatting sqref="B201:E202">
    <cfRule type="expression" dxfId="23" priority="3812" stopIfTrue="1">
      <formula>OR($A201="username", $A201="phonenumber", $A201="start", $A201="end", $A201="deviceid", $A201="subscriberid", $A201="simserial", $A201="caseid")</formula>
    </cfRule>
  </conditionalFormatting>
  <conditionalFormatting sqref="B201:E202">
    <cfRule type="expression" dxfId="24" priority="3813" stopIfTrue="1">
      <formula>OR(AND(LEFT($A201, 16)="select_multiple ", LEN($A201)&gt;16, NOT(ISNUMBER(SEARCH(" ", $A201, 17)))), AND(LEFT($A201, 11)="select_one ", LEN($A201)&gt;11, NOT(ISNUMBER(SEARCH(" ", $A201, 12)))))</formula>
    </cfRule>
  </conditionalFormatting>
  <conditionalFormatting sqref="B201:E202">
    <cfRule type="expression" dxfId="25" priority="3814" stopIfTrue="1">
      <formula>$A201="decimal"</formula>
    </cfRule>
  </conditionalFormatting>
  <conditionalFormatting sqref="B201:E202">
    <cfRule type="expression" dxfId="26" priority="3815" stopIfTrue="1">
      <formula>$A201="integer"</formula>
    </cfRule>
  </conditionalFormatting>
  <conditionalFormatting sqref="B201:E202">
    <cfRule type="expression" dxfId="27" priority="3816" stopIfTrue="1">
      <formula>$A201="text"</formula>
    </cfRule>
  </conditionalFormatting>
  <conditionalFormatting sqref="B201:E202">
    <cfRule type="expression" dxfId="28" priority="3817" stopIfTrue="1">
      <formula>$A201="end repeat"</formula>
    </cfRule>
  </conditionalFormatting>
  <conditionalFormatting sqref="B201:E202">
    <cfRule type="expression" dxfId="28" priority="3818" stopIfTrue="1">
      <formula>$A201="begin repeat"</formula>
    </cfRule>
  </conditionalFormatting>
  <conditionalFormatting sqref="B201:E202">
    <cfRule type="expression" dxfId="29" priority="3819" stopIfTrue="1">
      <formula>$A201="end group"</formula>
    </cfRule>
  </conditionalFormatting>
  <conditionalFormatting sqref="B201:E202">
    <cfRule type="expression" dxfId="29" priority="3820" stopIfTrue="1">
      <formula>$A201="begin group"</formula>
    </cfRule>
  </conditionalFormatting>
  <conditionalFormatting sqref="B201:B202">
    <cfRule type="expression" dxfId="30" priority="3821" stopIfTrue="1">
      <formula>$A201="comments"</formula>
    </cfRule>
  </conditionalFormatting>
  <conditionalFormatting sqref="B201:B202">
    <cfRule type="expression" dxfId="36" priority="3822" stopIfTrue="1">
      <formula>OR(AND(LEFT($A201, 14)="sensor_stream ", LEN($A201)&gt;14, NOT(ISNUMBER(SEARCH(" ", $A201, 15)))), AND(LEFT($A201, 17)="sensor_statistic ", LEN($A201)&gt;17, NOT(ISNUMBER(SEARCH(" ", $A201, 18)))))</formula>
    </cfRule>
  </conditionalFormatting>
  <conditionalFormatting sqref="B197:C198 D197:E198">
    <cfRule type="expression" dxfId="0" priority="3823" stopIfTrue="1">
      <formula>$A197="begin group"</formula>
    </cfRule>
  </conditionalFormatting>
  <conditionalFormatting sqref="B197:C198 D197:E198">
    <cfRule type="expression" dxfId="1" priority="3824" stopIfTrue="1">
      <formula>$A197="begin repeat"</formula>
    </cfRule>
  </conditionalFormatting>
  <conditionalFormatting sqref="B197:E198">
    <cfRule type="expression" dxfId="31" priority="3825" stopIfTrue="1">
      <formula>$A197="enumerator"</formula>
    </cfRule>
  </conditionalFormatting>
  <conditionalFormatting sqref="B197:E198">
    <cfRule type="expression" dxfId="2" priority="3826" stopIfTrue="1">
      <formula>$A197="text"</formula>
    </cfRule>
  </conditionalFormatting>
  <conditionalFormatting sqref="B197:E198">
    <cfRule type="expression" dxfId="3" priority="3827" stopIfTrue="1">
      <formula>$A197="integer"</formula>
    </cfRule>
  </conditionalFormatting>
  <conditionalFormatting sqref="B197:E198">
    <cfRule type="expression" dxfId="4" priority="3828" stopIfTrue="1">
      <formula>$A197="decimal"</formula>
    </cfRule>
  </conditionalFormatting>
  <conditionalFormatting sqref="B197:C198 D197:E198">
    <cfRule type="expression" dxfId="5" priority="3829" stopIfTrue="1">
      <formula>OR(AND(LEFT($A197, 16)="select_multiple ", LEN($A197)&gt;16, NOT(ISNUMBER(SEARCH(" ", $A197, 17)))), AND(LEFT($A197, 11)="select_one ", LEN($A197)&gt;11, NOT(ISNUMBER(SEARCH(" ", $A197, 12)))))</formula>
    </cfRule>
  </conditionalFormatting>
  <conditionalFormatting sqref="B197:B198">
    <cfRule type="expression" dxfId="6" priority="3830" stopIfTrue="1">
      <formula>OR($A197="audio audit", $A197="text audit", $A197="speed violations count", $A197="speed violations list", $A197="speed violations audit")</formula>
    </cfRule>
  </conditionalFormatting>
  <conditionalFormatting sqref="B197:C198 D197:E198">
    <cfRule type="expression" dxfId="32" priority="3831" stopIfTrue="1">
      <formula>$A197="file"</formula>
    </cfRule>
  </conditionalFormatting>
  <conditionalFormatting sqref="B197:C198 D197:E198">
    <cfRule type="expression" dxfId="7" priority="3832" stopIfTrue="1">
      <formula>$A197="note"</formula>
    </cfRule>
  </conditionalFormatting>
  <conditionalFormatting sqref="B197:C198 D197:E198">
    <cfRule type="expression" dxfId="8" priority="3833" stopIfTrue="1">
      <formula>$A197="barcode"</formula>
    </cfRule>
  </conditionalFormatting>
  <conditionalFormatting sqref="B197:C198 D197:E198">
    <cfRule type="expression" dxfId="9" priority="3834" stopIfTrue="1">
      <formula>OR($A197="geopoint", $A197="geoshape", $A197="geotrace")</formula>
    </cfRule>
  </conditionalFormatting>
  <conditionalFormatting sqref="B197:B198">
    <cfRule type="expression" dxfId="10" priority="3835" stopIfTrue="1">
      <formula>OR($A197="calculate", $A197="calculate_here")</formula>
    </cfRule>
  </conditionalFormatting>
  <conditionalFormatting sqref="B197:C198 D197:E198">
    <cfRule type="expression" dxfId="11" priority="3836" stopIfTrue="1">
      <formula>OR($A197="date", $A197="datetime", $A197="time")</formula>
    </cfRule>
  </conditionalFormatting>
  <conditionalFormatting sqref="B197:C198 D197:E198">
    <cfRule type="expression" dxfId="12" priority="3837" stopIfTrue="1">
      <formula>$A197="image"</formula>
    </cfRule>
  </conditionalFormatting>
  <conditionalFormatting sqref="B197:C198 D197:E198">
    <cfRule type="expression" dxfId="13" priority="3838" stopIfTrue="1">
      <formula>OR($A197="audio", $A197="video")</formula>
    </cfRule>
  </conditionalFormatting>
  <conditionalFormatting sqref="B197:E198">
    <cfRule type="expression" dxfId="33" priority="3839" stopIfTrue="1">
      <formula>$A197="file"</formula>
    </cfRule>
  </conditionalFormatting>
  <conditionalFormatting sqref="B197:E198">
    <cfRule type="expression" dxfId="34" priority="3840" stopIfTrue="1">
      <formula>$A197="enumerator"</formula>
    </cfRule>
  </conditionalFormatting>
  <conditionalFormatting sqref="B197:E198">
    <cfRule type="expression" dxfId="35" priority="3841" stopIfTrue="1">
      <formula>OR(AND(LEFT($A197, 14)="sensor_stream ", LEN($A197)&gt;14, NOT(ISNUMBER(SEARCH(" ", $A197, 15)))), AND(LEFT($A197, 17)="sensor_statistic ", LEN($A197)&gt;17, NOT(ISNUMBER(SEARCH(" ", $A197, 18)))))</formula>
    </cfRule>
  </conditionalFormatting>
  <conditionalFormatting sqref="B197:E198">
    <cfRule type="expression" dxfId="14" priority="3842" stopIfTrue="1">
      <formula>$A197="comments"</formula>
    </cfRule>
  </conditionalFormatting>
  <conditionalFormatting sqref="B197:E198">
    <cfRule type="expression" dxfId="15" priority="3843" stopIfTrue="1">
      <formula>OR($A197="audio", $A197="video")</formula>
    </cfRule>
  </conditionalFormatting>
  <conditionalFormatting sqref="B197:E198">
    <cfRule type="expression" dxfId="16" priority="3844" stopIfTrue="1">
      <formula>$A197="image"</formula>
    </cfRule>
  </conditionalFormatting>
  <conditionalFormatting sqref="B197:E198">
    <cfRule type="expression" dxfId="17" priority="3845" stopIfTrue="1">
      <formula>OR($A197="date", $A197="datetime", $A197="time")</formula>
    </cfRule>
  </conditionalFormatting>
  <conditionalFormatting sqref="B197:E198">
    <cfRule type="expression" dxfId="18" priority="3846" stopIfTrue="1">
      <formula>OR($A197="calculate", $A197="calculate_here")</formula>
    </cfRule>
  </conditionalFormatting>
  <conditionalFormatting sqref="B197:E198">
    <cfRule type="expression" dxfId="19" priority="3847" stopIfTrue="1">
      <formula>$A197="note"</formula>
    </cfRule>
  </conditionalFormatting>
  <conditionalFormatting sqref="B197:E198">
    <cfRule type="expression" dxfId="20" priority="3848" stopIfTrue="1">
      <formula>$A197="barcode"</formula>
    </cfRule>
  </conditionalFormatting>
  <conditionalFormatting sqref="B197:E198">
    <cfRule type="expression" dxfId="21" priority="3849" stopIfTrue="1">
      <formula>OR($A197="geopoint", $A197="geoshape", $A197="geotrace")</formula>
    </cfRule>
  </conditionalFormatting>
  <conditionalFormatting sqref="B197:E198">
    <cfRule type="expression" dxfId="22" priority="3850" stopIfTrue="1">
      <formula>OR($A197="audio audit", $A197="text audit", $A197="speed violations count", $A197="speed violations list", $A197="speed violations audit")</formula>
    </cfRule>
  </conditionalFormatting>
  <conditionalFormatting sqref="B197:E198">
    <cfRule type="expression" dxfId="23" priority="3851" stopIfTrue="1">
      <formula>OR($A197="username", $A197="phonenumber", $A197="start", $A197="end", $A197="deviceid", $A197="subscriberid", $A197="simserial", $A197="caseid")</formula>
    </cfRule>
  </conditionalFormatting>
  <conditionalFormatting sqref="B197:E198">
    <cfRule type="expression" dxfId="24" priority="3852" stopIfTrue="1">
      <formula>OR(AND(LEFT($A197, 16)="select_multiple ", LEN($A197)&gt;16, NOT(ISNUMBER(SEARCH(" ", $A197, 17)))), AND(LEFT($A197, 11)="select_one ", LEN($A197)&gt;11, NOT(ISNUMBER(SEARCH(" ", $A197, 12)))))</formula>
    </cfRule>
  </conditionalFormatting>
  <conditionalFormatting sqref="B197:E198">
    <cfRule type="expression" dxfId="25" priority="3853" stopIfTrue="1">
      <formula>$A197="decimal"</formula>
    </cfRule>
  </conditionalFormatting>
  <conditionalFormatting sqref="B197:E198">
    <cfRule type="expression" dxfId="26" priority="3854" stopIfTrue="1">
      <formula>$A197="integer"</formula>
    </cfRule>
  </conditionalFormatting>
  <conditionalFormatting sqref="B197:E198">
    <cfRule type="expression" dxfId="27" priority="3855" stopIfTrue="1">
      <formula>$A197="text"</formula>
    </cfRule>
  </conditionalFormatting>
  <conditionalFormatting sqref="B197:E198">
    <cfRule type="expression" dxfId="28" priority="3856" stopIfTrue="1">
      <formula>$A197="end repeat"</formula>
    </cfRule>
  </conditionalFormatting>
  <conditionalFormatting sqref="B197:E198">
    <cfRule type="expression" dxfId="28" priority="3857" stopIfTrue="1">
      <formula>$A197="begin repeat"</formula>
    </cfRule>
  </conditionalFormatting>
  <conditionalFormatting sqref="B197:E198">
    <cfRule type="expression" dxfId="29" priority="3858" stopIfTrue="1">
      <formula>$A197="end group"</formula>
    </cfRule>
  </conditionalFormatting>
  <conditionalFormatting sqref="B197:E198">
    <cfRule type="expression" dxfId="29" priority="3859" stopIfTrue="1">
      <formula>$A197="begin group"</formula>
    </cfRule>
  </conditionalFormatting>
  <conditionalFormatting sqref="B197:B198">
    <cfRule type="expression" dxfId="30" priority="3860" stopIfTrue="1">
      <formula>$A197="comments"</formula>
    </cfRule>
  </conditionalFormatting>
  <conditionalFormatting sqref="B197:B198">
    <cfRule type="expression" dxfId="36" priority="3861" stopIfTrue="1">
      <formula>OR(AND(LEFT($A197, 14)="sensor_stream ", LEN($A197)&gt;14, NOT(ISNUMBER(SEARCH(" ", $A197, 15)))), AND(LEFT($A197, 17)="sensor_statistic ", LEN($A197)&gt;17, NOT(ISNUMBER(SEARCH(" ", $A197, 18)))))</formula>
    </cfRule>
  </conditionalFormatting>
  <conditionalFormatting sqref="B191:C195 D191:E195">
    <cfRule type="expression" dxfId="0" priority="3862" stopIfTrue="1">
      <formula>$A191="begin group"</formula>
    </cfRule>
  </conditionalFormatting>
  <conditionalFormatting sqref="B191:C195 D191:E195">
    <cfRule type="expression" dxfId="1" priority="3863" stopIfTrue="1">
      <formula>$A191="begin repeat"</formula>
    </cfRule>
  </conditionalFormatting>
  <conditionalFormatting sqref="B191:E195">
    <cfRule type="expression" dxfId="31" priority="3864" stopIfTrue="1">
      <formula>$A191="enumerator"</formula>
    </cfRule>
  </conditionalFormatting>
  <conditionalFormatting sqref="B191:E195">
    <cfRule type="expression" dxfId="2" priority="3865" stopIfTrue="1">
      <formula>$A191="text"</formula>
    </cfRule>
  </conditionalFormatting>
  <conditionalFormatting sqref="B191:E195">
    <cfRule type="expression" dxfId="3" priority="3866" stopIfTrue="1">
      <formula>$A191="integer"</formula>
    </cfRule>
  </conditionalFormatting>
  <conditionalFormatting sqref="B191:E195">
    <cfRule type="expression" dxfId="4" priority="3867" stopIfTrue="1">
      <formula>$A191="decimal"</formula>
    </cfRule>
  </conditionalFormatting>
  <conditionalFormatting sqref="B191:C195 D191:E195">
    <cfRule type="expression" dxfId="5" priority="3868" stopIfTrue="1">
      <formula>OR(AND(LEFT($A191, 16)="select_multiple ", LEN($A191)&gt;16, NOT(ISNUMBER(SEARCH(" ", $A191, 17)))), AND(LEFT($A191, 11)="select_one ", LEN($A191)&gt;11, NOT(ISNUMBER(SEARCH(" ", $A191, 12)))))</formula>
    </cfRule>
  </conditionalFormatting>
  <conditionalFormatting sqref="B191:B195">
    <cfRule type="expression" dxfId="6" priority="3869" stopIfTrue="1">
      <formula>OR($A191="audio audit", $A191="text audit", $A191="speed violations count", $A191="speed violations list", $A191="speed violations audit")</formula>
    </cfRule>
  </conditionalFormatting>
  <conditionalFormatting sqref="B191:C195 D191:E195">
    <cfRule type="expression" dxfId="32" priority="3870" stopIfTrue="1">
      <formula>$A191="file"</formula>
    </cfRule>
  </conditionalFormatting>
  <conditionalFormatting sqref="B191:C195 D191:E195">
    <cfRule type="expression" dxfId="7" priority="3871" stopIfTrue="1">
      <formula>$A191="note"</formula>
    </cfRule>
  </conditionalFormatting>
  <conditionalFormatting sqref="B191:C195 D191:E195">
    <cfRule type="expression" dxfId="8" priority="3872" stopIfTrue="1">
      <formula>$A191="barcode"</formula>
    </cfRule>
  </conditionalFormatting>
  <conditionalFormatting sqref="B191:C195 D191:E195">
    <cfRule type="expression" dxfId="9" priority="3873" stopIfTrue="1">
      <formula>OR($A191="geopoint", $A191="geoshape", $A191="geotrace")</formula>
    </cfRule>
  </conditionalFormatting>
  <conditionalFormatting sqref="B191:B195">
    <cfRule type="expression" dxfId="10" priority="3874" stopIfTrue="1">
      <formula>OR($A191="calculate", $A191="calculate_here")</formula>
    </cfRule>
  </conditionalFormatting>
  <conditionalFormatting sqref="B191:C195 D191:E195">
    <cfRule type="expression" dxfId="11" priority="3875" stopIfTrue="1">
      <formula>OR($A191="date", $A191="datetime", $A191="time")</formula>
    </cfRule>
  </conditionalFormatting>
  <conditionalFormatting sqref="B191:C195 D191:E195">
    <cfRule type="expression" dxfId="12" priority="3876" stopIfTrue="1">
      <formula>$A191="image"</formula>
    </cfRule>
  </conditionalFormatting>
  <conditionalFormatting sqref="B191:C195 D191:E195">
    <cfRule type="expression" dxfId="13" priority="3877" stopIfTrue="1">
      <formula>OR($A191="audio", $A191="video")</formula>
    </cfRule>
  </conditionalFormatting>
  <conditionalFormatting sqref="B191:E195">
    <cfRule type="expression" dxfId="33" priority="3878" stopIfTrue="1">
      <formula>$A191="file"</formula>
    </cfRule>
  </conditionalFormatting>
  <conditionalFormatting sqref="B191:E195">
    <cfRule type="expression" dxfId="34" priority="3879" stopIfTrue="1">
      <formula>$A191="enumerator"</formula>
    </cfRule>
  </conditionalFormatting>
  <conditionalFormatting sqref="B191:E195">
    <cfRule type="expression" dxfId="35" priority="3880" stopIfTrue="1">
      <formula>OR(AND(LEFT($A191, 14)="sensor_stream ", LEN($A191)&gt;14, NOT(ISNUMBER(SEARCH(" ", $A191, 15)))), AND(LEFT($A191, 17)="sensor_statistic ", LEN($A191)&gt;17, NOT(ISNUMBER(SEARCH(" ", $A191, 18)))))</formula>
    </cfRule>
  </conditionalFormatting>
  <conditionalFormatting sqref="B191:E195">
    <cfRule type="expression" dxfId="14" priority="3881" stopIfTrue="1">
      <formula>$A191="comments"</formula>
    </cfRule>
  </conditionalFormatting>
  <conditionalFormatting sqref="B191:E195">
    <cfRule type="expression" dxfId="15" priority="3882" stopIfTrue="1">
      <formula>OR($A191="audio", $A191="video")</formula>
    </cfRule>
  </conditionalFormatting>
  <conditionalFormatting sqref="B191:E195">
    <cfRule type="expression" dxfId="16" priority="3883" stopIfTrue="1">
      <formula>$A191="image"</formula>
    </cfRule>
  </conditionalFormatting>
  <conditionalFormatting sqref="B191:E195">
    <cfRule type="expression" dxfId="17" priority="3884" stopIfTrue="1">
      <formula>OR($A191="date", $A191="datetime", $A191="time")</formula>
    </cfRule>
  </conditionalFormatting>
  <conditionalFormatting sqref="B191:E195">
    <cfRule type="expression" dxfId="18" priority="3885" stopIfTrue="1">
      <formula>OR($A191="calculate", $A191="calculate_here")</formula>
    </cfRule>
  </conditionalFormatting>
  <conditionalFormatting sqref="B191:E195">
    <cfRule type="expression" dxfId="19" priority="3886" stopIfTrue="1">
      <formula>$A191="note"</formula>
    </cfRule>
  </conditionalFormatting>
  <conditionalFormatting sqref="B191:E195">
    <cfRule type="expression" dxfId="20" priority="3887" stopIfTrue="1">
      <formula>$A191="barcode"</formula>
    </cfRule>
  </conditionalFormatting>
  <conditionalFormatting sqref="B191:E195">
    <cfRule type="expression" dxfId="21" priority="3888" stopIfTrue="1">
      <formula>OR($A191="geopoint", $A191="geoshape", $A191="geotrace")</formula>
    </cfRule>
  </conditionalFormatting>
  <conditionalFormatting sqref="B191:E195">
    <cfRule type="expression" dxfId="22" priority="3889" stopIfTrue="1">
      <formula>OR($A191="audio audit", $A191="text audit", $A191="speed violations count", $A191="speed violations list", $A191="speed violations audit")</formula>
    </cfRule>
  </conditionalFormatting>
  <conditionalFormatting sqref="B191:E195">
    <cfRule type="expression" dxfId="23" priority="3890" stopIfTrue="1">
      <formula>OR($A191="username", $A191="phonenumber", $A191="start", $A191="end", $A191="deviceid", $A191="subscriberid", $A191="simserial", $A191="caseid")</formula>
    </cfRule>
  </conditionalFormatting>
  <conditionalFormatting sqref="B191:E195">
    <cfRule type="expression" dxfId="24" priority="3891" stopIfTrue="1">
      <formula>OR(AND(LEFT($A191, 16)="select_multiple ", LEN($A191)&gt;16, NOT(ISNUMBER(SEARCH(" ", $A191, 17)))), AND(LEFT($A191, 11)="select_one ", LEN($A191)&gt;11, NOT(ISNUMBER(SEARCH(" ", $A191, 12)))))</formula>
    </cfRule>
  </conditionalFormatting>
  <conditionalFormatting sqref="B191:E195">
    <cfRule type="expression" dxfId="25" priority="3892" stopIfTrue="1">
      <formula>$A191="decimal"</formula>
    </cfRule>
  </conditionalFormatting>
  <conditionalFormatting sqref="B191:E195">
    <cfRule type="expression" dxfId="26" priority="3893" stopIfTrue="1">
      <formula>$A191="integer"</formula>
    </cfRule>
  </conditionalFormatting>
  <conditionalFormatting sqref="B191:E195">
    <cfRule type="expression" dxfId="27" priority="3894" stopIfTrue="1">
      <formula>$A191="text"</formula>
    </cfRule>
  </conditionalFormatting>
  <conditionalFormatting sqref="B191:E195">
    <cfRule type="expression" dxfId="28" priority="3895" stopIfTrue="1">
      <formula>$A191="end repeat"</formula>
    </cfRule>
  </conditionalFormatting>
  <conditionalFormatting sqref="B191:E195">
    <cfRule type="expression" dxfId="28" priority="3896" stopIfTrue="1">
      <formula>$A191="begin repeat"</formula>
    </cfRule>
  </conditionalFormatting>
  <conditionalFormatting sqref="B191:E195">
    <cfRule type="expression" dxfId="29" priority="3897" stopIfTrue="1">
      <formula>$A191="end group"</formula>
    </cfRule>
  </conditionalFormatting>
  <conditionalFormatting sqref="B191:E195">
    <cfRule type="expression" dxfId="29" priority="3898" stopIfTrue="1">
      <formula>$A191="begin group"</formula>
    </cfRule>
  </conditionalFormatting>
  <conditionalFormatting sqref="B191:B195">
    <cfRule type="expression" dxfId="30" priority="3899" stopIfTrue="1">
      <formula>$A191="comments"</formula>
    </cfRule>
  </conditionalFormatting>
  <conditionalFormatting sqref="B191:B195">
    <cfRule type="expression" dxfId="36" priority="3900" stopIfTrue="1">
      <formula>OR(AND(LEFT($A191, 14)="sensor_stream ", LEN($A191)&gt;14, NOT(ISNUMBER(SEARCH(" ", $A191, 15)))), AND(LEFT($A191, 17)="sensor_statistic ", LEN($A191)&gt;17, NOT(ISNUMBER(SEARCH(" ", $A191, 18)))))</formula>
    </cfRule>
  </conditionalFormatting>
  <conditionalFormatting sqref="B186:C189 D186:E189">
    <cfRule type="expression" dxfId="0" priority="3901" stopIfTrue="1">
      <formula>$A186="begin group"</formula>
    </cfRule>
  </conditionalFormatting>
  <conditionalFormatting sqref="B186:C189 D186:E189">
    <cfRule type="expression" dxfId="1" priority="3902" stopIfTrue="1">
      <formula>$A186="begin repeat"</formula>
    </cfRule>
  </conditionalFormatting>
  <conditionalFormatting sqref="B186:E189">
    <cfRule type="expression" dxfId="31" priority="3903" stopIfTrue="1">
      <formula>$A186="enumerator"</formula>
    </cfRule>
  </conditionalFormatting>
  <conditionalFormatting sqref="B186:E189">
    <cfRule type="expression" dxfId="2" priority="3904" stopIfTrue="1">
      <formula>$A186="text"</formula>
    </cfRule>
  </conditionalFormatting>
  <conditionalFormatting sqref="B186:E189">
    <cfRule type="expression" dxfId="3" priority="3905" stopIfTrue="1">
      <formula>$A186="integer"</formula>
    </cfRule>
  </conditionalFormatting>
  <conditionalFormatting sqref="B186:E189">
    <cfRule type="expression" dxfId="4" priority="3906" stopIfTrue="1">
      <formula>$A186="decimal"</formula>
    </cfRule>
  </conditionalFormatting>
  <conditionalFormatting sqref="B186:C189 D186:E189">
    <cfRule type="expression" dxfId="5" priority="3907" stopIfTrue="1">
      <formula>OR(AND(LEFT($A186, 16)="select_multiple ", LEN($A186)&gt;16, NOT(ISNUMBER(SEARCH(" ", $A186, 17)))), AND(LEFT($A186, 11)="select_one ", LEN($A186)&gt;11, NOT(ISNUMBER(SEARCH(" ", $A186, 12)))))</formula>
    </cfRule>
  </conditionalFormatting>
  <conditionalFormatting sqref="B186:B189">
    <cfRule type="expression" dxfId="6" priority="3908" stopIfTrue="1">
      <formula>OR($A186="audio audit", $A186="text audit", $A186="speed violations count", $A186="speed violations list", $A186="speed violations audit")</formula>
    </cfRule>
  </conditionalFormatting>
  <conditionalFormatting sqref="B186:C189 D186:E189">
    <cfRule type="expression" dxfId="32" priority="3909" stopIfTrue="1">
      <formula>$A186="file"</formula>
    </cfRule>
  </conditionalFormatting>
  <conditionalFormatting sqref="B186:C189 D186:E189">
    <cfRule type="expression" dxfId="7" priority="3910" stopIfTrue="1">
      <formula>$A186="note"</formula>
    </cfRule>
  </conditionalFormatting>
  <conditionalFormatting sqref="B186:C189 D186:E189">
    <cfRule type="expression" dxfId="8" priority="3911" stopIfTrue="1">
      <formula>$A186="barcode"</formula>
    </cfRule>
  </conditionalFormatting>
  <conditionalFormatting sqref="B186:C189 D186:E189">
    <cfRule type="expression" dxfId="9" priority="3912" stopIfTrue="1">
      <formula>OR($A186="geopoint", $A186="geoshape", $A186="geotrace")</formula>
    </cfRule>
  </conditionalFormatting>
  <conditionalFormatting sqref="B186:B189">
    <cfRule type="expression" dxfId="10" priority="3913" stopIfTrue="1">
      <formula>OR($A186="calculate", $A186="calculate_here")</formula>
    </cfRule>
  </conditionalFormatting>
  <conditionalFormatting sqref="B186:C189 D186:E189">
    <cfRule type="expression" dxfId="11" priority="3914" stopIfTrue="1">
      <formula>OR($A186="date", $A186="datetime", $A186="time")</formula>
    </cfRule>
  </conditionalFormatting>
  <conditionalFormatting sqref="B186:C189 D186:E189">
    <cfRule type="expression" dxfId="12" priority="3915" stopIfTrue="1">
      <formula>$A186="image"</formula>
    </cfRule>
  </conditionalFormatting>
  <conditionalFormatting sqref="B186:C189 D186:E189">
    <cfRule type="expression" dxfId="13" priority="3916" stopIfTrue="1">
      <formula>OR($A186="audio", $A186="video")</formula>
    </cfRule>
  </conditionalFormatting>
  <conditionalFormatting sqref="B186:E189">
    <cfRule type="expression" dxfId="33" priority="3917" stopIfTrue="1">
      <formula>$A186="file"</formula>
    </cfRule>
  </conditionalFormatting>
  <conditionalFormatting sqref="B186:E189">
    <cfRule type="expression" dxfId="34" priority="3918" stopIfTrue="1">
      <formula>$A186="enumerator"</formula>
    </cfRule>
  </conditionalFormatting>
  <conditionalFormatting sqref="B186:E189">
    <cfRule type="expression" dxfId="35" priority="3919" stopIfTrue="1">
      <formula>OR(AND(LEFT($A186, 14)="sensor_stream ", LEN($A186)&gt;14, NOT(ISNUMBER(SEARCH(" ", $A186, 15)))), AND(LEFT($A186, 17)="sensor_statistic ", LEN($A186)&gt;17, NOT(ISNUMBER(SEARCH(" ", $A186, 18)))))</formula>
    </cfRule>
  </conditionalFormatting>
  <conditionalFormatting sqref="B186:E189">
    <cfRule type="expression" dxfId="14" priority="3920" stopIfTrue="1">
      <formula>$A186="comments"</formula>
    </cfRule>
  </conditionalFormatting>
  <conditionalFormatting sqref="B186:E189">
    <cfRule type="expression" dxfId="15" priority="3921" stopIfTrue="1">
      <formula>OR($A186="audio", $A186="video")</formula>
    </cfRule>
  </conditionalFormatting>
  <conditionalFormatting sqref="B186:E189">
    <cfRule type="expression" dxfId="16" priority="3922" stopIfTrue="1">
      <formula>$A186="image"</formula>
    </cfRule>
  </conditionalFormatting>
  <conditionalFormatting sqref="B186:E189">
    <cfRule type="expression" dxfId="17" priority="3923" stopIfTrue="1">
      <formula>OR($A186="date", $A186="datetime", $A186="time")</formula>
    </cfRule>
  </conditionalFormatting>
  <conditionalFormatting sqref="B186:E189">
    <cfRule type="expression" dxfId="18" priority="3924" stopIfTrue="1">
      <formula>OR($A186="calculate", $A186="calculate_here")</formula>
    </cfRule>
  </conditionalFormatting>
  <conditionalFormatting sqref="B186:E189">
    <cfRule type="expression" dxfId="19" priority="3925" stopIfTrue="1">
      <formula>$A186="note"</formula>
    </cfRule>
  </conditionalFormatting>
  <conditionalFormatting sqref="B186:E189">
    <cfRule type="expression" dxfId="20" priority="3926" stopIfTrue="1">
      <formula>$A186="barcode"</formula>
    </cfRule>
  </conditionalFormatting>
  <conditionalFormatting sqref="B186:E189">
    <cfRule type="expression" dxfId="21" priority="3927" stopIfTrue="1">
      <formula>OR($A186="geopoint", $A186="geoshape", $A186="geotrace")</formula>
    </cfRule>
  </conditionalFormatting>
  <conditionalFormatting sqref="B186:E189">
    <cfRule type="expression" dxfId="22" priority="3928" stopIfTrue="1">
      <formula>OR($A186="audio audit", $A186="text audit", $A186="speed violations count", $A186="speed violations list", $A186="speed violations audit")</formula>
    </cfRule>
  </conditionalFormatting>
  <conditionalFormatting sqref="B186:E189">
    <cfRule type="expression" dxfId="23" priority="3929" stopIfTrue="1">
      <formula>OR($A186="username", $A186="phonenumber", $A186="start", $A186="end", $A186="deviceid", $A186="subscriberid", $A186="simserial", $A186="caseid")</formula>
    </cfRule>
  </conditionalFormatting>
  <conditionalFormatting sqref="B186:E189">
    <cfRule type="expression" dxfId="24" priority="3930" stopIfTrue="1">
      <formula>OR(AND(LEFT($A186, 16)="select_multiple ", LEN($A186)&gt;16, NOT(ISNUMBER(SEARCH(" ", $A186, 17)))), AND(LEFT($A186, 11)="select_one ", LEN($A186)&gt;11, NOT(ISNUMBER(SEARCH(" ", $A186, 12)))))</formula>
    </cfRule>
  </conditionalFormatting>
  <conditionalFormatting sqref="B186:E189">
    <cfRule type="expression" dxfId="25" priority="3931" stopIfTrue="1">
      <formula>$A186="decimal"</formula>
    </cfRule>
  </conditionalFormatting>
  <conditionalFormatting sqref="B186:E189">
    <cfRule type="expression" dxfId="26" priority="3932" stopIfTrue="1">
      <formula>$A186="integer"</formula>
    </cfRule>
  </conditionalFormatting>
  <conditionalFormatting sqref="B186:E189">
    <cfRule type="expression" dxfId="27" priority="3933" stopIfTrue="1">
      <formula>$A186="text"</formula>
    </cfRule>
  </conditionalFormatting>
  <conditionalFormatting sqref="B186:E189">
    <cfRule type="expression" dxfId="28" priority="3934" stopIfTrue="1">
      <formula>$A186="end repeat"</formula>
    </cfRule>
  </conditionalFormatting>
  <conditionalFormatting sqref="B186:E189">
    <cfRule type="expression" dxfId="28" priority="3935" stopIfTrue="1">
      <formula>$A186="begin repeat"</formula>
    </cfRule>
  </conditionalFormatting>
  <conditionalFormatting sqref="B186:E189">
    <cfRule type="expression" dxfId="29" priority="3936" stopIfTrue="1">
      <formula>$A186="end group"</formula>
    </cfRule>
  </conditionalFormatting>
  <conditionalFormatting sqref="B186:E189">
    <cfRule type="expression" dxfId="29" priority="3937" stopIfTrue="1">
      <formula>$A186="begin group"</formula>
    </cfRule>
  </conditionalFormatting>
  <conditionalFormatting sqref="B186:B189">
    <cfRule type="expression" dxfId="30" priority="3938" stopIfTrue="1">
      <formula>$A186="comments"</formula>
    </cfRule>
  </conditionalFormatting>
  <conditionalFormatting sqref="B186:B189">
    <cfRule type="expression" dxfId="36" priority="3939" stopIfTrue="1">
      <formula>OR(AND(LEFT($A186, 14)="sensor_stream ", LEN($A186)&gt;14, NOT(ISNUMBER(SEARCH(" ", $A186, 15)))), AND(LEFT($A186, 17)="sensor_statistic ", LEN($A186)&gt;17, NOT(ISNUMBER(SEARCH(" ", $A186, 18)))))</formula>
    </cfRule>
  </conditionalFormatting>
  <conditionalFormatting sqref="B178:C183 D178:E183">
    <cfRule type="expression" dxfId="0" priority="3940" stopIfTrue="1">
      <formula>$A178="begin group"</formula>
    </cfRule>
  </conditionalFormatting>
  <conditionalFormatting sqref="B178:C183 D178:E183">
    <cfRule type="expression" dxfId="1" priority="3941" stopIfTrue="1">
      <formula>$A178="begin repeat"</formula>
    </cfRule>
  </conditionalFormatting>
  <conditionalFormatting sqref="B178:E183">
    <cfRule type="expression" dxfId="31" priority="3942" stopIfTrue="1">
      <formula>$A178="enumerator"</formula>
    </cfRule>
  </conditionalFormatting>
  <conditionalFormatting sqref="B178:E183">
    <cfRule type="expression" dxfId="2" priority="3943" stopIfTrue="1">
      <formula>$A178="text"</formula>
    </cfRule>
  </conditionalFormatting>
  <conditionalFormatting sqref="B178:E183">
    <cfRule type="expression" dxfId="3" priority="3944" stopIfTrue="1">
      <formula>$A178="integer"</formula>
    </cfRule>
  </conditionalFormatting>
  <conditionalFormatting sqref="B178:E183">
    <cfRule type="expression" dxfId="4" priority="3945" stopIfTrue="1">
      <formula>$A178="decimal"</formula>
    </cfRule>
  </conditionalFormatting>
  <conditionalFormatting sqref="B178:C183 D178:E183">
    <cfRule type="expression" dxfId="5" priority="3946" stopIfTrue="1">
      <formula>OR(AND(LEFT($A178, 16)="select_multiple ", LEN($A178)&gt;16, NOT(ISNUMBER(SEARCH(" ", $A178, 17)))), AND(LEFT($A178, 11)="select_one ", LEN($A178)&gt;11, NOT(ISNUMBER(SEARCH(" ", $A178, 12)))))</formula>
    </cfRule>
  </conditionalFormatting>
  <conditionalFormatting sqref="B178:B183">
    <cfRule type="expression" dxfId="6" priority="3947" stopIfTrue="1">
      <formula>OR($A178="audio audit", $A178="text audit", $A178="speed violations count", $A178="speed violations list", $A178="speed violations audit")</formula>
    </cfRule>
  </conditionalFormatting>
  <conditionalFormatting sqref="B178:C183 D178:E183">
    <cfRule type="expression" dxfId="32" priority="3948" stopIfTrue="1">
      <formula>$A178="file"</formula>
    </cfRule>
  </conditionalFormatting>
  <conditionalFormatting sqref="B178:C183 D178:E183">
    <cfRule type="expression" dxfId="7" priority="3949" stopIfTrue="1">
      <formula>$A178="note"</formula>
    </cfRule>
  </conditionalFormatting>
  <conditionalFormatting sqref="B178:C183 D178:E183">
    <cfRule type="expression" dxfId="8" priority="3950" stopIfTrue="1">
      <formula>$A178="barcode"</formula>
    </cfRule>
  </conditionalFormatting>
  <conditionalFormatting sqref="B178:C183 D178:E183">
    <cfRule type="expression" dxfId="9" priority="3951" stopIfTrue="1">
      <formula>OR($A178="geopoint", $A178="geoshape", $A178="geotrace")</formula>
    </cfRule>
  </conditionalFormatting>
  <conditionalFormatting sqref="B178:B183">
    <cfRule type="expression" dxfId="10" priority="3952" stopIfTrue="1">
      <formula>OR($A178="calculate", $A178="calculate_here")</formula>
    </cfRule>
  </conditionalFormatting>
  <conditionalFormatting sqref="B178:C183 D178:E183">
    <cfRule type="expression" dxfId="11" priority="3953" stopIfTrue="1">
      <formula>OR($A178="date", $A178="datetime", $A178="time")</formula>
    </cfRule>
  </conditionalFormatting>
  <conditionalFormatting sqref="B178:C183 D178:E183">
    <cfRule type="expression" dxfId="12" priority="3954" stopIfTrue="1">
      <formula>$A178="image"</formula>
    </cfRule>
  </conditionalFormatting>
  <conditionalFormatting sqref="B178:C183 D178:E183">
    <cfRule type="expression" dxfId="13" priority="3955" stopIfTrue="1">
      <formula>OR($A178="audio", $A178="video")</formula>
    </cfRule>
  </conditionalFormatting>
  <conditionalFormatting sqref="B178:E183">
    <cfRule type="expression" dxfId="33" priority="3956" stopIfTrue="1">
      <formula>$A178="file"</formula>
    </cfRule>
  </conditionalFormatting>
  <conditionalFormatting sqref="B178:E183">
    <cfRule type="expression" dxfId="34" priority="3957" stopIfTrue="1">
      <formula>$A178="enumerator"</formula>
    </cfRule>
  </conditionalFormatting>
  <conditionalFormatting sqref="B178:E183">
    <cfRule type="expression" dxfId="35" priority="3958" stopIfTrue="1">
      <formula>OR(AND(LEFT($A178, 14)="sensor_stream ", LEN($A178)&gt;14, NOT(ISNUMBER(SEARCH(" ", $A178, 15)))), AND(LEFT($A178, 17)="sensor_statistic ", LEN($A178)&gt;17, NOT(ISNUMBER(SEARCH(" ", $A178, 18)))))</formula>
    </cfRule>
  </conditionalFormatting>
  <conditionalFormatting sqref="B178:E183">
    <cfRule type="expression" dxfId="14" priority="3959" stopIfTrue="1">
      <formula>$A178="comments"</formula>
    </cfRule>
  </conditionalFormatting>
  <conditionalFormatting sqref="B178:E183">
    <cfRule type="expression" dxfId="15" priority="3960" stopIfTrue="1">
      <formula>OR($A178="audio", $A178="video")</formula>
    </cfRule>
  </conditionalFormatting>
  <conditionalFormatting sqref="B178:E183">
    <cfRule type="expression" dxfId="16" priority="3961" stopIfTrue="1">
      <formula>$A178="image"</formula>
    </cfRule>
  </conditionalFormatting>
  <conditionalFormatting sqref="B178:E183">
    <cfRule type="expression" dxfId="17" priority="3962" stopIfTrue="1">
      <formula>OR($A178="date", $A178="datetime", $A178="time")</formula>
    </cfRule>
  </conditionalFormatting>
  <conditionalFormatting sqref="B178:E183">
    <cfRule type="expression" dxfId="18" priority="3963" stopIfTrue="1">
      <formula>OR($A178="calculate", $A178="calculate_here")</formula>
    </cfRule>
  </conditionalFormatting>
  <conditionalFormatting sqref="B178:E183">
    <cfRule type="expression" dxfId="19" priority="3964" stopIfTrue="1">
      <formula>$A178="note"</formula>
    </cfRule>
  </conditionalFormatting>
  <conditionalFormatting sqref="B178:E183">
    <cfRule type="expression" dxfId="20" priority="3965" stopIfTrue="1">
      <formula>$A178="barcode"</formula>
    </cfRule>
  </conditionalFormatting>
  <conditionalFormatting sqref="B178:E183">
    <cfRule type="expression" dxfId="21" priority="3966" stopIfTrue="1">
      <formula>OR($A178="geopoint", $A178="geoshape", $A178="geotrace")</formula>
    </cfRule>
  </conditionalFormatting>
  <conditionalFormatting sqref="B178:E183">
    <cfRule type="expression" dxfId="22" priority="3967" stopIfTrue="1">
      <formula>OR($A178="audio audit", $A178="text audit", $A178="speed violations count", $A178="speed violations list", $A178="speed violations audit")</formula>
    </cfRule>
  </conditionalFormatting>
  <conditionalFormatting sqref="B178:E183">
    <cfRule type="expression" dxfId="23" priority="3968" stopIfTrue="1">
      <formula>OR($A178="username", $A178="phonenumber", $A178="start", $A178="end", $A178="deviceid", $A178="subscriberid", $A178="simserial", $A178="caseid")</formula>
    </cfRule>
  </conditionalFormatting>
  <conditionalFormatting sqref="B178:E183">
    <cfRule type="expression" dxfId="24" priority="3969" stopIfTrue="1">
      <formula>OR(AND(LEFT($A178, 16)="select_multiple ", LEN($A178)&gt;16, NOT(ISNUMBER(SEARCH(" ", $A178, 17)))), AND(LEFT($A178, 11)="select_one ", LEN($A178)&gt;11, NOT(ISNUMBER(SEARCH(" ", $A178, 12)))))</formula>
    </cfRule>
  </conditionalFormatting>
  <conditionalFormatting sqref="B178:E183">
    <cfRule type="expression" dxfId="25" priority="3970" stopIfTrue="1">
      <formula>$A178="decimal"</formula>
    </cfRule>
  </conditionalFormatting>
  <conditionalFormatting sqref="B178:E183">
    <cfRule type="expression" dxfId="26" priority="3971" stopIfTrue="1">
      <formula>$A178="integer"</formula>
    </cfRule>
  </conditionalFormatting>
  <conditionalFormatting sqref="B178:E183">
    <cfRule type="expression" dxfId="27" priority="3972" stopIfTrue="1">
      <formula>$A178="text"</formula>
    </cfRule>
  </conditionalFormatting>
  <conditionalFormatting sqref="B178:E183">
    <cfRule type="expression" dxfId="28" priority="3973" stopIfTrue="1">
      <formula>$A178="end repeat"</formula>
    </cfRule>
  </conditionalFormatting>
  <conditionalFormatting sqref="B178:E183">
    <cfRule type="expression" dxfId="28" priority="3974" stopIfTrue="1">
      <formula>$A178="begin repeat"</formula>
    </cfRule>
  </conditionalFormatting>
  <conditionalFormatting sqref="B178:E183">
    <cfRule type="expression" dxfId="29" priority="3975" stopIfTrue="1">
      <formula>$A178="end group"</formula>
    </cfRule>
  </conditionalFormatting>
  <conditionalFormatting sqref="B178:E183">
    <cfRule type="expression" dxfId="29" priority="3976" stopIfTrue="1">
      <formula>$A178="begin group"</formula>
    </cfRule>
  </conditionalFormatting>
  <conditionalFormatting sqref="B178:B183">
    <cfRule type="expression" dxfId="30" priority="3977" stopIfTrue="1">
      <formula>$A178="comments"</formula>
    </cfRule>
  </conditionalFormatting>
  <conditionalFormatting sqref="B178:B183">
    <cfRule type="expression" dxfId="36" priority="3978" stopIfTrue="1">
      <formula>OR(AND(LEFT($A178, 14)="sensor_stream ", LEN($A178)&gt;14, NOT(ISNUMBER(SEARCH(" ", $A178, 15)))), AND(LEFT($A178, 17)="sensor_statistic ", LEN($A178)&gt;17, NOT(ISNUMBER(SEARCH(" ", $A178, 18)))))</formula>
    </cfRule>
  </conditionalFormatting>
  <conditionalFormatting sqref="B149:C173 D149:E173">
    <cfRule type="expression" dxfId="0" priority="3979" stopIfTrue="1">
      <formula>$A149="begin group"</formula>
    </cfRule>
  </conditionalFormatting>
  <conditionalFormatting sqref="B149:C173 D149:E173">
    <cfRule type="expression" dxfId="1" priority="3980" stopIfTrue="1">
      <formula>$A149="begin repeat"</formula>
    </cfRule>
  </conditionalFormatting>
  <conditionalFormatting sqref="B149:E173">
    <cfRule type="expression" dxfId="31" priority="3981" stopIfTrue="1">
      <formula>$A149="enumerator"</formula>
    </cfRule>
  </conditionalFormatting>
  <conditionalFormatting sqref="B149:E173">
    <cfRule type="expression" dxfId="2" priority="3982" stopIfTrue="1">
      <formula>$A149="text"</formula>
    </cfRule>
  </conditionalFormatting>
  <conditionalFormatting sqref="B149:E173">
    <cfRule type="expression" dxfId="3" priority="3983" stopIfTrue="1">
      <formula>$A149="integer"</formula>
    </cfRule>
  </conditionalFormatting>
  <conditionalFormatting sqref="B149:E173">
    <cfRule type="expression" dxfId="4" priority="3984" stopIfTrue="1">
      <formula>$A149="decimal"</formula>
    </cfRule>
  </conditionalFormatting>
  <conditionalFormatting sqref="B149:C173 D149:E173">
    <cfRule type="expression" dxfId="5" priority="3985" stopIfTrue="1">
      <formula>OR(AND(LEFT($A149, 16)="select_multiple ", LEN($A149)&gt;16, NOT(ISNUMBER(SEARCH(" ", $A149, 17)))), AND(LEFT($A149, 11)="select_one ", LEN($A149)&gt;11, NOT(ISNUMBER(SEARCH(" ", $A149, 12)))))</formula>
    </cfRule>
  </conditionalFormatting>
  <conditionalFormatting sqref="B149:B173">
    <cfRule type="expression" dxfId="6" priority="3986" stopIfTrue="1">
      <formula>OR($A149="audio audit", $A149="text audit", $A149="speed violations count", $A149="speed violations list", $A149="speed violations audit")</formula>
    </cfRule>
  </conditionalFormatting>
  <conditionalFormatting sqref="B149:C173 D149:E173">
    <cfRule type="expression" dxfId="32" priority="3987" stopIfTrue="1">
      <formula>$A149="file"</formula>
    </cfRule>
  </conditionalFormatting>
  <conditionalFormatting sqref="B149:C173 D149:E173">
    <cfRule type="expression" dxfId="7" priority="3988" stopIfTrue="1">
      <formula>$A149="note"</formula>
    </cfRule>
  </conditionalFormatting>
  <conditionalFormatting sqref="B149:C173 D149:E173">
    <cfRule type="expression" dxfId="8" priority="3989" stopIfTrue="1">
      <formula>$A149="barcode"</formula>
    </cfRule>
  </conditionalFormatting>
  <conditionalFormatting sqref="B149:C173 D149:E173">
    <cfRule type="expression" dxfId="9" priority="3990" stopIfTrue="1">
      <formula>OR($A149="geopoint", $A149="geoshape", $A149="geotrace")</formula>
    </cfRule>
  </conditionalFormatting>
  <conditionalFormatting sqref="B149:B173">
    <cfRule type="expression" dxfId="10" priority="3991" stopIfTrue="1">
      <formula>OR($A149="calculate", $A149="calculate_here")</formula>
    </cfRule>
  </conditionalFormatting>
  <conditionalFormatting sqref="B149:C173 D149:E173">
    <cfRule type="expression" dxfId="11" priority="3992" stopIfTrue="1">
      <formula>OR($A149="date", $A149="datetime", $A149="time")</formula>
    </cfRule>
  </conditionalFormatting>
  <conditionalFormatting sqref="B149:C173 D149:E173">
    <cfRule type="expression" dxfId="12" priority="3993" stopIfTrue="1">
      <formula>$A149="image"</formula>
    </cfRule>
  </conditionalFormatting>
  <conditionalFormatting sqref="B149:C173 D149:E173">
    <cfRule type="expression" dxfId="13" priority="3994" stopIfTrue="1">
      <formula>OR($A149="audio", $A149="video")</formula>
    </cfRule>
  </conditionalFormatting>
  <conditionalFormatting sqref="B149:E173">
    <cfRule type="expression" dxfId="33" priority="3995" stopIfTrue="1">
      <formula>$A149="file"</formula>
    </cfRule>
  </conditionalFormatting>
  <conditionalFormatting sqref="B149:E173">
    <cfRule type="expression" dxfId="34" priority="3996" stopIfTrue="1">
      <formula>$A149="enumerator"</formula>
    </cfRule>
  </conditionalFormatting>
  <conditionalFormatting sqref="B149:E173">
    <cfRule type="expression" dxfId="35" priority="3997" stopIfTrue="1">
      <formula>OR(AND(LEFT($A149, 14)="sensor_stream ", LEN($A149)&gt;14, NOT(ISNUMBER(SEARCH(" ", $A149, 15)))), AND(LEFT($A149, 17)="sensor_statistic ", LEN($A149)&gt;17, NOT(ISNUMBER(SEARCH(" ", $A149, 18)))))</formula>
    </cfRule>
  </conditionalFormatting>
  <conditionalFormatting sqref="B149:E173">
    <cfRule type="expression" dxfId="14" priority="3998" stopIfTrue="1">
      <formula>$A149="comments"</formula>
    </cfRule>
  </conditionalFormatting>
  <conditionalFormatting sqref="B149:E173">
    <cfRule type="expression" dxfId="15" priority="3999" stopIfTrue="1">
      <formula>OR($A149="audio", $A149="video")</formula>
    </cfRule>
  </conditionalFormatting>
  <conditionalFormatting sqref="B149:E173">
    <cfRule type="expression" dxfId="16" priority="4000" stopIfTrue="1">
      <formula>$A149="image"</formula>
    </cfRule>
  </conditionalFormatting>
  <conditionalFormatting sqref="B149:E173">
    <cfRule type="expression" dxfId="17" priority="4001" stopIfTrue="1">
      <formula>OR($A149="date", $A149="datetime", $A149="time")</formula>
    </cfRule>
  </conditionalFormatting>
  <conditionalFormatting sqref="B149:E173">
    <cfRule type="expression" dxfId="18" priority="4002" stopIfTrue="1">
      <formula>OR($A149="calculate", $A149="calculate_here")</formula>
    </cfRule>
  </conditionalFormatting>
  <conditionalFormatting sqref="B149:E173">
    <cfRule type="expression" dxfId="19" priority="4003" stopIfTrue="1">
      <formula>$A149="note"</formula>
    </cfRule>
  </conditionalFormatting>
  <conditionalFormatting sqref="B149:E173">
    <cfRule type="expression" dxfId="20" priority="4004" stopIfTrue="1">
      <formula>$A149="barcode"</formula>
    </cfRule>
  </conditionalFormatting>
  <conditionalFormatting sqref="B149:E173">
    <cfRule type="expression" dxfId="21" priority="4005" stopIfTrue="1">
      <formula>OR($A149="geopoint", $A149="geoshape", $A149="geotrace")</formula>
    </cfRule>
  </conditionalFormatting>
  <conditionalFormatting sqref="B149:E173">
    <cfRule type="expression" dxfId="22" priority="4006" stopIfTrue="1">
      <formula>OR($A149="audio audit", $A149="text audit", $A149="speed violations count", $A149="speed violations list", $A149="speed violations audit")</formula>
    </cfRule>
  </conditionalFormatting>
  <conditionalFormatting sqref="B149:E173">
    <cfRule type="expression" dxfId="23" priority="4007" stopIfTrue="1">
      <formula>OR($A149="username", $A149="phonenumber", $A149="start", $A149="end", $A149="deviceid", $A149="subscriberid", $A149="simserial", $A149="caseid")</formula>
    </cfRule>
  </conditionalFormatting>
  <conditionalFormatting sqref="B149:E173">
    <cfRule type="expression" dxfId="24" priority="4008" stopIfTrue="1">
      <formula>OR(AND(LEFT($A149, 16)="select_multiple ", LEN($A149)&gt;16, NOT(ISNUMBER(SEARCH(" ", $A149, 17)))), AND(LEFT($A149, 11)="select_one ", LEN($A149)&gt;11, NOT(ISNUMBER(SEARCH(" ", $A149, 12)))))</formula>
    </cfRule>
  </conditionalFormatting>
  <conditionalFormatting sqref="B149:E173">
    <cfRule type="expression" dxfId="25" priority="4009" stopIfTrue="1">
      <formula>$A149="decimal"</formula>
    </cfRule>
  </conditionalFormatting>
  <conditionalFormatting sqref="B149:E173">
    <cfRule type="expression" dxfId="26" priority="4010" stopIfTrue="1">
      <formula>$A149="integer"</formula>
    </cfRule>
  </conditionalFormatting>
  <conditionalFormatting sqref="B149:E173">
    <cfRule type="expression" dxfId="27" priority="4011" stopIfTrue="1">
      <formula>$A149="text"</formula>
    </cfRule>
  </conditionalFormatting>
  <conditionalFormatting sqref="B149:E173">
    <cfRule type="expression" dxfId="28" priority="4012" stopIfTrue="1">
      <formula>$A149="end repeat"</formula>
    </cfRule>
  </conditionalFormatting>
  <conditionalFormatting sqref="B149:E173">
    <cfRule type="expression" dxfId="28" priority="4013" stopIfTrue="1">
      <formula>$A149="begin repeat"</formula>
    </cfRule>
  </conditionalFormatting>
  <conditionalFormatting sqref="B149:E173">
    <cfRule type="expression" dxfId="29" priority="4014" stopIfTrue="1">
      <formula>$A149="end group"</formula>
    </cfRule>
  </conditionalFormatting>
  <conditionalFormatting sqref="B149:E173">
    <cfRule type="expression" dxfId="29" priority="4015" stopIfTrue="1">
      <formula>$A149="begin group"</formula>
    </cfRule>
  </conditionalFormatting>
  <conditionalFormatting sqref="B149:B173">
    <cfRule type="expression" dxfId="30" priority="4016" stopIfTrue="1">
      <formula>$A149="comments"</formula>
    </cfRule>
  </conditionalFormatting>
  <conditionalFormatting sqref="B149:B173">
    <cfRule type="expression" dxfId="36" priority="4017" stopIfTrue="1">
      <formula>OR(AND(LEFT($A149, 14)="sensor_stream ", LEN($A149)&gt;14, NOT(ISNUMBER(SEARCH(" ", $A149, 15)))), AND(LEFT($A149, 17)="sensor_statistic ", LEN($A149)&gt;17, NOT(ISNUMBER(SEARCH(" ", $A149, 18)))))</formula>
    </cfRule>
  </conditionalFormatting>
  <conditionalFormatting sqref="B138:C142 D138:E142">
    <cfRule type="expression" dxfId="0" priority="4018" stopIfTrue="1">
      <formula>$A138="begin group"</formula>
    </cfRule>
  </conditionalFormatting>
  <conditionalFormatting sqref="B138:C142 D138:E142">
    <cfRule type="expression" dxfId="1" priority="4019" stopIfTrue="1">
      <formula>$A138="begin repeat"</formula>
    </cfRule>
  </conditionalFormatting>
  <conditionalFormatting sqref="B138:E142">
    <cfRule type="expression" dxfId="31" priority="4020" stopIfTrue="1">
      <formula>$A138="enumerator"</formula>
    </cfRule>
  </conditionalFormatting>
  <conditionalFormatting sqref="B138:E142">
    <cfRule type="expression" dxfId="2" priority="4021" stopIfTrue="1">
      <formula>$A138="text"</formula>
    </cfRule>
  </conditionalFormatting>
  <conditionalFormatting sqref="B138:E142">
    <cfRule type="expression" dxfId="3" priority="4022" stopIfTrue="1">
      <formula>$A138="integer"</formula>
    </cfRule>
  </conditionalFormatting>
  <conditionalFormatting sqref="B138:E142">
    <cfRule type="expression" dxfId="4" priority="4023" stopIfTrue="1">
      <formula>$A138="decimal"</formula>
    </cfRule>
  </conditionalFormatting>
  <conditionalFormatting sqref="B138:C142 D138:E142">
    <cfRule type="expression" dxfId="5" priority="4024" stopIfTrue="1">
      <formula>OR(AND(LEFT($A138, 16)="select_multiple ", LEN($A138)&gt;16, NOT(ISNUMBER(SEARCH(" ", $A138, 17)))), AND(LEFT($A138, 11)="select_one ", LEN($A138)&gt;11, NOT(ISNUMBER(SEARCH(" ", $A138, 12)))))</formula>
    </cfRule>
  </conditionalFormatting>
  <conditionalFormatting sqref="B138:B142">
    <cfRule type="expression" dxfId="6" priority="4025" stopIfTrue="1">
      <formula>OR($A138="audio audit", $A138="text audit", $A138="speed violations count", $A138="speed violations list", $A138="speed violations audit")</formula>
    </cfRule>
  </conditionalFormatting>
  <conditionalFormatting sqref="B138:C142 D138:E142">
    <cfRule type="expression" dxfId="32" priority="4026" stopIfTrue="1">
      <formula>$A138="file"</formula>
    </cfRule>
  </conditionalFormatting>
  <conditionalFormatting sqref="B138:C142 D138:E142">
    <cfRule type="expression" dxfId="7" priority="4027" stopIfTrue="1">
      <formula>$A138="note"</formula>
    </cfRule>
  </conditionalFormatting>
  <conditionalFormatting sqref="B138:C142 D138:E142">
    <cfRule type="expression" dxfId="8" priority="4028" stopIfTrue="1">
      <formula>$A138="barcode"</formula>
    </cfRule>
  </conditionalFormatting>
  <conditionalFormatting sqref="B138:C142 D138:E142">
    <cfRule type="expression" dxfId="9" priority="4029" stopIfTrue="1">
      <formula>OR($A138="geopoint", $A138="geoshape", $A138="geotrace")</formula>
    </cfRule>
  </conditionalFormatting>
  <conditionalFormatting sqref="B138:B142">
    <cfRule type="expression" dxfId="10" priority="4030" stopIfTrue="1">
      <formula>OR($A138="calculate", $A138="calculate_here")</formula>
    </cfRule>
  </conditionalFormatting>
  <conditionalFormatting sqref="B138:C142 D138:E142">
    <cfRule type="expression" dxfId="11" priority="4031" stopIfTrue="1">
      <formula>OR($A138="date", $A138="datetime", $A138="time")</formula>
    </cfRule>
  </conditionalFormatting>
  <conditionalFormatting sqref="B138:C142 D138:E142">
    <cfRule type="expression" dxfId="12" priority="4032" stopIfTrue="1">
      <formula>$A138="image"</formula>
    </cfRule>
  </conditionalFormatting>
  <conditionalFormatting sqref="B138:C142 D138:E142">
    <cfRule type="expression" dxfId="13" priority="4033" stopIfTrue="1">
      <formula>OR($A138="audio", $A138="video")</formula>
    </cfRule>
  </conditionalFormatting>
  <conditionalFormatting sqref="B138:E142">
    <cfRule type="expression" dxfId="33" priority="4034" stopIfTrue="1">
      <formula>$A138="file"</formula>
    </cfRule>
  </conditionalFormatting>
  <conditionalFormatting sqref="B138:E142">
    <cfRule type="expression" dxfId="34" priority="4035" stopIfTrue="1">
      <formula>$A138="enumerator"</formula>
    </cfRule>
  </conditionalFormatting>
  <conditionalFormatting sqref="B138:E142">
    <cfRule type="expression" dxfId="35" priority="4036" stopIfTrue="1">
      <formula>OR(AND(LEFT($A138, 14)="sensor_stream ", LEN($A138)&gt;14, NOT(ISNUMBER(SEARCH(" ", $A138, 15)))), AND(LEFT($A138, 17)="sensor_statistic ", LEN($A138)&gt;17, NOT(ISNUMBER(SEARCH(" ", $A138, 18)))))</formula>
    </cfRule>
  </conditionalFormatting>
  <conditionalFormatting sqref="B138:E142">
    <cfRule type="expression" dxfId="14" priority="4037" stopIfTrue="1">
      <formula>$A138="comments"</formula>
    </cfRule>
  </conditionalFormatting>
  <conditionalFormatting sqref="B138:E142">
    <cfRule type="expression" dxfId="15" priority="4038" stopIfTrue="1">
      <formula>OR($A138="audio", $A138="video")</formula>
    </cfRule>
  </conditionalFormatting>
  <conditionalFormatting sqref="B138:E142">
    <cfRule type="expression" dxfId="16" priority="4039" stopIfTrue="1">
      <formula>$A138="image"</formula>
    </cfRule>
  </conditionalFormatting>
  <conditionalFormatting sqref="B138:E142">
    <cfRule type="expression" dxfId="17" priority="4040" stopIfTrue="1">
      <formula>OR($A138="date", $A138="datetime", $A138="time")</formula>
    </cfRule>
  </conditionalFormatting>
  <conditionalFormatting sqref="B138:E142">
    <cfRule type="expression" dxfId="18" priority="4041" stopIfTrue="1">
      <formula>OR($A138="calculate", $A138="calculate_here")</formula>
    </cfRule>
  </conditionalFormatting>
  <conditionalFormatting sqref="B138:E142">
    <cfRule type="expression" dxfId="19" priority="4042" stopIfTrue="1">
      <formula>$A138="note"</formula>
    </cfRule>
  </conditionalFormatting>
  <conditionalFormatting sqref="B138:E142">
    <cfRule type="expression" dxfId="20" priority="4043" stopIfTrue="1">
      <formula>$A138="barcode"</formula>
    </cfRule>
  </conditionalFormatting>
  <conditionalFormatting sqref="B138:E142">
    <cfRule type="expression" dxfId="21" priority="4044" stopIfTrue="1">
      <formula>OR($A138="geopoint", $A138="geoshape", $A138="geotrace")</formula>
    </cfRule>
  </conditionalFormatting>
  <conditionalFormatting sqref="B138:E142">
    <cfRule type="expression" dxfId="22" priority="4045" stopIfTrue="1">
      <formula>OR($A138="audio audit", $A138="text audit", $A138="speed violations count", $A138="speed violations list", $A138="speed violations audit")</formula>
    </cfRule>
  </conditionalFormatting>
  <conditionalFormatting sqref="B138:E142">
    <cfRule type="expression" dxfId="23" priority="4046" stopIfTrue="1">
      <formula>OR($A138="username", $A138="phonenumber", $A138="start", $A138="end", $A138="deviceid", $A138="subscriberid", $A138="simserial", $A138="caseid")</formula>
    </cfRule>
  </conditionalFormatting>
  <conditionalFormatting sqref="B138:E142">
    <cfRule type="expression" dxfId="24" priority="4047" stopIfTrue="1">
      <formula>OR(AND(LEFT($A138, 16)="select_multiple ", LEN($A138)&gt;16, NOT(ISNUMBER(SEARCH(" ", $A138, 17)))), AND(LEFT($A138, 11)="select_one ", LEN($A138)&gt;11, NOT(ISNUMBER(SEARCH(" ", $A138, 12)))))</formula>
    </cfRule>
  </conditionalFormatting>
  <conditionalFormatting sqref="B138:E142">
    <cfRule type="expression" dxfId="25" priority="4048" stopIfTrue="1">
      <formula>$A138="decimal"</formula>
    </cfRule>
  </conditionalFormatting>
  <conditionalFormatting sqref="B138:E142">
    <cfRule type="expression" dxfId="26" priority="4049" stopIfTrue="1">
      <formula>$A138="integer"</formula>
    </cfRule>
  </conditionalFormatting>
  <conditionalFormatting sqref="B138:E142">
    <cfRule type="expression" dxfId="27" priority="4050" stopIfTrue="1">
      <formula>$A138="text"</formula>
    </cfRule>
  </conditionalFormatting>
  <conditionalFormatting sqref="B138:E142">
    <cfRule type="expression" dxfId="28" priority="4051" stopIfTrue="1">
      <formula>$A138="end repeat"</formula>
    </cfRule>
  </conditionalFormatting>
  <conditionalFormatting sqref="B138:E142">
    <cfRule type="expression" dxfId="28" priority="4052" stopIfTrue="1">
      <formula>$A138="begin repeat"</formula>
    </cfRule>
  </conditionalFormatting>
  <conditionalFormatting sqref="B138:E142">
    <cfRule type="expression" dxfId="29" priority="4053" stopIfTrue="1">
      <formula>$A138="end group"</formula>
    </cfRule>
  </conditionalFormatting>
  <conditionalFormatting sqref="B138:E142">
    <cfRule type="expression" dxfId="29" priority="4054" stopIfTrue="1">
      <formula>$A138="begin group"</formula>
    </cfRule>
  </conditionalFormatting>
  <conditionalFormatting sqref="B138:B142">
    <cfRule type="expression" dxfId="30" priority="4055" stopIfTrue="1">
      <formula>$A138="comments"</formula>
    </cfRule>
  </conditionalFormatting>
  <conditionalFormatting sqref="B138:B142">
    <cfRule type="expression" dxfId="36" priority="4056" stopIfTrue="1">
      <formula>OR(AND(LEFT($A138, 14)="sensor_stream ", LEN($A138)&gt;14, NOT(ISNUMBER(SEARCH(" ", $A138, 15)))), AND(LEFT($A138, 17)="sensor_statistic ", LEN($A138)&gt;17, NOT(ISNUMBER(SEARCH(" ", $A138, 18)))))</formula>
    </cfRule>
  </conditionalFormatting>
  <conditionalFormatting sqref="B131:C135 D131:E135">
    <cfRule type="expression" dxfId="0" priority="4057" stopIfTrue="1">
      <formula>$A131="begin group"</formula>
    </cfRule>
  </conditionalFormatting>
  <conditionalFormatting sqref="B131:C135 D131:E135">
    <cfRule type="expression" dxfId="1" priority="4058" stopIfTrue="1">
      <formula>$A131="begin repeat"</formula>
    </cfRule>
  </conditionalFormatting>
  <conditionalFormatting sqref="B131:E135">
    <cfRule type="expression" dxfId="31" priority="4059" stopIfTrue="1">
      <formula>$A131="enumerator"</formula>
    </cfRule>
  </conditionalFormatting>
  <conditionalFormatting sqref="B131:E135">
    <cfRule type="expression" dxfId="2" priority="4060" stopIfTrue="1">
      <formula>$A131="text"</formula>
    </cfRule>
  </conditionalFormatting>
  <conditionalFormatting sqref="B131:E135">
    <cfRule type="expression" dxfId="3" priority="4061" stopIfTrue="1">
      <formula>$A131="integer"</formula>
    </cfRule>
  </conditionalFormatting>
  <conditionalFormatting sqref="B131:E135">
    <cfRule type="expression" dxfId="4" priority="4062" stopIfTrue="1">
      <formula>$A131="decimal"</formula>
    </cfRule>
  </conditionalFormatting>
  <conditionalFormatting sqref="B131:C135 D131:E135">
    <cfRule type="expression" dxfId="5" priority="4063" stopIfTrue="1">
      <formula>OR(AND(LEFT($A131, 16)="select_multiple ", LEN($A131)&gt;16, NOT(ISNUMBER(SEARCH(" ", $A131, 17)))), AND(LEFT($A131, 11)="select_one ", LEN($A131)&gt;11, NOT(ISNUMBER(SEARCH(" ", $A131, 12)))))</formula>
    </cfRule>
  </conditionalFormatting>
  <conditionalFormatting sqref="B131:B135">
    <cfRule type="expression" dxfId="6" priority="4064" stopIfTrue="1">
      <formula>OR($A131="audio audit", $A131="text audit", $A131="speed violations count", $A131="speed violations list", $A131="speed violations audit")</formula>
    </cfRule>
  </conditionalFormatting>
  <conditionalFormatting sqref="B131:C135 D131:E135">
    <cfRule type="expression" dxfId="32" priority="4065" stopIfTrue="1">
      <formula>$A131="file"</formula>
    </cfRule>
  </conditionalFormatting>
  <conditionalFormatting sqref="B131:C135 D131:E135">
    <cfRule type="expression" dxfId="7" priority="4066" stopIfTrue="1">
      <formula>$A131="note"</formula>
    </cfRule>
  </conditionalFormatting>
  <conditionalFormatting sqref="B131:C135 D131:E135">
    <cfRule type="expression" dxfId="8" priority="4067" stopIfTrue="1">
      <formula>$A131="barcode"</formula>
    </cfRule>
  </conditionalFormatting>
  <conditionalFormatting sqref="B131:C135 D131:E135">
    <cfRule type="expression" dxfId="9" priority="4068" stopIfTrue="1">
      <formula>OR($A131="geopoint", $A131="geoshape", $A131="geotrace")</formula>
    </cfRule>
  </conditionalFormatting>
  <conditionalFormatting sqref="B131:B135">
    <cfRule type="expression" dxfId="10" priority="4069" stopIfTrue="1">
      <formula>OR($A131="calculate", $A131="calculate_here")</formula>
    </cfRule>
  </conditionalFormatting>
  <conditionalFormatting sqref="B131:C135 D131:E135">
    <cfRule type="expression" dxfId="11" priority="4070" stopIfTrue="1">
      <formula>OR($A131="date", $A131="datetime", $A131="time")</formula>
    </cfRule>
  </conditionalFormatting>
  <conditionalFormatting sqref="B131:C135 D131:E135">
    <cfRule type="expression" dxfId="12" priority="4071" stopIfTrue="1">
      <formula>$A131="image"</formula>
    </cfRule>
  </conditionalFormatting>
  <conditionalFormatting sqref="B131:C135 D131:E135">
    <cfRule type="expression" dxfId="13" priority="4072" stopIfTrue="1">
      <formula>OR($A131="audio", $A131="video")</formula>
    </cfRule>
  </conditionalFormatting>
  <conditionalFormatting sqref="B131:E135">
    <cfRule type="expression" dxfId="33" priority="4073" stopIfTrue="1">
      <formula>$A131="file"</formula>
    </cfRule>
  </conditionalFormatting>
  <conditionalFormatting sqref="B131:E135">
    <cfRule type="expression" dxfId="34" priority="4074" stopIfTrue="1">
      <formula>$A131="enumerator"</formula>
    </cfRule>
  </conditionalFormatting>
  <conditionalFormatting sqref="B131:E135">
    <cfRule type="expression" dxfId="35" priority="4075" stopIfTrue="1">
      <formula>OR(AND(LEFT($A131, 14)="sensor_stream ", LEN($A131)&gt;14, NOT(ISNUMBER(SEARCH(" ", $A131, 15)))), AND(LEFT($A131, 17)="sensor_statistic ", LEN($A131)&gt;17, NOT(ISNUMBER(SEARCH(" ", $A131, 18)))))</formula>
    </cfRule>
  </conditionalFormatting>
  <conditionalFormatting sqref="B131:E135">
    <cfRule type="expression" dxfId="14" priority="4076" stopIfTrue="1">
      <formula>$A131="comments"</formula>
    </cfRule>
  </conditionalFormatting>
  <conditionalFormatting sqref="B131:E135">
    <cfRule type="expression" dxfId="15" priority="4077" stopIfTrue="1">
      <formula>OR($A131="audio", $A131="video")</formula>
    </cfRule>
  </conditionalFormatting>
  <conditionalFormatting sqref="B131:E135">
    <cfRule type="expression" dxfId="16" priority="4078" stopIfTrue="1">
      <formula>$A131="image"</formula>
    </cfRule>
  </conditionalFormatting>
  <conditionalFormatting sqref="B131:E135">
    <cfRule type="expression" dxfId="17" priority="4079" stopIfTrue="1">
      <formula>OR($A131="date", $A131="datetime", $A131="time")</formula>
    </cfRule>
  </conditionalFormatting>
  <conditionalFormatting sqref="B131:E135">
    <cfRule type="expression" dxfId="18" priority="4080" stopIfTrue="1">
      <formula>OR($A131="calculate", $A131="calculate_here")</formula>
    </cfRule>
  </conditionalFormatting>
  <conditionalFormatting sqref="B131:E135">
    <cfRule type="expression" dxfId="19" priority="4081" stopIfTrue="1">
      <formula>$A131="note"</formula>
    </cfRule>
  </conditionalFormatting>
  <conditionalFormatting sqref="B131:E135">
    <cfRule type="expression" dxfId="20" priority="4082" stopIfTrue="1">
      <formula>$A131="barcode"</formula>
    </cfRule>
  </conditionalFormatting>
  <conditionalFormatting sqref="B131:E135">
    <cfRule type="expression" dxfId="21" priority="4083" stopIfTrue="1">
      <formula>OR($A131="geopoint", $A131="geoshape", $A131="geotrace")</formula>
    </cfRule>
  </conditionalFormatting>
  <conditionalFormatting sqref="B131:E135">
    <cfRule type="expression" dxfId="22" priority="4084" stopIfTrue="1">
      <formula>OR($A131="audio audit", $A131="text audit", $A131="speed violations count", $A131="speed violations list", $A131="speed violations audit")</formula>
    </cfRule>
  </conditionalFormatting>
  <conditionalFormatting sqref="B131:E135">
    <cfRule type="expression" dxfId="23" priority="4085" stopIfTrue="1">
      <formula>OR($A131="username", $A131="phonenumber", $A131="start", $A131="end", $A131="deviceid", $A131="subscriberid", $A131="simserial", $A131="caseid")</formula>
    </cfRule>
  </conditionalFormatting>
  <conditionalFormatting sqref="B131:E135">
    <cfRule type="expression" dxfId="24" priority="4086" stopIfTrue="1">
      <formula>OR(AND(LEFT($A131, 16)="select_multiple ", LEN($A131)&gt;16, NOT(ISNUMBER(SEARCH(" ", $A131, 17)))), AND(LEFT($A131, 11)="select_one ", LEN($A131)&gt;11, NOT(ISNUMBER(SEARCH(" ", $A131, 12)))))</formula>
    </cfRule>
  </conditionalFormatting>
  <conditionalFormatting sqref="B131:E135">
    <cfRule type="expression" dxfId="25" priority="4087" stopIfTrue="1">
      <formula>$A131="decimal"</formula>
    </cfRule>
  </conditionalFormatting>
  <conditionalFormatting sqref="B131:E135">
    <cfRule type="expression" dxfId="26" priority="4088" stopIfTrue="1">
      <formula>$A131="integer"</formula>
    </cfRule>
  </conditionalFormatting>
  <conditionalFormatting sqref="B131:E135">
    <cfRule type="expression" dxfId="27" priority="4089" stopIfTrue="1">
      <formula>$A131="text"</formula>
    </cfRule>
  </conditionalFormatting>
  <conditionalFormatting sqref="B131:E135">
    <cfRule type="expression" dxfId="28" priority="4090" stopIfTrue="1">
      <formula>$A131="end repeat"</formula>
    </cfRule>
  </conditionalFormatting>
  <conditionalFormatting sqref="B131:E135">
    <cfRule type="expression" dxfId="28" priority="4091" stopIfTrue="1">
      <formula>$A131="begin repeat"</formula>
    </cfRule>
  </conditionalFormatting>
  <conditionalFormatting sqref="B131:E135">
    <cfRule type="expression" dxfId="29" priority="4092" stopIfTrue="1">
      <formula>$A131="end group"</formula>
    </cfRule>
  </conditionalFormatting>
  <conditionalFormatting sqref="B131:E135">
    <cfRule type="expression" dxfId="29" priority="4093" stopIfTrue="1">
      <formula>$A131="begin group"</formula>
    </cfRule>
  </conditionalFormatting>
  <conditionalFormatting sqref="B131:B135">
    <cfRule type="expression" dxfId="30" priority="4094" stopIfTrue="1">
      <formula>$A131="comments"</formula>
    </cfRule>
  </conditionalFormatting>
  <conditionalFormatting sqref="B131:B135">
    <cfRule type="expression" dxfId="36" priority="4095" stopIfTrue="1">
      <formula>OR(AND(LEFT($A131, 14)="sensor_stream ", LEN($A131)&gt;14, NOT(ISNUMBER(SEARCH(" ", $A131, 15)))), AND(LEFT($A131, 17)="sensor_statistic ", LEN($A131)&gt;17, NOT(ISNUMBER(SEARCH(" ", $A131, 18)))))</formula>
    </cfRule>
  </conditionalFormatting>
  <conditionalFormatting sqref="B127:C129 D127:E129">
    <cfRule type="expression" dxfId="0" priority="4096" stopIfTrue="1">
      <formula>$A127="begin group"</formula>
    </cfRule>
  </conditionalFormatting>
  <conditionalFormatting sqref="B127:C129 D127:E129">
    <cfRule type="expression" dxfId="1" priority="4097" stopIfTrue="1">
      <formula>$A127="begin repeat"</formula>
    </cfRule>
  </conditionalFormatting>
  <conditionalFormatting sqref="B127:E129">
    <cfRule type="expression" dxfId="31" priority="4098" stopIfTrue="1">
      <formula>$A127="enumerator"</formula>
    </cfRule>
  </conditionalFormatting>
  <conditionalFormatting sqref="B127:E129">
    <cfRule type="expression" dxfId="2" priority="4099" stopIfTrue="1">
      <formula>$A127="text"</formula>
    </cfRule>
  </conditionalFormatting>
  <conditionalFormatting sqref="B127:E129">
    <cfRule type="expression" dxfId="3" priority="4100" stopIfTrue="1">
      <formula>$A127="integer"</formula>
    </cfRule>
  </conditionalFormatting>
  <conditionalFormatting sqref="B127:E129">
    <cfRule type="expression" dxfId="4" priority="4101" stopIfTrue="1">
      <formula>$A127="decimal"</formula>
    </cfRule>
  </conditionalFormatting>
  <conditionalFormatting sqref="B127:C129 D127:E129">
    <cfRule type="expression" dxfId="5" priority="4102" stopIfTrue="1">
      <formula>OR(AND(LEFT($A127, 16)="select_multiple ", LEN($A127)&gt;16, NOT(ISNUMBER(SEARCH(" ", $A127, 17)))), AND(LEFT($A127, 11)="select_one ", LEN($A127)&gt;11, NOT(ISNUMBER(SEARCH(" ", $A127, 12)))))</formula>
    </cfRule>
  </conditionalFormatting>
  <conditionalFormatting sqref="B127:B129">
    <cfRule type="expression" dxfId="6" priority="4103" stopIfTrue="1">
      <formula>OR($A127="audio audit", $A127="text audit", $A127="speed violations count", $A127="speed violations list", $A127="speed violations audit")</formula>
    </cfRule>
  </conditionalFormatting>
  <conditionalFormatting sqref="B127:C129 D127:E129">
    <cfRule type="expression" dxfId="32" priority="4104" stopIfTrue="1">
      <formula>$A127="file"</formula>
    </cfRule>
  </conditionalFormatting>
  <conditionalFormatting sqref="B127:C129 D127:E129">
    <cfRule type="expression" dxfId="7" priority="4105" stopIfTrue="1">
      <formula>$A127="note"</formula>
    </cfRule>
  </conditionalFormatting>
  <conditionalFormatting sqref="B127:C129 D127:E129">
    <cfRule type="expression" dxfId="8" priority="4106" stopIfTrue="1">
      <formula>$A127="barcode"</formula>
    </cfRule>
  </conditionalFormatting>
  <conditionalFormatting sqref="B127:C129 D127:E129">
    <cfRule type="expression" dxfId="9" priority="4107" stopIfTrue="1">
      <formula>OR($A127="geopoint", $A127="geoshape", $A127="geotrace")</formula>
    </cfRule>
  </conditionalFormatting>
  <conditionalFormatting sqref="B127:B129">
    <cfRule type="expression" dxfId="10" priority="4108" stopIfTrue="1">
      <formula>OR($A127="calculate", $A127="calculate_here")</formula>
    </cfRule>
  </conditionalFormatting>
  <conditionalFormatting sqref="B127:C129 D127:E129">
    <cfRule type="expression" dxfId="11" priority="4109" stopIfTrue="1">
      <formula>OR($A127="date", $A127="datetime", $A127="time")</formula>
    </cfRule>
  </conditionalFormatting>
  <conditionalFormatting sqref="B127:C129 D127:E129">
    <cfRule type="expression" dxfId="12" priority="4110" stopIfTrue="1">
      <formula>$A127="image"</formula>
    </cfRule>
  </conditionalFormatting>
  <conditionalFormatting sqref="B127:C129 D127:E129">
    <cfRule type="expression" dxfId="13" priority="4111" stopIfTrue="1">
      <formula>OR($A127="audio", $A127="video")</formula>
    </cfRule>
  </conditionalFormatting>
  <conditionalFormatting sqref="B127:E129">
    <cfRule type="expression" dxfId="33" priority="4112" stopIfTrue="1">
      <formula>$A127="file"</formula>
    </cfRule>
  </conditionalFormatting>
  <conditionalFormatting sqref="B127:E129">
    <cfRule type="expression" dxfId="34" priority="4113" stopIfTrue="1">
      <formula>$A127="enumerator"</formula>
    </cfRule>
  </conditionalFormatting>
  <conditionalFormatting sqref="B127:E129">
    <cfRule type="expression" dxfId="35" priority="4114" stopIfTrue="1">
      <formula>OR(AND(LEFT($A127, 14)="sensor_stream ", LEN($A127)&gt;14, NOT(ISNUMBER(SEARCH(" ", $A127, 15)))), AND(LEFT($A127, 17)="sensor_statistic ", LEN($A127)&gt;17, NOT(ISNUMBER(SEARCH(" ", $A127, 18)))))</formula>
    </cfRule>
  </conditionalFormatting>
  <conditionalFormatting sqref="B127:E129">
    <cfRule type="expression" dxfId="14" priority="4115" stopIfTrue="1">
      <formula>$A127="comments"</formula>
    </cfRule>
  </conditionalFormatting>
  <conditionalFormatting sqref="B127:E129">
    <cfRule type="expression" dxfId="15" priority="4116" stopIfTrue="1">
      <formula>OR($A127="audio", $A127="video")</formula>
    </cfRule>
  </conditionalFormatting>
  <conditionalFormatting sqref="B127:E129">
    <cfRule type="expression" dxfId="16" priority="4117" stopIfTrue="1">
      <formula>$A127="image"</formula>
    </cfRule>
  </conditionalFormatting>
  <conditionalFormatting sqref="B127:E129">
    <cfRule type="expression" dxfId="17" priority="4118" stopIfTrue="1">
      <formula>OR($A127="date", $A127="datetime", $A127="time")</formula>
    </cfRule>
  </conditionalFormatting>
  <conditionalFormatting sqref="B127:E129">
    <cfRule type="expression" dxfId="18" priority="4119" stopIfTrue="1">
      <formula>OR($A127="calculate", $A127="calculate_here")</formula>
    </cfRule>
  </conditionalFormatting>
  <conditionalFormatting sqref="B127:E129">
    <cfRule type="expression" dxfId="19" priority="4120" stopIfTrue="1">
      <formula>$A127="note"</formula>
    </cfRule>
  </conditionalFormatting>
  <conditionalFormatting sqref="B127:E129">
    <cfRule type="expression" dxfId="20" priority="4121" stopIfTrue="1">
      <formula>$A127="barcode"</formula>
    </cfRule>
  </conditionalFormatting>
  <conditionalFormatting sqref="B127:E129">
    <cfRule type="expression" dxfId="21" priority="4122" stopIfTrue="1">
      <formula>OR($A127="geopoint", $A127="geoshape", $A127="geotrace")</formula>
    </cfRule>
  </conditionalFormatting>
  <conditionalFormatting sqref="B127:E129">
    <cfRule type="expression" dxfId="22" priority="4123" stopIfTrue="1">
      <formula>OR($A127="audio audit", $A127="text audit", $A127="speed violations count", $A127="speed violations list", $A127="speed violations audit")</formula>
    </cfRule>
  </conditionalFormatting>
  <conditionalFormatting sqref="B127:E129">
    <cfRule type="expression" dxfId="23" priority="4124" stopIfTrue="1">
      <formula>OR($A127="username", $A127="phonenumber", $A127="start", $A127="end", $A127="deviceid", $A127="subscriberid", $A127="simserial", $A127="caseid")</formula>
    </cfRule>
  </conditionalFormatting>
  <conditionalFormatting sqref="B127:E129">
    <cfRule type="expression" dxfId="24" priority="4125" stopIfTrue="1">
      <formula>OR(AND(LEFT($A127, 16)="select_multiple ", LEN($A127)&gt;16, NOT(ISNUMBER(SEARCH(" ", $A127, 17)))), AND(LEFT($A127, 11)="select_one ", LEN($A127)&gt;11, NOT(ISNUMBER(SEARCH(" ", $A127, 12)))))</formula>
    </cfRule>
  </conditionalFormatting>
  <conditionalFormatting sqref="B127:E129">
    <cfRule type="expression" dxfId="25" priority="4126" stopIfTrue="1">
      <formula>$A127="decimal"</formula>
    </cfRule>
  </conditionalFormatting>
  <conditionalFormatting sqref="B127:E129">
    <cfRule type="expression" dxfId="26" priority="4127" stopIfTrue="1">
      <formula>$A127="integer"</formula>
    </cfRule>
  </conditionalFormatting>
  <conditionalFormatting sqref="B127:E129">
    <cfRule type="expression" dxfId="27" priority="4128" stopIfTrue="1">
      <formula>$A127="text"</formula>
    </cfRule>
  </conditionalFormatting>
  <conditionalFormatting sqref="B127:E129">
    <cfRule type="expression" dxfId="28" priority="4129" stopIfTrue="1">
      <formula>$A127="end repeat"</formula>
    </cfRule>
  </conditionalFormatting>
  <conditionalFormatting sqref="B127:E129">
    <cfRule type="expression" dxfId="28" priority="4130" stopIfTrue="1">
      <formula>$A127="begin repeat"</formula>
    </cfRule>
  </conditionalFormatting>
  <conditionalFormatting sqref="B127:E129">
    <cfRule type="expression" dxfId="29" priority="4131" stopIfTrue="1">
      <formula>$A127="end group"</formula>
    </cfRule>
  </conditionalFormatting>
  <conditionalFormatting sqref="B127:E129">
    <cfRule type="expression" dxfId="29" priority="4132" stopIfTrue="1">
      <formula>$A127="begin group"</formula>
    </cfRule>
  </conditionalFormatting>
  <conditionalFormatting sqref="B127:B129">
    <cfRule type="expression" dxfId="30" priority="4133" stopIfTrue="1">
      <formula>$A127="comments"</formula>
    </cfRule>
  </conditionalFormatting>
  <conditionalFormatting sqref="B127:B129">
    <cfRule type="expression" dxfId="36" priority="4134" stopIfTrue="1">
      <formula>OR(AND(LEFT($A127, 14)="sensor_stream ", LEN($A127)&gt;14, NOT(ISNUMBER(SEARCH(" ", $A127, 15)))), AND(LEFT($A127, 17)="sensor_statistic ", LEN($A127)&gt;17, NOT(ISNUMBER(SEARCH(" ", $A127, 18)))))</formula>
    </cfRule>
  </conditionalFormatting>
  <conditionalFormatting sqref="B122:C122 D122:E122">
    <cfRule type="expression" dxfId="0" priority="4135" stopIfTrue="1">
      <formula>$A122="begin group"</formula>
    </cfRule>
  </conditionalFormatting>
  <conditionalFormatting sqref="B122:C122 D122:E122">
    <cfRule type="expression" dxfId="1" priority="4136" stopIfTrue="1">
      <formula>$A122="begin repeat"</formula>
    </cfRule>
  </conditionalFormatting>
  <conditionalFormatting sqref="B122:E122">
    <cfRule type="expression" dxfId="31" priority="4137" stopIfTrue="1">
      <formula>$A122="enumerator"</formula>
    </cfRule>
  </conditionalFormatting>
  <conditionalFormatting sqref="B122:E122">
    <cfRule type="expression" dxfId="2" priority="4138" stopIfTrue="1">
      <formula>$A122="text"</formula>
    </cfRule>
  </conditionalFormatting>
  <conditionalFormatting sqref="B122:E122">
    <cfRule type="expression" dxfId="3" priority="4139" stopIfTrue="1">
      <formula>$A122="integer"</formula>
    </cfRule>
  </conditionalFormatting>
  <conditionalFormatting sqref="B122:E122">
    <cfRule type="expression" dxfId="4" priority="4140" stopIfTrue="1">
      <formula>$A122="decimal"</formula>
    </cfRule>
  </conditionalFormatting>
  <conditionalFormatting sqref="B122:C122 D122:E122">
    <cfRule type="expression" dxfId="5" priority="4141" stopIfTrue="1">
      <formula>OR(AND(LEFT($A122, 16)="select_multiple ", LEN($A122)&gt;16, NOT(ISNUMBER(SEARCH(" ", $A122, 17)))), AND(LEFT($A122, 11)="select_one ", LEN($A122)&gt;11, NOT(ISNUMBER(SEARCH(" ", $A122, 12)))))</formula>
    </cfRule>
  </conditionalFormatting>
  <conditionalFormatting sqref="B122">
    <cfRule type="expression" dxfId="6" priority="4142" stopIfTrue="1">
      <formula>OR($A122="audio audit", $A122="text audit", $A122="speed violations count", $A122="speed violations list", $A122="speed violations audit")</formula>
    </cfRule>
  </conditionalFormatting>
  <conditionalFormatting sqref="B122:C122 D122:E122">
    <cfRule type="expression" dxfId="32" priority="4143" stopIfTrue="1">
      <formula>$A122="file"</formula>
    </cfRule>
  </conditionalFormatting>
  <conditionalFormatting sqref="B122:C122 D122:E122">
    <cfRule type="expression" dxfId="7" priority="4144" stopIfTrue="1">
      <formula>$A122="note"</formula>
    </cfRule>
  </conditionalFormatting>
  <conditionalFormatting sqref="B122:C122 D122:E122">
    <cfRule type="expression" dxfId="8" priority="4145" stopIfTrue="1">
      <formula>$A122="barcode"</formula>
    </cfRule>
  </conditionalFormatting>
  <conditionalFormatting sqref="B122:C122 D122:E122">
    <cfRule type="expression" dxfId="9" priority="4146" stopIfTrue="1">
      <formula>OR($A122="geopoint", $A122="geoshape", $A122="geotrace")</formula>
    </cfRule>
  </conditionalFormatting>
  <conditionalFormatting sqref="B122">
    <cfRule type="expression" dxfId="10" priority="4147" stopIfTrue="1">
      <formula>OR($A122="calculate", $A122="calculate_here")</formula>
    </cfRule>
  </conditionalFormatting>
  <conditionalFormatting sqref="B122:C122 D122:E122">
    <cfRule type="expression" dxfId="11" priority="4148" stopIfTrue="1">
      <formula>OR($A122="date", $A122="datetime", $A122="time")</formula>
    </cfRule>
  </conditionalFormatting>
  <conditionalFormatting sqref="B122:C122 D122:E122">
    <cfRule type="expression" dxfId="12" priority="4149" stopIfTrue="1">
      <formula>$A122="image"</formula>
    </cfRule>
  </conditionalFormatting>
  <conditionalFormatting sqref="B122:C122 D122:E122">
    <cfRule type="expression" dxfId="13" priority="4150" stopIfTrue="1">
      <formula>OR($A122="audio", $A122="video")</formula>
    </cfRule>
  </conditionalFormatting>
  <conditionalFormatting sqref="B122:E122">
    <cfRule type="expression" dxfId="33" priority="4151" stopIfTrue="1">
      <formula>$A122="file"</formula>
    </cfRule>
  </conditionalFormatting>
  <conditionalFormatting sqref="B122:E122">
    <cfRule type="expression" dxfId="34" priority="4152" stopIfTrue="1">
      <formula>$A122="enumerator"</formula>
    </cfRule>
  </conditionalFormatting>
  <conditionalFormatting sqref="B122:E122">
    <cfRule type="expression" dxfId="35" priority="4153" stopIfTrue="1">
      <formula>OR(AND(LEFT($A122, 14)="sensor_stream ", LEN($A122)&gt;14, NOT(ISNUMBER(SEARCH(" ", $A122, 15)))), AND(LEFT($A122, 17)="sensor_statistic ", LEN($A122)&gt;17, NOT(ISNUMBER(SEARCH(" ", $A122, 18)))))</formula>
    </cfRule>
  </conditionalFormatting>
  <conditionalFormatting sqref="B122:E122">
    <cfRule type="expression" dxfId="14" priority="4154" stopIfTrue="1">
      <formula>$A122="comments"</formula>
    </cfRule>
  </conditionalFormatting>
  <conditionalFormatting sqref="B122:E122">
    <cfRule type="expression" dxfId="15" priority="4155" stopIfTrue="1">
      <formula>OR($A122="audio", $A122="video")</formula>
    </cfRule>
  </conditionalFormatting>
  <conditionalFormatting sqref="B122:E122">
    <cfRule type="expression" dxfId="16" priority="4156" stopIfTrue="1">
      <formula>$A122="image"</formula>
    </cfRule>
  </conditionalFormatting>
  <conditionalFormatting sqref="B122:E122">
    <cfRule type="expression" dxfId="17" priority="4157" stopIfTrue="1">
      <formula>OR($A122="date", $A122="datetime", $A122="time")</formula>
    </cfRule>
  </conditionalFormatting>
  <conditionalFormatting sqref="B122:E122">
    <cfRule type="expression" dxfId="18" priority="4158" stopIfTrue="1">
      <formula>OR($A122="calculate", $A122="calculate_here")</formula>
    </cfRule>
  </conditionalFormatting>
  <conditionalFormatting sqref="B122:E122">
    <cfRule type="expression" dxfId="19" priority="4159" stopIfTrue="1">
      <formula>$A122="note"</formula>
    </cfRule>
  </conditionalFormatting>
  <conditionalFormatting sqref="B122:E122">
    <cfRule type="expression" dxfId="20" priority="4160" stopIfTrue="1">
      <formula>$A122="barcode"</formula>
    </cfRule>
  </conditionalFormatting>
  <conditionalFormatting sqref="B122:E122">
    <cfRule type="expression" dxfId="21" priority="4161" stopIfTrue="1">
      <formula>OR($A122="geopoint", $A122="geoshape", $A122="geotrace")</formula>
    </cfRule>
  </conditionalFormatting>
  <conditionalFormatting sqref="B122:E122">
    <cfRule type="expression" dxfId="22" priority="4162" stopIfTrue="1">
      <formula>OR($A122="audio audit", $A122="text audit", $A122="speed violations count", $A122="speed violations list", $A122="speed violations audit")</formula>
    </cfRule>
  </conditionalFormatting>
  <conditionalFormatting sqref="B122:E122">
    <cfRule type="expression" dxfId="23" priority="4163" stopIfTrue="1">
      <formula>OR($A122="username", $A122="phonenumber", $A122="start", $A122="end", $A122="deviceid", $A122="subscriberid", $A122="simserial", $A122="caseid")</formula>
    </cfRule>
  </conditionalFormatting>
  <conditionalFormatting sqref="B122:E122">
    <cfRule type="expression" dxfId="24" priority="4164" stopIfTrue="1">
      <formula>OR(AND(LEFT($A122, 16)="select_multiple ", LEN($A122)&gt;16, NOT(ISNUMBER(SEARCH(" ", $A122, 17)))), AND(LEFT($A122, 11)="select_one ", LEN($A122)&gt;11, NOT(ISNUMBER(SEARCH(" ", $A122, 12)))))</formula>
    </cfRule>
  </conditionalFormatting>
  <conditionalFormatting sqref="B122:E122">
    <cfRule type="expression" dxfId="25" priority="4165" stopIfTrue="1">
      <formula>$A122="decimal"</formula>
    </cfRule>
  </conditionalFormatting>
  <conditionalFormatting sqref="B122:E122">
    <cfRule type="expression" dxfId="26" priority="4166" stopIfTrue="1">
      <formula>$A122="integer"</formula>
    </cfRule>
  </conditionalFormatting>
  <conditionalFormatting sqref="B122:E122">
    <cfRule type="expression" dxfId="27" priority="4167" stopIfTrue="1">
      <formula>$A122="text"</formula>
    </cfRule>
  </conditionalFormatting>
  <conditionalFormatting sqref="B122:E122">
    <cfRule type="expression" dxfId="28" priority="4168" stopIfTrue="1">
      <formula>$A122="end repeat"</formula>
    </cfRule>
  </conditionalFormatting>
  <conditionalFormatting sqref="B122:E122">
    <cfRule type="expression" dxfId="28" priority="4169" stopIfTrue="1">
      <formula>$A122="begin repeat"</formula>
    </cfRule>
  </conditionalFormatting>
  <conditionalFormatting sqref="B122:E122">
    <cfRule type="expression" dxfId="29" priority="4170" stopIfTrue="1">
      <formula>$A122="end group"</formula>
    </cfRule>
  </conditionalFormatting>
  <conditionalFormatting sqref="B122:E122">
    <cfRule type="expression" dxfId="29" priority="4171" stopIfTrue="1">
      <formula>$A122="begin group"</formula>
    </cfRule>
  </conditionalFormatting>
  <conditionalFormatting sqref="B122">
    <cfRule type="expression" dxfId="30" priority="4172" stopIfTrue="1">
      <formula>$A122="comments"</formula>
    </cfRule>
  </conditionalFormatting>
  <conditionalFormatting sqref="B122">
    <cfRule type="expression" dxfId="36" priority="4173" stopIfTrue="1">
      <formula>OR(AND(LEFT($A122, 14)="sensor_stream ", LEN($A122)&gt;14, NOT(ISNUMBER(SEARCH(" ", $A122, 15)))), AND(LEFT($A122, 17)="sensor_statistic ", LEN($A122)&gt;17, NOT(ISNUMBER(SEARCH(" ", $A122, 18)))))</formula>
    </cfRule>
  </conditionalFormatting>
  <conditionalFormatting sqref="B109:C120 D109:E120">
    <cfRule type="expression" dxfId="0" priority="4174" stopIfTrue="1">
      <formula>$A109="begin group"</formula>
    </cfRule>
  </conditionalFormatting>
  <conditionalFormatting sqref="B109:C120 D109:E120">
    <cfRule type="expression" dxfId="1" priority="4175" stopIfTrue="1">
      <formula>$A109="begin repeat"</formula>
    </cfRule>
  </conditionalFormatting>
  <conditionalFormatting sqref="B109:E120">
    <cfRule type="expression" dxfId="31" priority="4176" stopIfTrue="1">
      <formula>$A109="enumerator"</formula>
    </cfRule>
  </conditionalFormatting>
  <conditionalFormatting sqref="B109:E120">
    <cfRule type="expression" dxfId="2" priority="4177" stopIfTrue="1">
      <formula>$A109="text"</formula>
    </cfRule>
  </conditionalFormatting>
  <conditionalFormatting sqref="B109:E120">
    <cfRule type="expression" dxfId="3" priority="4178" stopIfTrue="1">
      <formula>$A109="integer"</formula>
    </cfRule>
  </conditionalFormatting>
  <conditionalFormatting sqref="B109:E120">
    <cfRule type="expression" dxfId="4" priority="4179" stopIfTrue="1">
      <formula>$A109="decimal"</formula>
    </cfRule>
  </conditionalFormatting>
  <conditionalFormatting sqref="B109:C120 D109:E120">
    <cfRule type="expression" dxfId="5" priority="4180" stopIfTrue="1">
      <formula>OR(AND(LEFT($A109, 16)="select_multiple ", LEN($A109)&gt;16, NOT(ISNUMBER(SEARCH(" ", $A109, 17)))), AND(LEFT($A109, 11)="select_one ", LEN($A109)&gt;11, NOT(ISNUMBER(SEARCH(" ", $A109, 12)))))</formula>
    </cfRule>
  </conditionalFormatting>
  <conditionalFormatting sqref="B109:B120">
    <cfRule type="expression" dxfId="6" priority="4181" stopIfTrue="1">
      <formula>OR($A109="audio audit", $A109="text audit", $A109="speed violations count", $A109="speed violations list", $A109="speed violations audit")</formula>
    </cfRule>
  </conditionalFormatting>
  <conditionalFormatting sqref="B109:C120 D109:E120">
    <cfRule type="expression" dxfId="32" priority="4182" stopIfTrue="1">
      <formula>$A109="file"</formula>
    </cfRule>
  </conditionalFormatting>
  <conditionalFormatting sqref="B109:C120 D109:E120">
    <cfRule type="expression" dxfId="7" priority="4183" stopIfTrue="1">
      <formula>$A109="note"</formula>
    </cfRule>
  </conditionalFormatting>
  <conditionalFormatting sqref="B109:C120 D109:E120">
    <cfRule type="expression" dxfId="8" priority="4184" stopIfTrue="1">
      <formula>$A109="barcode"</formula>
    </cfRule>
  </conditionalFormatting>
  <conditionalFormatting sqref="B109:C120 D109:E120">
    <cfRule type="expression" dxfId="9" priority="4185" stopIfTrue="1">
      <formula>OR($A109="geopoint", $A109="geoshape", $A109="geotrace")</formula>
    </cfRule>
  </conditionalFormatting>
  <conditionalFormatting sqref="B109:B120">
    <cfRule type="expression" dxfId="10" priority="4186" stopIfTrue="1">
      <formula>OR($A109="calculate", $A109="calculate_here")</formula>
    </cfRule>
  </conditionalFormatting>
  <conditionalFormatting sqref="B109:C120 D109:E120">
    <cfRule type="expression" dxfId="11" priority="4187" stopIfTrue="1">
      <formula>OR($A109="date", $A109="datetime", $A109="time")</formula>
    </cfRule>
  </conditionalFormatting>
  <conditionalFormatting sqref="B109:C120 D109:E120">
    <cfRule type="expression" dxfId="12" priority="4188" stopIfTrue="1">
      <formula>$A109="image"</formula>
    </cfRule>
  </conditionalFormatting>
  <conditionalFormatting sqref="B109:C120 D109:E120">
    <cfRule type="expression" dxfId="13" priority="4189" stopIfTrue="1">
      <formula>OR($A109="audio", $A109="video")</formula>
    </cfRule>
  </conditionalFormatting>
  <conditionalFormatting sqref="B109:E120">
    <cfRule type="expression" dxfId="33" priority="4190" stopIfTrue="1">
      <formula>$A109="file"</formula>
    </cfRule>
  </conditionalFormatting>
  <conditionalFormatting sqref="B109:E120">
    <cfRule type="expression" dxfId="34" priority="4191" stopIfTrue="1">
      <formula>$A109="enumerator"</formula>
    </cfRule>
  </conditionalFormatting>
  <conditionalFormatting sqref="B109:E120">
    <cfRule type="expression" dxfId="35" priority="4192" stopIfTrue="1">
      <formula>OR(AND(LEFT($A109, 14)="sensor_stream ", LEN($A109)&gt;14, NOT(ISNUMBER(SEARCH(" ", $A109, 15)))), AND(LEFT($A109, 17)="sensor_statistic ", LEN($A109)&gt;17, NOT(ISNUMBER(SEARCH(" ", $A109, 18)))))</formula>
    </cfRule>
  </conditionalFormatting>
  <conditionalFormatting sqref="B109:E120">
    <cfRule type="expression" dxfId="14" priority="4193" stopIfTrue="1">
      <formula>$A109="comments"</formula>
    </cfRule>
  </conditionalFormatting>
  <conditionalFormatting sqref="B109:E120">
    <cfRule type="expression" dxfId="15" priority="4194" stopIfTrue="1">
      <formula>OR($A109="audio", $A109="video")</formula>
    </cfRule>
  </conditionalFormatting>
  <conditionalFormatting sqref="B109:E120">
    <cfRule type="expression" dxfId="16" priority="4195" stopIfTrue="1">
      <formula>$A109="image"</formula>
    </cfRule>
  </conditionalFormatting>
  <conditionalFormatting sqref="B109:E120">
    <cfRule type="expression" dxfId="17" priority="4196" stopIfTrue="1">
      <formula>OR($A109="date", $A109="datetime", $A109="time")</formula>
    </cfRule>
  </conditionalFormatting>
  <conditionalFormatting sqref="B109:E120">
    <cfRule type="expression" dxfId="18" priority="4197" stopIfTrue="1">
      <formula>OR($A109="calculate", $A109="calculate_here")</formula>
    </cfRule>
  </conditionalFormatting>
  <conditionalFormatting sqref="B109:E120">
    <cfRule type="expression" dxfId="19" priority="4198" stopIfTrue="1">
      <formula>$A109="note"</formula>
    </cfRule>
  </conditionalFormatting>
  <conditionalFormatting sqref="B109:E120">
    <cfRule type="expression" dxfId="20" priority="4199" stopIfTrue="1">
      <formula>$A109="barcode"</formula>
    </cfRule>
  </conditionalFormatting>
  <conditionalFormatting sqref="B109:E120">
    <cfRule type="expression" dxfId="21" priority="4200" stopIfTrue="1">
      <formula>OR($A109="geopoint", $A109="geoshape", $A109="geotrace")</formula>
    </cfRule>
  </conditionalFormatting>
  <conditionalFormatting sqref="B109:E120">
    <cfRule type="expression" dxfId="22" priority="4201" stopIfTrue="1">
      <formula>OR($A109="audio audit", $A109="text audit", $A109="speed violations count", $A109="speed violations list", $A109="speed violations audit")</formula>
    </cfRule>
  </conditionalFormatting>
  <conditionalFormatting sqref="B109:E120">
    <cfRule type="expression" dxfId="23" priority="4202" stopIfTrue="1">
      <formula>OR($A109="username", $A109="phonenumber", $A109="start", $A109="end", $A109="deviceid", $A109="subscriberid", $A109="simserial", $A109="caseid")</formula>
    </cfRule>
  </conditionalFormatting>
  <conditionalFormatting sqref="B109:E120">
    <cfRule type="expression" dxfId="24" priority="4203" stopIfTrue="1">
      <formula>OR(AND(LEFT($A109, 16)="select_multiple ", LEN($A109)&gt;16, NOT(ISNUMBER(SEARCH(" ", $A109, 17)))), AND(LEFT($A109, 11)="select_one ", LEN($A109)&gt;11, NOT(ISNUMBER(SEARCH(" ", $A109, 12)))))</formula>
    </cfRule>
  </conditionalFormatting>
  <conditionalFormatting sqref="B109:E120">
    <cfRule type="expression" dxfId="25" priority="4204" stopIfTrue="1">
      <formula>$A109="decimal"</formula>
    </cfRule>
  </conditionalFormatting>
  <conditionalFormatting sqref="B109:E120">
    <cfRule type="expression" dxfId="26" priority="4205" stopIfTrue="1">
      <formula>$A109="integer"</formula>
    </cfRule>
  </conditionalFormatting>
  <conditionalFormatting sqref="B109:E120">
    <cfRule type="expression" dxfId="27" priority="4206" stopIfTrue="1">
      <formula>$A109="text"</formula>
    </cfRule>
  </conditionalFormatting>
  <conditionalFormatting sqref="B109:E120">
    <cfRule type="expression" dxfId="28" priority="4207" stopIfTrue="1">
      <formula>$A109="end repeat"</formula>
    </cfRule>
  </conditionalFormatting>
  <conditionalFormatting sqref="B109:E120">
    <cfRule type="expression" dxfId="28" priority="4208" stopIfTrue="1">
      <formula>$A109="begin repeat"</formula>
    </cfRule>
  </conditionalFormatting>
  <conditionalFormatting sqref="B109:E120">
    <cfRule type="expression" dxfId="29" priority="4209" stopIfTrue="1">
      <formula>$A109="end group"</formula>
    </cfRule>
  </conditionalFormatting>
  <conditionalFormatting sqref="B109:E120">
    <cfRule type="expression" dxfId="29" priority="4210" stopIfTrue="1">
      <formula>$A109="begin group"</formula>
    </cfRule>
  </conditionalFormatting>
  <conditionalFormatting sqref="B109:B120">
    <cfRule type="expression" dxfId="30" priority="4211" stopIfTrue="1">
      <formula>$A109="comments"</formula>
    </cfRule>
  </conditionalFormatting>
  <conditionalFormatting sqref="B109:B120">
    <cfRule type="expression" dxfId="36" priority="4212" stopIfTrue="1">
      <formula>OR(AND(LEFT($A109, 14)="sensor_stream ", LEN($A109)&gt;14, NOT(ISNUMBER(SEARCH(" ", $A109, 15)))), AND(LEFT($A109, 17)="sensor_statistic ", LEN($A109)&gt;17, NOT(ISNUMBER(SEARCH(" ", $A109, 18)))))</formula>
    </cfRule>
  </conditionalFormatting>
  <conditionalFormatting sqref="B104:C106 D104:E106">
    <cfRule type="expression" dxfId="0" priority="4213" stopIfTrue="1">
      <formula>$A104="begin group"</formula>
    </cfRule>
  </conditionalFormatting>
  <conditionalFormatting sqref="B104:C106 D104:E106">
    <cfRule type="expression" dxfId="1" priority="4214" stopIfTrue="1">
      <formula>$A104="begin repeat"</formula>
    </cfRule>
  </conditionalFormatting>
  <conditionalFormatting sqref="B104:E106">
    <cfRule type="expression" dxfId="31" priority="4215" stopIfTrue="1">
      <formula>$A104="enumerator"</formula>
    </cfRule>
  </conditionalFormatting>
  <conditionalFormatting sqref="B104:E106">
    <cfRule type="expression" dxfId="2" priority="4216" stopIfTrue="1">
      <formula>$A104="text"</formula>
    </cfRule>
  </conditionalFormatting>
  <conditionalFormatting sqref="B104:E106">
    <cfRule type="expression" dxfId="3" priority="4217" stopIfTrue="1">
      <formula>$A104="integer"</formula>
    </cfRule>
  </conditionalFormatting>
  <conditionalFormatting sqref="B104:E106">
    <cfRule type="expression" dxfId="4" priority="4218" stopIfTrue="1">
      <formula>$A104="decimal"</formula>
    </cfRule>
  </conditionalFormatting>
  <conditionalFormatting sqref="B104:C106 D104:E106">
    <cfRule type="expression" dxfId="5" priority="4219" stopIfTrue="1">
      <formula>OR(AND(LEFT($A104, 16)="select_multiple ", LEN($A104)&gt;16, NOT(ISNUMBER(SEARCH(" ", $A104, 17)))), AND(LEFT($A104, 11)="select_one ", LEN($A104)&gt;11, NOT(ISNUMBER(SEARCH(" ", $A104, 12)))))</formula>
    </cfRule>
  </conditionalFormatting>
  <conditionalFormatting sqref="B104:B106">
    <cfRule type="expression" dxfId="6" priority="4220" stopIfTrue="1">
      <formula>OR($A104="audio audit", $A104="text audit", $A104="speed violations count", $A104="speed violations list", $A104="speed violations audit")</formula>
    </cfRule>
  </conditionalFormatting>
  <conditionalFormatting sqref="B104:C106 D104:E106">
    <cfRule type="expression" dxfId="32" priority="4221" stopIfTrue="1">
      <formula>$A104="file"</formula>
    </cfRule>
  </conditionalFormatting>
  <conditionalFormatting sqref="B104:C106 D104:E106">
    <cfRule type="expression" dxfId="7" priority="4222" stopIfTrue="1">
      <formula>$A104="note"</formula>
    </cfRule>
  </conditionalFormatting>
  <conditionalFormatting sqref="B104:C106 D104:E106">
    <cfRule type="expression" dxfId="8" priority="4223" stopIfTrue="1">
      <formula>$A104="barcode"</formula>
    </cfRule>
  </conditionalFormatting>
  <conditionalFormatting sqref="B104:C106 D104:E106">
    <cfRule type="expression" dxfId="9" priority="4224" stopIfTrue="1">
      <formula>OR($A104="geopoint", $A104="geoshape", $A104="geotrace")</formula>
    </cfRule>
  </conditionalFormatting>
  <conditionalFormatting sqref="B104:B106">
    <cfRule type="expression" dxfId="10" priority="4225" stopIfTrue="1">
      <formula>OR($A104="calculate", $A104="calculate_here")</formula>
    </cfRule>
  </conditionalFormatting>
  <conditionalFormatting sqref="B104:C106 D104:E106">
    <cfRule type="expression" dxfId="11" priority="4226" stopIfTrue="1">
      <formula>OR($A104="date", $A104="datetime", $A104="time")</formula>
    </cfRule>
  </conditionalFormatting>
  <conditionalFormatting sqref="B104:C106 D104:E106">
    <cfRule type="expression" dxfId="12" priority="4227" stopIfTrue="1">
      <formula>$A104="image"</formula>
    </cfRule>
  </conditionalFormatting>
  <conditionalFormatting sqref="B104:C106 D104:E106">
    <cfRule type="expression" dxfId="13" priority="4228" stopIfTrue="1">
      <formula>OR($A104="audio", $A104="video")</formula>
    </cfRule>
  </conditionalFormatting>
  <conditionalFormatting sqref="B104:E106">
    <cfRule type="expression" dxfId="33" priority="4229" stopIfTrue="1">
      <formula>$A104="file"</formula>
    </cfRule>
  </conditionalFormatting>
  <conditionalFormatting sqref="B104:E106">
    <cfRule type="expression" dxfId="34" priority="4230" stopIfTrue="1">
      <formula>$A104="enumerator"</formula>
    </cfRule>
  </conditionalFormatting>
  <conditionalFormatting sqref="B104:E106">
    <cfRule type="expression" dxfId="35" priority="4231" stopIfTrue="1">
      <formula>OR(AND(LEFT($A104, 14)="sensor_stream ", LEN($A104)&gt;14, NOT(ISNUMBER(SEARCH(" ", $A104, 15)))), AND(LEFT($A104, 17)="sensor_statistic ", LEN($A104)&gt;17, NOT(ISNUMBER(SEARCH(" ", $A104, 18)))))</formula>
    </cfRule>
  </conditionalFormatting>
  <conditionalFormatting sqref="B104:E106">
    <cfRule type="expression" dxfId="14" priority="4232" stopIfTrue="1">
      <formula>$A104="comments"</formula>
    </cfRule>
  </conditionalFormatting>
  <conditionalFormatting sqref="B104:E106">
    <cfRule type="expression" dxfId="15" priority="4233" stopIfTrue="1">
      <formula>OR($A104="audio", $A104="video")</formula>
    </cfRule>
  </conditionalFormatting>
  <conditionalFormatting sqref="B104:E106">
    <cfRule type="expression" dxfId="16" priority="4234" stopIfTrue="1">
      <formula>$A104="image"</formula>
    </cfRule>
  </conditionalFormatting>
  <conditionalFormatting sqref="B104:E106">
    <cfRule type="expression" dxfId="17" priority="4235" stopIfTrue="1">
      <formula>OR($A104="date", $A104="datetime", $A104="time")</formula>
    </cfRule>
  </conditionalFormatting>
  <conditionalFormatting sqref="B104:E106">
    <cfRule type="expression" dxfId="18" priority="4236" stopIfTrue="1">
      <formula>OR($A104="calculate", $A104="calculate_here")</formula>
    </cfRule>
  </conditionalFormatting>
  <conditionalFormatting sqref="B104:E106">
    <cfRule type="expression" dxfId="19" priority="4237" stopIfTrue="1">
      <formula>$A104="note"</formula>
    </cfRule>
  </conditionalFormatting>
  <conditionalFormatting sqref="B104:E106">
    <cfRule type="expression" dxfId="20" priority="4238" stopIfTrue="1">
      <formula>$A104="barcode"</formula>
    </cfRule>
  </conditionalFormatting>
  <conditionalFormatting sqref="B104:E106">
    <cfRule type="expression" dxfId="21" priority="4239" stopIfTrue="1">
      <formula>OR($A104="geopoint", $A104="geoshape", $A104="geotrace")</formula>
    </cfRule>
  </conditionalFormatting>
  <conditionalFormatting sqref="B104:E106">
    <cfRule type="expression" dxfId="22" priority="4240" stopIfTrue="1">
      <formula>OR($A104="audio audit", $A104="text audit", $A104="speed violations count", $A104="speed violations list", $A104="speed violations audit")</formula>
    </cfRule>
  </conditionalFormatting>
  <conditionalFormatting sqref="B104:E106">
    <cfRule type="expression" dxfId="23" priority="4241" stopIfTrue="1">
      <formula>OR($A104="username", $A104="phonenumber", $A104="start", $A104="end", $A104="deviceid", $A104="subscriberid", $A104="simserial", $A104="caseid")</formula>
    </cfRule>
  </conditionalFormatting>
  <conditionalFormatting sqref="B104:E106">
    <cfRule type="expression" dxfId="24" priority="4242" stopIfTrue="1">
      <formula>OR(AND(LEFT($A104, 16)="select_multiple ", LEN($A104)&gt;16, NOT(ISNUMBER(SEARCH(" ", $A104, 17)))), AND(LEFT($A104, 11)="select_one ", LEN($A104)&gt;11, NOT(ISNUMBER(SEARCH(" ", $A104, 12)))))</formula>
    </cfRule>
  </conditionalFormatting>
  <conditionalFormatting sqref="B104:E106">
    <cfRule type="expression" dxfId="25" priority="4243" stopIfTrue="1">
      <formula>$A104="decimal"</formula>
    </cfRule>
  </conditionalFormatting>
  <conditionalFormatting sqref="B104:E106">
    <cfRule type="expression" dxfId="26" priority="4244" stopIfTrue="1">
      <formula>$A104="integer"</formula>
    </cfRule>
  </conditionalFormatting>
  <conditionalFormatting sqref="B104:E106">
    <cfRule type="expression" dxfId="27" priority="4245" stopIfTrue="1">
      <formula>$A104="text"</formula>
    </cfRule>
  </conditionalFormatting>
  <conditionalFormatting sqref="B104:E106">
    <cfRule type="expression" dxfId="28" priority="4246" stopIfTrue="1">
      <formula>$A104="end repeat"</formula>
    </cfRule>
  </conditionalFormatting>
  <conditionalFormatting sqref="B104:E106">
    <cfRule type="expression" dxfId="28" priority="4247" stopIfTrue="1">
      <formula>$A104="begin repeat"</formula>
    </cfRule>
  </conditionalFormatting>
  <conditionalFormatting sqref="B104:E106">
    <cfRule type="expression" dxfId="29" priority="4248" stopIfTrue="1">
      <formula>$A104="end group"</formula>
    </cfRule>
  </conditionalFormatting>
  <conditionalFormatting sqref="B104:E106">
    <cfRule type="expression" dxfId="29" priority="4249" stopIfTrue="1">
      <formula>$A104="begin group"</formula>
    </cfRule>
  </conditionalFormatting>
  <conditionalFormatting sqref="B104:B106">
    <cfRule type="expression" dxfId="30" priority="4250" stopIfTrue="1">
      <formula>$A104="comments"</formula>
    </cfRule>
  </conditionalFormatting>
  <conditionalFormatting sqref="B104:B106">
    <cfRule type="expression" dxfId="36" priority="4251" stopIfTrue="1">
      <formula>OR(AND(LEFT($A104, 14)="sensor_stream ", LEN($A104)&gt;14, NOT(ISNUMBER(SEARCH(" ", $A104, 15)))), AND(LEFT($A104, 17)="sensor_statistic ", LEN($A104)&gt;17, NOT(ISNUMBER(SEARCH(" ", $A104, 18)))))</formula>
    </cfRule>
  </conditionalFormatting>
  <conditionalFormatting sqref="B94:C101 D94:E101">
    <cfRule type="expression" dxfId="0" priority="4252" stopIfTrue="1">
      <formula>$A94="begin group"</formula>
    </cfRule>
  </conditionalFormatting>
  <conditionalFormatting sqref="B94:C101 D94:E101">
    <cfRule type="expression" dxfId="1" priority="4253" stopIfTrue="1">
      <formula>$A94="begin repeat"</formula>
    </cfRule>
  </conditionalFormatting>
  <conditionalFormatting sqref="B94:E101">
    <cfRule type="expression" dxfId="31" priority="4254" stopIfTrue="1">
      <formula>$A94="enumerator"</formula>
    </cfRule>
  </conditionalFormatting>
  <conditionalFormatting sqref="B94:E101">
    <cfRule type="expression" dxfId="2" priority="4255" stopIfTrue="1">
      <formula>$A94="text"</formula>
    </cfRule>
  </conditionalFormatting>
  <conditionalFormatting sqref="B94:E101">
    <cfRule type="expression" dxfId="3" priority="4256" stopIfTrue="1">
      <formula>$A94="integer"</formula>
    </cfRule>
  </conditionalFormatting>
  <conditionalFormatting sqref="B94:E101">
    <cfRule type="expression" dxfId="4" priority="4257" stopIfTrue="1">
      <formula>$A94="decimal"</formula>
    </cfRule>
  </conditionalFormatting>
  <conditionalFormatting sqref="B94:C101 D94:E101">
    <cfRule type="expression" dxfId="5" priority="4258" stopIfTrue="1">
      <formula>OR(AND(LEFT($A94, 16)="select_multiple ", LEN($A94)&gt;16, NOT(ISNUMBER(SEARCH(" ", $A94, 17)))), AND(LEFT($A94, 11)="select_one ", LEN($A94)&gt;11, NOT(ISNUMBER(SEARCH(" ", $A94, 12)))))</formula>
    </cfRule>
  </conditionalFormatting>
  <conditionalFormatting sqref="B94:B101">
    <cfRule type="expression" dxfId="6" priority="4259" stopIfTrue="1">
      <formula>OR($A94="audio audit", $A94="text audit", $A94="speed violations count", $A94="speed violations list", $A94="speed violations audit")</formula>
    </cfRule>
  </conditionalFormatting>
  <conditionalFormatting sqref="B94:C101 D94:E101">
    <cfRule type="expression" dxfId="32" priority="4260" stopIfTrue="1">
      <formula>$A94="file"</formula>
    </cfRule>
  </conditionalFormatting>
  <conditionalFormatting sqref="B94:C101 D94:E101">
    <cfRule type="expression" dxfId="7" priority="4261" stopIfTrue="1">
      <formula>$A94="note"</formula>
    </cfRule>
  </conditionalFormatting>
  <conditionalFormatting sqref="B94:C101 D94:E101">
    <cfRule type="expression" dxfId="8" priority="4262" stopIfTrue="1">
      <formula>$A94="barcode"</formula>
    </cfRule>
  </conditionalFormatting>
  <conditionalFormatting sqref="B94:C101 D94:E101">
    <cfRule type="expression" dxfId="9" priority="4263" stopIfTrue="1">
      <formula>OR($A94="geopoint", $A94="geoshape", $A94="geotrace")</formula>
    </cfRule>
  </conditionalFormatting>
  <conditionalFormatting sqref="B94:B101">
    <cfRule type="expression" dxfId="10" priority="4264" stopIfTrue="1">
      <formula>OR($A94="calculate", $A94="calculate_here")</formula>
    </cfRule>
  </conditionalFormatting>
  <conditionalFormatting sqref="B94:C101 D94:E101">
    <cfRule type="expression" dxfId="11" priority="4265" stopIfTrue="1">
      <formula>OR($A94="date", $A94="datetime", $A94="time")</formula>
    </cfRule>
  </conditionalFormatting>
  <conditionalFormatting sqref="B94:C101 D94:E101">
    <cfRule type="expression" dxfId="12" priority="4266" stopIfTrue="1">
      <formula>$A94="image"</formula>
    </cfRule>
  </conditionalFormatting>
  <conditionalFormatting sqref="B94:C101 D94:E101">
    <cfRule type="expression" dxfId="13" priority="4267" stopIfTrue="1">
      <formula>OR($A94="audio", $A94="video")</formula>
    </cfRule>
  </conditionalFormatting>
  <conditionalFormatting sqref="B94:E101">
    <cfRule type="expression" dxfId="33" priority="4268" stopIfTrue="1">
      <formula>$A94="file"</formula>
    </cfRule>
  </conditionalFormatting>
  <conditionalFormatting sqref="B94:E101">
    <cfRule type="expression" dxfId="34" priority="4269" stopIfTrue="1">
      <formula>$A94="enumerator"</formula>
    </cfRule>
  </conditionalFormatting>
  <conditionalFormatting sqref="B94:E101">
    <cfRule type="expression" dxfId="35" priority="4270" stopIfTrue="1">
      <formula>OR(AND(LEFT($A94, 14)="sensor_stream ", LEN($A94)&gt;14, NOT(ISNUMBER(SEARCH(" ", $A94, 15)))), AND(LEFT($A94, 17)="sensor_statistic ", LEN($A94)&gt;17, NOT(ISNUMBER(SEARCH(" ", $A94, 18)))))</formula>
    </cfRule>
  </conditionalFormatting>
  <conditionalFormatting sqref="B94:E101">
    <cfRule type="expression" dxfId="14" priority="4271" stopIfTrue="1">
      <formula>$A94="comments"</formula>
    </cfRule>
  </conditionalFormatting>
  <conditionalFormatting sqref="B94:E101">
    <cfRule type="expression" dxfId="15" priority="4272" stopIfTrue="1">
      <formula>OR($A94="audio", $A94="video")</formula>
    </cfRule>
  </conditionalFormatting>
  <conditionalFormatting sqref="B94:E101">
    <cfRule type="expression" dxfId="16" priority="4273" stopIfTrue="1">
      <formula>$A94="image"</formula>
    </cfRule>
  </conditionalFormatting>
  <conditionalFormatting sqref="B94:E101">
    <cfRule type="expression" dxfId="17" priority="4274" stopIfTrue="1">
      <formula>OR($A94="date", $A94="datetime", $A94="time")</formula>
    </cfRule>
  </conditionalFormatting>
  <conditionalFormatting sqref="B94:E101">
    <cfRule type="expression" dxfId="18" priority="4275" stopIfTrue="1">
      <formula>OR($A94="calculate", $A94="calculate_here")</formula>
    </cfRule>
  </conditionalFormatting>
  <conditionalFormatting sqref="B94:E101">
    <cfRule type="expression" dxfId="19" priority="4276" stopIfTrue="1">
      <formula>$A94="note"</formula>
    </cfRule>
  </conditionalFormatting>
  <conditionalFormatting sqref="B94:E101">
    <cfRule type="expression" dxfId="20" priority="4277" stopIfTrue="1">
      <formula>$A94="barcode"</formula>
    </cfRule>
  </conditionalFormatting>
  <conditionalFormatting sqref="B94:E101">
    <cfRule type="expression" dxfId="21" priority="4278" stopIfTrue="1">
      <formula>OR($A94="geopoint", $A94="geoshape", $A94="geotrace")</formula>
    </cfRule>
  </conditionalFormatting>
  <conditionalFormatting sqref="B94:E101">
    <cfRule type="expression" dxfId="22" priority="4279" stopIfTrue="1">
      <formula>OR($A94="audio audit", $A94="text audit", $A94="speed violations count", $A94="speed violations list", $A94="speed violations audit")</formula>
    </cfRule>
  </conditionalFormatting>
  <conditionalFormatting sqref="B94:E101">
    <cfRule type="expression" dxfId="23" priority="4280" stopIfTrue="1">
      <formula>OR($A94="username", $A94="phonenumber", $A94="start", $A94="end", $A94="deviceid", $A94="subscriberid", $A94="simserial", $A94="caseid")</formula>
    </cfRule>
  </conditionalFormatting>
  <conditionalFormatting sqref="B94:E101">
    <cfRule type="expression" dxfId="24" priority="4281" stopIfTrue="1">
      <formula>OR(AND(LEFT($A94, 16)="select_multiple ", LEN($A94)&gt;16, NOT(ISNUMBER(SEARCH(" ", $A94, 17)))), AND(LEFT($A94, 11)="select_one ", LEN($A94)&gt;11, NOT(ISNUMBER(SEARCH(" ", $A94, 12)))))</formula>
    </cfRule>
  </conditionalFormatting>
  <conditionalFormatting sqref="B94:E101">
    <cfRule type="expression" dxfId="25" priority="4282" stopIfTrue="1">
      <formula>$A94="decimal"</formula>
    </cfRule>
  </conditionalFormatting>
  <conditionalFormatting sqref="B94:E101">
    <cfRule type="expression" dxfId="26" priority="4283" stopIfTrue="1">
      <formula>$A94="integer"</formula>
    </cfRule>
  </conditionalFormatting>
  <conditionalFormatting sqref="B94:E101">
    <cfRule type="expression" dxfId="27" priority="4284" stopIfTrue="1">
      <formula>$A94="text"</formula>
    </cfRule>
  </conditionalFormatting>
  <conditionalFormatting sqref="B94:E101">
    <cfRule type="expression" dxfId="28" priority="4285" stopIfTrue="1">
      <formula>$A94="end repeat"</formula>
    </cfRule>
  </conditionalFormatting>
  <conditionalFormatting sqref="B94:E101">
    <cfRule type="expression" dxfId="28" priority="4286" stopIfTrue="1">
      <formula>$A94="begin repeat"</formula>
    </cfRule>
  </conditionalFormatting>
  <conditionalFormatting sqref="B94:E101">
    <cfRule type="expression" dxfId="29" priority="4287" stopIfTrue="1">
      <formula>$A94="end group"</formula>
    </cfRule>
  </conditionalFormatting>
  <conditionalFormatting sqref="B94:E101">
    <cfRule type="expression" dxfId="29" priority="4288" stopIfTrue="1">
      <formula>$A94="begin group"</formula>
    </cfRule>
  </conditionalFormatting>
  <conditionalFormatting sqref="B94:B101">
    <cfRule type="expression" dxfId="30" priority="4289" stopIfTrue="1">
      <formula>$A94="comments"</formula>
    </cfRule>
  </conditionalFormatting>
  <conditionalFormatting sqref="B94:B101">
    <cfRule type="expression" dxfId="36" priority="4290" stopIfTrue="1">
      <formula>OR(AND(LEFT($A94, 14)="sensor_stream ", LEN($A94)&gt;14, NOT(ISNUMBER(SEARCH(" ", $A94, 15)))), AND(LEFT($A94, 17)="sensor_statistic ", LEN($A94)&gt;17, NOT(ISNUMBER(SEARCH(" ", $A94, 18)))))</formula>
    </cfRule>
  </conditionalFormatting>
  <conditionalFormatting sqref="B82:C92 D82:E92">
    <cfRule type="expression" dxfId="0" priority="4291" stopIfTrue="1">
      <formula>$A82="begin group"</formula>
    </cfRule>
  </conditionalFormatting>
  <conditionalFormatting sqref="B82:C92 D82:E92">
    <cfRule type="expression" dxfId="1" priority="4292" stopIfTrue="1">
      <formula>$A82="begin repeat"</formula>
    </cfRule>
  </conditionalFormatting>
  <conditionalFormatting sqref="B82:E92">
    <cfRule type="expression" dxfId="31" priority="4293" stopIfTrue="1">
      <formula>$A82="enumerator"</formula>
    </cfRule>
  </conditionalFormatting>
  <conditionalFormatting sqref="B82:E92">
    <cfRule type="expression" dxfId="2" priority="4294" stopIfTrue="1">
      <formula>$A82="text"</formula>
    </cfRule>
  </conditionalFormatting>
  <conditionalFormatting sqref="B82:E92">
    <cfRule type="expression" dxfId="3" priority="4295" stopIfTrue="1">
      <formula>$A82="integer"</formula>
    </cfRule>
  </conditionalFormatting>
  <conditionalFormatting sqref="B82:E92">
    <cfRule type="expression" dxfId="4" priority="4296" stopIfTrue="1">
      <formula>$A82="decimal"</formula>
    </cfRule>
  </conditionalFormatting>
  <conditionalFormatting sqref="B82:C92 D82:E92">
    <cfRule type="expression" dxfId="5" priority="4297" stopIfTrue="1">
      <formula>OR(AND(LEFT($A82, 16)="select_multiple ", LEN($A82)&gt;16, NOT(ISNUMBER(SEARCH(" ", $A82, 17)))), AND(LEFT($A82, 11)="select_one ", LEN($A82)&gt;11, NOT(ISNUMBER(SEARCH(" ", $A82, 12)))))</formula>
    </cfRule>
  </conditionalFormatting>
  <conditionalFormatting sqref="B82:B92">
    <cfRule type="expression" dxfId="6" priority="4298" stopIfTrue="1">
      <formula>OR($A82="audio audit", $A82="text audit", $A82="speed violations count", $A82="speed violations list", $A82="speed violations audit")</formula>
    </cfRule>
  </conditionalFormatting>
  <conditionalFormatting sqref="B82:C92 D82:E92">
    <cfRule type="expression" dxfId="32" priority="4299" stopIfTrue="1">
      <formula>$A82="file"</formula>
    </cfRule>
  </conditionalFormatting>
  <conditionalFormatting sqref="B82:C92 D82:E92">
    <cfRule type="expression" dxfId="7" priority="4300" stopIfTrue="1">
      <formula>$A82="note"</formula>
    </cfRule>
  </conditionalFormatting>
  <conditionalFormatting sqref="B82:C92 D82:E92">
    <cfRule type="expression" dxfId="8" priority="4301" stopIfTrue="1">
      <formula>$A82="barcode"</formula>
    </cfRule>
  </conditionalFormatting>
  <conditionalFormatting sqref="B82:C92 D82:E92">
    <cfRule type="expression" dxfId="9" priority="4302" stopIfTrue="1">
      <formula>OR($A82="geopoint", $A82="geoshape", $A82="geotrace")</formula>
    </cfRule>
  </conditionalFormatting>
  <conditionalFormatting sqref="B82:B92">
    <cfRule type="expression" dxfId="10" priority="4303" stopIfTrue="1">
      <formula>OR($A82="calculate", $A82="calculate_here")</formula>
    </cfRule>
  </conditionalFormatting>
  <conditionalFormatting sqref="B82:C92 D82:E92">
    <cfRule type="expression" dxfId="11" priority="4304" stopIfTrue="1">
      <formula>OR($A82="date", $A82="datetime", $A82="time")</formula>
    </cfRule>
  </conditionalFormatting>
  <conditionalFormatting sqref="B82:C92 D82:E92">
    <cfRule type="expression" dxfId="12" priority="4305" stopIfTrue="1">
      <formula>$A82="image"</formula>
    </cfRule>
  </conditionalFormatting>
  <conditionalFormatting sqref="B82:C92 D82:E92">
    <cfRule type="expression" dxfId="13" priority="4306" stopIfTrue="1">
      <formula>OR($A82="audio", $A82="video")</formula>
    </cfRule>
  </conditionalFormatting>
  <conditionalFormatting sqref="B82:E92">
    <cfRule type="expression" dxfId="33" priority="4307" stopIfTrue="1">
      <formula>$A82="file"</formula>
    </cfRule>
  </conditionalFormatting>
  <conditionalFormatting sqref="B82:E92">
    <cfRule type="expression" dxfId="34" priority="4308" stopIfTrue="1">
      <formula>$A82="enumerator"</formula>
    </cfRule>
  </conditionalFormatting>
  <conditionalFormatting sqref="B82:E92">
    <cfRule type="expression" dxfId="35" priority="4309" stopIfTrue="1">
      <formula>OR(AND(LEFT($A82, 14)="sensor_stream ", LEN($A82)&gt;14, NOT(ISNUMBER(SEARCH(" ", $A82, 15)))), AND(LEFT($A82, 17)="sensor_statistic ", LEN($A82)&gt;17, NOT(ISNUMBER(SEARCH(" ", $A82, 18)))))</formula>
    </cfRule>
  </conditionalFormatting>
  <conditionalFormatting sqref="B82:E92">
    <cfRule type="expression" dxfId="14" priority="4310" stopIfTrue="1">
      <formula>$A82="comments"</formula>
    </cfRule>
  </conditionalFormatting>
  <conditionalFormatting sqref="B82:E92">
    <cfRule type="expression" dxfId="15" priority="4311" stopIfTrue="1">
      <formula>OR($A82="audio", $A82="video")</formula>
    </cfRule>
  </conditionalFormatting>
  <conditionalFormatting sqref="B82:E92">
    <cfRule type="expression" dxfId="16" priority="4312" stopIfTrue="1">
      <formula>$A82="image"</formula>
    </cfRule>
  </conditionalFormatting>
  <conditionalFormatting sqref="B82:E92">
    <cfRule type="expression" dxfId="17" priority="4313" stopIfTrue="1">
      <formula>OR($A82="date", $A82="datetime", $A82="time")</formula>
    </cfRule>
  </conditionalFormatting>
  <conditionalFormatting sqref="B82:E92">
    <cfRule type="expression" dxfId="18" priority="4314" stopIfTrue="1">
      <formula>OR($A82="calculate", $A82="calculate_here")</formula>
    </cfRule>
  </conditionalFormatting>
  <conditionalFormatting sqref="B82:E92">
    <cfRule type="expression" dxfId="19" priority="4315" stopIfTrue="1">
      <formula>$A82="note"</formula>
    </cfRule>
  </conditionalFormatting>
  <conditionalFormatting sqref="B82:E92">
    <cfRule type="expression" dxfId="20" priority="4316" stopIfTrue="1">
      <formula>$A82="barcode"</formula>
    </cfRule>
  </conditionalFormatting>
  <conditionalFormatting sqref="B82:E92">
    <cfRule type="expression" dxfId="21" priority="4317" stopIfTrue="1">
      <formula>OR($A82="geopoint", $A82="geoshape", $A82="geotrace")</formula>
    </cfRule>
  </conditionalFormatting>
  <conditionalFormatting sqref="B82:E92">
    <cfRule type="expression" dxfId="22" priority="4318" stopIfTrue="1">
      <formula>OR($A82="audio audit", $A82="text audit", $A82="speed violations count", $A82="speed violations list", $A82="speed violations audit")</formula>
    </cfRule>
  </conditionalFormatting>
  <conditionalFormatting sqref="B82:E92">
    <cfRule type="expression" dxfId="23" priority="4319" stopIfTrue="1">
      <formula>OR($A82="username", $A82="phonenumber", $A82="start", $A82="end", $A82="deviceid", $A82="subscriberid", $A82="simserial", $A82="caseid")</formula>
    </cfRule>
  </conditionalFormatting>
  <conditionalFormatting sqref="B82:E92">
    <cfRule type="expression" dxfId="24" priority="4320" stopIfTrue="1">
      <formula>OR(AND(LEFT($A82, 16)="select_multiple ", LEN($A82)&gt;16, NOT(ISNUMBER(SEARCH(" ", $A82, 17)))), AND(LEFT($A82, 11)="select_one ", LEN($A82)&gt;11, NOT(ISNUMBER(SEARCH(" ", $A82, 12)))))</formula>
    </cfRule>
  </conditionalFormatting>
  <conditionalFormatting sqref="B82:E92">
    <cfRule type="expression" dxfId="25" priority="4321" stopIfTrue="1">
      <formula>$A82="decimal"</formula>
    </cfRule>
  </conditionalFormatting>
  <conditionalFormatting sqref="B82:E92">
    <cfRule type="expression" dxfId="26" priority="4322" stopIfTrue="1">
      <formula>$A82="integer"</formula>
    </cfRule>
  </conditionalFormatting>
  <conditionalFormatting sqref="B82:E92">
    <cfRule type="expression" dxfId="27" priority="4323" stopIfTrue="1">
      <formula>$A82="text"</formula>
    </cfRule>
  </conditionalFormatting>
  <conditionalFormatting sqref="B82:E92">
    <cfRule type="expression" dxfId="28" priority="4324" stopIfTrue="1">
      <formula>$A82="end repeat"</formula>
    </cfRule>
  </conditionalFormatting>
  <conditionalFormatting sqref="B82:E92">
    <cfRule type="expression" dxfId="28" priority="4325" stopIfTrue="1">
      <formula>$A82="begin repeat"</formula>
    </cfRule>
  </conditionalFormatting>
  <conditionalFormatting sqref="B82:E92">
    <cfRule type="expression" dxfId="29" priority="4326" stopIfTrue="1">
      <formula>$A82="end group"</formula>
    </cfRule>
  </conditionalFormatting>
  <conditionalFormatting sqref="B82:E92">
    <cfRule type="expression" dxfId="29" priority="4327" stopIfTrue="1">
      <formula>$A82="begin group"</formula>
    </cfRule>
  </conditionalFormatting>
  <conditionalFormatting sqref="B82:B92">
    <cfRule type="expression" dxfId="30" priority="4328" stopIfTrue="1">
      <formula>$A82="comments"</formula>
    </cfRule>
  </conditionalFormatting>
  <conditionalFormatting sqref="B82:B92">
    <cfRule type="expression" dxfId="36" priority="4329" stopIfTrue="1">
      <formula>OR(AND(LEFT($A82, 14)="sensor_stream ", LEN($A82)&gt;14, NOT(ISNUMBER(SEARCH(" ", $A82, 15)))), AND(LEFT($A82, 17)="sensor_statistic ", LEN($A82)&gt;17, NOT(ISNUMBER(SEARCH(" ", $A82, 18)))))</formula>
    </cfRule>
  </conditionalFormatting>
  <conditionalFormatting sqref="B75:C76 D75:E76">
    <cfRule type="expression" dxfId="0" priority="4330" stopIfTrue="1">
      <formula>$A75="begin group"</formula>
    </cfRule>
  </conditionalFormatting>
  <conditionalFormatting sqref="B75:C76 D75:E76">
    <cfRule type="expression" dxfId="1" priority="4331" stopIfTrue="1">
      <formula>$A75="begin repeat"</formula>
    </cfRule>
  </conditionalFormatting>
  <conditionalFormatting sqref="B75:E76">
    <cfRule type="expression" dxfId="31" priority="4332" stopIfTrue="1">
      <formula>$A75="enumerator"</formula>
    </cfRule>
  </conditionalFormatting>
  <conditionalFormatting sqref="B75:E76">
    <cfRule type="expression" dxfId="2" priority="4333" stopIfTrue="1">
      <formula>$A75="text"</formula>
    </cfRule>
  </conditionalFormatting>
  <conditionalFormatting sqref="B75:E76">
    <cfRule type="expression" dxfId="3" priority="4334" stopIfTrue="1">
      <formula>$A75="integer"</formula>
    </cfRule>
  </conditionalFormatting>
  <conditionalFormatting sqref="B75:E76">
    <cfRule type="expression" dxfId="4" priority="4335" stopIfTrue="1">
      <formula>$A75="decimal"</formula>
    </cfRule>
  </conditionalFormatting>
  <conditionalFormatting sqref="B75:C76 D75:E76">
    <cfRule type="expression" dxfId="5" priority="4336" stopIfTrue="1">
      <formula>OR(AND(LEFT($A75, 16)="select_multiple ", LEN($A75)&gt;16, NOT(ISNUMBER(SEARCH(" ", $A75, 17)))), AND(LEFT($A75, 11)="select_one ", LEN($A75)&gt;11, NOT(ISNUMBER(SEARCH(" ", $A75, 12)))))</formula>
    </cfRule>
  </conditionalFormatting>
  <conditionalFormatting sqref="B75:B76">
    <cfRule type="expression" dxfId="6" priority="4337" stopIfTrue="1">
      <formula>OR($A75="audio audit", $A75="text audit", $A75="speed violations count", $A75="speed violations list", $A75="speed violations audit")</formula>
    </cfRule>
  </conditionalFormatting>
  <conditionalFormatting sqref="B75:C76 D75:E76">
    <cfRule type="expression" dxfId="32" priority="4338" stopIfTrue="1">
      <formula>$A75="file"</formula>
    </cfRule>
  </conditionalFormatting>
  <conditionalFormatting sqref="B75:C76 D75:E76">
    <cfRule type="expression" dxfId="7" priority="4339" stopIfTrue="1">
      <formula>$A75="note"</formula>
    </cfRule>
  </conditionalFormatting>
  <conditionalFormatting sqref="B75:C76 D75:E76">
    <cfRule type="expression" dxfId="8" priority="4340" stopIfTrue="1">
      <formula>$A75="barcode"</formula>
    </cfRule>
  </conditionalFormatting>
  <conditionalFormatting sqref="B75:C76 D75:E76">
    <cfRule type="expression" dxfId="9" priority="4341" stopIfTrue="1">
      <formula>OR($A75="geopoint", $A75="geoshape", $A75="geotrace")</formula>
    </cfRule>
  </conditionalFormatting>
  <conditionalFormatting sqref="B75:B76">
    <cfRule type="expression" dxfId="10" priority="4342" stopIfTrue="1">
      <formula>OR($A75="calculate", $A75="calculate_here")</formula>
    </cfRule>
  </conditionalFormatting>
  <conditionalFormatting sqref="B75:C76 D75:E76">
    <cfRule type="expression" dxfId="11" priority="4343" stopIfTrue="1">
      <formula>OR($A75="date", $A75="datetime", $A75="time")</formula>
    </cfRule>
  </conditionalFormatting>
  <conditionalFormatting sqref="B75:C76 D75:E76">
    <cfRule type="expression" dxfId="12" priority="4344" stopIfTrue="1">
      <formula>$A75="image"</formula>
    </cfRule>
  </conditionalFormatting>
  <conditionalFormatting sqref="B75:C76 D75:E76">
    <cfRule type="expression" dxfId="13" priority="4345" stopIfTrue="1">
      <formula>OR($A75="audio", $A75="video")</formula>
    </cfRule>
  </conditionalFormatting>
  <conditionalFormatting sqref="B75:E76">
    <cfRule type="expression" dxfId="33" priority="4346" stopIfTrue="1">
      <formula>$A75="file"</formula>
    </cfRule>
  </conditionalFormatting>
  <conditionalFormatting sqref="B75:E76">
    <cfRule type="expression" dxfId="34" priority="4347" stopIfTrue="1">
      <formula>$A75="enumerator"</formula>
    </cfRule>
  </conditionalFormatting>
  <conditionalFormatting sqref="B75:E76">
    <cfRule type="expression" dxfId="35" priority="4348" stopIfTrue="1">
      <formula>OR(AND(LEFT($A75, 14)="sensor_stream ", LEN($A75)&gt;14, NOT(ISNUMBER(SEARCH(" ", $A75, 15)))), AND(LEFT($A75, 17)="sensor_statistic ", LEN($A75)&gt;17, NOT(ISNUMBER(SEARCH(" ", $A75, 18)))))</formula>
    </cfRule>
  </conditionalFormatting>
  <conditionalFormatting sqref="B75:E76">
    <cfRule type="expression" dxfId="14" priority="4349" stopIfTrue="1">
      <formula>$A75="comments"</formula>
    </cfRule>
  </conditionalFormatting>
  <conditionalFormatting sqref="B75:E76">
    <cfRule type="expression" dxfId="15" priority="4350" stopIfTrue="1">
      <formula>OR($A75="audio", $A75="video")</formula>
    </cfRule>
  </conditionalFormatting>
  <conditionalFormatting sqref="B75:E76">
    <cfRule type="expression" dxfId="16" priority="4351" stopIfTrue="1">
      <formula>$A75="image"</formula>
    </cfRule>
  </conditionalFormatting>
  <conditionalFormatting sqref="B75:E76">
    <cfRule type="expression" dxfId="17" priority="4352" stopIfTrue="1">
      <formula>OR($A75="date", $A75="datetime", $A75="time")</formula>
    </cfRule>
  </conditionalFormatting>
  <conditionalFormatting sqref="B75:E76">
    <cfRule type="expression" dxfId="18" priority="4353" stopIfTrue="1">
      <formula>OR($A75="calculate", $A75="calculate_here")</formula>
    </cfRule>
  </conditionalFormatting>
  <conditionalFormatting sqref="B75:E76">
    <cfRule type="expression" dxfId="19" priority="4354" stopIfTrue="1">
      <formula>$A75="note"</formula>
    </cfRule>
  </conditionalFormatting>
  <conditionalFormatting sqref="B75:E76">
    <cfRule type="expression" dxfId="20" priority="4355" stopIfTrue="1">
      <formula>$A75="barcode"</formula>
    </cfRule>
  </conditionalFormatting>
  <conditionalFormatting sqref="B75:E76">
    <cfRule type="expression" dxfId="21" priority="4356" stopIfTrue="1">
      <formula>OR($A75="geopoint", $A75="geoshape", $A75="geotrace")</formula>
    </cfRule>
  </conditionalFormatting>
  <conditionalFormatting sqref="B75:E76">
    <cfRule type="expression" dxfId="22" priority="4357" stopIfTrue="1">
      <formula>OR($A75="audio audit", $A75="text audit", $A75="speed violations count", $A75="speed violations list", $A75="speed violations audit")</formula>
    </cfRule>
  </conditionalFormatting>
  <conditionalFormatting sqref="B75:E76">
    <cfRule type="expression" dxfId="23" priority="4358" stopIfTrue="1">
      <formula>OR($A75="username", $A75="phonenumber", $A75="start", $A75="end", $A75="deviceid", $A75="subscriberid", $A75="simserial", $A75="caseid")</formula>
    </cfRule>
  </conditionalFormatting>
  <conditionalFormatting sqref="B75:E76">
    <cfRule type="expression" dxfId="24" priority="4359" stopIfTrue="1">
      <formula>OR(AND(LEFT($A75, 16)="select_multiple ", LEN($A75)&gt;16, NOT(ISNUMBER(SEARCH(" ", $A75, 17)))), AND(LEFT($A75, 11)="select_one ", LEN($A75)&gt;11, NOT(ISNUMBER(SEARCH(" ", $A75, 12)))))</formula>
    </cfRule>
  </conditionalFormatting>
  <conditionalFormatting sqref="B75:E76">
    <cfRule type="expression" dxfId="25" priority="4360" stopIfTrue="1">
      <formula>$A75="decimal"</formula>
    </cfRule>
  </conditionalFormatting>
  <conditionalFormatting sqref="B75:E76">
    <cfRule type="expression" dxfId="26" priority="4361" stopIfTrue="1">
      <formula>$A75="integer"</formula>
    </cfRule>
  </conditionalFormatting>
  <conditionalFormatting sqref="B75:E76">
    <cfRule type="expression" dxfId="27" priority="4362" stopIfTrue="1">
      <formula>$A75="text"</formula>
    </cfRule>
  </conditionalFormatting>
  <conditionalFormatting sqref="B75:E76">
    <cfRule type="expression" dxfId="28" priority="4363" stopIfTrue="1">
      <formula>$A75="end repeat"</formula>
    </cfRule>
  </conditionalFormatting>
  <conditionalFormatting sqref="B75:E76">
    <cfRule type="expression" dxfId="28" priority="4364" stopIfTrue="1">
      <formula>$A75="begin repeat"</formula>
    </cfRule>
  </conditionalFormatting>
  <conditionalFormatting sqref="B75:E76">
    <cfRule type="expression" dxfId="29" priority="4365" stopIfTrue="1">
      <formula>$A75="end group"</formula>
    </cfRule>
  </conditionalFormatting>
  <conditionalFormatting sqref="B75:E76">
    <cfRule type="expression" dxfId="29" priority="4366" stopIfTrue="1">
      <formula>$A75="begin group"</formula>
    </cfRule>
  </conditionalFormatting>
  <conditionalFormatting sqref="B75:B76">
    <cfRule type="expression" dxfId="30" priority="4367" stopIfTrue="1">
      <formula>$A75="comments"</formula>
    </cfRule>
  </conditionalFormatting>
  <conditionalFormatting sqref="B75:B76">
    <cfRule type="expression" dxfId="36" priority="4368" stopIfTrue="1">
      <formula>OR(AND(LEFT($A75, 14)="sensor_stream ", LEN($A75)&gt;14, NOT(ISNUMBER(SEARCH(" ", $A75, 15)))), AND(LEFT($A75, 17)="sensor_statistic ", LEN($A75)&gt;17, NOT(ISNUMBER(SEARCH(" ", $A75, 18)))))</formula>
    </cfRule>
  </conditionalFormatting>
  <conditionalFormatting sqref="B65:C71 D65:E71">
    <cfRule type="expression" dxfId="0" priority="4369" stopIfTrue="1">
      <formula>$A65="begin group"</formula>
    </cfRule>
  </conditionalFormatting>
  <conditionalFormatting sqref="B65:C71 D65:E71">
    <cfRule type="expression" dxfId="1" priority="4370" stopIfTrue="1">
      <formula>$A65="begin repeat"</formula>
    </cfRule>
  </conditionalFormatting>
  <conditionalFormatting sqref="B65:E71">
    <cfRule type="expression" dxfId="31" priority="4371" stopIfTrue="1">
      <formula>$A65="enumerator"</formula>
    </cfRule>
  </conditionalFormatting>
  <conditionalFormatting sqref="B65:E71">
    <cfRule type="expression" dxfId="2" priority="4372" stopIfTrue="1">
      <formula>$A65="text"</formula>
    </cfRule>
  </conditionalFormatting>
  <conditionalFormatting sqref="B65:E71">
    <cfRule type="expression" dxfId="3" priority="4373" stopIfTrue="1">
      <formula>$A65="integer"</formula>
    </cfRule>
  </conditionalFormatting>
  <conditionalFormatting sqref="B65:E71">
    <cfRule type="expression" dxfId="4" priority="4374" stopIfTrue="1">
      <formula>$A65="decimal"</formula>
    </cfRule>
  </conditionalFormatting>
  <conditionalFormatting sqref="B65:C71 D65:E71">
    <cfRule type="expression" dxfId="5" priority="4375" stopIfTrue="1">
      <formula>OR(AND(LEFT($A65, 16)="select_multiple ", LEN($A65)&gt;16, NOT(ISNUMBER(SEARCH(" ", $A65, 17)))), AND(LEFT($A65, 11)="select_one ", LEN($A65)&gt;11, NOT(ISNUMBER(SEARCH(" ", $A65, 12)))))</formula>
    </cfRule>
  </conditionalFormatting>
  <conditionalFormatting sqref="B65:B71">
    <cfRule type="expression" dxfId="6" priority="4376" stopIfTrue="1">
      <formula>OR($A65="audio audit", $A65="text audit", $A65="speed violations count", $A65="speed violations list", $A65="speed violations audit")</formula>
    </cfRule>
  </conditionalFormatting>
  <conditionalFormatting sqref="B65:C71 D65:E71">
    <cfRule type="expression" dxfId="32" priority="4377" stopIfTrue="1">
      <formula>$A65="file"</formula>
    </cfRule>
  </conditionalFormatting>
  <conditionalFormatting sqref="B65:C71 D65:E71">
    <cfRule type="expression" dxfId="7" priority="4378" stopIfTrue="1">
      <formula>$A65="note"</formula>
    </cfRule>
  </conditionalFormatting>
  <conditionalFormatting sqref="B65:C71 D65:E71">
    <cfRule type="expression" dxfId="8" priority="4379" stopIfTrue="1">
      <formula>$A65="barcode"</formula>
    </cfRule>
  </conditionalFormatting>
  <conditionalFormatting sqref="B65:C71 D65:E71">
    <cfRule type="expression" dxfId="9" priority="4380" stopIfTrue="1">
      <formula>OR($A65="geopoint", $A65="geoshape", $A65="geotrace")</formula>
    </cfRule>
  </conditionalFormatting>
  <conditionalFormatting sqref="B65:B71">
    <cfRule type="expression" dxfId="10" priority="4381" stopIfTrue="1">
      <formula>OR($A65="calculate", $A65="calculate_here")</formula>
    </cfRule>
  </conditionalFormatting>
  <conditionalFormatting sqref="B65:C71 D65:E71">
    <cfRule type="expression" dxfId="11" priority="4382" stopIfTrue="1">
      <formula>OR($A65="date", $A65="datetime", $A65="time")</formula>
    </cfRule>
  </conditionalFormatting>
  <conditionalFormatting sqref="B65:C71 D65:E71">
    <cfRule type="expression" dxfId="12" priority="4383" stopIfTrue="1">
      <formula>$A65="image"</formula>
    </cfRule>
  </conditionalFormatting>
  <conditionalFormatting sqref="B65:C71 D65:E71">
    <cfRule type="expression" dxfId="13" priority="4384" stopIfTrue="1">
      <formula>OR($A65="audio", $A65="video")</formula>
    </cfRule>
  </conditionalFormatting>
  <conditionalFormatting sqref="B65:E71">
    <cfRule type="expression" dxfId="33" priority="4385" stopIfTrue="1">
      <formula>$A65="file"</formula>
    </cfRule>
  </conditionalFormatting>
  <conditionalFormatting sqref="B65:E71">
    <cfRule type="expression" dxfId="34" priority="4386" stopIfTrue="1">
      <formula>$A65="enumerator"</formula>
    </cfRule>
  </conditionalFormatting>
  <conditionalFormatting sqref="B65:E71">
    <cfRule type="expression" dxfId="35" priority="4387" stopIfTrue="1">
      <formula>OR(AND(LEFT($A65, 14)="sensor_stream ", LEN($A65)&gt;14, NOT(ISNUMBER(SEARCH(" ", $A65, 15)))), AND(LEFT($A65, 17)="sensor_statistic ", LEN($A65)&gt;17, NOT(ISNUMBER(SEARCH(" ", $A65, 18)))))</formula>
    </cfRule>
  </conditionalFormatting>
  <conditionalFormatting sqref="B65:E71">
    <cfRule type="expression" dxfId="14" priority="4388" stopIfTrue="1">
      <formula>$A65="comments"</formula>
    </cfRule>
  </conditionalFormatting>
  <conditionalFormatting sqref="B65:E71">
    <cfRule type="expression" dxfId="15" priority="4389" stopIfTrue="1">
      <formula>OR($A65="audio", $A65="video")</formula>
    </cfRule>
  </conditionalFormatting>
  <conditionalFormatting sqref="B65:E71">
    <cfRule type="expression" dxfId="16" priority="4390" stopIfTrue="1">
      <formula>$A65="image"</formula>
    </cfRule>
  </conditionalFormatting>
  <conditionalFormatting sqref="B65:E71">
    <cfRule type="expression" dxfId="17" priority="4391" stopIfTrue="1">
      <formula>OR($A65="date", $A65="datetime", $A65="time")</formula>
    </cfRule>
  </conditionalFormatting>
  <conditionalFormatting sqref="B65:E71">
    <cfRule type="expression" dxfId="18" priority="4392" stopIfTrue="1">
      <formula>OR($A65="calculate", $A65="calculate_here")</formula>
    </cfRule>
  </conditionalFormatting>
  <conditionalFormatting sqref="B65:E71">
    <cfRule type="expression" dxfId="19" priority="4393" stopIfTrue="1">
      <formula>$A65="note"</formula>
    </cfRule>
  </conditionalFormatting>
  <conditionalFormatting sqref="B65:E71">
    <cfRule type="expression" dxfId="20" priority="4394" stopIfTrue="1">
      <formula>$A65="barcode"</formula>
    </cfRule>
  </conditionalFormatting>
  <conditionalFormatting sqref="B65:E71">
    <cfRule type="expression" dxfId="21" priority="4395" stopIfTrue="1">
      <formula>OR($A65="geopoint", $A65="geoshape", $A65="geotrace")</formula>
    </cfRule>
  </conditionalFormatting>
  <conditionalFormatting sqref="B65:E71">
    <cfRule type="expression" dxfId="22" priority="4396" stopIfTrue="1">
      <formula>OR($A65="audio audit", $A65="text audit", $A65="speed violations count", $A65="speed violations list", $A65="speed violations audit")</formula>
    </cfRule>
  </conditionalFormatting>
  <conditionalFormatting sqref="B65:E71">
    <cfRule type="expression" dxfId="23" priority="4397" stopIfTrue="1">
      <formula>OR($A65="username", $A65="phonenumber", $A65="start", $A65="end", $A65="deviceid", $A65="subscriberid", $A65="simserial", $A65="caseid")</formula>
    </cfRule>
  </conditionalFormatting>
  <conditionalFormatting sqref="B65:E71">
    <cfRule type="expression" dxfId="24" priority="4398" stopIfTrue="1">
      <formula>OR(AND(LEFT($A65, 16)="select_multiple ", LEN($A65)&gt;16, NOT(ISNUMBER(SEARCH(" ", $A65, 17)))), AND(LEFT($A65, 11)="select_one ", LEN($A65)&gt;11, NOT(ISNUMBER(SEARCH(" ", $A65, 12)))))</formula>
    </cfRule>
  </conditionalFormatting>
  <conditionalFormatting sqref="B65:E71">
    <cfRule type="expression" dxfId="25" priority="4399" stopIfTrue="1">
      <formula>$A65="decimal"</formula>
    </cfRule>
  </conditionalFormatting>
  <conditionalFormatting sqref="B65:E71">
    <cfRule type="expression" dxfId="26" priority="4400" stopIfTrue="1">
      <formula>$A65="integer"</formula>
    </cfRule>
  </conditionalFormatting>
  <conditionalFormatting sqref="B65:E71">
    <cfRule type="expression" dxfId="27" priority="4401" stopIfTrue="1">
      <formula>$A65="text"</formula>
    </cfRule>
  </conditionalFormatting>
  <conditionalFormatting sqref="B65:E71">
    <cfRule type="expression" dxfId="28" priority="4402" stopIfTrue="1">
      <formula>$A65="end repeat"</formula>
    </cfRule>
  </conditionalFormatting>
  <conditionalFormatting sqref="B65:E71">
    <cfRule type="expression" dxfId="28" priority="4403" stopIfTrue="1">
      <formula>$A65="begin repeat"</formula>
    </cfRule>
  </conditionalFormatting>
  <conditionalFormatting sqref="B65:E71">
    <cfRule type="expression" dxfId="29" priority="4404" stopIfTrue="1">
      <formula>$A65="end group"</formula>
    </cfRule>
  </conditionalFormatting>
  <conditionalFormatting sqref="B65:E71">
    <cfRule type="expression" dxfId="29" priority="4405" stopIfTrue="1">
      <formula>$A65="begin group"</formula>
    </cfRule>
  </conditionalFormatting>
  <conditionalFormatting sqref="B65:B71">
    <cfRule type="expression" dxfId="30" priority="4406" stopIfTrue="1">
      <formula>$A65="comments"</formula>
    </cfRule>
  </conditionalFormatting>
  <conditionalFormatting sqref="B65:B71">
    <cfRule type="expression" dxfId="36" priority="4407" stopIfTrue="1">
      <formula>OR(AND(LEFT($A65, 14)="sensor_stream ", LEN($A65)&gt;14, NOT(ISNUMBER(SEARCH(" ", $A65, 15)))), AND(LEFT($A65, 17)="sensor_statistic ", LEN($A65)&gt;17, NOT(ISNUMBER(SEARCH(" ", $A65, 18)))))</formula>
    </cfRule>
  </conditionalFormatting>
  <conditionalFormatting sqref="B62:C62 D62:E62">
    <cfRule type="expression" dxfId="0" priority="4408" stopIfTrue="1">
      <formula>$A62="begin group"</formula>
    </cfRule>
  </conditionalFormatting>
  <conditionalFormatting sqref="B62:C62 D62:E62">
    <cfRule type="expression" dxfId="1" priority="4409" stopIfTrue="1">
      <formula>$A62="begin repeat"</formula>
    </cfRule>
  </conditionalFormatting>
  <conditionalFormatting sqref="B62:E62">
    <cfRule type="expression" dxfId="31" priority="4410" stopIfTrue="1">
      <formula>$A62="enumerator"</formula>
    </cfRule>
  </conditionalFormatting>
  <conditionalFormatting sqref="B62:E62">
    <cfRule type="expression" dxfId="2" priority="4411" stopIfTrue="1">
      <formula>$A62="text"</formula>
    </cfRule>
  </conditionalFormatting>
  <conditionalFormatting sqref="B62:E62">
    <cfRule type="expression" dxfId="3" priority="4412" stopIfTrue="1">
      <formula>$A62="integer"</formula>
    </cfRule>
  </conditionalFormatting>
  <conditionalFormatting sqref="B62:E62">
    <cfRule type="expression" dxfId="4" priority="4413" stopIfTrue="1">
      <formula>$A62="decimal"</formula>
    </cfRule>
  </conditionalFormatting>
  <conditionalFormatting sqref="B62:C62 D62:E62">
    <cfRule type="expression" dxfId="5" priority="4414" stopIfTrue="1">
      <formula>OR(AND(LEFT($A62, 16)="select_multiple ", LEN($A62)&gt;16, NOT(ISNUMBER(SEARCH(" ", $A62, 17)))), AND(LEFT($A62, 11)="select_one ", LEN($A62)&gt;11, NOT(ISNUMBER(SEARCH(" ", $A62, 12)))))</formula>
    </cfRule>
  </conditionalFormatting>
  <conditionalFormatting sqref="B62">
    <cfRule type="expression" dxfId="6" priority="4415" stopIfTrue="1">
      <formula>OR($A62="audio audit", $A62="text audit", $A62="speed violations count", $A62="speed violations list", $A62="speed violations audit")</formula>
    </cfRule>
  </conditionalFormatting>
  <conditionalFormatting sqref="B62:C62 D62:E62">
    <cfRule type="expression" dxfId="32" priority="4416" stopIfTrue="1">
      <formula>$A62="file"</formula>
    </cfRule>
  </conditionalFormatting>
  <conditionalFormatting sqref="B62:C62 D62:E62">
    <cfRule type="expression" dxfId="7" priority="4417" stopIfTrue="1">
      <formula>$A62="note"</formula>
    </cfRule>
  </conditionalFormatting>
  <conditionalFormatting sqref="B62:C62 D62:E62">
    <cfRule type="expression" dxfId="8" priority="4418" stopIfTrue="1">
      <formula>$A62="barcode"</formula>
    </cfRule>
  </conditionalFormatting>
  <conditionalFormatting sqref="B62:C62 D62:E62">
    <cfRule type="expression" dxfId="9" priority="4419" stopIfTrue="1">
      <formula>OR($A62="geopoint", $A62="geoshape", $A62="geotrace")</formula>
    </cfRule>
  </conditionalFormatting>
  <conditionalFormatting sqref="B62">
    <cfRule type="expression" dxfId="10" priority="4420" stopIfTrue="1">
      <formula>OR($A62="calculate", $A62="calculate_here")</formula>
    </cfRule>
  </conditionalFormatting>
  <conditionalFormatting sqref="B62:C62 D62:E62">
    <cfRule type="expression" dxfId="11" priority="4421" stopIfTrue="1">
      <formula>OR($A62="date", $A62="datetime", $A62="time")</formula>
    </cfRule>
  </conditionalFormatting>
  <conditionalFormatting sqref="B62:C62 D62:E62">
    <cfRule type="expression" dxfId="12" priority="4422" stopIfTrue="1">
      <formula>$A62="image"</formula>
    </cfRule>
  </conditionalFormatting>
  <conditionalFormatting sqref="B62:C62 D62:E62">
    <cfRule type="expression" dxfId="13" priority="4423" stopIfTrue="1">
      <formula>OR($A62="audio", $A62="video")</formula>
    </cfRule>
  </conditionalFormatting>
  <conditionalFormatting sqref="B62:E62">
    <cfRule type="expression" dxfId="33" priority="4424" stopIfTrue="1">
      <formula>$A62="file"</formula>
    </cfRule>
  </conditionalFormatting>
  <conditionalFormatting sqref="B62:E62">
    <cfRule type="expression" dxfId="34" priority="4425" stopIfTrue="1">
      <formula>$A62="enumerator"</formula>
    </cfRule>
  </conditionalFormatting>
  <conditionalFormatting sqref="B62:E62">
    <cfRule type="expression" dxfId="35" priority="4426" stopIfTrue="1">
      <formula>OR(AND(LEFT($A62, 14)="sensor_stream ", LEN($A62)&gt;14, NOT(ISNUMBER(SEARCH(" ", $A62, 15)))), AND(LEFT($A62, 17)="sensor_statistic ", LEN($A62)&gt;17, NOT(ISNUMBER(SEARCH(" ", $A62, 18)))))</formula>
    </cfRule>
  </conditionalFormatting>
  <conditionalFormatting sqref="B62:E62">
    <cfRule type="expression" dxfId="14" priority="4427" stopIfTrue="1">
      <formula>$A62="comments"</formula>
    </cfRule>
  </conditionalFormatting>
  <conditionalFormatting sqref="B62:E62">
    <cfRule type="expression" dxfId="15" priority="4428" stopIfTrue="1">
      <formula>OR($A62="audio", $A62="video")</formula>
    </cfRule>
  </conditionalFormatting>
  <conditionalFormatting sqref="B62:E62">
    <cfRule type="expression" dxfId="16" priority="4429" stopIfTrue="1">
      <formula>$A62="image"</formula>
    </cfRule>
  </conditionalFormatting>
  <conditionalFormatting sqref="B62:E62">
    <cfRule type="expression" dxfId="17" priority="4430" stopIfTrue="1">
      <formula>OR($A62="date", $A62="datetime", $A62="time")</formula>
    </cfRule>
  </conditionalFormatting>
  <conditionalFormatting sqref="B62:E62">
    <cfRule type="expression" dxfId="18" priority="4431" stopIfTrue="1">
      <formula>OR($A62="calculate", $A62="calculate_here")</formula>
    </cfRule>
  </conditionalFormatting>
  <conditionalFormatting sqref="B62:E62">
    <cfRule type="expression" dxfId="19" priority="4432" stopIfTrue="1">
      <formula>$A62="note"</formula>
    </cfRule>
  </conditionalFormatting>
  <conditionalFormatting sqref="B62:E62">
    <cfRule type="expression" dxfId="20" priority="4433" stopIfTrue="1">
      <formula>$A62="barcode"</formula>
    </cfRule>
  </conditionalFormatting>
  <conditionalFormatting sqref="B62:E62">
    <cfRule type="expression" dxfId="21" priority="4434" stopIfTrue="1">
      <formula>OR($A62="geopoint", $A62="geoshape", $A62="geotrace")</formula>
    </cfRule>
  </conditionalFormatting>
  <conditionalFormatting sqref="B62:E62">
    <cfRule type="expression" dxfId="22" priority="4435" stopIfTrue="1">
      <formula>OR($A62="audio audit", $A62="text audit", $A62="speed violations count", $A62="speed violations list", $A62="speed violations audit")</formula>
    </cfRule>
  </conditionalFormatting>
  <conditionalFormatting sqref="B62:E62">
    <cfRule type="expression" dxfId="23" priority="4436" stopIfTrue="1">
      <formula>OR($A62="username", $A62="phonenumber", $A62="start", $A62="end", $A62="deviceid", $A62="subscriberid", $A62="simserial", $A62="caseid")</formula>
    </cfRule>
  </conditionalFormatting>
  <conditionalFormatting sqref="B62:E62">
    <cfRule type="expression" dxfId="24" priority="4437" stopIfTrue="1">
      <formula>OR(AND(LEFT($A62, 16)="select_multiple ", LEN($A62)&gt;16, NOT(ISNUMBER(SEARCH(" ", $A62, 17)))), AND(LEFT($A62, 11)="select_one ", LEN($A62)&gt;11, NOT(ISNUMBER(SEARCH(" ", $A62, 12)))))</formula>
    </cfRule>
  </conditionalFormatting>
  <conditionalFormatting sqref="B62:E62">
    <cfRule type="expression" dxfId="25" priority="4438" stopIfTrue="1">
      <formula>$A62="decimal"</formula>
    </cfRule>
  </conditionalFormatting>
  <conditionalFormatting sqref="B62:E62">
    <cfRule type="expression" dxfId="26" priority="4439" stopIfTrue="1">
      <formula>$A62="integer"</formula>
    </cfRule>
  </conditionalFormatting>
  <conditionalFormatting sqref="B62:E62">
    <cfRule type="expression" dxfId="27" priority="4440" stopIfTrue="1">
      <formula>$A62="text"</formula>
    </cfRule>
  </conditionalFormatting>
  <conditionalFormatting sqref="B62:E62">
    <cfRule type="expression" dxfId="28" priority="4441" stopIfTrue="1">
      <formula>$A62="end repeat"</formula>
    </cfRule>
  </conditionalFormatting>
  <conditionalFormatting sqref="B62:E62">
    <cfRule type="expression" dxfId="28" priority="4442" stopIfTrue="1">
      <formula>$A62="begin repeat"</formula>
    </cfRule>
  </conditionalFormatting>
  <conditionalFormatting sqref="B62:E62">
    <cfRule type="expression" dxfId="29" priority="4443" stopIfTrue="1">
      <formula>$A62="end group"</formula>
    </cfRule>
  </conditionalFormatting>
  <conditionalFormatting sqref="B62:E62">
    <cfRule type="expression" dxfId="29" priority="4444" stopIfTrue="1">
      <formula>$A62="begin group"</formula>
    </cfRule>
  </conditionalFormatting>
  <conditionalFormatting sqref="B62">
    <cfRule type="expression" dxfId="30" priority="4445" stopIfTrue="1">
      <formula>$A62="comments"</formula>
    </cfRule>
  </conditionalFormatting>
  <conditionalFormatting sqref="B62">
    <cfRule type="expression" dxfId="36" priority="4446" stopIfTrue="1">
      <formula>OR(AND(LEFT($A62, 14)="sensor_stream ", LEN($A62)&gt;14, NOT(ISNUMBER(SEARCH(" ", $A62, 15)))), AND(LEFT($A62, 17)="sensor_statistic ", LEN($A62)&gt;17, NOT(ISNUMBER(SEARCH(" ", $A62, 18)))))</formula>
    </cfRule>
  </conditionalFormatting>
  <conditionalFormatting sqref="B54:C54 D54:E54">
    <cfRule type="expression" dxfId="0" priority="4447" stopIfTrue="1">
      <formula>$A54="begin group"</formula>
    </cfRule>
  </conditionalFormatting>
  <conditionalFormatting sqref="B54:C54 D54:E54">
    <cfRule type="expression" dxfId="1" priority="4448" stopIfTrue="1">
      <formula>$A54="begin repeat"</formula>
    </cfRule>
  </conditionalFormatting>
  <conditionalFormatting sqref="B54:E54">
    <cfRule type="expression" dxfId="31" priority="4449" stopIfTrue="1">
      <formula>$A54="enumerator"</formula>
    </cfRule>
  </conditionalFormatting>
  <conditionalFormatting sqref="B54:E54">
    <cfRule type="expression" dxfId="2" priority="4450" stopIfTrue="1">
      <formula>$A54="text"</formula>
    </cfRule>
  </conditionalFormatting>
  <conditionalFormatting sqref="B54:E54">
    <cfRule type="expression" dxfId="3" priority="4451" stopIfTrue="1">
      <formula>$A54="integer"</formula>
    </cfRule>
  </conditionalFormatting>
  <conditionalFormatting sqref="B54:E54">
    <cfRule type="expression" dxfId="4" priority="4452" stopIfTrue="1">
      <formula>$A54="decimal"</formula>
    </cfRule>
  </conditionalFormatting>
  <conditionalFormatting sqref="B54:C54 D54:E54">
    <cfRule type="expression" dxfId="5" priority="4453" stopIfTrue="1">
      <formula>OR(AND(LEFT($A54, 16)="select_multiple ", LEN($A54)&gt;16, NOT(ISNUMBER(SEARCH(" ", $A54, 17)))), AND(LEFT($A54, 11)="select_one ", LEN($A54)&gt;11, NOT(ISNUMBER(SEARCH(" ", $A54, 12)))))</formula>
    </cfRule>
  </conditionalFormatting>
  <conditionalFormatting sqref="B54">
    <cfRule type="expression" dxfId="6" priority="4454" stopIfTrue="1">
      <formula>OR($A54="audio audit", $A54="text audit", $A54="speed violations count", $A54="speed violations list", $A54="speed violations audit")</formula>
    </cfRule>
  </conditionalFormatting>
  <conditionalFormatting sqref="B54:C54 D54:E54">
    <cfRule type="expression" dxfId="32" priority="4455" stopIfTrue="1">
      <formula>$A54="file"</formula>
    </cfRule>
  </conditionalFormatting>
  <conditionalFormatting sqref="B54:C54 D54:E54">
    <cfRule type="expression" dxfId="7" priority="4456" stopIfTrue="1">
      <formula>$A54="note"</formula>
    </cfRule>
  </conditionalFormatting>
  <conditionalFormatting sqref="B54:C54 D54:E54">
    <cfRule type="expression" dxfId="8" priority="4457" stopIfTrue="1">
      <formula>$A54="barcode"</formula>
    </cfRule>
  </conditionalFormatting>
  <conditionalFormatting sqref="B54:C54 D54:E54">
    <cfRule type="expression" dxfId="9" priority="4458" stopIfTrue="1">
      <formula>OR($A54="geopoint", $A54="geoshape", $A54="geotrace")</formula>
    </cfRule>
  </conditionalFormatting>
  <conditionalFormatting sqref="B54">
    <cfRule type="expression" dxfId="10" priority="4459" stopIfTrue="1">
      <formula>OR($A54="calculate", $A54="calculate_here")</formula>
    </cfRule>
  </conditionalFormatting>
  <conditionalFormatting sqref="B54:C54 D54:E54">
    <cfRule type="expression" dxfId="11" priority="4460" stopIfTrue="1">
      <formula>OR($A54="date", $A54="datetime", $A54="time")</formula>
    </cfRule>
  </conditionalFormatting>
  <conditionalFormatting sqref="B54:C54 D54:E54">
    <cfRule type="expression" dxfId="12" priority="4461" stopIfTrue="1">
      <formula>$A54="image"</formula>
    </cfRule>
  </conditionalFormatting>
  <conditionalFormatting sqref="B54:C54 D54:E54">
    <cfRule type="expression" dxfId="13" priority="4462" stopIfTrue="1">
      <formula>OR($A54="audio", $A54="video")</formula>
    </cfRule>
  </conditionalFormatting>
  <conditionalFormatting sqref="B54:E54">
    <cfRule type="expression" dxfId="33" priority="4463" stopIfTrue="1">
      <formula>$A54="file"</formula>
    </cfRule>
  </conditionalFormatting>
  <conditionalFormatting sqref="B54:E54">
    <cfRule type="expression" dxfId="34" priority="4464" stopIfTrue="1">
      <formula>$A54="enumerator"</formula>
    </cfRule>
  </conditionalFormatting>
  <conditionalFormatting sqref="B54:E54">
    <cfRule type="expression" dxfId="35" priority="4465" stopIfTrue="1">
      <formula>OR(AND(LEFT($A54, 14)="sensor_stream ", LEN($A54)&gt;14, NOT(ISNUMBER(SEARCH(" ", $A54, 15)))), AND(LEFT($A54, 17)="sensor_statistic ", LEN($A54)&gt;17, NOT(ISNUMBER(SEARCH(" ", $A54, 18)))))</formula>
    </cfRule>
  </conditionalFormatting>
  <conditionalFormatting sqref="B54:E54">
    <cfRule type="expression" dxfId="14" priority="4466" stopIfTrue="1">
      <formula>$A54="comments"</formula>
    </cfRule>
  </conditionalFormatting>
  <conditionalFormatting sqref="B54:E54">
    <cfRule type="expression" dxfId="15" priority="4467" stopIfTrue="1">
      <formula>OR($A54="audio", $A54="video")</formula>
    </cfRule>
  </conditionalFormatting>
  <conditionalFormatting sqref="B54:E54">
    <cfRule type="expression" dxfId="16" priority="4468" stopIfTrue="1">
      <formula>$A54="image"</formula>
    </cfRule>
  </conditionalFormatting>
  <conditionalFormatting sqref="B54:E54">
    <cfRule type="expression" dxfId="17" priority="4469" stopIfTrue="1">
      <formula>OR($A54="date", $A54="datetime", $A54="time")</formula>
    </cfRule>
  </conditionalFormatting>
  <conditionalFormatting sqref="B54:E54">
    <cfRule type="expression" dxfId="18" priority="4470" stopIfTrue="1">
      <formula>OR($A54="calculate", $A54="calculate_here")</formula>
    </cfRule>
  </conditionalFormatting>
  <conditionalFormatting sqref="B54:E54">
    <cfRule type="expression" dxfId="19" priority="4471" stopIfTrue="1">
      <formula>$A54="note"</formula>
    </cfRule>
  </conditionalFormatting>
  <conditionalFormatting sqref="B54:E54">
    <cfRule type="expression" dxfId="20" priority="4472" stopIfTrue="1">
      <formula>$A54="barcode"</formula>
    </cfRule>
  </conditionalFormatting>
  <conditionalFormatting sqref="B54:E54">
    <cfRule type="expression" dxfId="21" priority="4473" stopIfTrue="1">
      <formula>OR($A54="geopoint", $A54="geoshape", $A54="geotrace")</formula>
    </cfRule>
  </conditionalFormatting>
  <conditionalFormatting sqref="B54:E54">
    <cfRule type="expression" dxfId="22" priority="4474" stopIfTrue="1">
      <formula>OR($A54="audio audit", $A54="text audit", $A54="speed violations count", $A54="speed violations list", $A54="speed violations audit")</formula>
    </cfRule>
  </conditionalFormatting>
  <conditionalFormatting sqref="B54:E54">
    <cfRule type="expression" dxfId="23" priority="4475" stopIfTrue="1">
      <formula>OR($A54="username", $A54="phonenumber", $A54="start", $A54="end", $A54="deviceid", $A54="subscriberid", $A54="simserial", $A54="caseid")</formula>
    </cfRule>
  </conditionalFormatting>
  <conditionalFormatting sqref="B54:E54">
    <cfRule type="expression" dxfId="24" priority="4476" stopIfTrue="1">
      <formula>OR(AND(LEFT($A54, 16)="select_multiple ", LEN($A54)&gt;16, NOT(ISNUMBER(SEARCH(" ", $A54, 17)))), AND(LEFT($A54, 11)="select_one ", LEN($A54)&gt;11, NOT(ISNUMBER(SEARCH(" ", $A54, 12)))))</formula>
    </cfRule>
  </conditionalFormatting>
  <conditionalFormatting sqref="B54:E54">
    <cfRule type="expression" dxfId="25" priority="4477" stopIfTrue="1">
      <formula>$A54="decimal"</formula>
    </cfRule>
  </conditionalFormatting>
  <conditionalFormatting sqref="B54:E54">
    <cfRule type="expression" dxfId="26" priority="4478" stopIfTrue="1">
      <formula>$A54="integer"</formula>
    </cfRule>
  </conditionalFormatting>
  <conditionalFormatting sqref="B54:E54">
    <cfRule type="expression" dxfId="27" priority="4479" stopIfTrue="1">
      <formula>$A54="text"</formula>
    </cfRule>
  </conditionalFormatting>
  <conditionalFormatting sqref="B54:E54">
    <cfRule type="expression" dxfId="28" priority="4480" stopIfTrue="1">
      <formula>$A54="end repeat"</formula>
    </cfRule>
  </conditionalFormatting>
  <conditionalFormatting sqref="B54:E54">
    <cfRule type="expression" dxfId="28" priority="4481" stopIfTrue="1">
      <formula>$A54="begin repeat"</formula>
    </cfRule>
  </conditionalFormatting>
  <conditionalFormatting sqref="B54:E54">
    <cfRule type="expression" dxfId="29" priority="4482" stopIfTrue="1">
      <formula>$A54="end group"</formula>
    </cfRule>
  </conditionalFormatting>
  <conditionalFormatting sqref="B54:E54">
    <cfRule type="expression" dxfId="29" priority="4483" stopIfTrue="1">
      <formula>$A54="begin group"</formula>
    </cfRule>
  </conditionalFormatting>
  <conditionalFormatting sqref="B54">
    <cfRule type="expression" dxfId="30" priority="4484" stopIfTrue="1">
      <formula>$A54="comments"</formula>
    </cfRule>
  </conditionalFormatting>
  <conditionalFormatting sqref="B54">
    <cfRule type="expression" dxfId="36" priority="4485" stopIfTrue="1">
      <formula>OR(AND(LEFT($A54, 14)="sensor_stream ", LEN($A54)&gt;14, NOT(ISNUMBER(SEARCH(" ", $A54, 15)))), AND(LEFT($A54, 17)="sensor_statistic ", LEN($A54)&gt;17, NOT(ISNUMBER(SEARCH(" ", $A54, 18)))))</formula>
    </cfRule>
  </conditionalFormatting>
  <conditionalFormatting sqref="B48:C52 D48:E52">
    <cfRule type="expression" dxfId="0" priority="4486" stopIfTrue="1">
      <formula>$A48="begin group"</formula>
    </cfRule>
  </conditionalFormatting>
  <conditionalFormatting sqref="B48:C52 D48:E52">
    <cfRule type="expression" dxfId="1" priority="4487" stopIfTrue="1">
      <formula>$A48="begin repeat"</formula>
    </cfRule>
  </conditionalFormatting>
  <conditionalFormatting sqref="B48:E52">
    <cfRule type="expression" dxfId="31" priority="4488" stopIfTrue="1">
      <formula>$A48="enumerator"</formula>
    </cfRule>
  </conditionalFormatting>
  <conditionalFormatting sqref="B48:E52">
    <cfRule type="expression" dxfId="2" priority="4489" stopIfTrue="1">
      <formula>$A48="text"</formula>
    </cfRule>
  </conditionalFormatting>
  <conditionalFormatting sqref="B48:E52">
    <cfRule type="expression" dxfId="3" priority="4490" stopIfTrue="1">
      <formula>$A48="integer"</formula>
    </cfRule>
  </conditionalFormatting>
  <conditionalFormatting sqref="B48:E52">
    <cfRule type="expression" dxfId="4" priority="4491" stopIfTrue="1">
      <formula>$A48="decimal"</formula>
    </cfRule>
  </conditionalFormatting>
  <conditionalFormatting sqref="B48:C52 D48:E52">
    <cfRule type="expression" dxfId="5" priority="4492" stopIfTrue="1">
      <formula>OR(AND(LEFT($A48, 16)="select_multiple ", LEN($A48)&gt;16, NOT(ISNUMBER(SEARCH(" ", $A48, 17)))), AND(LEFT($A48, 11)="select_one ", LEN($A48)&gt;11, NOT(ISNUMBER(SEARCH(" ", $A48, 12)))))</formula>
    </cfRule>
  </conditionalFormatting>
  <conditionalFormatting sqref="B48:B52">
    <cfRule type="expression" dxfId="6" priority="4493" stopIfTrue="1">
      <formula>OR($A48="audio audit", $A48="text audit", $A48="speed violations count", $A48="speed violations list", $A48="speed violations audit")</formula>
    </cfRule>
  </conditionalFormatting>
  <conditionalFormatting sqref="B48:C52 D48:E52">
    <cfRule type="expression" dxfId="32" priority="4494" stopIfTrue="1">
      <formula>$A48="file"</formula>
    </cfRule>
  </conditionalFormatting>
  <conditionalFormatting sqref="B48:C52 D48:E52">
    <cfRule type="expression" dxfId="7" priority="4495" stopIfTrue="1">
      <formula>$A48="note"</formula>
    </cfRule>
  </conditionalFormatting>
  <conditionalFormatting sqref="B48:C52 D48:E52">
    <cfRule type="expression" dxfId="8" priority="4496" stopIfTrue="1">
      <formula>$A48="barcode"</formula>
    </cfRule>
  </conditionalFormatting>
  <conditionalFormatting sqref="B48:C52 D48:E52">
    <cfRule type="expression" dxfId="9" priority="4497" stopIfTrue="1">
      <formula>OR($A48="geopoint", $A48="geoshape", $A48="geotrace")</formula>
    </cfRule>
  </conditionalFormatting>
  <conditionalFormatting sqref="B48:B52">
    <cfRule type="expression" dxfId="10" priority="4498" stopIfTrue="1">
      <formula>OR($A48="calculate", $A48="calculate_here")</formula>
    </cfRule>
  </conditionalFormatting>
  <conditionalFormatting sqref="B48:C52 D48:E52">
    <cfRule type="expression" dxfId="11" priority="4499" stopIfTrue="1">
      <formula>OR($A48="date", $A48="datetime", $A48="time")</formula>
    </cfRule>
  </conditionalFormatting>
  <conditionalFormatting sqref="B48:C52 D48:E52">
    <cfRule type="expression" dxfId="12" priority="4500" stopIfTrue="1">
      <formula>$A48="image"</formula>
    </cfRule>
  </conditionalFormatting>
  <conditionalFormatting sqref="B48:C52 D48:E52">
    <cfRule type="expression" dxfId="13" priority="4501" stopIfTrue="1">
      <formula>OR($A48="audio", $A48="video")</formula>
    </cfRule>
  </conditionalFormatting>
  <conditionalFormatting sqref="B48:E52">
    <cfRule type="expression" dxfId="33" priority="4502" stopIfTrue="1">
      <formula>$A48="file"</formula>
    </cfRule>
  </conditionalFormatting>
  <conditionalFormatting sqref="B48:E52">
    <cfRule type="expression" dxfId="34" priority="4503" stopIfTrue="1">
      <formula>$A48="enumerator"</formula>
    </cfRule>
  </conditionalFormatting>
  <conditionalFormatting sqref="B48:E52">
    <cfRule type="expression" dxfId="35" priority="4504" stopIfTrue="1">
      <formula>OR(AND(LEFT($A48, 14)="sensor_stream ", LEN($A48)&gt;14, NOT(ISNUMBER(SEARCH(" ", $A48, 15)))), AND(LEFT($A48, 17)="sensor_statistic ", LEN($A48)&gt;17, NOT(ISNUMBER(SEARCH(" ", $A48, 18)))))</formula>
    </cfRule>
  </conditionalFormatting>
  <conditionalFormatting sqref="B48:E52">
    <cfRule type="expression" dxfId="14" priority="4505" stopIfTrue="1">
      <formula>$A48="comments"</formula>
    </cfRule>
  </conditionalFormatting>
  <conditionalFormatting sqref="B48:E52">
    <cfRule type="expression" dxfId="15" priority="4506" stopIfTrue="1">
      <formula>OR($A48="audio", $A48="video")</formula>
    </cfRule>
  </conditionalFormatting>
  <conditionalFormatting sqref="B48:E52">
    <cfRule type="expression" dxfId="16" priority="4507" stopIfTrue="1">
      <formula>$A48="image"</formula>
    </cfRule>
  </conditionalFormatting>
  <conditionalFormatting sqref="B48:E52">
    <cfRule type="expression" dxfId="17" priority="4508" stopIfTrue="1">
      <formula>OR($A48="date", $A48="datetime", $A48="time")</formula>
    </cfRule>
  </conditionalFormatting>
  <conditionalFormatting sqref="B48:E52">
    <cfRule type="expression" dxfId="18" priority="4509" stopIfTrue="1">
      <formula>OR($A48="calculate", $A48="calculate_here")</formula>
    </cfRule>
  </conditionalFormatting>
  <conditionalFormatting sqref="B48:E52">
    <cfRule type="expression" dxfId="19" priority="4510" stopIfTrue="1">
      <formula>$A48="note"</formula>
    </cfRule>
  </conditionalFormatting>
  <conditionalFormatting sqref="B48:E52">
    <cfRule type="expression" dxfId="20" priority="4511" stopIfTrue="1">
      <formula>$A48="barcode"</formula>
    </cfRule>
  </conditionalFormatting>
  <conditionalFormatting sqref="B48:E52">
    <cfRule type="expression" dxfId="21" priority="4512" stopIfTrue="1">
      <formula>OR($A48="geopoint", $A48="geoshape", $A48="geotrace")</formula>
    </cfRule>
  </conditionalFormatting>
  <conditionalFormatting sqref="B48:E52">
    <cfRule type="expression" dxfId="22" priority="4513" stopIfTrue="1">
      <formula>OR($A48="audio audit", $A48="text audit", $A48="speed violations count", $A48="speed violations list", $A48="speed violations audit")</formula>
    </cfRule>
  </conditionalFormatting>
  <conditionalFormatting sqref="B48:E52">
    <cfRule type="expression" dxfId="23" priority="4514" stopIfTrue="1">
      <formula>OR($A48="username", $A48="phonenumber", $A48="start", $A48="end", $A48="deviceid", $A48="subscriberid", $A48="simserial", $A48="caseid")</formula>
    </cfRule>
  </conditionalFormatting>
  <conditionalFormatting sqref="B48:E52">
    <cfRule type="expression" dxfId="24" priority="4515" stopIfTrue="1">
      <formula>OR(AND(LEFT($A48, 16)="select_multiple ", LEN($A48)&gt;16, NOT(ISNUMBER(SEARCH(" ", $A48, 17)))), AND(LEFT($A48, 11)="select_one ", LEN($A48)&gt;11, NOT(ISNUMBER(SEARCH(" ", $A48, 12)))))</formula>
    </cfRule>
  </conditionalFormatting>
  <conditionalFormatting sqref="B48:E52">
    <cfRule type="expression" dxfId="25" priority="4516" stopIfTrue="1">
      <formula>$A48="decimal"</formula>
    </cfRule>
  </conditionalFormatting>
  <conditionalFormatting sqref="B48:E52">
    <cfRule type="expression" dxfId="26" priority="4517" stopIfTrue="1">
      <formula>$A48="integer"</formula>
    </cfRule>
  </conditionalFormatting>
  <conditionalFormatting sqref="B48:E52">
    <cfRule type="expression" dxfId="27" priority="4518" stopIfTrue="1">
      <formula>$A48="text"</formula>
    </cfRule>
  </conditionalFormatting>
  <conditionalFormatting sqref="B48:E52">
    <cfRule type="expression" dxfId="28" priority="4519" stopIfTrue="1">
      <formula>$A48="end repeat"</formula>
    </cfRule>
  </conditionalFormatting>
  <conditionalFormatting sqref="B48:E52">
    <cfRule type="expression" dxfId="28" priority="4520" stopIfTrue="1">
      <formula>$A48="begin repeat"</formula>
    </cfRule>
  </conditionalFormatting>
  <conditionalFormatting sqref="B48:E52">
    <cfRule type="expression" dxfId="29" priority="4521" stopIfTrue="1">
      <formula>$A48="end group"</formula>
    </cfRule>
  </conditionalFormatting>
  <conditionalFormatting sqref="B48:E52">
    <cfRule type="expression" dxfId="29" priority="4522" stopIfTrue="1">
      <formula>$A48="begin group"</formula>
    </cfRule>
  </conditionalFormatting>
  <conditionalFormatting sqref="B48:B52">
    <cfRule type="expression" dxfId="30" priority="4523" stopIfTrue="1">
      <formula>$A48="comments"</formula>
    </cfRule>
  </conditionalFormatting>
  <conditionalFormatting sqref="B48:B52">
    <cfRule type="expression" dxfId="36" priority="4524" stopIfTrue="1">
      <formula>OR(AND(LEFT($A48, 14)="sensor_stream ", LEN($A48)&gt;14, NOT(ISNUMBER(SEARCH(" ", $A48, 15)))), AND(LEFT($A48, 17)="sensor_statistic ", LEN($A48)&gt;17, NOT(ISNUMBER(SEARCH(" ", $A48, 18)))))</formula>
    </cfRule>
  </conditionalFormatting>
  <conditionalFormatting sqref="B34:C34 D34:E34">
    <cfRule type="expression" dxfId="0" priority="4525" stopIfTrue="1">
      <formula>$A34="begin group"</formula>
    </cfRule>
  </conditionalFormatting>
  <conditionalFormatting sqref="B34:C34 D34:E34">
    <cfRule type="expression" dxfId="1" priority="4526" stopIfTrue="1">
      <formula>$A34="begin repeat"</formula>
    </cfRule>
  </conditionalFormatting>
  <conditionalFormatting sqref="B34:E34">
    <cfRule type="expression" dxfId="31" priority="4527" stopIfTrue="1">
      <formula>$A34="enumerator"</formula>
    </cfRule>
  </conditionalFormatting>
  <conditionalFormatting sqref="B34:E34">
    <cfRule type="expression" dxfId="2" priority="4528" stopIfTrue="1">
      <formula>$A34="text"</formula>
    </cfRule>
  </conditionalFormatting>
  <conditionalFormatting sqref="B34:E34">
    <cfRule type="expression" dxfId="3" priority="4529" stopIfTrue="1">
      <formula>$A34="integer"</formula>
    </cfRule>
  </conditionalFormatting>
  <conditionalFormatting sqref="B34:E34">
    <cfRule type="expression" dxfId="4" priority="4530" stopIfTrue="1">
      <formula>$A34="decimal"</formula>
    </cfRule>
  </conditionalFormatting>
  <conditionalFormatting sqref="B34:C34 D34:E34">
    <cfRule type="expression" dxfId="5" priority="4531" stopIfTrue="1">
      <formula>OR(AND(LEFT($A34, 16)="select_multiple ", LEN($A34)&gt;16, NOT(ISNUMBER(SEARCH(" ", $A34, 17)))), AND(LEFT($A34, 11)="select_one ", LEN($A34)&gt;11, NOT(ISNUMBER(SEARCH(" ", $A34, 12)))))</formula>
    </cfRule>
  </conditionalFormatting>
  <conditionalFormatting sqref="B34">
    <cfRule type="expression" dxfId="6" priority="4532" stopIfTrue="1">
      <formula>OR($A34="audio audit", $A34="text audit", $A34="speed violations count", $A34="speed violations list", $A34="speed violations audit")</formula>
    </cfRule>
  </conditionalFormatting>
  <conditionalFormatting sqref="B34:C34 D34:E34">
    <cfRule type="expression" dxfId="32" priority="4533" stopIfTrue="1">
      <formula>$A34="file"</formula>
    </cfRule>
  </conditionalFormatting>
  <conditionalFormatting sqref="B34:C34 D34:E34">
    <cfRule type="expression" dxfId="7" priority="4534" stopIfTrue="1">
      <formula>$A34="note"</formula>
    </cfRule>
  </conditionalFormatting>
  <conditionalFormatting sqref="B34:C34 D34:E34">
    <cfRule type="expression" dxfId="8" priority="4535" stopIfTrue="1">
      <formula>$A34="barcode"</formula>
    </cfRule>
  </conditionalFormatting>
  <conditionalFormatting sqref="B34:C34 D34:E34">
    <cfRule type="expression" dxfId="9" priority="4536" stopIfTrue="1">
      <formula>OR($A34="geopoint", $A34="geoshape", $A34="geotrace")</formula>
    </cfRule>
  </conditionalFormatting>
  <conditionalFormatting sqref="B34">
    <cfRule type="expression" dxfId="10" priority="4537" stopIfTrue="1">
      <formula>OR($A34="calculate", $A34="calculate_here")</formula>
    </cfRule>
  </conditionalFormatting>
  <conditionalFormatting sqref="B34:C34 D34:E34">
    <cfRule type="expression" dxfId="11" priority="4538" stopIfTrue="1">
      <formula>OR($A34="date", $A34="datetime", $A34="time")</formula>
    </cfRule>
  </conditionalFormatting>
  <conditionalFormatting sqref="B34:C34 D34:E34">
    <cfRule type="expression" dxfId="12" priority="4539" stopIfTrue="1">
      <formula>$A34="image"</formula>
    </cfRule>
  </conditionalFormatting>
  <conditionalFormatting sqref="B34:C34 D34:E34">
    <cfRule type="expression" dxfId="13" priority="4540" stopIfTrue="1">
      <formula>OR($A34="audio", $A34="video")</formula>
    </cfRule>
  </conditionalFormatting>
  <conditionalFormatting sqref="B34:E34">
    <cfRule type="expression" dxfId="33" priority="4541" stopIfTrue="1">
      <formula>$A34="file"</formula>
    </cfRule>
  </conditionalFormatting>
  <conditionalFormatting sqref="B34:E34">
    <cfRule type="expression" dxfId="34" priority="4542" stopIfTrue="1">
      <formula>$A34="enumerator"</formula>
    </cfRule>
  </conditionalFormatting>
  <conditionalFormatting sqref="B34:E34">
    <cfRule type="expression" dxfId="35" priority="4543" stopIfTrue="1">
      <formula>OR(AND(LEFT($A34, 14)="sensor_stream ", LEN($A34)&gt;14, NOT(ISNUMBER(SEARCH(" ", $A34, 15)))), AND(LEFT($A34, 17)="sensor_statistic ", LEN($A34)&gt;17, NOT(ISNUMBER(SEARCH(" ", $A34, 18)))))</formula>
    </cfRule>
  </conditionalFormatting>
  <conditionalFormatting sqref="B34:E34">
    <cfRule type="expression" dxfId="14" priority="4544" stopIfTrue="1">
      <formula>$A34="comments"</formula>
    </cfRule>
  </conditionalFormatting>
  <conditionalFormatting sqref="B34:E34">
    <cfRule type="expression" dxfId="15" priority="4545" stopIfTrue="1">
      <formula>OR($A34="audio", $A34="video")</formula>
    </cfRule>
  </conditionalFormatting>
  <conditionalFormatting sqref="B34:E34">
    <cfRule type="expression" dxfId="16" priority="4546" stopIfTrue="1">
      <formula>$A34="image"</formula>
    </cfRule>
  </conditionalFormatting>
  <conditionalFormatting sqref="B34:E34">
    <cfRule type="expression" dxfId="17" priority="4547" stopIfTrue="1">
      <formula>OR($A34="date", $A34="datetime", $A34="time")</formula>
    </cfRule>
  </conditionalFormatting>
  <conditionalFormatting sqref="B34:E34">
    <cfRule type="expression" dxfId="18" priority="4548" stopIfTrue="1">
      <formula>OR($A34="calculate", $A34="calculate_here")</formula>
    </cfRule>
  </conditionalFormatting>
  <conditionalFormatting sqref="B34:E34">
    <cfRule type="expression" dxfId="19" priority="4549" stopIfTrue="1">
      <formula>$A34="note"</formula>
    </cfRule>
  </conditionalFormatting>
  <conditionalFormatting sqref="B34:E34">
    <cfRule type="expression" dxfId="20" priority="4550" stopIfTrue="1">
      <formula>$A34="barcode"</formula>
    </cfRule>
  </conditionalFormatting>
  <conditionalFormatting sqref="B34:E34">
    <cfRule type="expression" dxfId="21" priority="4551" stopIfTrue="1">
      <formula>OR($A34="geopoint", $A34="geoshape", $A34="geotrace")</formula>
    </cfRule>
  </conditionalFormatting>
  <conditionalFormatting sqref="B34:E34">
    <cfRule type="expression" dxfId="22" priority="4552" stopIfTrue="1">
      <formula>OR($A34="audio audit", $A34="text audit", $A34="speed violations count", $A34="speed violations list", $A34="speed violations audit")</formula>
    </cfRule>
  </conditionalFormatting>
  <conditionalFormatting sqref="B34:E34">
    <cfRule type="expression" dxfId="23" priority="4553" stopIfTrue="1">
      <formula>OR($A34="username", $A34="phonenumber", $A34="start", $A34="end", $A34="deviceid", $A34="subscriberid", $A34="simserial", $A34="caseid")</formula>
    </cfRule>
  </conditionalFormatting>
  <conditionalFormatting sqref="B34:E34">
    <cfRule type="expression" dxfId="24" priority="4554" stopIfTrue="1">
      <formula>OR(AND(LEFT($A34, 16)="select_multiple ", LEN($A34)&gt;16, NOT(ISNUMBER(SEARCH(" ", $A34, 17)))), AND(LEFT($A34, 11)="select_one ", LEN($A34)&gt;11, NOT(ISNUMBER(SEARCH(" ", $A34, 12)))))</formula>
    </cfRule>
  </conditionalFormatting>
  <conditionalFormatting sqref="B34:E34">
    <cfRule type="expression" dxfId="25" priority="4555" stopIfTrue="1">
      <formula>$A34="decimal"</formula>
    </cfRule>
  </conditionalFormatting>
  <conditionalFormatting sqref="B34:E34">
    <cfRule type="expression" dxfId="26" priority="4556" stopIfTrue="1">
      <formula>$A34="integer"</formula>
    </cfRule>
  </conditionalFormatting>
  <conditionalFormatting sqref="B34:E34">
    <cfRule type="expression" dxfId="27" priority="4557" stopIfTrue="1">
      <formula>$A34="text"</formula>
    </cfRule>
  </conditionalFormatting>
  <conditionalFormatting sqref="B34:E34">
    <cfRule type="expression" dxfId="28" priority="4558" stopIfTrue="1">
      <formula>$A34="end repeat"</formula>
    </cfRule>
  </conditionalFormatting>
  <conditionalFormatting sqref="B34:E34">
    <cfRule type="expression" dxfId="28" priority="4559" stopIfTrue="1">
      <formula>$A34="begin repeat"</formula>
    </cfRule>
  </conditionalFormatting>
  <conditionalFormatting sqref="B34:E34">
    <cfRule type="expression" dxfId="29" priority="4560" stopIfTrue="1">
      <formula>$A34="end group"</formula>
    </cfRule>
  </conditionalFormatting>
  <conditionalFormatting sqref="B34:E34">
    <cfRule type="expression" dxfId="29" priority="4561" stopIfTrue="1">
      <formula>$A34="begin group"</formula>
    </cfRule>
  </conditionalFormatting>
  <conditionalFormatting sqref="B34">
    <cfRule type="expression" dxfId="30" priority="4562" stopIfTrue="1">
      <formula>$A34="comments"</formula>
    </cfRule>
  </conditionalFormatting>
  <conditionalFormatting sqref="B34">
    <cfRule type="expression" dxfId="36" priority="4563" stopIfTrue="1">
      <formula>OR(AND(LEFT($A34, 14)="sensor_stream ", LEN($A34)&gt;14, NOT(ISNUMBER(SEARCH(" ", $A34, 15)))), AND(LEFT($A34, 17)="sensor_statistic ", LEN($A34)&gt;17, NOT(ISNUMBER(SEARCH(" ", $A34, 18)))))</formula>
    </cfRule>
  </conditionalFormatting>
  <conditionalFormatting sqref="B24:C24 D24:E24">
    <cfRule type="expression" dxfId="0" priority="4564" stopIfTrue="1">
      <formula>$A24="begin group"</formula>
    </cfRule>
  </conditionalFormatting>
  <conditionalFormatting sqref="B24:C24 D24:E24">
    <cfRule type="expression" dxfId="1" priority="4565" stopIfTrue="1">
      <formula>$A24="begin repeat"</formula>
    </cfRule>
  </conditionalFormatting>
  <conditionalFormatting sqref="B24:E24">
    <cfRule type="expression" dxfId="31" priority="4566" stopIfTrue="1">
      <formula>$A24="enumerator"</formula>
    </cfRule>
  </conditionalFormatting>
  <conditionalFormatting sqref="B24:E24">
    <cfRule type="expression" dxfId="2" priority="4567" stopIfTrue="1">
      <formula>$A24="text"</formula>
    </cfRule>
  </conditionalFormatting>
  <conditionalFormatting sqref="B24:E24">
    <cfRule type="expression" dxfId="3" priority="4568" stopIfTrue="1">
      <formula>$A24="integer"</formula>
    </cfRule>
  </conditionalFormatting>
  <conditionalFormatting sqref="B24:E24">
    <cfRule type="expression" dxfId="4" priority="4569" stopIfTrue="1">
      <formula>$A24="decimal"</formula>
    </cfRule>
  </conditionalFormatting>
  <conditionalFormatting sqref="B24:C24 D24:E24">
    <cfRule type="expression" dxfId="5" priority="4570" stopIfTrue="1">
      <formula>OR(AND(LEFT($A24, 16)="select_multiple ", LEN($A24)&gt;16, NOT(ISNUMBER(SEARCH(" ", $A24, 17)))), AND(LEFT($A24, 11)="select_one ", LEN($A24)&gt;11, NOT(ISNUMBER(SEARCH(" ", $A24, 12)))))</formula>
    </cfRule>
  </conditionalFormatting>
  <conditionalFormatting sqref="B24">
    <cfRule type="expression" dxfId="6" priority="4571" stopIfTrue="1">
      <formula>OR($A24="audio audit", $A24="text audit", $A24="speed violations count", $A24="speed violations list", $A24="speed violations audit")</formula>
    </cfRule>
  </conditionalFormatting>
  <conditionalFormatting sqref="B24:C24 D24:E24">
    <cfRule type="expression" dxfId="32" priority="4572" stopIfTrue="1">
      <formula>$A24="file"</formula>
    </cfRule>
  </conditionalFormatting>
  <conditionalFormatting sqref="B24:C24 D24:E24">
    <cfRule type="expression" dxfId="7" priority="4573" stopIfTrue="1">
      <formula>$A24="note"</formula>
    </cfRule>
  </conditionalFormatting>
  <conditionalFormatting sqref="B24:C24 D24:E24">
    <cfRule type="expression" dxfId="8" priority="4574" stopIfTrue="1">
      <formula>$A24="barcode"</formula>
    </cfRule>
  </conditionalFormatting>
  <conditionalFormatting sqref="B24:C24 D24:E24">
    <cfRule type="expression" dxfId="9" priority="4575" stopIfTrue="1">
      <formula>OR($A24="geopoint", $A24="geoshape", $A24="geotrace")</formula>
    </cfRule>
  </conditionalFormatting>
  <conditionalFormatting sqref="B24">
    <cfRule type="expression" dxfId="10" priority="4576" stopIfTrue="1">
      <formula>OR($A24="calculate", $A24="calculate_here")</formula>
    </cfRule>
  </conditionalFormatting>
  <conditionalFormatting sqref="B24:C24 D24:E24">
    <cfRule type="expression" dxfId="11" priority="4577" stopIfTrue="1">
      <formula>OR($A24="date", $A24="datetime", $A24="time")</formula>
    </cfRule>
  </conditionalFormatting>
  <conditionalFormatting sqref="B24:C24 D24:E24">
    <cfRule type="expression" dxfId="12" priority="4578" stopIfTrue="1">
      <formula>$A24="image"</formula>
    </cfRule>
  </conditionalFormatting>
  <conditionalFormatting sqref="B24:C24 D24:E24">
    <cfRule type="expression" dxfId="13" priority="4579" stopIfTrue="1">
      <formula>OR($A24="audio", $A24="video")</formula>
    </cfRule>
  </conditionalFormatting>
  <conditionalFormatting sqref="B24:E24">
    <cfRule type="expression" dxfId="33" priority="4580" stopIfTrue="1">
      <formula>$A24="file"</formula>
    </cfRule>
  </conditionalFormatting>
  <conditionalFormatting sqref="B24:E24">
    <cfRule type="expression" dxfId="34" priority="4581" stopIfTrue="1">
      <formula>$A24="enumerator"</formula>
    </cfRule>
  </conditionalFormatting>
  <conditionalFormatting sqref="B24:E24">
    <cfRule type="expression" dxfId="35" priority="4582" stopIfTrue="1">
      <formula>OR(AND(LEFT($A24, 14)="sensor_stream ", LEN($A24)&gt;14, NOT(ISNUMBER(SEARCH(" ", $A24, 15)))), AND(LEFT($A24, 17)="sensor_statistic ", LEN($A24)&gt;17, NOT(ISNUMBER(SEARCH(" ", $A24, 18)))))</formula>
    </cfRule>
  </conditionalFormatting>
  <conditionalFormatting sqref="B24:E24">
    <cfRule type="expression" dxfId="14" priority="4583" stopIfTrue="1">
      <formula>$A24="comments"</formula>
    </cfRule>
  </conditionalFormatting>
  <conditionalFormatting sqref="B24:E24">
    <cfRule type="expression" dxfId="15" priority="4584" stopIfTrue="1">
      <formula>OR($A24="audio", $A24="video")</formula>
    </cfRule>
  </conditionalFormatting>
  <conditionalFormatting sqref="B24:E24">
    <cfRule type="expression" dxfId="16" priority="4585" stopIfTrue="1">
      <formula>$A24="image"</formula>
    </cfRule>
  </conditionalFormatting>
  <conditionalFormatting sqref="B24:E24">
    <cfRule type="expression" dxfId="17" priority="4586" stopIfTrue="1">
      <formula>OR($A24="date", $A24="datetime", $A24="time")</formula>
    </cfRule>
  </conditionalFormatting>
  <conditionalFormatting sqref="B24:E24">
    <cfRule type="expression" dxfId="18" priority="4587" stopIfTrue="1">
      <formula>OR($A24="calculate", $A24="calculate_here")</formula>
    </cfRule>
  </conditionalFormatting>
  <conditionalFormatting sqref="B24:E24">
    <cfRule type="expression" dxfId="19" priority="4588" stopIfTrue="1">
      <formula>$A24="note"</formula>
    </cfRule>
  </conditionalFormatting>
  <conditionalFormatting sqref="B24:E24">
    <cfRule type="expression" dxfId="20" priority="4589" stopIfTrue="1">
      <formula>$A24="barcode"</formula>
    </cfRule>
  </conditionalFormatting>
  <conditionalFormatting sqref="B24:E24">
    <cfRule type="expression" dxfId="21" priority="4590" stopIfTrue="1">
      <formula>OR($A24="geopoint", $A24="geoshape", $A24="geotrace")</formula>
    </cfRule>
  </conditionalFormatting>
  <conditionalFormatting sqref="B24:E24">
    <cfRule type="expression" dxfId="22" priority="4591" stopIfTrue="1">
      <formula>OR($A24="audio audit", $A24="text audit", $A24="speed violations count", $A24="speed violations list", $A24="speed violations audit")</formula>
    </cfRule>
  </conditionalFormatting>
  <conditionalFormatting sqref="B24:E24">
    <cfRule type="expression" dxfId="23" priority="4592" stopIfTrue="1">
      <formula>OR($A24="username", $A24="phonenumber", $A24="start", $A24="end", $A24="deviceid", $A24="subscriberid", $A24="simserial", $A24="caseid")</formula>
    </cfRule>
  </conditionalFormatting>
  <conditionalFormatting sqref="B24:E24">
    <cfRule type="expression" dxfId="24" priority="4593" stopIfTrue="1">
      <formula>OR(AND(LEFT($A24, 16)="select_multiple ", LEN($A24)&gt;16, NOT(ISNUMBER(SEARCH(" ", $A24, 17)))), AND(LEFT($A24, 11)="select_one ", LEN($A24)&gt;11, NOT(ISNUMBER(SEARCH(" ", $A24, 12)))))</formula>
    </cfRule>
  </conditionalFormatting>
  <conditionalFormatting sqref="B24:E24">
    <cfRule type="expression" dxfId="25" priority="4594" stopIfTrue="1">
      <formula>$A24="decimal"</formula>
    </cfRule>
  </conditionalFormatting>
  <conditionalFormatting sqref="B24:E24">
    <cfRule type="expression" dxfId="26" priority="4595" stopIfTrue="1">
      <formula>$A24="integer"</formula>
    </cfRule>
  </conditionalFormatting>
  <conditionalFormatting sqref="B24:E24">
    <cfRule type="expression" dxfId="27" priority="4596" stopIfTrue="1">
      <formula>$A24="text"</formula>
    </cfRule>
  </conditionalFormatting>
  <conditionalFormatting sqref="B24:E24">
    <cfRule type="expression" dxfId="28" priority="4597" stopIfTrue="1">
      <formula>$A24="end repeat"</formula>
    </cfRule>
  </conditionalFormatting>
  <conditionalFormatting sqref="B24:E24">
    <cfRule type="expression" dxfId="28" priority="4598" stopIfTrue="1">
      <formula>$A24="begin repeat"</formula>
    </cfRule>
  </conditionalFormatting>
  <conditionalFormatting sqref="B24:E24">
    <cfRule type="expression" dxfId="29" priority="4599" stopIfTrue="1">
      <formula>$A24="end group"</formula>
    </cfRule>
  </conditionalFormatting>
  <conditionalFormatting sqref="B24:E24">
    <cfRule type="expression" dxfId="29" priority="4600" stopIfTrue="1">
      <formula>$A24="begin group"</formula>
    </cfRule>
  </conditionalFormatting>
  <conditionalFormatting sqref="B24">
    <cfRule type="expression" dxfId="30" priority="4601" stopIfTrue="1">
      <formula>$A24="comments"</formula>
    </cfRule>
  </conditionalFormatting>
  <conditionalFormatting sqref="B24">
    <cfRule type="expression" dxfId="36" priority="4602" stopIfTrue="1">
      <formula>OR(AND(LEFT($A24, 14)="sensor_stream ", LEN($A24)&gt;14, NOT(ISNUMBER(SEARCH(" ", $A24, 15)))), AND(LEFT($A24, 17)="sensor_statistic ", LEN($A24)&gt;17, NOT(ISNUMBER(SEARCH(" ", $A24, 18)))))</formula>
    </cfRule>
  </conditionalFormatting>
  <conditionalFormatting sqref="B20:C20 D20:E20">
    <cfRule type="expression" dxfId="0" priority="4603" stopIfTrue="1">
      <formula>$A20="begin group"</formula>
    </cfRule>
  </conditionalFormatting>
  <conditionalFormatting sqref="B20:C20 D20:E20">
    <cfRule type="expression" dxfId="1" priority="4604" stopIfTrue="1">
      <formula>$A20="begin repeat"</formula>
    </cfRule>
  </conditionalFormatting>
  <conditionalFormatting sqref="B20:E20">
    <cfRule type="expression" dxfId="31" priority="4605" stopIfTrue="1">
      <formula>$A20="enumerator"</formula>
    </cfRule>
  </conditionalFormatting>
  <conditionalFormatting sqref="B20:E20">
    <cfRule type="expression" dxfId="2" priority="4606" stopIfTrue="1">
      <formula>$A20="text"</formula>
    </cfRule>
  </conditionalFormatting>
  <conditionalFormatting sqref="B20:E20">
    <cfRule type="expression" dxfId="3" priority="4607" stopIfTrue="1">
      <formula>$A20="integer"</formula>
    </cfRule>
  </conditionalFormatting>
  <conditionalFormatting sqref="B20:E20">
    <cfRule type="expression" dxfId="4" priority="4608" stopIfTrue="1">
      <formula>$A20="decimal"</formula>
    </cfRule>
  </conditionalFormatting>
  <conditionalFormatting sqref="B20:C20 D20:E20">
    <cfRule type="expression" dxfId="5" priority="4609" stopIfTrue="1">
      <formula>OR(AND(LEFT($A20, 16)="select_multiple ", LEN($A20)&gt;16, NOT(ISNUMBER(SEARCH(" ", $A20, 17)))), AND(LEFT($A20, 11)="select_one ", LEN($A20)&gt;11, NOT(ISNUMBER(SEARCH(" ", $A20, 12)))))</formula>
    </cfRule>
  </conditionalFormatting>
  <conditionalFormatting sqref="B20">
    <cfRule type="expression" dxfId="6" priority="4610" stopIfTrue="1">
      <formula>OR($A20="audio audit", $A20="text audit", $A20="speed violations count", $A20="speed violations list", $A20="speed violations audit")</formula>
    </cfRule>
  </conditionalFormatting>
  <conditionalFormatting sqref="B20:C20 D20:E20">
    <cfRule type="expression" dxfId="32" priority="4611" stopIfTrue="1">
      <formula>$A20="file"</formula>
    </cfRule>
  </conditionalFormatting>
  <conditionalFormatting sqref="B20:C20 D20:E20">
    <cfRule type="expression" dxfId="7" priority="4612" stopIfTrue="1">
      <formula>$A20="note"</formula>
    </cfRule>
  </conditionalFormatting>
  <conditionalFormatting sqref="B20:C20 D20:E20">
    <cfRule type="expression" dxfId="8" priority="4613" stopIfTrue="1">
      <formula>$A20="barcode"</formula>
    </cfRule>
  </conditionalFormatting>
  <conditionalFormatting sqref="B20:C20 D20:E20">
    <cfRule type="expression" dxfId="9" priority="4614" stopIfTrue="1">
      <formula>OR($A20="geopoint", $A20="geoshape", $A20="geotrace")</formula>
    </cfRule>
  </conditionalFormatting>
  <conditionalFormatting sqref="B20">
    <cfRule type="expression" dxfId="10" priority="4615" stopIfTrue="1">
      <formula>OR($A20="calculate", $A20="calculate_here")</formula>
    </cfRule>
  </conditionalFormatting>
  <conditionalFormatting sqref="B20:C20 D20:E20">
    <cfRule type="expression" dxfId="11" priority="4616" stopIfTrue="1">
      <formula>OR($A20="date", $A20="datetime", $A20="time")</formula>
    </cfRule>
  </conditionalFormatting>
  <conditionalFormatting sqref="B20:C20 D20:E20">
    <cfRule type="expression" dxfId="12" priority="4617" stopIfTrue="1">
      <formula>$A20="image"</formula>
    </cfRule>
  </conditionalFormatting>
  <conditionalFormatting sqref="B20:C20 D20:E20">
    <cfRule type="expression" dxfId="13" priority="4618" stopIfTrue="1">
      <formula>OR($A20="audio", $A20="video")</formula>
    </cfRule>
  </conditionalFormatting>
  <conditionalFormatting sqref="B20:E20">
    <cfRule type="expression" dxfId="33" priority="4619" stopIfTrue="1">
      <formula>$A20="file"</formula>
    </cfRule>
  </conditionalFormatting>
  <conditionalFormatting sqref="B20:E20">
    <cfRule type="expression" dxfId="34" priority="4620" stopIfTrue="1">
      <formula>$A20="enumerator"</formula>
    </cfRule>
  </conditionalFormatting>
  <conditionalFormatting sqref="B20:E20">
    <cfRule type="expression" dxfId="35" priority="4621" stopIfTrue="1">
      <formula>OR(AND(LEFT($A20, 14)="sensor_stream ", LEN($A20)&gt;14, NOT(ISNUMBER(SEARCH(" ", $A20, 15)))), AND(LEFT($A20, 17)="sensor_statistic ", LEN($A20)&gt;17, NOT(ISNUMBER(SEARCH(" ", $A20, 18)))))</formula>
    </cfRule>
  </conditionalFormatting>
  <conditionalFormatting sqref="B20:E20">
    <cfRule type="expression" dxfId="14" priority="4622" stopIfTrue="1">
      <formula>$A20="comments"</formula>
    </cfRule>
  </conditionalFormatting>
  <conditionalFormatting sqref="B20:E20">
    <cfRule type="expression" dxfId="15" priority="4623" stopIfTrue="1">
      <formula>OR($A20="audio", $A20="video")</formula>
    </cfRule>
  </conditionalFormatting>
  <conditionalFormatting sqref="B20:E20">
    <cfRule type="expression" dxfId="16" priority="4624" stopIfTrue="1">
      <formula>$A20="image"</formula>
    </cfRule>
  </conditionalFormatting>
  <conditionalFormatting sqref="B20:E20">
    <cfRule type="expression" dxfId="17" priority="4625" stopIfTrue="1">
      <formula>OR($A20="date", $A20="datetime", $A20="time")</formula>
    </cfRule>
  </conditionalFormatting>
  <conditionalFormatting sqref="B20:E20">
    <cfRule type="expression" dxfId="18" priority="4626" stopIfTrue="1">
      <formula>OR($A20="calculate", $A20="calculate_here")</formula>
    </cfRule>
  </conditionalFormatting>
  <conditionalFormatting sqref="B20:E20">
    <cfRule type="expression" dxfId="19" priority="4627" stopIfTrue="1">
      <formula>$A20="note"</formula>
    </cfRule>
  </conditionalFormatting>
  <conditionalFormatting sqref="B20:E20">
    <cfRule type="expression" dxfId="20" priority="4628" stopIfTrue="1">
      <formula>$A20="barcode"</formula>
    </cfRule>
  </conditionalFormatting>
  <conditionalFormatting sqref="B20:E20">
    <cfRule type="expression" dxfId="21" priority="4629" stopIfTrue="1">
      <formula>OR($A20="geopoint", $A20="geoshape", $A20="geotrace")</formula>
    </cfRule>
  </conditionalFormatting>
  <conditionalFormatting sqref="B20:E20">
    <cfRule type="expression" dxfId="22" priority="4630" stopIfTrue="1">
      <formula>OR($A20="audio audit", $A20="text audit", $A20="speed violations count", $A20="speed violations list", $A20="speed violations audit")</formula>
    </cfRule>
  </conditionalFormatting>
  <conditionalFormatting sqref="B20:E20">
    <cfRule type="expression" dxfId="23" priority="4631" stopIfTrue="1">
      <formula>OR($A20="username", $A20="phonenumber", $A20="start", $A20="end", $A20="deviceid", $A20="subscriberid", $A20="simserial", $A20="caseid")</formula>
    </cfRule>
  </conditionalFormatting>
  <conditionalFormatting sqref="B20:E20">
    <cfRule type="expression" dxfId="24" priority="4632" stopIfTrue="1">
      <formula>OR(AND(LEFT($A20, 16)="select_multiple ", LEN($A20)&gt;16, NOT(ISNUMBER(SEARCH(" ", $A20, 17)))), AND(LEFT($A20, 11)="select_one ", LEN($A20)&gt;11, NOT(ISNUMBER(SEARCH(" ", $A20, 12)))))</formula>
    </cfRule>
  </conditionalFormatting>
  <conditionalFormatting sqref="B20:E20">
    <cfRule type="expression" dxfId="25" priority="4633" stopIfTrue="1">
      <formula>$A20="decimal"</formula>
    </cfRule>
  </conditionalFormatting>
  <conditionalFormatting sqref="B20:E20">
    <cfRule type="expression" dxfId="26" priority="4634" stopIfTrue="1">
      <formula>$A20="integer"</formula>
    </cfRule>
  </conditionalFormatting>
  <conditionalFormatting sqref="B20:E20">
    <cfRule type="expression" dxfId="27" priority="4635" stopIfTrue="1">
      <formula>$A20="text"</formula>
    </cfRule>
  </conditionalFormatting>
  <conditionalFormatting sqref="B20:E20">
    <cfRule type="expression" dxfId="28" priority="4636" stopIfTrue="1">
      <formula>$A20="end repeat"</formula>
    </cfRule>
  </conditionalFormatting>
  <conditionalFormatting sqref="B20:E20">
    <cfRule type="expression" dxfId="28" priority="4637" stopIfTrue="1">
      <formula>$A20="begin repeat"</formula>
    </cfRule>
  </conditionalFormatting>
  <conditionalFormatting sqref="B20:E20">
    <cfRule type="expression" dxfId="29" priority="4638" stopIfTrue="1">
      <formula>$A20="end group"</formula>
    </cfRule>
  </conditionalFormatting>
  <conditionalFormatting sqref="B20:E20">
    <cfRule type="expression" dxfId="29" priority="4639" stopIfTrue="1">
      <formula>$A20="begin group"</formula>
    </cfRule>
  </conditionalFormatting>
  <conditionalFormatting sqref="B20">
    <cfRule type="expression" dxfId="30" priority="4640" stopIfTrue="1">
      <formula>$A20="comments"</formula>
    </cfRule>
  </conditionalFormatting>
  <conditionalFormatting sqref="B20">
    <cfRule type="expression" dxfId="36" priority="4641" stopIfTrue="1">
      <formula>OR(AND(LEFT($A20, 14)="sensor_stream ", LEN($A20)&gt;14, NOT(ISNUMBER(SEARCH(" ", $A20, 15)))), AND(LEFT($A20, 17)="sensor_statistic ", LEN($A20)&gt;17, NOT(ISNUMBER(SEARCH(" ", $A20, 18)))))</formula>
    </cfRule>
  </conditionalFormatting>
  <conditionalFormatting sqref="B18:C18 D18:E18">
    <cfRule type="expression" dxfId="0" priority="4642" stopIfTrue="1">
      <formula>$A18="begin group"</formula>
    </cfRule>
  </conditionalFormatting>
  <conditionalFormatting sqref="B18:C18 D18:E18">
    <cfRule type="expression" dxfId="1" priority="4643" stopIfTrue="1">
      <formula>$A18="begin repeat"</formula>
    </cfRule>
  </conditionalFormatting>
  <conditionalFormatting sqref="B18:E18">
    <cfRule type="expression" dxfId="31" priority="4644" stopIfTrue="1">
      <formula>$A18="enumerator"</formula>
    </cfRule>
  </conditionalFormatting>
  <conditionalFormatting sqref="B18:E18">
    <cfRule type="expression" dxfId="2" priority="4645" stopIfTrue="1">
      <formula>$A18="text"</formula>
    </cfRule>
  </conditionalFormatting>
  <conditionalFormatting sqref="B18:E18">
    <cfRule type="expression" dxfId="3" priority="4646" stopIfTrue="1">
      <formula>$A18="integer"</formula>
    </cfRule>
  </conditionalFormatting>
  <conditionalFormatting sqref="B18:E18">
    <cfRule type="expression" dxfId="4" priority="4647" stopIfTrue="1">
      <formula>$A18="decimal"</formula>
    </cfRule>
  </conditionalFormatting>
  <conditionalFormatting sqref="B18:C18 D18:E18">
    <cfRule type="expression" dxfId="5" priority="4648" stopIfTrue="1">
      <formula>OR(AND(LEFT($A18, 16)="select_multiple ", LEN($A18)&gt;16, NOT(ISNUMBER(SEARCH(" ", $A18, 17)))), AND(LEFT($A18, 11)="select_one ", LEN($A18)&gt;11, NOT(ISNUMBER(SEARCH(" ", $A18, 12)))))</formula>
    </cfRule>
  </conditionalFormatting>
  <conditionalFormatting sqref="B18">
    <cfRule type="expression" dxfId="6" priority="4649" stopIfTrue="1">
      <formula>OR($A18="audio audit", $A18="text audit", $A18="speed violations count", $A18="speed violations list", $A18="speed violations audit")</formula>
    </cfRule>
  </conditionalFormatting>
  <conditionalFormatting sqref="B18:C18 D18:E18">
    <cfRule type="expression" dxfId="32" priority="4650" stopIfTrue="1">
      <formula>$A18="file"</formula>
    </cfRule>
  </conditionalFormatting>
  <conditionalFormatting sqref="B18:C18 D18:E18">
    <cfRule type="expression" dxfId="7" priority="4651" stopIfTrue="1">
      <formula>$A18="note"</formula>
    </cfRule>
  </conditionalFormatting>
  <conditionalFormatting sqref="B18:C18 D18:E18">
    <cfRule type="expression" dxfId="8" priority="4652" stopIfTrue="1">
      <formula>$A18="barcode"</formula>
    </cfRule>
  </conditionalFormatting>
  <conditionalFormatting sqref="B18:C18 D18:E18">
    <cfRule type="expression" dxfId="9" priority="4653" stopIfTrue="1">
      <formula>OR($A18="geopoint", $A18="geoshape", $A18="geotrace")</formula>
    </cfRule>
  </conditionalFormatting>
  <conditionalFormatting sqref="B18">
    <cfRule type="expression" dxfId="10" priority="4654" stopIfTrue="1">
      <formula>OR($A18="calculate", $A18="calculate_here")</formula>
    </cfRule>
  </conditionalFormatting>
  <conditionalFormatting sqref="B18:C18 D18:E18">
    <cfRule type="expression" dxfId="11" priority="4655" stopIfTrue="1">
      <formula>OR($A18="date", $A18="datetime", $A18="time")</formula>
    </cfRule>
  </conditionalFormatting>
  <conditionalFormatting sqref="B18:C18 D18:E18">
    <cfRule type="expression" dxfId="12" priority="4656" stopIfTrue="1">
      <formula>$A18="image"</formula>
    </cfRule>
  </conditionalFormatting>
  <conditionalFormatting sqref="B18:C18 D18:E18">
    <cfRule type="expression" dxfId="13" priority="4657" stopIfTrue="1">
      <formula>OR($A18="audio", $A18="video")</formula>
    </cfRule>
  </conditionalFormatting>
  <conditionalFormatting sqref="B18:E18">
    <cfRule type="expression" dxfId="33" priority="4658" stopIfTrue="1">
      <formula>$A18="file"</formula>
    </cfRule>
  </conditionalFormatting>
  <conditionalFormatting sqref="B18:E18">
    <cfRule type="expression" dxfId="34" priority="4659" stopIfTrue="1">
      <formula>$A18="enumerator"</formula>
    </cfRule>
  </conditionalFormatting>
  <conditionalFormatting sqref="B18:E18">
    <cfRule type="expression" dxfId="35" priority="4660" stopIfTrue="1">
      <formula>OR(AND(LEFT($A18, 14)="sensor_stream ", LEN($A18)&gt;14, NOT(ISNUMBER(SEARCH(" ", $A18, 15)))), AND(LEFT($A18, 17)="sensor_statistic ", LEN($A18)&gt;17, NOT(ISNUMBER(SEARCH(" ", $A18, 18)))))</formula>
    </cfRule>
  </conditionalFormatting>
  <conditionalFormatting sqref="B18:E18">
    <cfRule type="expression" dxfId="14" priority="4661" stopIfTrue="1">
      <formula>$A18="comments"</formula>
    </cfRule>
  </conditionalFormatting>
  <conditionalFormatting sqref="B18:E18">
    <cfRule type="expression" dxfId="15" priority="4662" stopIfTrue="1">
      <formula>OR($A18="audio", $A18="video")</formula>
    </cfRule>
  </conditionalFormatting>
  <conditionalFormatting sqref="B18:E18">
    <cfRule type="expression" dxfId="16" priority="4663" stopIfTrue="1">
      <formula>$A18="image"</formula>
    </cfRule>
  </conditionalFormatting>
  <conditionalFormatting sqref="B18:E18">
    <cfRule type="expression" dxfId="17" priority="4664" stopIfTrue="1">
      <formula>OR($A18="date", $A18="datetime", $A18="time")</formula>
    </cfRule>
  </conditionalFormatting>
  <conditionalFormatting sqref="B18:E18">
    <cfRule type="expression" dxfId="18" priority="4665" stopIfTrue="1">
      <formula>OR($A18="calculate", $A18="calculate_here")</formula>
    </cfRule>
  </conditionalFormatting>
  <conditionalFormatting sqref="B18:E18">
    <cfRule type="expression" dxfId="19" priority="4666" stopIfTrue="1">
      <formula>$A18="note"</formula>
    </cfRule>
  </conditionalFormatting>
  <conditionalFormatting sqref="B18:E18">
    <cfRule type="expression" dxfId="20" priority="4667" stopIfTrue="1">
      <formula>$A18="barcode"</formula>
    </cfRule>
  </conditionalFormatting>
  <conditionalFormatting sqref="B18:E18">
    <cfRule type="expression" dxfId="21" priority="4668" stopIfTrue="1">
      <formula>OR($A18="geopoint", $A18="geoshape", $A18="geotrace")</formula>
    </cfRule>
  </conditionalFormatting>
  <conditionalFormatting sqref="B18:E18">
    <cfRule type="expression" dxfId="22" priority="4669" stopIfTrue="1">
      <formula>OR($A18="audio audit", $A18="text audit", $A18="speed violations count", $A18="speed violations list", $A18="speed violations audit")</formula>
    </cfRule>
  </conditionalFormatting>
  <conditionalFormatting sqref="B18:E18">
    <cfRule type="expression" dxfId="23" priority="4670" stopIfTrue="1">
      <formula>OR($A18="username", $A18="phonenumber", $A18="start", $A18="end", $A18="deviceid", $A18="subscriberid", $A18="simserial", $A18="caseid")</formula>
    </cfRule>
  </conditionalFormatting>
  <conditionalFormatting sqref="B18:E18">
    <cfRule type="expression" dxfId="24" priority="4671" stopIfTrue="1">
      <formula>OR(AND(LEFT($A18, 16)="select_multiple ", LEN($A18)&gt;16, NOT(ISNUMBER(SEARCH(" ", $A18, 17)))), AND(LEFT($A18, 11)="select_one ", LEN($A18)&gt;11, NOT(ISNUMBER(SEARCH(" ", $A18, 12)))))</formula>
    </cfRule>
  </conditionalFormatting>
  <conditionalFormatting sqref="B18:E18">
    <cfRule type="expression" dxfId="25" priority="4672" stopIfTrue="1">
      <formula>$A18="decimal"</formula>
    </cfRule>
  </conditionalFormatting>
  <conditionalFormatting sqref="B18:E18">
    <cfRule type="expression" dxfId="26" priority="4673" stopIfTrue="1">
      <formula>$A18="integer"</formula>
    </cfRule>
  </conditionalFormatting>
  <conditionalFormatting sqref="B18:E18">
    <cfRule type="expression" dxfId="27" priority="4674" stopIfTrue="1">
      <formula>$A18="text"</formula>
    </cfRule>
  </conditionalFormatting>
  <conditionalFormatting sqref="B18:E18">
    <cfRule type="expression" dxfId="28" priority="4675" stopIfTrue="1">
      <formula>$A18="end repeat"</formula>
    </cfRule>
  </conditionalFormatting>
  <conditionalFormatting sqref="B18:E18">
    <cfRule type="expression" dxfId="28" priority="4676" stopIfTrue="1">
      <formula>$A18="begin repeat"</formula>
    </cfRule>
  </conditionalFormatting>
  <conditionalFormatting sqref="B18:E18">
    <cfRule type="expression" dxfId="29" priority="4677" stopIfTrue="1">
      <formula>$A18="end group"</formula>
    </cfRule>
  </conditionalFormatting>
  <conditionalFormatting sqref="B18:E18">
    <cfRule type="expression" dxfId="29" priority="4678" stopIfTrue="1">
      <formula>$A18="begin group"</formula>
    </cfRule>
  </conditionalFormatting>
  <conditionalFormatting sqref="B18">
    <cfRule type="expression" dxfId="30" priority="4679" stopIfTrue="1">
      <formula>$A18="comments"</formula>
    </cfRule>
  </conditionalFormatting>
  <conditionalFormatting sqref="B18">
    <cfRule type="expression" dxfId="36" priority="4680" stopIfTrue="1">
      <formula>OR(AND(LEFT($A18, 14)="sensor_stream ", LEN($A18)&gt;14, NOT(ISNUMBER(SEARCH(" ", $A18, 15)))), AND(LEFT($A18, 17)="sensor_statistic ", LEN($A18)&gt;17, NOT(ISNUMBER(SEARCH(" ", $A18, 18)))))</formula>
    </cfRule>
  </conditionalFormatting>
  <conditionalFormatting sqref="B14:C16 D16:E16">
    <cfRule type="expression" dxfId="0" priority="4681" stopIfTrue="1">
      <formula>$A14="begin group"</formula>
    </cfRule>
  </conditionalFormatting>
  <conditionalFormatting sqref="B14:C16 D16:E16">
    <cfRule type="expression" dxfId="1" priority="4682" stopIfTrue="1">
      <formula>$A14="begin repeat"</formula>
    </cfRule>
  </conditionalFormatting>
  <conditionalFormatting sqref="B14:E16">
    <cfRule type="expression" dxfId="31" priority="4683" stopIfTrue="1">
      <formula>$A14="enumerator"</formula>
    </cfRule>
  </conditionalFormatting>
  <conditionalFormatting sqref="B14:E16">
    <cfRule type="expression" dxfId="2" priority="4684" stopIfTrue="1">
      <formula>$A14="text"</formula>
    </cfRule>
  </conditionalFormatting>
  <conditionalFormatting sqref="B14:E16">
    <cfRule type="expression" dxfId="3" priority="4685" stopIfTrue="1">
      <formula>$A14="integer"</formula>
    </cfRule>
  </conditionalFormatting>
  <conditionalFormatting sqref="B14:E16">
    <cfRule type="expression" dxfId="4" priority="4686" stopIfTrue="1">
      <formula>$A14="decimal"</formula>
    </cfRule>
  </conditionalFormatting>
  <conditionalFormatting sqref="B14:C16 D16:E16">
    <cfRule type="expression" dxfId="5" priority="4687" stopIfTrue="1">
      <formula>OR(AND(LEFT($A14, 16)="select_multiple ", LEN($A14)&gt;16, NOT(ISNUMBER(SEARCH(" ", $A14, 17)))), AND(LEFT($A14, 11)="select_one ", LEN($A14)&gt;11, NOT(ISNUMBER(SEARCH(" ", $A14, 12)))))</formula>
    </cfRule>
  </conditionalFormatting>
  <conditionalFormatting sqref="B14:B16">
    <cfRule type="expression" dxfId="6" priority="4688" stopIfTrue="1">
      <formula>OR($A14="audio audit", $A14="text audit", $A14="speed violations count", $A14="speed violations list", $A14="speed violations audit")</formula>
    </cfRule>
  </conditionalFormatting>
  <conditionalFormatting sqref="B14:C16 D16:E16">
    <cfRule type="expression" dxfId="32" priority="4689" stopIfTrue="1">
      <formula>$A14="file"</formula>
    </cfRule>
  </conditionalFormatting>
  <conditionalFormatting sqref="B14:C16 D16:E16">
    <cfRule type="expression" dxfId="7" priority="4690" stopIfTrue="1">
      <formula>$A14="note"</formula>
    </cfRule>
  </conditionalFormatting>
  <conditionalFormatting sqref="B14:C16 D16:E16">
    <cfRule type="expression" dxfId="8" priority="4691" stopIfTrue="1">
      <formula>$A14="barcode"</formula>
    </cfRule>
  </conditionalFormatting>
  <conditionalFormatting sqref="B14:C16 D16:E16">
    <cfRule type="expression" dxfId="9" priority="4692" stopIfTrue="1">
      <formula>OR($A14="geopoint", $A14="geoshape", $A14="geotrace")</formula>
    </cfRule>
  </conditionalFormatting>
  <conditionalFormatting sqref="B14:B16">
    <cfRule type="expression" dxfId="10" priority="4693" stopIfTrue="1">
      <formula>OR($A14="calculate", $A14="calculate_here")</formula>
    </cfRule>
  </conditionalFormatting>
  <conditionalFormatting sqref="B14:C16 D16:E16">
    <cfRule type="expression" dxfId="11" priority="4694" stopIfTrue="1">
      <formula>OR($A14="date", $A14="datetime", $A14="time")</formula>
    </cfRule>
  </conditionalFormatting>
  <conditionalFormatting sqref="B14:C16 D16:E16">
    <cfRule type="expression" dxfId="12" priority="4695" stopIfTrue="1">
      <formula>$A14="image"</formula>
    </cfRule>
  </conditionalFormatting>
  <conditionalFormatting sqref="B14:C16 D16:E16">
    <cfRule type="expression" dxfId="13" priority="4696" stopIfTrue="1">
      <formula>OR($A14="audio", $A14="video")</formula>
    </cfRule>
  </conditionalFormatting>
  <conditionalFormatting sqref="B14:E16">
    <cfRule type="expression" dxfId="33" priority="4697" stopIfTrue="1">
      <formula>$A14="file"</formula>
    </cfRule>
  </conditionalFormatting>
  <conditionalFormatting sqref="B14:E16">
    <cfRule type="expression" dxfId="34" priority="4698" stopIfTrue="1">
      <formula>$A14="enumerator"</formula>
    </cfRule>
  </conditionalFormatting>
  <conditionalFormatting sqref="B14:E16">
    <cfRule type="expression" dxfId="35" priority="4699" stopIfTrue="1">
      <formula>OR(AND(LEFT($A14, 14)="sensor_stream ", LEN($A14)&gt;14, NOT(ISNUMBER(SEARCH(" ", $A14, 15)))), AND(LEFT($A14, 17)="sensor_statistic ", LEN($A14)&gt;17, NOT(ISNUMBER(SEARCH(" ", $A14, 18)))))</formula>
    </cfRule>
  </conditionalFormatting>
  <conditionalFormatting sqref="B14:E16">
    <cfRule type="expression" dxfId="14" priority="4700" stopIfTrue="1">
      <formula>$A14="comments"</formula>
    </cfRule>
  </conditionalFormatting>
  <conditionalFormatting sqref="B14:E16">
    <cfRule type="expression" dxfId="15" priority="4701" stopIfTrue="1">
      <formula>OR($A14="audio", $A14="video")</formula>
    </cfRule>
  </conditionalFormatting>
  <conditionalFormatting sqref="B14:E16">
    <cfRule type="expression" dxfId="16" priority="4702" stopIfTrue="1">
      <formula>$A14="image"</formula>
    </cfRule>
  </conditionalFormatting>
  <conditionalFormatting sqref="B14:E16">
    <cfRule type="expression" dxfId="17" priority="4703" stopIfTrue="1">
      <formula>OR($A14="date", $A14="datetime", $A14="time")</formula>
    </cfRule>
  </conditionalFormatting>
  <conditionalFormatting sqref="B14:E16">
    <cfRule type="expression" dxfId="18" priority="4704" stopIfTrue="1">
      <formula>OR($A14="calculate", $A14="calculate_here")</formula>
    </cfRule>
  </conditionalFormatting>
  <conditionalFormatting sqref="B14:E16">
    <cfRule type="expression" dxfId="19" priority="4705" stopIfTrue="1">
      <formula>$A14="note"</formula>
    </cfRule>
  </conditionalFormatting>
  <conditionalFormatting sqref="B14:E16">
    <cfRule type="expression" dxfId="20" priority="4706" stopIfTrue="1">
      <formula>$A14="barcode"</formula>
    </cfRule>
  </conditionalFormatting>
  <conditionalFormatting sqref="B14:E16">
    <cfRule type="expression" dxfId="21" priority="4707" stopIfTrue="1">
      <formula>OR($A14="geopoint", $A14="geoshape", $A14="geotrace")</formula>
    </cfRule>
  </conditionalFormatting>
  <conditionalFormatting sqref="B14:E16">
    <cfRule type="expression" dxfId="22" priority="4708" stopIfTrue="1">
      <formula>OR($A14="audio audit", $A14="text audit", $A14="speed violations count", $A14="speed violations list", $A14="speed violations audit")</formula>
    </cfRule>
  </conditionalFormatting>
  <conditionalFormatting sqref="B14:E16">
    <cfRule type="expression" dxfId="23" priority="4709" stopIfTrue="1">
      <formula>OR($A14="username", $A14="phonenumber", $A14="start", $A14="end", $A14="deviceid", $A14="subscriberid", $A14="simserial", $A14="caseid")</formula>
    </cfRule>
  </conditionalFormatting>
  <conditionalFormatting sqref="B14:E16">
    <cfRule type="expression" dxfId="24" priority="4710" stopIfTrue="1">
      <formula>OR(AND(LEFT($A14, 16)="select_multiple ", LEN($A14)&gt;16, NOT(ISNUMBER(SEARCH(" ", $A14, 17)))), AND(LEFT($A14, 11)="select_one ", LEN($A14)&gt;11, NOT(ISNUMBER(SEARCH(" ", $A14, 12)))))</formula>
    </cfRule>
  </conditionalFormatting>
  <conditionalFormatting sqref="B14:E16">
    <cfRule type="expression" dxfId="25" priority="4711" stopIfTrue="1">
      <formula>$A14="decimal"</formula>
    </cfRule>
  </conditionalFormatting>
  <conditionalFormatting sqref="B14:E16">
    <cfRule type="expression" dxfId="26" priority="4712" stopIfTrue="1">
      <formula>$A14="integer"</formula>
    </cfRule>
  </conditionalFormatting>
  <conditionalFormatting sqref="B14:E16">
    <cfRule type="expression" dxfId="27" priority="4713" stopIfTrue="1">
      <formula>$A14="text"</formula>
    </cfRule>
  </conditionalFormatting>
  <conditionalFormatting sqref="B14:E16">
    <cfRule type="expression" dxfId="28" priority="4714" stopIfTrue="1">
      <formula>$A14="end repeat"</formula>
    </cfRule>
  </conditionalFormatting>
  <conditionalFormatting sqref="B14:E16">
    <cfRule type="expression" dxfId="28" priority="4715" stopIfTrue="1">
      <formula>$A14="begin repeat"</formula>
    </cfRule>
  </conditionalFormatting>
  <conditionalFormatting sqref="B14:E16">
    <cfRule type="expression" dxfId="29" priority="4716" stopIfTrue="1">
      <formula>$A14="end group"</formula>
    </cfRule>
  </conditionalFormatting>
  <conditionalFormatting sqref="B14:E16">
    <cfRule type="expression" dxfId="29" priority="4717" stopIfTrue="1">
      <formula>$A14="begin group"</formula>
    </cfRule>
  </conditionalFormatting>
  <conditionalFormatting sqref="B14:B16">
    <cfRule type="expression" dxfId="30" priority="4718" stopIfTrue="1">
      <formula>$A14="comments"</formula>
    </cfRule>
  </conditionalFormatting>
  <conditionalFormatting sqref="B14:B16">
    <cfRule type="expression" dxfId="36" priority="4719" stopIfTrue="1">
      <formula>OR(AND(LEFT($A14, 14)="sensor_stream ", LEN($A14)&gt;14, NOT(ISNUMBER(SEARCH(" ", $A14, 15)))), AND(LEFT($A14, 17)="sensor_statistic ", LEN($A14)&gt;17, NOT(ISNUMBER(SEARCH(" ", $A14, 18)))))</formula>
    </cfRule>
  </conditionalFormatting>
  <conditionalFormatting sqref="B10:C10">
    <cfRule type="expression" dxfId="0" priority="4720" stopIfTrue="1">
      <formula>$A10="begin group"</formula>
    </cfRule>
  </conditionalFormatting>
  <conditionalFormatting sqref="B10:C10">
    <cfRule type="expression" dxfId="1" priority="4721" stopIfTrue="1">
      <formula>$A10="begin repeat"</formula>
    </cfRule>
  </conditionalFormatting>
  <conditionalFormatting sqref="B10:E10">
    <cfRule type="expression" dxfId="31" priority="4722" stopIfTrue="1">
      <formula>$A10="enumerator"</formula>
    </cfRule>
  </conditionalFormatting>
  <conditionalFormatting sqref="B10:E10">
    <cfRule type="expression" dxfId="2" priority="4723" stopIfTrue="1">
      <formula>$A10="text"</formula>
    </cfRule>
  </conditionalFormatting>
  <conditionalFormatting sqref="B10:E10">
    <cfRule type="expression" dxfId="3" priority="4724" stopIfTrue="1">
      <formula>$A10="integer"</formula>
    </cfRule>
  </conditionalFormatting>
  <conditionalFormatting sqref="B10:E10">
    <cfRule type="expression" dxfId="4" priority="4725" stopIfTrue="1">
      <formula>$A10="decimal"</formula>
    </cfRule>
  </conditionalFormatting>
  <conditionalFormatting sqref="B10:C10">
    <cfRule type="expression" dxfId="5" priority="4726" stopIfTrue="1">
      <formula>OR(AND(LEFT($A10, 16)="select_multiple ", LEN($A10)&gt;16, NOT(ISNUMBER(SEARCH(" ", $A10, 17)))), AND(LEFT($A10, 11)="select_one ", LEN($A10)&gt;11, NOT(ISNUMBER(SEARCH(" ", $A10, 12)))))</formula>
    </cfRule>
  </conditionalFormatting>
  <conditionalFormatting sqref="B10">
    <cfRule type="expression" dxfId="6" priority="4727" stopIfTrue="1">
      <formula>OR($A10="audio audit", $A10="text audit", $A10="speed violations count", $A10="speed violations list", $A10="speed violations audit")</formula>
    </cfRule>
  </conditionalFormatting>
  <conditionalFormatting sqref="B10:C10">
    <cfRule type="expression" dxfId="32" priority="4728" stopIfTrue="1">
      <formula>$A10="file"</formula>
    </cfRule>
  </conditionalFormatting>
  <conditionalFormatting sqref="B10:C10">
    <cfRule type="expression" dxfId="7" priority="4729" stopIfTrue="1">
      <formula>$A10="note"</formula>
    </cfRule>
  </conditionalFormatting>
  <conditionalFormatting sqref="B10:C10">
    <cfRule type="expression" dxfId="8" priority="4730" stopIfTrue="1">
      <formula>$A10="barcode"</formula>
    </cfRule>
  </conditionalFormatting>
  <conditionalFormatting sqref="B10:C10">
    <cfRule type="expression" dxfId="9" priority="4731" stopIfTrue="1">
      <formula>OR($A10="geopoint", $A10="geoshape", $A10="geotrace")</formula>
    </cfRule>
  </conditionalFormatting>
  <conditionalFormatting sqref="B10">
    <cfRule type="expression" dxfId="10" priority="4732" stopIfTrue="1">
      <formula>OR($A10="calculate", $A10="calculate_here")</formula>
    </cfRule>
  </conditionalFormatting>
  <conditionalFormatting sqref="B10:C10">
    <cfRule type="expression" dxfId="11" priority="4733" stopIfTrue="1">
      <formula>OR($A10="date", $A10="datetime", $A10="time")</formula>
    </cfRule>
  </conditionalFormatting>
  <conditionalFormatting sqref="B10:C10">
    <cfRule type="expression" dxfId="12" priority="4734" stopIfTrue="1">
      <formula>$A10="image"</formula>
    </cfRule>
  </conditionalFormatting>
  <conditionalFormatting sqref="B10:C10">
    <cfRule type="expression" dxfId="13" priority="4735" stopIfTrue="1">
      <formula>OR($A10="audio", $A10="video")</formula>
    </cfRule>
  </conditionalFormatting>
  <conditionalFormatting sqref="B10:E10">
    <cfRule type="expression" dxfId="33" priority="4736" stopIfTrue="1">
      <formula>$A10="file"</formula>
    </cfRule>
  </conditionalFormatting>
  <conditionalFormatting sqref="B10:E10">
    <cfRule type="expression" dxfId="34" priority="4737" stopIfTrue="1">
      <formula>$A10="enumerator"</formula>
    </cfRule>
  </conditionalFormatting>
  <conditionalFormatting sqref="B10:E10">
    <cfRule type="expression" dxfId="35" priority="4738" stopIfTrue="1">
      <formula>OR(AND(LEFT($A10, 14)="sensor_stream ", LEN($A10)&gt;14, NOT(ISNUMBER(SEARCH(" ", $A10, 15)))), AND(LEFT($A10, 17)="sensor_statistic ", LEN($A10)&gt;17, NOT(ISNUMBER(SEARCH(" ", $A10, 18)))))</formula>
    </cfRule>
  </conditionalFormatting>
  <conditionalFormatting sqref="B10:E10">
    <cfRule type="expression" dxfId="14" priority="4739" stopIfTrue="1">
      <formula>$A10="comments"</formula>
    </cfRule>
  </conditionalFormatting>
  <conditionalFormatting sqref="B10:E10">
    <cfRule type="expression" dxfId="15" priority="4740" stopIfTrue="1">
      <formula>OR($A10="audio", $A10="video")</formula>
    </cfRule>
  </conditionalFormatting>
  <conditionalFormatting sqref="B10:E10">
    <cfRule type="expression" dxfId="16" priority="4741" stopIfTrue="1">
      <formula>$A10="image"</formula>
    </cfRule>
  </conditionalFormatting>
  <conditionalFormatting sqref="B10:E10">
    <cfRule type="expression" dxfId="17" priority="4742" stopIfTrue="1">
      <formula>OR($A10="date", $A10="datetime", $A10="time")</formula>
    </cfRule>
  </conditionalFormatting>
  <conditionalFormatting sqref="B10:E10">
    <cfRule type="expression" dxfId="18" priority="4743" stopIfTrue="1">
      <formula>OR($A10="calculate", $A10="calculate_here")</formula>
    </cfRule>
  </conditionalFormatting>
  <conditionalFormatting sqref="B10:E10">
    <cfRule type="expression" dxfId="19" priority="4744" stopIfTrue="1">
      <formula>$A10="note"</formula>
    </cfRule>
  </conditionalFormatting>
  <conditionalFormatting sqref="B10:E10">
    <cfRule type="expression" dxfId="20" priority="4745" stopIfTrue="1">
      <formula>$A10="barcode"</formula>
    </cfRule>
  </conditionalFormatting>
  <conditionalFormatting sqref="B10:E10">
    <cfRule type="expression" dxfId="21" priority="4746" stopIfTrue="1">
      <formula>OR($A10="geopoint", $A10="geoshape", $A10="geotrace")</formula>
    </cfRule>
  </conditionalFormatting>
  <conditionalFormatting sqref="B10:E10">
    <cfRule type="expression" dxfId="22" priority="4747" stopIfTrue="1">
      <formula>OR($A10="audio audit", $A10="text audit", $A10="speed violations count", $A10="speed violations list", $A10="speed violations audit")</formula>
    </cfRule>
  </conditionalFormatting>
  <conditionalFormatting sqref="B10:E10">
    <cfRule type="expression" dxfId="23" priority="4748" stopIfTrue="1">
      <formula>OR($A10="username", $A10="phonenumber", $A10="start", $A10="end", $A10="deviceid", $A10="subscriberid", $A10="simserial", $A10="caseid")</formula>
    </cfRule>
  </conditionalFormatting>
  <conditionalFormatting sqref="B10:E10">
    <cfRule type="expression" dxfId="24" priority="4749" stopIfTrue="1">
      <formula>OR(AND(LEFT($A10, 16)="select_multiple ", LEN($A10)&gt;16, NOT(ISNUMBER(SEARCH(" ", $A10, 17)))), AND(LEFT($A10, 11)="select_one ", LEN($A10)&gt;11, NOT(ISNUMBER(SEARCH(" ", $A10, 12)))))</formula>
    </cfRule>
  </conditionalFormatting>
  <conditionalFormatting sqref="B10:E10">
    <cfRule type="expression" dxfId="25" priority="4750" stopIfTrue="1">
      <formula>$A10="decimal"</formula>
    </cfRule>
  </conditionalFormatting>
  <conditionalFormatting sqref="B10:E10">
    <cfRule type="expression" dxfId="26" priority="4751" stopIfTrue="1">
      <formula>$A10="integer"</formula>
    </cfRule>
  </conditionalFormatting>
  <conditionalFormatting sqref="B10:E10">
    <cfRule type="expression" dxfId="27" priority="4752" stopIfTrue="1">
      <formula>$A10="text"</formula>
    </cfRule>
  </conditionalFormatting>
  <conditionalFormatting sqref="B10:E10">
    <cfRule type="expression" dxfId="28" priority="4753" stopIfTrue="1">
      <formula>$A10="end repeat"</formula>
    </cfRule>
  </conditionalFormatting>
  <conditionalFormatting sqref="B10:E10">
    <cfRule type="expression" dxfId="28" priority="4754" stopIfTrue="1">
      <formula>$A10="begin repeat"</formula>
    </cfRule>
  </conditionalFormatting>
  <conditionalFormatting sqref="B10:E10">
    <cfRule type="expression" dxfId="29" priority="4755" stopIfTrue="1">
      <formula>$A10="end group"</formula>
    </cfRule>
  </conditionalFormatting>
  <conditionalFormatting sqref="B10:E10">
    <cfRule type="expression" dxfId="29" priority="4756" stopIfTrue="1">
      <formula>$A10="begin group"</formula>
    </cfRule>
  </conditionalFormatting>
  <conditionalFormatting sqref="B10">
    <cfRule type="expression" dxfId="30" priority="4757" stopIfTrue="1">
      <formula>$A10="comments"</formula>
    </cfRule>
  </conditionalFormatting>
  <conditionalFormatting sqref="B10">
    <cfRule type="expression" dxfId="36" priority="4758" stopIfTrue="1">
      <formula>OR(AND(LEFT($A10, 14)="sensor_stream ", LEN($A10)&gt;14, NOT(ISNUMBER(SEARCH(" ", $A10, 15)))), AND(LEFT($A10, 17)="sensor_statistic ", LEN($A10)&gt;17, NOT(ISNUMBER(SEARCH(" ", $A10, 18)))))</formula>
    </cfRule>
  </conditionalFormatting>
  <conditionalFormatting sqref="B1:C1">
    <cfRule type="expression" dxfId="0" priority="4759" stopIfTrue="1">
      <formula>$A1="begin group"</formula>
    </cfRule>
  </conditionalFormatting>
  <conditionalFormatting sqref="B1:C1">
    <cfRule type="expression" dxfId="1" priority="4760" stopIfTrue="1">
      <formula>$A1="begin repeat"</formula>
    </cfRule>
  </conditionalFormatting>
  <conditionalFormatting sqref="B1:E1">
    <cfRule type="expression" dxfId="31" priority="4761" stopIfTrue="1">
      <formula>$A1="enumerator"</formula>
    </cfRule>
  </conditionalFormatting>
  <conditionalFormatting sqref="B1:E1">
    <cfRule type="expression" dxfId="2" priority="4762" stopIfTrue="1">
      <formula>$A1="text"</formula>
    </cfRule>
  </conditionalFormatting>
  <conditionalFormatting sqref="B1:E1">
    <cfRule type="expression" dxfId="3" priority="4763" stopIfTrue="1">
      <formula>$A1="integer"</formula>
    </cfRule>
  </conditionalFormatting>
  <conditionalFormatting sqref="B1:E1">
    <cfRule type="expression" dxfId="4" priority="4764" stopIfTrue="1">
      <formula>$A1="decimal"</formula>
    </cfRule>
  </conditionalFormatting>
  <conditionalFormatting sqref="B1:C1">
    <cfRule type="expression" dxfId="5" priority="4765" stopIfTrue="1">
      <formula>OR(AND(LEFT($A1, 16)="select_multiple ", LEN($A1)&gt;16, NOT(ISNUMBER(SEARCH(" ", $A1, 17)))), AND(LEFT($A1, 11)="select_one ", LEN($A1)&gt;11, NOT(ISNUMBER(SEARCH(" ", $A1, 12)))))</formula>
    </cfRule>
  </conditionalFormatting>
  <conditionalFormatting sqref="B1">
    <cfRule type="expression" dxfId="6" priority="4766" stopIfTrue="1">
      <formula>OR($A1="audio audit", $A1="text audit", $A1="speed violations count", $A1="speed violations list", $A1="speed violations audit")</formula>
    </cfRule>
  </conditionalFormatting>
  <conditionalFormatting sqref="B1:C1">
    <cfRule type="expression" dxfId="32" priority="4767" stopIfTrue="1">
      <formula>$A1="file"</formula>
    </cfRule>
  </conditionalFormatting>
  <conditionalFormatting sqref="B1:C1">
    <cfRule type="expression" dxfId="7" priority="4768" stopIfTrue="1">
      <formula>$A1="note"</formula>
    </cfRule>
  </conditionalFormatting>
  <conditionalFormatting sqref="B1:C1">
    <cfRule type="expression" dxfId="8" priority="4769" stopIfTrue="1">
      <formula>$A1="barcode"</formula>
    </cfRule>
  </conditionalFormatting>
  <conditionalFormatting sqref="B1:C1">
    <cfRule type="expression" dxfId="9" priority="4770" stopIfTrue="1">
      <formula>OR($A1="geopoint", $A1="geoshape", $A1="geotrace")</formula>
    </cfRule>
  </conditionalFormatting>
  <conditionalFormatting sqref="B1">
    <cfRule type="expression" dxfId="10" priority="4771" stopIfTrue="1">
      <formula>OR($A1="calculate", $A1="calculate_here")</formula>
    </cfRule>
  </conditionalFormatting>
  <conditionalFormatting sqref="B1:C1">
    <cfRule type="expression" dxfId="11" priority="4772" stopIfTrue="1">
      <formula>OR($A1="date", $A1="datetime", $A1="time")</formula>
    </cfRule>
  </conditionalFormatting>
  <conditionalFormatting sqref="B1:C1">
    <cfRule type="expression" dxfId="12" priority="4773" stopIfTrue="1">
      <formula>$A1="image"</formula>
    </cfRule>
  </conditionalFormatting>
  <conditionalFormatting sqref="B1:C1">
    <cfRule type="expression" dxfId="13" priority="4774" stopIfTrue="1">
      <formula>OR($A1="audio", $A1="video")</formula>
    </cfRule>
  </conditionalFormatting>
  <conditionalFormatting sqref="B1:E1">
    <cfRule type="expression" dxfId="33" priority="4775" stopIfTrue="1">
      <formula>$A1="file"</formula>
    </cfRule>
  </conditionalFormatting>
  <conditionalFormatting sqref="B1:E1">
    <cfRule type="expression" dxfId="34" priority="4776" stopIfTrue="1">
      <formula>$A1="enumerator"</formula>
    </cfRule>
  </conditionalFormatting>
  <conditionalFormatting sqref="B1:E1">
    <cfRule type="expression" dxfId="35" priority="4777" stopIfTrue="1">
      <formula>OR(AND(LEFT($A1, 14)="sensor_stream ", LEN($A1)&gt;14, NOT(ISNUMBER(SEARCH(" ", $A1, 15)))), AND(LEFT($A1, 17)="sensor_statistic ", LEN($A1)&gt;17, NOT(ISNUMBER(SEARCH(" ", $A1, 18)))))</formula>
    </cfRule>
  </conditionalFormatting>
  <conditionalFormatting sqref="B1:E1">
    <cfRule type="expression" dxfId="14" priority="4778" stopIfTrue="1">
      <formula>$A1="comments"</formula>
    </cfRule>
  </conditionalFormatting>
  <conditionalFormatting sqref="B1:E1">
    <cfRule type="expression" dxfId="15" priority="4779" stopIfTrue="1">
      <formula>OR($A1="audio", $A1="video")</formula>
    </cfRule>
  </conditionalFormatting>
  <conditionalFormatting sqref="B1:E1">
    <cfRule type="expression" dxfId="16" priority="4780" stopIfTrue="1">
      <formula>$A1="image"</formula>
    </cfRule>
  </conditionalFormatting>
  <conditionalFormatting sqref="B1:E1">
    <cfRule type="expression" dxfId="17" priority="4781" stopIfTrue="1">
      <formula>OR($A1="date", $A1="datetime", $A1="time")</formula>
    </cfRule>
  </conditionalFormatting>
  <conditionalFormatting sqref="B1:E1">
    <cfRule type="expression" dxfId="18" priority="4782" stopIfTrue="1">
      <formula>OR($A1="calculate", $A1="calculate_here")</formula>
    </cfRule>
  </conditionalFormatting>
  <conditionalFormatting sqref="B1:E1">
    <cfRule type="expression" dxfId="19" priority="4783" stopIfTrue="1">
      <formula>$A1="note"</formula>
    </cfRule>
  </conditionalFormatting>
  <conditionalFormatting sqref="B1:E1">
    <cfRule type="expression" dxfId="20" priority="4784" stopIfTrue="1">
      <formula>$A1="barcode"</formula>
    </cfRule>
  </conditionalFormatting>
  <conditionalFormatting sqref="B1:E1">
    <cfRule type="expression" dxfId="21" priority="4785" stopIfTrue="1">
      <formula>OR($A1="geopoint", $A1="geoshape", $A1="geotrace")</formula>
    </cfRule>
  </conditionalFormatting>
  <conditionalFormatting sqref="B1:E1">
    <cfRule type="expression" dxfId="22" priority="4786" stopIfTrue="1">
      <formula>OR($A1="audio audit", $A1="text audit", $A1="speed violations count", $A1="speed violations list", $A1="speed violations audit")</formula>
    </cfRule>
  </conditionalFormatting>
  <conditionalFormatting sqref="B1:E1">
    <cfRule type="expression" dxfId="23" priority="4787" stopIfTrue="1">
      <formula>OR($A1="username", $A1="phonenumber", $A1="start", $A1="end", $A1="deviceid", $A1="subscriberid", $A1="simserial", $A1="caseid")</formula>
    </cfRule>
  </conditionalFormatting>
  <conditionalFormatting sqref="B1:E1">
    <cfRule type="expression" dxfId="24" priority="4788" stopIfTrue="1">
      <formula>OR(AND(LEFT($A1, 16)="select_multiple ", LEN($A1)&gt;16, NOT(ISNUMBER(SEARCH(" ", $A1, 17)))), AND(LEFT($A1, 11)="select_one ", LEN($A1)&gt;11, NOT(ISNUMBER(SEARCH(" ", $A1, 12)))))</formula>
    </cfRule>
  </conditionalFormatting>
  <conditionalFormatting sqref="B1:E1">
    <cfRule type="expression" dxfId="25" priority="4789" stopIfTrue="1">
      <formula>$A1="decimal"</formula>
    </cfRule>
  </conditionalFormatting>
  <conditionalFormatting sqref="B1:E1">
    <cfRule type="expression" dxfId="26" priority="4790" stopIfTrue="1">
      <formula>$A1="integer"</formula>
    </cfRule>
  </conditionalFormatting>
  <conditionalFormatting sqref="B1:E1">
    <cfRule type="expression" dxfId="27" priority="4791" stopIfTrue="1">
      <formula>$A1="text"</formula>
    </cfRule>
  </conditionalFormatting>
  <conditionalFormatting sqref="B1:E1">
    <cfRule type="expression" dxfId="28" priority="4792" stopIfTrue="1">
      <formula>$A1="end repeat"</formula>
    </cfRule>
  </conditionalFormatting>
  <conditionalFormatting sqref="B1:E1">
    <cfRule type="expression" dxfId="28" priority="4793" stopIfTrue="1">
      <formula>$A1="begin repeat"</formula>
    </cfRule>
  </conditionalFormatting>
  <conditionalFormatting sqref="B1:E1">
    <cfRule type="expression" dxfId="29" priority="4794" stopIfTrue="1">
      <formula>$A1="end group"</formula>
    </cfRule>
  </conditionalFormatting>
  <conditionalFormatting sqref="B1:E1">
    <cfRule type="expression" dxfId="29" priority="4795" stopIfTrue="1">
      <formula>$A1="begin group"</formula>
    </cfRule>
  </conditionalFormatting>
  <conditionalFormatting sqref="B1">
    <cfRule type="expression" dxfId="30" priority="4796" stopIfTrue="1">
      <formula>$A1="comments"</formula>
    </cfRule>
  </conditionalFormatting>
  <conditionalFormatting sqref="B1">
    <cfRule type="expression" dxfId="36" priority="4797" stopIfTrue="1">
      <formula>OR(AND(LEFT($A1, 14)="sensor_stream ", LEN($A1)&gt;14, NOT(ISNUMBER(SEARCH(" ", $A1, 15)))), AND(LEFT($A1, 17)="sensor_statistic ", LEN($A1)&gt;17, NOT(ISNUMBER(SEARCH(" ", $A1, 18)))))</formula>
    </cfRule>
  </conditionalFormatting>
  <conditionalFormatting sqref="A2001:A3702">
    <cfRule type="expression" dxfId="33" priority="4798" stopIfTrue="1">
      <formula>$A2001="file"</formula>
    </cfRule>
  </conditionalFormatting>
  <conditionalFormatting sqref="A2001:A3702">
    <cfRule type="expression" dxfId="34" priority="4799" stopIfTrue="1">
      <formula>$A2001="enumerator"</formula>
    </cfRule>
  </conditionalFormatting>
  <conditionalFormatting sqref="A2001:A3702">
    <cfRule type="expression" dxfId="35" priority="4800" stopIfTrue="1">
      <formula>OR(AND(LEFT($A2001, 14)="sensor_stream ", LEN($A2001)&gt;14, NOT(ISNUMBER(SEARCH(" ", $A2001, 15)))), AND(LEFT($A2001, 17)="sensor_statistic ", LEN($A2001)&gt;17, NOT(ISNUMBER(SEARCH(" ", $A2001, 18)))))</formula>
    </cfRule>
  </conditionalFormatting>
  <conditionalFormatting sqref="A2001:A3702">
    <cfRule type="expression" dxfId="14" priority="4801" stopIfTrue="1">
      <formula>$A2001="comments"</formula>
    </cfRule>
  </conditionalFormatting>
  <conditionalFormatting sqref="A2001:A3702">
    <cfRule type="expression" dxfId="15" priority="4802" stopIfTrue="1">
      <formula>OR($A2001="audio", $A2001="video")</formula>
    </cfRule>
  </conditionalFormatting>
  <conditionalFormatting sqref="A2001:A3702">
    <cfRule type="expression" dxfId="16" priority="4803" stopIfTrue="1">
      <formula>$A2001="image"</formula>
    </cfRule>
  </conditionalFormatting>
  <conditionalFormatting sqref="A2001:A3702">
    <cfRule type="expression" dxfId="17" priority="4804" stopIfTrue="1">
      <formula>OR($A2001="date", $A2001="datetime", $A2001="time")</formula>
    </cfRule>
  </conditionalFormatting>
  <conditionalFormatting sqref="A2001:A3702">
    <cfRule type="expression" dxfId="18" priority="4805" stopIfTrue="1">
      <formula>OR($A2001="calculate", $A2001="calculate_here")</formula>
    </cfRule>
  </conditionalFormatting>
  <conditionalFormatting sqref="A2001:A3702">
    <cfRule type="expression" dxfId="19" priority="4806" stopIfTrue="1">
      <formula>$A2001="note"</formula>
    </cfRule>
  </conditionalFormatting>
  <conditionalFormatting sqref="A2001:A3702">
    <cfRule type="expression" dxfId="20" priority="4807" stopIfTrue="1">
      <formula>$A2001="barcode"</formula>
    </cfRule>
  </conditionalFormatting>
  <conditionalFormatting sqref="A2001:A3702">
    <cfRule type="expression" dxfId="21" priority="4808" stopIfTrue="1">
      <formula>OR($A2001="geopoint", $A2001="geoshape", $A2001="geotrace")</formula>
    </cfRule>
  </conditionalFormatting>
  <conditionalFormatting sqref="A2001:A3702">
    <cfRule type="expression" dxfId="22" priority="4809" stopIfTrue="1">
      <formula>OR($A2001="audio audit", $A2001="text audit", $A2001="speed violations count", $A2001="speed violations list", $A2001="speed violations audit")</formula>
    </cfRule>
  </conditionalFormatting>
  <conditionalFormatting sqref="A2001:A3702">
    <cfRule type="expression" dxfId="23" priority="4810" stopIfTrue="1">
      <formula>OR($A2001="username", $A2001="phonenumber", $A2001="start", $A2001="end", $A2001="deviceid", $A2001="subscriberid", $A2001="simserial", $A2001="caseid")</formula>
    </cfRule>
  </conditionalFormatting>
  <conditionalFormatting sqref="A2001:A3702">
    <cfRule type="expression" dxfId="24" priority="4811" stopIfTrue="1">
      <formula>OR(AND(LEFT($A2001, 16)="select_multiple ", LEN($A2001)&gt;16, NOT(ISNUMBER(SEARCH(" ", $A2001, 17)))), AND(LEFT($A2001, 11)="select_one ", LEN($A2001)&gt;11, NOT(ISNUMBER(SEARCH(" ", $A2001, 12)))))</formula>
    </cfRule>
  </conditionalFormatting>
  <conditionalFormatting sqref="A2001:A3702">
    <cfRule type="expression" dxfId="25" priority="4812" stopIfTrue="1">
      <formula>$A2001="decimal"</formula>
    </cfRule>
  </conditionalFormatting>
  <conditionalFormatting sqref="A2001:A3702">
    <cfRule type="expression" dxfId="26" priority="4813" stopIfTrue="1">
      <formula>$A2001="integer"</formula>
    </cfRule>
  </conditionalFormatting>
  <conditionalFormatting sqref="A2001:A3702">
    <cfRule type="expression" dxfId="27" priority="4814" stopIfTrue="1">
      <formula>$A2001="text"</formula>
    </cfRule>
  </conditionalFormatting>
  <conditionalFormatting sqref="A2001:A3702">
    <cfRule type="expression" dxfId="28" priority="4815" stopIfTrue="1">
      <formula>$A2001="end repeat"</formula>
    </cfRule>
  </conditionalFormatting>
  <conditionalFormatting sqref="A2001:A3702">
    <cfRule type="expression" dxfId="28" priority="4816" stopIfTrue="1">
      <formula>$A2001="begin repeat"</formula>
    </cfRule>
  </conditionalFormatting>
  <conditionalFormatting sqref="A2001:A3702">
    <cfRule type="expression" dxfId="29" priority="4817" stopIfTrue="1">
      <formula>$A2001="end group"</formula>
    </cfRule>
  </conditionalFormatting>
  <conditionalFormatting sqref="A2001:A3702">
    <cfRule type="expression" dxfId="29" priority="4818" stopIfTrue="1">
      <formula>$A2001="begin group"</formula>
    </cfRule>
  </conditionalFormatting>
  <conditionalFormatting sqref="A1001">
    <cfRule type="expression" dxfId="33" priority="4819" stopIfTrue="1">
      <formula>$A1001="file"</formula>
    </cfRule>
  </conditionalFormatting>
  <conditionalFormatting sqref="A1001">
    <cfRule type="expression" dxfId="34" priority="4820" stopIfTrue="1">
      <formula>$A1001="enumerator"</formula>
    </cfRule>
  </conditionalFormatting>
  <conditionalFormatting sqref="A1001">
    <cfRule type="expression" dxfId="35" priority="4821" stopIfTrue="1">
      <formula>OR(AND(LEFT($A1001, 14)="sensor_stream ", LEN($A1001)&gt;14, NOT(ISNUMBER(SEARCH(" ", $A1001, 15)))), AND(LEFT($A1001, 17)="sensor_statistic ", LEN($A1001)&gt;17, NOT(ISNUMBER(SEARCH(" ", $A1001, 18)))))</formula>
    </cfRule>
  </conditionalFormatting>
  <conditionalFormatting sqref="A1001">
    <cfRule type="expression" dxfId="14" priority="4822" stopIfTrue="1">
      <formula>$A1001="comments"</formula>
    </cfRule>
  </conditionalFormatting>
  <conditionalFormatting sqref="A1001">
    <cfRule type="expression" dxfId="15" priority="4823" stopIfTrue="1">
      <formula>OR($A1001="audio", $A1001="video")</formula>
    </cfRule>
  </conditionalFormatting>
  <conditionalFormatting sqref="A1001">
    <cfRule type="expression" dxfId="16" priority="4824" stopIfTrue="1">
      <formula>$A1001="image"</formula>
    </cfRule>
  </conditionalFormatting>
  <conditionalFormatting sqref="A1001">
    <cfRule type="expression" dxfId="17" priority="4825" stopIfTrue="1">
      <formula>OR($A1001="date", $A1001="datetime", $A1001="time")</formula>
    </cfRule>
  </conditionalFormatting>
  <conditionalFormatting sqref="A1001">
    <cfRule type="expression" dxfId="18" priority="4826" stopIfTrue="1">
      <formula>OR($A1001="calculate", $A1001="calculate_here")</formula>
    </cfRule>
  </conditionalFormatting>
  <conditionalFormatting sqref="A1001">
    <cfRule type="expression" dxfId="19" priority="4827" stopIfTrue="1">
      <formula>$A1001="note"</formula>
    </cfRule>
  </conditionalFormatting>
  <conditionalFormatting sqref="A1001">
    <cfRule type="expression" dxfId="20" priority="4828" stopIfTrue="1">
      <formula>$A1001="barcode"</formula>
    </cfRule>
  </conditionalFormatting>
  <conditionalFormatting sqref="A1001">
    <cfRule type="expression" dxfId="21" priority="4829" stopIfTrue="1">
      <formula>OR($A1001="geopoint", $A1001="geoshape", $A1001="geotrace")</formula>
    </cfRule>
  </conditionalFormatting>
  <conditionalFormatting sqref="A1001">
    <cfRule type="expression" dxfId="22" priority="4830" stopIfTrue="1">
      <formula>OR($A1001="audio audit", $A1001="text audit", $A1001="speed violations count", $A1001="speed violations list", $A1001="speed violations audit")</formula>
    </cfRule>
  </conditionalFormatting>
  <conditionalFormatting sqref="A1001">
    <cfRule type="expression" dxfId="23" priority="4831" stopIfTrue="1">
      <formula>OR($A1001="username", $A1001="phonenumber", $A1001="start", $A1001="end", $A1001="deviceid", $A1001="subscriberid", $A1001="simserial", $A1001="caseid")</formula>
    </cfRule>
  </conditionalFormatting>
  <conditionalFormatting sqref="A1001">
    <cfRule type="expression" dxfId="24" priority="4832" stopIfTrue="1">
      <formula>OR(AND(LEFT($A1001, 16)="select_multiple ", LEN($A1001)&gt;16, NOT(ISNUMBER(SEARCH(" ", $A1001, 17)))), AND(LEFT($A1001, 11)="select_one ", LEN($A1001)&gt;11, NOT(ISNUMBER(SEARCH(" ", $A1001, 12)))))</formula>
    </cfRule>
  </conditionalFormatting>
  <conditionalFormatting sqref="A1001">
    <cfRule type="expression" dxfId="25" priority="4833" stopIfTrue="1">
      <formula>$A1001="decimal"</formula>
    </cfRule>
  </conditionalFormatting>
  <conditionalFormatting sqref="A1001">
    <cfRule type="expression" dxfId="26" priority="4834" stopIfTrue="1">
      <formula>$A1001="integer"</formula>
    </cfRule>
  </conditionalFormatting>
  <conditionalFormatting sqref="A1001">
    <cfRule type="expression" dxfId="27" priority="4835" stopIfTrue="1">
      <formula>$A1001="text"</formula>
    </cfRule>
  </conditionalFormatting>
  <conditionalFormatting sqref="A1001">
    <cfRule type="expression" dxfId="28" priority="4836" stopIfTrue="1">
      <formula>$A1001="end repeat"</formula>
    </cfRule>
  </conditionalFormatting>
  <conditionalFormatting sqref="A1001">
    <cfRule type="expression" dxfId="28" priority="4837" stopIfTrue="1">
      <formula>$A1001="begin repeat"</formula>
    </cfRule>
  </conditionalFormatting>
  <conditionalFormatting sqref="A1001">
    <cfRule type="expression" dxfId="29" priority="4838" stopIfTrue="1">
      <formula>$A1001="end group"</formula>
    </cfRule>
  </conditionalFormatting>
  <conditionalFormatting sqref="A1001">
    <cfRule type="expression" dxfId="29" priority="4839" stopIfTrue="1">
      <formula>$A1001="begin group"</formula>
    </cfRule>
  </conditionalFormatting>
  <conditionalFormatting sqref="A992:A996">
    <cfRule type="expression" dxfId="33" priority="4840" stopIfTrue="1">
      <formula>$A992="file"</formula>
    </cfRule>
  </conditionalFormatting>
  <conditionalFormatting sqref="A992:A996">
    <cfRule type="expression" dxfId="34" priority="4841" stopIfTrue="1">
      <formula>$A992="enumerator"</formula>
    </cfRule>
  </conditionalFormatting>
  <conditionalFormatting sqref="A992:A996">
    <cfRule type="expression" dxfId="35" priority="4842" stopIfTrue="1">
      <formula>OR(AND(LEFT($A992, 14)="sensor_stream ", LEN($A992)&gt;14, NOT(ISNUMBER(SEARCH(" ", $A992, 15)))), AND(LEFT($A992, 17)="sensor_statistic ", LEN($A992)&gt;17, NOT(ISNUMBER(SEARCH(" ", $A992, 18)))))</formula>
    </cfRule>
  </conditionalFormatting>
  <conditionalFormatting sqref="A992:A996">
    <cfRule type="expression" dxfId="14" priority="4843" stopIfTrue="1">
      <formula>$A992="comments"</formula>
    </cfRule>
  </conditionalFormatting>
  <conditionalFormatting sqref="A992:A996">
    <cfRule type="expression" dxfId="15" priority="4844" stopIfTrue="1">
      <formula>OR($A992="audio", $A992="video")</formula>
    </cfRule>
  </conditionalFormatting>
  <conditionalFormatting sqref="A992:A996">
    <cfRule type="expression" dxfId="16" priority="4845" stopIfTrue="1">
      <formula>$A992="image"</formula>
    </cfRule>
  </conditionalFormatting>
  <conditionalFormatting sqref="A992:A996">
    <cfRule type="expression" dxfId="17" priority="4846" stopIfTrue="1">
      <formula>OR($A992="date", $A992="datetime", $A992="time")</formula>
    </cfRule>
  </conditionalFormatting>
  <conditionalFormatting sqref="A992:A996">
    <cfRule type="expression" dxfId="18" priority="4847" stopIfTrue="1">
      <formula>OR($A992="calculate", $A992="calculate_here")</formula>
    </cfRule>
  </conditionalFormatting>
  <conditionalFormatting sqref="A992:A996">
    <cfRule type="expression" dxfId="19" priority="4848" stopIfTrue="1">
      <formula>$A992="note"</formula>
    </cfRule>
  </conditionalFormatting>
  <conditionalFormatting sqref="A992:A996">
    <cfRule type="expression" dxfId="20" priority="4849" stopIfTrue="1">
      <formula>$A992="barcode"</formula>
    </cfRule>
  </conditionalFormatting>
  <conditionalFormatting sqref="A992:A996">
    <cfRule type="expression" dxfId="21" priority="4850" stopIfTrue="1">
      <formula>OR($A992="geopoint", $A992="geoshape", $A992="geotrace")</formula>
    </cfRule>
  </conditionalFormatting>
  <conditionalFormatting sqref="A992:A996">
    <cfRule type="expression" dxfId="22" priority="4851" stopIfTrue="1">
      <formula>OR($A992="audio audit", $A992="text audit", $A992="speed violations count", $A992="speed violations list", $A992="speed violations audit")</formula>
    </cfRule>
  </conditionalFormatting>
  <conditionalFormatting sqref="A992:A996">
    <cfRule type="expression" dxfId="23" priority="4852" stopIfTrue="1">
      <formula>OR($A992="username", $A992="phonenumber", $A992="start", $A992="end", $A992="deviceid", $A992="subscriberid", $A992="simserial", $A992="caseid")</formula>
    </cfRule>
  </conditionalFormatting>
  <conditionalFormatting sqref="A992:A996">
    <cfRule type="expression" dxfId="24" priority="4853" stopIfTrue="1">
      <formula>OR(AND(LEFT($A992, 16)="select_multiple ", LEN($A992)&gt;16, NOT(ISNUMBER(SEARCH(" ", $A992, 17)))), AND(LEFT($A992, 11)="select_one ", LEN($A992)&gt;11, NOT(ISNUMBER(SEARCH(" ", $A992, 12)))))</formula>
    </cfRule>
  </conditionalFormatting>
  <conditionalFormatting sqref="A992:A996">
    <cfRule type="expression" dxfId="25" priority="4854" stopIfTrue="1">
      <formula>$A992="decimal"</formula>
    </cfRule>
  </conditionalFormatting>
  <conditionalFormatting sqref="A992:A996">
    <cfRule type="expression" dxfId="26" priority="4855" stopIfTrue="1">
      <formula>$A992="integer"</formula>
    </cfRule>
  </conditionalFormatting>
  <conditionalFormatting sqref="A992:A996">
    <cfRule type="expression" dxfId="27" priority="4856" stopIfTrue="1">
      <formula>$A992="text"</formula>
    </cfRule>
  </conditionalFormatting>
  <conditionalFormatting sqref="A992:A996">
    <cfRule type="expression" dxfId="28" priority="4857" stopIfTrue="1">
      <formula>$A992="end repeat"</formula>
    </cfRule>
  </conditionalFormatting>
  <conditionalFormatting sqref="A992:A996">
    <cfRule type="expression" dxfId="28" priority="4858" stopIfTrue="1">
      <formula>$A992="begin repeat"</formula>
    </cfRule>
  </conditionalFormatting>
  <conditionalFormatting sqref="A992:A996">
    <cfRule type="expression" dxfId="29" priority="4859" stopIfTrue="1">
      <formula>$A992="end group"</formula>
    </cfRule>
  </conditionalFormatting>
  <conditionalFormatting sqref="A992:A996">
    <cfRule type="expression" dxfId="29" priority="4860" stopIfTrue="1">
      <formula>$A992="begin group"</formula>
    </cfRule>
  </conditionalFormatting>
  <conditionalFormatting sqref="A983:A988">
    <cfRule type="expression" dxfId="33" priority="4861" stopIfTrue="1">
      <formula>$A983="file"</formula>
    </cfRule>
  </conditionalFormatting>
  <conditionalFormatting sqref="A983:A988">
    <cfRule type="expression" dxfId="34" priority="4862" stopIfTrue="1">
      <formula>$A983="enumerator"</formula>
    </cfRule>
  </conditionalFormatting>
  <conditionalFormatting sqref="A983:A988">
    <cfRule type="expression" dxfId="35" priority="4863" stopIfTrue="1">
      <formula>OR(AND(LEFT($A983, 14)="sensor_stream ", LEN($A983)&gt;14, NOT(ISNUMBER(SEARCH(" ", $A983, 15)))), AND(LEFT($A983, 17)="sensor_statistic ", LEN($A983)&gt;17, NOT(ISNUMBER(SEARCH(" ", $A983, 18)))))</formula>
    </cfRule>
  </conditionalFormatting>
  <conditionalFormatting sqref="A983:A988">
    <cfRule type="expression" dxfId="14" priority="4864" stopIfTrue="1">
      <formula>$A983="comments"</formula>
    </cfRule>
  </conditionalFormatting>
  <conditionalFormatting sqref="A983:A988">
    <cfRule type="expression" dxfId="15" priority="4865" stopIfTrue="1">
      <formula>OR($A983="audio", $A983="video")</formula>
    </cfRule>
  </conditionalFormatting>
  <conditionalFormatting sqref="A983:A988">
    <cfRule type="expression" dxfId="16" priority="4866" stopIfTrue="1">
      <formula>$A983="image"</formula>
    </cfRule>
  </conditionalFormatting>
  <conditionalFormatting sqref="A983:A988">
    <cfRule type="expression" dxfId="17" priority="4867" stopIfTrue="1">
      <formula>OR($A983="date", $A983="datetime", $A983="time")</formula>
    </cfRule>
  </conditionalFormatting>
  <conditionalFormatting sqref="A983:A988">
    <cfRule type="expression" dxfId="18" priority="4868" stopIfTrue="1">
      <formula>OR($A983="calculate", $A983="calculate_here")</formula>
    </cfRule>
  </conditionalFormatting>
  <conditionalFormatting sqref="A983:A988">
    <cfRule type="expression" dxfId="19" priority="4869" stopIfTrue="1">
      <formula>$A983="note"</formula>
    </cfRule>
  </conditionalFormatting>
  <conditionalFormatting sqref="A983:A988">
    <cfRule type="expression" dxfId="20" priority="4870" stopIfTrue="1">
      <formula>$A983="barcode"</formula>
    </cfRule>
  </conditionalFormatting>
  <conditionalFormatting sqref="A983:A988">
    <cfRule type="expression" dxfId="21" priority="4871" stopIfTrue="1">
      <formula>OR($A983="geopoint", $A983="geoshape", $A983="geotrace")</formula>
    </cfRule>
  </conditionalFormatting>
  <conditionalFormatting sqref="A983:A988">
    <cfRule type="expression" dxfId="22" priority="4872" stopIfTrue="1">
      <formula>OR($A983="audio audit", $A983="text audit", $A983="speed violations count", $A983="speed violations list", $A983="speed violations audit")</formula>
    </cfRule>
  </conditionalFormatting>
  <conditionalFormatting sqref="A983:A988">
    <cfRule type="expression" dxfId="23" priority="4873" stopIfTrue="1">
      <formula>OR($A983="username", $A983="phonenumber", $A983="start", $A983="end", $A983="deviceid", $A983="subscriberid", $A983="simserial", $A983="caseid")</formula>
    </cfRule>
  </conditionalFormatting>
  <conditionalFormatting sqref="A983:A988">
    <cfRule type="expression" dxfId="24" priority="4874" stopIfTrue="1">
      <formula>OR(AND(LEFT($A983, 16)="select_multiple ", LEN($A983)&gt;16, NOT(ISNUMBER(SEARCH(" ", $A983, 17)))), AND(LEFT($A983, 11)="select_one ", LEN($A983)&gt;11, NOT(ISNUMBER(SEARCH(" ", $A983, 12)))))</formula>
    </cfRule>
  </conditionalFormatting>
  <conditionalFormatting sqref="A983:A988">
    <cfRule type="expression" dxfId="25" priority="4875" stopIfTrue="1">
      <formula>$A983="decimal"</formula>
    </cfRule>
  </conditionalFormatting>
  <conditionalFormatting sqref="A983:A988">
    <cfRule type="expression" dxfId="26" priority="4876" stopIfTrue="1">
      <formula>$A983="integer"</formula>
    </cfRule>
  </conditionalFormatting>
  <conditionalFormatting sqref="A983:A988">
    <cfRule type="expression" dxfId="27" priority="4877" stopIfTrue="1">
      <formula>$A983="text"</formula>
    </cfRule>
  </conditionalFormatting>
  <conditionalFormatting sqref="A983:A988">
    <cfRule type="expression" dxfId="28" priority="4878" stopIfTrue="1">
      <formula>$A983="end repeat"</formula>
    </cfRule>
  </conditionalFormatting>
  <conditionalFormatting sqref="A983:A988">
    <cfRule type="expression" dxfId="28" priority="4879" stopIfTrue="1">
      <formula>$A983="begin repeat"</formula>
    </cfRule>
  </conditionalFormatting>
  <conditionalFormatting sqref="A983:A988">
    <cfRule type="expression" dxfId="29" priority="4880" stopIfTrue="1">
      <formula>$A983="end group"</formula>
    </cfRule>
  </conditionalFormatting>
  <conditionalFormatting sqref="A983:A988">
    <cfRule type="expression" dxfId="29" priority="4881" stopIfTrue="1">
      <formula>$A983="begin group"</formula>
    </cfRule>
  </conditionalFormatting>
  <conditionalFormatting sqref="A979:A980">
    <cfRule type="expression" dxfId="33" priority="4882" stopIfTrue="1">
      <formula>$A979="file"</formula>
    </cfRule>
  </conditionalFormatting>
  <conditionalFormatting sqref="A979:A980">
    <cfRule type="expression" dxfId="34" priority="4883" stopIfTrue="1">
      <formula>$A979="enumerator"</formula>
    </cfRule>
  </conditionalFormatting>
  <conditionalFormatting sqref="A979:A980">
    <cfRule type="expression" dxfId="35" priority="4884" stopIfTrue="1">
      <formula>OR(AND(LEFT($A979, 14)="sensor_stream ", LEN($A979)&gt;14, NOT(ISNUMBER(SEARCH(" ", $A979, 15)))), AND(LEFT($A979, 17)="sensor_statistic ", LEN($A979)&gt;17, NOT(ISNUMBER(SEARCH(" ", $A979, 18)))))</formula>
    </cfRule>
  </conditionalFormatting>
  <conditionalFormatting sqref="A979:A980">
    <cfRule type="expression" dxfId="14" priority="4885" stopIfTrue="1">
      <formula>$A979="comments"</formula>
    </cfRule>
  </conditionalFormatting>
  <conditionalFormatting sqref="A979:A980">
    <cfRule type="expression" dxfId="15" priority="4886" stopIfTrue="1">
      <formula>OR($A979="audio", $A979="video")</formula>
    </cfRule>
  </conditionalFormatting>
  <conditionalFormatting sqref="A979:A980">
    <cfRule type="expression" dxfId="16" priority="4887" stopIfTrue="1">
      <formula>$A979="image"</formula>
    </cfRule>
  </conditionalFormatting>
  <conditionalFormatting sqref="A979:A980">
    <cfRule type="expression" dxfId="17" priority="4888" stopIfTrue="1">
      <formula>OR($A979="date", $A979="datetime", $A979="time")</formula>
    </cfRule>
  </conditionalFormatting>
  <conditionalFormatting sqref="A979:A980">
    <cfRule type="expression" dxfId="18" priority="4889" stopIfTrue="1">
      <formula>OR($A979="calculate", $A979="calculate_here")</formula>
    </cfRule>
  </conditionalFormatting>
  <conditionalFormatting sqref="A979:A980">
    <cfRule type="expression" dxfId="19" priority="4890" stopIfTrue="1">
      <formula>$A979="note"</formula>
    </cfRule>
  </conditionalFormatting>
  <conditionalFormatting sqref="A979:A980">
    <cfRule type="expression" dxfId="20" priority="4891" stopIfTrue="1">
      <formula>$A979="barcode"</formula>
    </cfRule>
  </conditionalFormatting>
  <conditionalFormatting sqref="A979:A980">
    <cfRule type="expression" dxfId="21" priority="4892" stopIfTrue="1">
      <formula>OR($A979="geopoint", $A979="geoshape", $A979="geotrace")</formula>
    </cfRule>
  </conditionalFormatting>
  <conditionalFormatting sqref="A979:A980">
    <cfRule type="expression" dxfId="22" priority="4893" stopIfTrue="1">
      <formula>OR($A979="audio audit", $A979="text audit", $A979="speed violations count", $A979="speed violations list", $A979="speed violations audit")</formula>
    </cfRule>
  </conditionalFormatting>
  <conditionalFormatting sqref="A979:A980">
    <cfRule type="expression" dxfId="23" priority="4894" stopIfTrue="1">
      <formula>OR($A979="username", $A979="phonenumber", $A979="start", $A979="end", $A979="deviceid", $A979="subscriberid", $A979="simserial", $A979="caseid")</formula>
    </cfRule>
  </conditionalFormatting>
  <conditionalFormatting sqref="A979:A980">
    <cfRule type="expression" dxfId="24" priority="4895" stopIfTrue="1">
      <formula>OR(AND(LEFT($A979, 16)="select_multiple ", LEN($A979)&gt;16, NOT(ISNUMBER(SEARCH(" ", $A979, 17)))), AND(LEFT($A979, 11)="select_one ", LEN($A979)&gt;11, NOT(ISNUMBER(SEARCH(" ", $A979, 12)))))</formula>
    </cfRule>
  </conditionalFormatting>
  <conditionalFormatting sqref="A979:A980">
    <cfRule type="expression" dxfId="25" priority="4896" stopIfTrue="1">
      <formula>$A979="decimal"</formula>
    </cfRule>
  </conditionalFormatting>
  <conditionalFormatting sqref="A979:A980">
    <cfRule type="expression" dxfId="26" priority="4897" stopIfTrue="1">
      <formula>$A979="integer"</formula>
    </cfRule>
  </conditionalFormatting>
  <conditionalFormatting sqref="A979:A980">
    <cfRule type="expression" dxfId="27" priority="4898" stopIfTrue="1">
      <formula>$A979="text"</formula>
    </cfRule>
  </conditionalFormatting>
  <conditionalFormatting sqref="A979:A980">
    <cfRule type="expression" dxfId="28" priority="4899" stopIfTrue="1">
      <formula>$A979="end repeat"</formula>
    </cfRule>
  </conditionalFormatting>
  <conditionalFormatting sqref="A979:A980">
    <cfRule type="expression" dxfId="28" priority="4900" stopIfTrue="1">
      <formula>$A979="begin repeat"</formula>
    </cfRule>
  </conditionalFormatting>
  <conditionalFormatting sqref="A979:A980">
    <cfRule type="expression" dxfId="29" priority="4901" stopIfTrue="1">
      <formula>$A979="end group"</formula>
    </cfRule>
  </conditionalFormatting>
  <conditionalFormatting sqref="A979:A980">
    <cfRule type="expression" dxfId="29" priority="4902" stopIfTrue="1">
      <formula>$A979="begin group"</formula>
    </cfRule>
  </conditionalFormatting>
  <conditionalFormatting sqref="A971:A977">
    <cfRule type="expression" dxfId="33" priority="4903" stopIfTrue="1">
      <formula>$A971="file"</formula>
    </cfRule>
  </conditionalFormatting>
  <conditionalFormatting sqref="A971:A977">
    <cfRule type="expression" dxfId="34" priority="4904" stopIfTrue="1">
      <formula>$A971="enumerator"</formula>
    </cfRule>
  </conditionalFormatting>
  <conditionalFormatting sqref="A971:A977">
    <cfRule type="expression" dxfId="35" priority="4905" stopIfTrue="1">
      <formula>OR(AND(LEFT($A971, 14)="sensor_stream ", LEN($A971)&gt;14, NOT(ISNUMBER(SEARCH(" ", $A971, 15)))), AND(LEFT($A971, 17)="sensor_statistic ", LEN($A971)&gt;17, NOT(ISNUMBER(SEARCH(" ", $A971, 18)))))</formula>
    </cfRule>
  </conditionalFormatting>
  <conditionalFormatting sqref="A971:A977">
    <cfRule type="expression" dxfId="14" priority="4906" stopIfTrue="1">
      <formula>$A971="comments"</formula>
    </cfRule>
  </conditionalFormatting>
  <conditionalFormatting sqref="A971:A977">
    <cfRule type="expression" dxfId="15" priority="4907" stopIfTrue="1">
      <formula>OR($A971="audio", $A971="video")</formula>
    </cfRule>
  </conditionalFormatting>
  <conditionalFormatting sqref="A971:A977">
    <cfRule type="expression" dxfId="16" priority="4908" stopIfTrue="1">
      <formula>$A971="image"</formula>
    </cfRule>
  </conditionalFormatting>
  <conditionalFormatting sqref="A971:A977">
    <cfRule type="expression" dxfId="17" priority="4909" stopIfTrue="1">
      <formula>OR($A971="date", $A971="datetime", $A971="time")</formula>
    </cfRule>
  </conditionalFormatting>
  <conditionalFormatting sqref="A971:A977">
    <cfRule type="expression" dxfId="18" priority="4910" stopIfTrue="1">
      <formula>OR($A971="calculate", $A971="calculate_here")</formula>
    </cfRule>
  </conditionalFormatting>
  <conditionalFormatting sqref="A971:A977">
    <cfRule type="expression" dxfId="19" priority="4911" stopIfTrue="1">
      <formula>$A971="note"</formula>
    </cfRule>
  </conditionalFormatting>
  <conditionalFormatting sqref="A971:A977">
    <cfRule type="expression" dxfId="20" priority="4912" stopIfTrue="1">
      <formula>$A971="barcode"</formula>
    </cfRule>
  </conditionalFormatting>
  <conditionalFormatting sqref="A971:A977">
    <cfRule type="expression" dxfId="21" priority="4913" stopIfTrue="1">
      <formula>OR($A971="geopoint", $A971="geoshape", $A971="geotrace")</formula>
    </cfRule>
  </conditionalFormatting>
  <conditionalFormatting sqref="A971:A977">
    <cfRule type="expression" dxfId="22" priority="4914" stopIfTrue="1">
      <formula>OR($A971="audio audit", $A971="text audit", $A971="speed violations count", $A971="speed violations list", $A971="speed violations audit")</formula>
    </cfRule>
  </conditionalFormatting>
  <conditionalFormatting sqref="A971:A977">
    <cfRule type="expression" dxfId="23" priority="4915" stopIfTrue="1">
      <formula>OR($A971="username", $A971="phonenumber", $A971="start", $A971="end", $A971="deviceid", $A971="subscriberid", $A971="simserial", $A971="caseid")</formula>
    </cfRule>
  </conditionalFormatting>
  <conditionalFormatting sqref="A971:A977">
    <cfRule type="expression" dxfId="24" priority="4916" stopIfTrue="1">
      <formula>OR(AND(LEFT($A971, 16)="select_multiple ", LEN($A971)&gt;16, NOT(ISNUMBER(SEARCH(" ", $A971, 17)))), AND(LEFT($A971, 11)="select_one ", LEN($A971)&gt;11, NOT(ISNUMBER(SEARCH(" ", $A971, 12)))))</formula>
    </cfRule>
  </conditionalFormatting>
  <conditionalFormatting sqref="A971:A977">
    <cfRule type="expression" dxfId="25" priority="4917" stopIfTrue="1">
      <formula>$A971="decimal"</formula>
    </cfRule>
  </conditionalFormatting>
  <conditionalFormatting sqref="A971:A977">
    <cfRule type="expression" dxfId="26" priority="4918" stopIfTrue="1">
      <formula>$A971="integer"</formula>
    </cfRule>
  </conditionalFormatting>
  <conditionalFormatting sqref="A971:A977">
    <cfRule type="expression" dxfId="27" priority="4919" stopIfTrue="1">
      <formula>$A971="text"</formula>
    </cfRule>
  </conditionalFormatting>
  <conditionalFormatting sqref="A971:A977">
    <cfRule type="expression" dxfId="28" priority="4920" stopIfTrue="1">
      <formula>$A971="end repeat"</formula>
    </cfRule>
  </conditionalFormatting>
  <conditionalFormatting sqref="A971:A977">
    <cfRule type="expression" dxfId="28" priority="4921" stopIfTrue="1">
      <formula>$A971="begin repeat"</formula>
    </cfRule>
  </conditionalFormatting>
  <conditionalFormatting sqref="A971:A977">
    <cfRule type="expression" dxfId="29" priority="4922" stopIfTrue="1">
      <formula>$A971="end group"</formula>
    </cfRule>
  </conditionalFormatting>
  <conditionalFormatting sqref="A971:A977">
    <cfRule type="expression" dxfId="29" priority="4923" stopIfTrue="1">
      <formula>$A971="begin group"</formula>
    </cfRule>
  </conditionalFormatting>
  <conditionalFormatting sqref="A967:A968">
    <cfRule type="expression" dxfId="33" priority="4924" stopIfTrue="1">
      <formula>$A967="file"</formula>
    </cfRule>
  </conditionalFormatting>
  <conditionalFormatting sqref="A967:A968">
    <cfRule type="expression" dxfId="34" priority="4925" stopIfTrue="1">
      <formula>$A967="enumerator"</formula>
    </cfRule>
  </conditionalFormatting>
  <conditionalFormatting sqref="A967:A968">
    <cfRule type="expression" dxfId="35" priority="4926" stopIfTrue="1">
      <formula>OR(AND(LEFT($A967, 14)="sensor_stream ", LEN($A967)&gt;14, NOT(ISNUMBER(SEARCH(" ", $A967, 15)))), AND(LEFT($A967, 17)="sensor_statistic ", LEN($A967)&gt;17, NOT(ISNUMBER(SEARCH(" ", $A967, 18)))))</formula>
    </cfRule>
  </conditionalFormatting>
  <conditionalFormatting sqref="A967:A968">
    <cfRule type="expression" dxfId="14" priority="4927" stopIfTrue="1">
      <formula>$A967="comments"</formula>
    </cfRule>
  </conditionalFormatting>
  <conditionalFormatting sqref="A967:A968">
    <cfRule type="expression" dxfId="15" priority="4928" stopIfTrue="1">
      <formula>OR($A967="audio", $A967="video")</formula>
    </cfRule>
  </conditionalFormatting>
  <conditionalFormatting sqref="A967:A968">
    <cfRule type="expression" dxfId="16" priority="4929" stopIfTrue="1">
      <formula>$A967="image"</formula>
    </cfRule>
  </conditionalFormatting>
  <conditionalFormatting sqref="A967:A968">
    <cfRule type="expression" dxfId="17" priority="4930" stopIfTrue="1">
      <formula>OR($A967="date", $A967="datetime", $A967="time")</formula>
    </cfRule>
  </conditionalFormatting>
  <conditionalFormatting sqref="A967:A968">
    <cfRule type="expression" dxfId="18" priority="4931" stopIfTrue="1">
      <formula>OR($A967="calculate", $A967="calculate_here")</formula>
    </cfRule>
  </conditionalFormatting>
  <conditionalFormatting sqref="A967:A968">
    <cfRule type="expression" dxfId="19" priority="4932" stopIfTrue="1">
      <formula>$A967="note"</formula>
    </cfRule>
  </conditionalFormatting>
  <conditionalFormatting sqref="A967:A968">
    <cfRule type="expression" dxfId="20" priority="4933" stopIfTrue="1">
      <formula>$A967="barcode"</formula>
    </cfRule>
  </conditionalFormatting>
  <conditionalFormatting sqref="A967:A968">
    <cfRule type="expression" dxfId="21" priority="4934" stopIfTrue="1">
      <formula>OR($A967="geopoint", $A967="geoshape", $A967="geotrace")</formula>
    </cfRule>
  </conditionalFormatting>
  <conditionalFormatting sqref="A967:A968">
    <cfRule type="expression" dxfId="22" priority="4935" stopIfTrue="1">
      <formula>OR($A967="audio audit", $A967="text audit", $A967="speed violations count", $A967="speed violations list", $A967="speed violations audit")</formula>
    </cfRule>
  </conditionalFormatting>
  <conditionalFormatting sqref="A967:A968">
    <cfRule type="expression" dxfId="23" priority="4936" stopIfTrue="1">
      <formula>OR($A967="username", $A967="phonenumber", $A967="start", $A967="end", $A967="deviceid", $A967="subscriberid", $A967="simserial", $A967="caseid")</formula>
    </cfRule>
  </conditionalFormatting>
  <conditionalFormatting sqref="A967:A968">
    <cfRule type="expression" dxfId="24" priority="4937" stopIfTrue="1">
      <formula>OR(AND(LEFT($A967, 16)="select_multiple ", LEN($A967)&gt;16, NOT(ISNUMBER(SEARCH(" ", $A967, 17)))), AND(LEFT($A967, 11)="select_one ", LEN($A967)&gt;11, NOT(ISNUMBER(SEARCH(" ", $A967, 12)))))</formula>
    </cfRule>
  </conditionalFormatting>
  <conditionalFormatting sqref="A967:A968">
    <cfRule type="expression" dxfId="25" priority="4938" stopIfTrue="1">
      <formula>$A967="decimal"</formula>
    </cfRule>
  </conditionalFormatting>
  <conditionalFormatting sqref="A967:A968">
    <cfRule type="expression" dxfId="26" priority="4939" stopIfTrue="1">
      <formula>$A967="integer"</formula>
    </cfRule>
  </conditionalFormatting>
  <conditionalFormatting sqref="A967:A968">
    <cfRule type="expression" dxfId="27" priority="4940" stopIfTrue="1">
      <formula>$A967="text"</formula>
    </cfRule>
  </conditionalFormatting>
  <conditionalFormatting sqref="A967:A968">
    <cfRule type="expression" dxfId="28" priority="4941" stopIfTrue="1">
      <formula>$A967="end repeat"</formula>
    </cfRule>
  </conditionalFormatting>
  <conditionalFormatting sqref="A967:A968">
    <cfRule type="expression" dxfId="28" priority="4942" stopIfTrue="1">
      <formula>$A967="begin repeat"</formula>
    </cfRule>
  </conditionalFormatting>
  <conditionalFormatting sqref="A967:A968">
    <cfRule type="expression" dxfId="29" priority="4943" stopIfTrue="1">
      <formula>$A967="end group"</formula>
    </cfRule>
  </conditionalFormatting>
  <conditionalFormatting sqref="A967:A968">
    <cfRule type="expression" dxfId="29" priority="4944" stopIfTrue="1">
      <formula>$A967="begin group"</formula>
    </cfRule>
  </conditionalFormatting>
  <conditionalFormatting sqref="A965">
    <cfRule type="expression" dxfId="33" priority="4945" stopIfTrue="1">
      <formula>$A965="file"</formula>
    </cfRule>
  </conditionalFormatting>
  <conditionalFormatting sqref="A965">
    <cfRule type="expression" dxfId="34" priority="4946" stopIfTrue="1">
      <formula>$A965="enumerator"</formula>
    </cfRule>
  </conditionalFormatting>
  <conditionalFormatting sqref="A965">
    <cfRule type="expression" dxfId="35" priority="4947" stopIfTrue="1">
      <formula>OR(AND(LEFT($A965, 14)="sensor_stream ", LEN($A965)&gt;14, NOT(ISNUMBER(SEARCH(" ", $A965, 15)))), AND(LEFT($A965, 17)="sensor_statistic ", LEN($A965)&gt;17, NOT(ISNUMBER(SEARCH(" ", $A965, 18)))))</formula>
    </cfRule>
  </conditionalFormatting>
  <conditionalFormatting sqref="A965">
    <cfRule type="expression" dxfId="14" priority="4948" stopIfTrue="1">
      <formula>$A965="comments"</formula>
    </cfRule>
  </conditionalFormatting>
  <conditionalFormatting sqref="A965">
    <cfRule type="expression" dxfId="15" priority="4949" stopIfTrue="1">
      <formula>OR($A965="audio", $A965="video")</formula>
    </cfRule>
  </conditionalFormatting>
  <conditionalFormatting sqref="A965">
    <cfRule type="expression" dxfId="16" priority="4950" stopIfTrue="1">
      <formula>$A965="image"</formula>
    </cfRule>
  </conditionalFormatting>
  <conditionalFormatting sqref="A965">
    <cfRule type="expression" dxfId="17" priority="4951" stopIfTrue="1">
      <formula>OR($A965="date", $A965="datetime", $A965="time")</formula>
    </cfRule>
  </conditionalFormatting>
  <conditionalFormatting sqref="A965">
    <cfRule type="expression" dxfId="18" priority="4952" stopIfTrue="1">
      <formula>OR($A965="calculate", $A965="calculate_here")</formula>
    </cfRule>
  </conditionalFormatting>
  <conditionalFormatting sqref="A965">
    <cfRule type="expression" dxfId="19" priority="4953" stopIfTrue="1">
      <formula>$A965="note"</formula>
    </cfRule>
  </conditionalFormatting>
  <conditionalFormatting sqref="A965">
    <cfRule type="expression" dxfId="20" priority="4954" stopIfTrue="1">
      <formula>$A965="barcode"</formula>
    </cfRule>
  </conditionalFormatting>
  <conditionalFormatting sqref="A965">
    <cfRule type="expression" dxfId="21" priority="4955" stopIfTrue="1">
      <formula>OR($A965="geopoint", $A965="geoshape", $A965="geotrace")</formula>
    </cfRule>
  </conditionalFormatting>
  <conditionalFormatting sqref="A965">
    <cfRule type="expression" dxfId="22" priority="4956" stopIfTrue="1">
      <formula>OR($A965="audio audit", $A965="text audit", $A965="speed violations count", $A965="speed violations list", $A965="speed violations audit")</formula>
    </cfRule>
  </conditionalFormatting>
  <conditionalFormatting sqref="A965">
    <cfRule type="expression" dxfId="23" priority="4957" stopIfTrue="1">
      <formula>OR($A965="username", $A965="phonenumber", $A965="start", $A965="end", $A965="deviceid", $A965="subscriberid", $A965="simserial", $A965="caseid")</formula>
    </cfRule>
  </conditionalFormatting>
  <conditionalFormatting sqref="A965">
    <cfRule type="expression" dxfId="24" priority="4958" stopIfTrue="1">
      <formula>OR(AND(LEFT($A965, 16)="select_multiple ", LEN($A965)&gt;16, NOT(ISNUMBER(SEARCH(" ", $A965, 17)))), AND(LEFT($A965, 11)="select_one ", LEN($A965)&gt;11, NOT(ISNUMBER(SEARCH(" ", $A965, 12)))))</formula>
    </cfRule>
  </conditionalFormatting>
  <conditionalFormatting sqref="A965">
    <cfRule type="expression" dxfId="25" priority="4959" stopIfTrue="1">
      <formula>$A965="decimal"</formula>
    </cfRule>
  </conditionalFormatting>
  <conditionalFormatting sqref="A965">
    <cfRule type="expression" dxfId="26" priority="4960" stopIfTrue="1">
      <formula>$A965="integer"</formula>
    </cfRule>
  </conditionalFormatting>
  <conditionalFormatting sqref="A965">
    <cfRule type="expression" dxfId="27" priority="4961" stopIfTrue="1">
      <formula>$A965="text"</formula>
    </cfRule>
  </conditionalFormatting>
  <conditionalFormatting sqref="A965">
    <cfRule type="expression" dxfId="28" priority="4962" stopIfTrue="1">
      <formula>$A965="end repeat"</formula>
    </cfRule>
  </conditionalFormatting>
  <conditionalFormatting sqref="A965">
    <cfRule type="expression" dxfId="28" priority="4963" stopIfTrue="1">
      <formula>$A965="begin repeat"</formula>
    </cfRule>
  </conditionalFormatting>
  <conditionalFormatting sqref="A965">
    <cfRule type="expression" dxfId="29" priority="4964" stopIfTrue="1">
      <formula>$A965="end group"</formula>
    </cfRule>
  </conditionalFormatting>
  <conditionalFormatting sqref="A965">
    <cfRule type="expression" dxfId="29" priority="4965" stopIfTrue="1">
      <formula>$A965="begin group"</formula>
    </cfRule>
  </conditionalFormatting>
  <conditionalFormatting sqref="A963">
    <cfRule type="expression" dxfId="33" priority="4966" stopIfTrue="1">
      <formula>$A963="file"</formula>
    </cfRule>
  </conditionalFormatting>
  <conditionalFormatting sqref="A963">
    <cfRule type="expression" dxfId="34" priority="4967" stopIfTrue="1">
      <formula>$A963="enumerator"</formula>
    </cfRule>
  </conditionalFormatting>
  <conditionalFormatting sqref="A963">
    <cfRule type="expression" dxfId="35" priority="4968" stopIfTrue="1">
      <formula>OR(AND(LEFT($A963, 14)="sensor_stream ", LEN($A963)&gt;14, NOT(ISNUMBER(SEARCH(" ", $A963, 15)))), AND(LEFT($A963, 17)="sensor_statistic ", LEN($A963)&gt;17, NOT(ISNUMBER(SEARCH(" ", $A963, 18)))))</formula>
    </cfRule>
  </conditionalFormatting>
  <conditionalFormatting sqref="A963">
    <cfRule type="expression" dxfId="14" priority="4969" stopIfTrue="1">
      <formula>$A963="comments"</formula>
    </cfRule>
  </conditionalFormatting>
  <conditionalFormatting sqref="A963">
    <cfRule type="expression" dxfId="15" priority="4970" stopIfTrue="1">
      <formula>OR($A963="audio", $A963="video")</formula>
    </cfRule>
  </conditionalFormatting>
  <conditionalFormatting sqref="A963">
    <cfRule type="expression" dxfId="16" priority="4971" stopIfTrue="1">
      <formula>$A963="image"</formula>
    </cfRule>
  </conditionalFormatting>
  <conditionalFormatting sqref="A963">
    <cfRule type="expression" dxfId="17" priority="4972" stopIfTrue="1">
      <formula>OR($A963="date", $A963="datetime", $A963="time")</formula>
    </cfRule>
  </conditionalFormatting>
  <conditionalFormatting sqref="A963">
    <cfRule type="expression" dxfId="18" priority="4973" stopIfTrue="1">
      <formula>OR($A963="calculate", $A963="calculate_here")</formula>
    </cfRule>
  </conditionalFormatting>
  <conditionalFormatting sqref="A963">
    <cfRule type="expression" dxfId="19" priority="4974" stopIfTrue="1">
      <formula>$A963="note"</formula>
    </cfRule>
  </conditionalFormatting>
  <conditionalFormatting sqref="A963">
    <cfRule type="expression" dxfId="20" priority="4975" stopIfTrue="1">
      <formula>$A963="barcode"</formula>
    </cfRule>
  </conditionalFormatting>
  <conditionalFormatting sqref="A963">
    <cfRule type="expression" dxfId="21" priority="4976" stopIfTrue="1">
      <formula>OR($A963="geopoint", $A963="geoshape", $A963="geotrace")</formula>
    </cfRule>
  </conditionalFormatting>
  <conditionalFormatting sqref="A963">
    <cfRule type="expression" dxfId="22" priority="4977" stopIfTrue="1">
      <formula>OR($A963="audio audit", $A963="text audit", $A963="speed violations count", $A963="speed violations list", $A963="speed violations audit")</formula>
    </cfRule>
  </conditionalFormatting>
  <conditionalFormatting sqref="A963">
    <cfRule type="expression" dxfId="23" priority="4978" stopIfTrue="1">
      <formula>OR($A963="username", $A963="phonenumber", $A963="start", $A963="end", $A963="deviceid", $A963="subscriberid", $A963="simserial", $A963="caseid")</formula>
    </cfRule>
  </conditionalFormatting>
  <conditionalFormatting sqref="A963">
    <cfRule type="expression" dxfId="24" priority="4979" stopIfTrue="1">
      <formula>OR(AND(LEFT($A963, 16)="select_multiple ", LEN($A963)&gt;16, NOT(ISNUMBER(SEARCH(" ", $A963, 17)))), AND(LEFT($A963, 11)="select_one ", LEN($A963)&gt;11, NOT(ISNUMBER(SEARCH(" ", $A963, 12)))))</formula>
    </cfRule>
  </conditionalFormatting>
  <conditionalFormatting sqref="A963">
    <cfRule type="expression" dxfId="25" priority="4980" stopIfTrue="1">
      <formula>$A963="decimal"</formula>
    </cfRule>
  </conditionalFormatting>
  <conditionalFormatting sqref="A963">
    <cfRule type="expression" dxfId="26" priority="4981" stopIfTrue="1">
      <formula>$A963="integer"</formula>
    </cfRule>
  </conditionalFormatting>
  <conditionalFormatting sqref="A963">
    <cfRule type="expression" dxfId="27" priority="4982" stopIfTrue="1">
      <formula>$A963="text"</formula>
    </cfRule>
  </conditionalFormatting>
  <conditionalFormatting sqref="A963">
    <cfRule type="expression" dxfId="28" priority="4983" stopIfTrue="1">
      <formula>$A963="end repeat"</formula>
    </cfRule>
  </conditionalFormatting>
  <conditionalFormatting sqref="A963">
    <cfRule type="expression" dxfId="28" priority="4984" stopIfTrue="1">
      <formula>$A963="begin repeat"</formula>
    </cfRule>
  </conditionalFormatting>
  <conditionalFormatting sqref="A963">
    <cfRule type="expression" dxfId="29" priority="4985" stopIfTrue="1">
      <formula>$A963="end group"</formula>
    </cfRule>
  </conditionalFormatting>
  <conditionalFormatting sqref="A963">
    <cfRule type="expression" dxfId="29" priority="4986" stopIfTrue="1">
      <formula>$A963="begin group"</formula>
    </cfRule>
  </conditionalFormatting>
  <conditionalFormatting sqref="A949:A961">
    <cfRule type="expression" dxfId="33" priority="4987" stopIfTrue="1">
      <formula>$A949="file"</formula>
    </cfRule>
  </conditionalFormatting>
  <conditionalFormatting sqref="A949:A961">
    <cfRule type="expression" dxfId="34" priority="4988" stopIfTrue="1">
      <formula>$A949="enumerator"</formula>
    </cfRule>
  </conditionalFormatting>
  <conditionalFormatting sqref="A949:A961">
    <cfRule type="expression" dxfId="35" priority="4989" stopIfTrue="1">
      <formula>OR(AND(LEFT($A949, 14)="sensor_stream ", LEN($A949)&gt;14, NOT(ISNUMBER(SEARCH(" ", $A949, 15)))), AND(LEFT($A949, 17)="sensor_statistic ", LEN($A949)&gt;17, NOT(ISNUMBER(SEARCH(" ", $A949, 18)))))</formula>
    </cfRule>
  </conditionalFormatting>
  <conditionalFormatting sqref="A949:A961">
    <cfRule type="expression" dxfId="14" priority="4990" stopIfTrue="1">
      <formula>$A949="comments"</formula>
    </cfRule>
  </conditionalFormatting>
  <conditionalFormatting sqref="A949:A961">
    <cfRule type="expression" dxfId="15" priority="4991" stopIfTrue="1">
      <formula>OR($A949="audio", $A949="video")</formula>
    </cfRule>
  </conditionalFormatting>
  <conditionalFormatting sqref="A949:A961">
    <cfRule type="expression" dxfId="16" priority="4992" stopIfTrue="1">
      <formula>$A949="image"</formula>
    </cfRule>
  </conditionalFormatting>
  <conditionalFormatting sqref="A949:A961">
    <cfRule type="expression" dxfId="17" priority="4993" stopIfTrue="1">
      <formula>OR($A949="date", $A949="datetime", $A949="time")</formula>
    </cfRule>
  </conditionalFormatting>
  <conditionalFormatting sqref="A949:A961">
    <cfRule type="expression" dxfId="18" priority="4994" stopIfTrue="1">
      <formula>OR($A949="calculate", $A949="calculate_here")</formula>
    </cfRule>
  </conditionalFormatting>
  <conditionalFormatting sqref="A949:A961">
    <cfRule type="expression" dxfId="19" priority="4995" stopIfTrue="1">
      <formula>$A949="note"</formula>
    </cfRule>
  </conditionalFormatting>
  <conditionalFormatting sqref="A949:A961">
    <cfRule type="expression" dxfId="20" priority="4996" stopIfTrue="1">
      <formula>$A949="barcode"</formula>
    </cfRule>
  </conditionalFormatting>
  <conditionalFormatting sqref="A949:A961">
    <cfRule type="expression" dxfId="21" priority="4997" stopIfTrue="1">
      <formula>OR($A949="geopoint", $A949="geoshape", $A949="geotrace")</formula>
    </cfRule>
  </conditionalFormatting>
  <conditionalFormatting sqref="A949:A961">
    <cfRule type="expression" dxfId="22" priority="4998" stopIfTrue="1">
      <formula>OR($A949="audio audit", $A949="text audit", $A949="speed violations count", $A949="speed violations list", $A949="speed violations audit")</formula>
    </cfRule>
  </conditionalFormatting>
  <conditionalFormatting sqref="A949:A961">
    <cfRule type="expression" dxfId="23" priority="4999" stopIfTrue="1">
      <formula>OR($A949="username", $A949="phonenumber", $A949="start", $A949="end", $A949="deviceid", $A949="subscriberid", $A949="simserial", $A949="caseid")</formula>
    </cfRule>
  </conditionalFormatting>
  <conditionalFormatting sqref="A949:A961">
    <cfRule type="expression" dxfId="24" priority="5000" stopIfTrue="1">
      <formula>OR(AND(LEFT($A949, 16)="select_multiple ", LEN($A949)&gt;16, NOT(ISNUMBER(SEARCH(" ", $A949, 17)))), AND(LEFT($A949, 11)="select_one ", LEN($A949)&gt;11, NOT(ISNUMBER(SEARCH(" ", $A949, 12)))))</formula>
    </cfRule>
  </conditionalFormatting>
  <conditionalFormatting sqref="A949:A961">
    <cfRule type="expression" dxfId="25" priority="5001" stopIfTrue="1">
      <formula>$A949="decimal"</formula>
    </cfRule>
  </conditionalFormatting>
  <conditionalFormatting sqref="A949:A961">
    <cfRule type="expression" dxfId="26" priority="5002" stopIfTrue="1">
      <formula>$A949="integer"</formula>
    </cfRule>
  </conditionalFormatting>
  <conditionalFormatting sqref="A949:A961">
    <cfRule type="expression" dxfId="27" priority="5003" stopIfTrue="1">
      <formula>$A949="text"</formula>
    </cfRule>
  </conditionalFormatting>
  <conditionalFormatting sqref="A949:A961">
    <cfRule type="expression" dxfId="28" priority="5004" stopIfTrue="1">
      <formula>$A949="end repeat"</formula>
    </cfRule>
  </conditionalFormatting>
  <conditionalFormatting sqref="A949:A961">
    <cfRule type="expression" dxfId="28" priority="5005" stopIfTrue="1">
      <formula>$A949="begin repeat"</formula>
    </cfRule>
  </conditionalFormatting>
  <conditionalFormatting sqref="A949:A961">
    <cfRule type="expression" dxfId="29" priority="5006" stopIfTrue="1">
      <formula>$A949="end group"</formula>
    </cfRule>
  </conditionalFormatting>
  <conditionalFormatting sqref="A949:A961">
    <cfRule type="expression" dxfId="29" priority="5007" stopIfTrue="1">
      <formula>$A949="begin group"</formula>
    </cfRule>
  </conditionalFormatting>
  <conditionalFormatting sqref="A932:A936">
    <cfRule type="expression" dxfId="33" priority="5008" stopIfTrue="1">
      <formula>$A932="file"</formula>
    </cfRule>
  </conditionalFormatting>
  <conditionalFormatting sqref="A932:A936">
    <cfRule type="expression" dxfId="34" priority="5009" stopIfTrue="1">
      <formula>$A932="enumerator"</formula>
    </cfRule>
  </conditionalFormatting>
  <conditionalFormatting sqref="A932:A936">
    <cfRule type="expression" dxfId="35" priority="5010" stopIfTrue="1">
      <formula>OR(AND(LEFT($A932, 14)="sensor_stream ", LEN($A932)&gt;14, NOT(ISNUMBER(SEARCH(" ", $A932, 15)))), AND(LEFT($A932, 17)="sensor_statistic ", LEN($A932)&gt;17, NOT(ISNUMBER(SEARCH(" ", $A932, 18)))))</formula>
    </cfRule>
  </conditionalFormatting>
  <conditionalFormatting sqref="A932:A936">
    <cfRule type="expression" dxfId="14" priority="5011" stopIfTrue="1">
      <formula>$A932="comments"</formula>
    </cfRule>
  </conditionalFormatting>
  <conditionalFormatting sqref="A932:A936">
    <cfRule type="expression" dxfId="15" priority="5012" stopIfTrue="1">
      <formula>OR($A932="audio", $A932="video")</formula>
    </cfRule>
  </conditionalFormatting>
  <conditionalFormatting sqref="A932:A936">
    <cfRule type="expression" dxfId="16" priority="5013" stopIfTrue="1">
      <formula>$A932="image"</formula>
    </cfRule>
  </conditionalFormatting>
  <conditionalFormatting sqref="A932:A936">
    <cfRule type="expression" dxfId="17" priority="5014" stopIfTrue="1">
      <formula>OR($A932="date", $A932="datetime", $A932="time")</formula>
    </cfRule>
  </conditionalFormatting>
  <conditionalFormatting sqref="A932:A936">
    <cfRule type="expression" dxfId="18" priority="5015" stopIfTrue="1">
      <formula>OR($A932="calculate", $A932="calculate_here")</formula>
    </cfRule>
  </conditionalFormatting>
  <conditionalFormatting sqref="A932:A936">
    <cfRule type="expression" dxfId="19" priority="5016" stopIfTrue="1">
      <formula>$A932="note"</formula>
    </cfRule>
  </conditionalFormatting>
  <conditionalFormatting sqref="A932:A936">
    <cfRule type="expression" dxfId="20" priority="5017" stopIfTrue="1">
      <formula>$A932="barcode"</formula>
    </cfRule>
  </conditionalFormatting>
  <conditionalFormatting sqref="A932:A936">
    <cfRule type="expression" dxfId="21" priority="5018" stopIfTrue="1">
      <formula>OR($A932="geopoint", $A932="geoshape", $A932="geotrace")</formula>
    </cfRule>
  </conditionalFormatting>
  <conditionalFormatting sqref="A932:A936">
    <cfRule type="expression" dxfId="22" priority="5019" stopIfTrue="1">
      <formula>OR($A932="audio audit", $A932="text audit", $A932="speed violations count", $A932="speed violations list", $A932="speed violations audit")</formula>
    </cfRule>
  </conditionalFormatting>
  <conditionalFormatting sqref="A932:A936">
    <cfRule type="expression" dxfId="23" priority="5020" stopIfTrue="1">
      <formula>OR($A932="username", $A932="phonenumber", $A932="start", $A932="end", $A932="deviceid", $A932="subscriberid", $A932="simserial", $A932="caseid")</formula>
    </cfRule>
  </conditionalFormatting>
  <conditionalFormatting sqref="A932:A936">
    <cfRule type="expression" dxfId="24" priority="5021" stopIfTrue="1">
      <formula>OR(AND(LEFT($A932, 16)="select_multiple ", LEN($A932)&gt;16, NOT(ISNUMBER(SEARCH(" ", $A932, 17)))), AND(LEFT($A932, 11)="select_one ", LEN($A932)&gt;11, NOT(ISNUMBER(SEARCH(" ", $A932, 12)))))</formula>
    </cfRule>
  </conditionalFormatting>
  <conditionalFormatting sqref="A932:A936">
    <cfRule type="expression" dxfId="25" priority="5022" stopIfTrue="1">
      <formula>$A932="decimal"</formula>
    </cfRule>
  </conditionalFormatting>
  <conditionalFormatting sqref="A932:A936">
    <cfRule type="expression" dxfId="26" priority="5023" stopIfTrue="1">
      <formula>$A932="integer"</formula>
    </cfRule>
  </conditionalFormatting>
  <conditionalFormatting sqref="A932:A936">
    <cfRule type="expression" dxfId="27" priority="5024" stopIfTrue="1">
      <formula>$A932="text"</formula>
    </cfRule>
  </conditionalFormatting>
  <conditionalFormatting sqref="A932:A936">
    <cfRule type="expression" dxfId="28" priority="5025" stopIfTrue="1">
      <formula>$A932="end repeat"</formula>
    </cfRule>
  </conditionalFormatting>
  <conditionalFormatting sqref="A932:A936">
    <cfRule type="expression" dxfId="28" priority="5026" stopIfTrue="1">
      <formula>$A932="begin repeat"</formula>
    </cfRule>
  </conditionalFormatting>
  <conditionalFormatting sqref="A932:A936">
    <cfRule type="expression" dxfId="29" priority="5027" stopIfTrue="1">
      <formula>$A932="end group"</formula>
    </cfRule>
  </conditionalFormatting>
  <conditionalFormatting sqref="A932:A936">
    <cfRule type="expression" dxfId="29" priority="5028" stopIfTrue="1">
      <formula>$A932="begin group"</formula>
    </cfRule>
  </conditionalFormatting>
  <conditionalFormatting sqref="A929">
    <cfRule type="expression" dxfId="33" priority="5029" stopIfTrue="1">
      <formula>$A929="file"</formula>
    </cfRule>
  </conditionalFormatting>
  <conditionalFormatting sqref="A929">
    <cfRule type="expression" dxfId="34" priority="5030" stopIfTrue="1">
      <formula>$A929="enumerator"</formula>
    </cfRule>
  </conditionalFormatting>
  <conditionalFormatting sqref="A929">
    <cfRule type="expression" dxfId="35" priority="5031" stopIfTrue="1">
      <formula>OR(AND(LEFT($A929, 14)="sensor_stream ", LEN($A929)&gt;14, NOT(ISNUMBER(SEARCH(" ", $A929, 15)))), AND(LEFT($A929, 17)="sensor_statistic ", LEN($A929)&gt;17, NOT(ISNUMBER(SEARCH(" ", $A929, 18)))))</formula>
    </cfRule>
  </conditionalFormatting>
  <conditionalFormatting sqref="A929">
    <cfRule type="expression" dxfId="14" priority="5032" stopIfTrue="1">
      <formula>$A929="comments"</formula>
    </cfRule>
  </conditionalFormatting>
  <conditionalFormatting sqref="A929">
    <cfRule type="expression" dxfId="15" priority="5033" stopIfTrue="1">
      <formula>OR($A929="audio", $A929="video")</formula>
    </cfRule>
  </conditionalFormatting>
  <conditionalFormatting sqref="A929">
    <cfRule type="expression" dxfId="16" priority="5034" stopIfTrue="1">
      <formula>$A929="image"</formula>
    </cfRule>
  </conditionalFormatting>
  <conditionalFormatting sqref="A929">
    <cfRule type="expression" dxfId="17" priority="5035" stopIfTrue="1">
      <formula>OR($A929="date", $A929="datetime", $A929="time")</formula>
    </cfRule>
  </conditionalFormatting>
  <conditionalFormatting sqref="A929">
    <cfRule type="expression" dxfId="18" priority="5036" stopIfTrue="1">
      <formula>OR($A929="calculate", $A929="calculate_here")</formula>
    </cfRule>
  </conditionalFormatting>
  <conditionalFormatting sqref="A929">
    <cfRule type="expression" dxfId="19" priority="5037" stopIfTrue="1">
      <formula>$A929="note"</formula>
    </cfRule>
  </conditionalFormatting>
  <conditionalFormatting sqref="A929">
    <cfRule type="expression" dxfId="20" priority="5038" stopIfTrue="1">
      <formula>$A929="barcode"</formula>
    </cfRule>
  </conditionalFormatting>
  <conditionalFormatting sqref="A929">
    <cfRule type="expression" dxfId="21" priority="5039" stopIfTrue="1">
      <formula>OR($A929="geopoint", $A929="geoshape", $A929="geotrace")</formula>
    </cfRule>
  </conditionalFormatting>
  <conditionalFormatting sqref="A929">
    <cfRule type="expression" dxfId="22" priority="5040" stopIfTrue="1">
      <formula>OR($A929="audio audit", $A929="text audit", $A929="speed violations count", $A929="speed violations list", $A929="speed violations audit")</formula>
    </cfRule>
  </conditionalFormatting>
  <conditionalFormatting sqref="A929">
    <cfRule type="expression" dxfId="23" priority="5041" stopIfTrue="1">
      <formula>OR($A929="username", $A929="phonenumber", $A929="start", $A929="end", $A929="deviceid", $A929="subscriberid", $A929="simserial", $A929="caseid")</formula>
    </cfRule>
  </conditionalFormatting>
  <conditionalFormatting sqref="A929">
    <cfRule type="expression" dxfId="24" priority="5042" stopIfTrue="1">
      <formula>OR(AND(LEFT($A929, 16)="select_multiple ", LEN($A929)&gt;16, NOT(ISNUMBER(SEARCH(" ", $A929, 17)))), AND(LEFT($A929, 11)="select_one ", LEN($A929)&gt;11, NOT(ISNUMBER(SEARCH(" ", $A929, 12)))))</formula>
    </cfRule>
  </conditionalFormatting>
  <conditionalFormatting sqref="A929">
    <cfRule type="expression" dxfId="25" priority="5043" stopIfTrue="1">
      <formula>$A929="decimal"</formula>
    </cfRule>
  </conditionalFormatting>
  <conditionalFormatting sqref="A929">
    <cfRule type="expression" dxfId="26" priority="5044" stopIfTrue="1">
      <formula>$A929="integer"</formula>
    </cfRule>
  </conditionalFormatting>
  <conditionalFormatting sqref="A929">
    <cfRule type="expression" dxfId="27" priority="5045" stopIfTrue="1">
      <formula>$A929="text"</formula>
    </cfRule>
  </conditionalFormatting>
  <conditionalFormatting sqref="A929">
    <cfRule type="expression" dxfId="28" priority="5046" stopIfTrue="1">
      <formula>$A929="end repeat"</formula>
    </cfRule>
  </conditionalFormatting>
  <conditionalFormatting sqref="A929">
    <cfRule type="expression" dxfId="28" priority="5047" stopIfTrue="1">
      <formula>$A929="begin repeat"</formula>
    </cfRule>
  </conditionalFormatting>
  <conditionalFormatting sqref="A929">
    <cfRule type="expression" dxfId="29" priority="5048" stopIfTrue="1">
      <formula>$A929="end group"</formula>
    </cfRule>
  </conditionalFormatting>
  <conditionalFormatting sqref="A929">
    <cfRule type="expression" dxfId="29" priority="5049" stopIfTrue="1">
      <formula>$A929="begin group"</formula>
    </cfRule>
  </conditionalFormatting>
  <conditionalFormatting sqref="A926">
    <cfRule type="expression" dxfId="33" priority="5050" stopIfTrue="1">
      <formula>$A926="file"</formula>
    </cfRule>
  </conditionalFormatting>
  <conditionalFormatting sqref="A926">
    <cfRule type="expression" dxfId="34" priority="5051" stopIfTrue="1">
      <formula>$A926="enumerator"</formula>
    </cfRule>
  </conditionalFormatting>
  <conditionalFormatting sqref="A926">
    <cfRule type="expression" dxfId="35" priority="5052" stopIfTrue="1">
      <formula>OR(AND(LEFT($A926, 14)="sensor_stream ", LEN($A926)&gt;14, NOT(ISNUMBER(SEARCH(" ", $A926, 15)))), AND(LEFT($A926, 17)="sensor_statistic ", LEN($A926)&gt;17, NOT(ISNUMBER(SEARCH(" ", $A926, 18)))))</formula>
    </cfRule>
  </conditionalFormatting>
  <conditionalFormatting sqref="A926">
    <cfRule type="expression" dxfId="14" priority="5053" stopIfTrue="1">
      <formula>$A926="comments"</formula>
    </cfRule>
  </conditionalFormatting>
  <conditionalFormatting sqref="A926">
    <cfRule type="expression" dxfId="15" priority="5054" stopIfTrue="1">
      <formula>OR($A926="audio", $A926="video")</formula>
    </cfRule>
  </conditionalFormatting>
  <conditionalFormatting sqref="A926">
    <cfRule type="expression" dxfId="16" priority="5055" stopIfTrue="1">
      <formula>$A926="image"</formula>
    </cfRule>
  </conditionalFormatting>
  <conditionalFormatting sqref="A926">
    <cfRule type="expression" dxfId="17" priority="5056" stopIfTrue="1">
      <formula>OR($A926="date", $A926="datetime", $A926="time")</formula>
    </cfRule>
  </conditionalFormatting>
  <conditionalFormatting sqref="A926">
    <cfRule type="expression" dxfId="18" priority="5057" stopIfTrue="1">
      <formula>OR($A926="calculate", $A926="calculate_here")</formula>
    </cfRule>
  </conditionalFormatting>
  <conditionalFormatting sqref="A926">
    <cfRule type="expression" dxfId="19" priority="5058" stopIfTrue="1">
      <formula>$A926="note"</formula>
    </cfRule>
  </conditionalFormatting>
  <conditionalFormatting sqref="A926">
    <cfRule type="expression" dxfId="20" priority="5059" stopIfTrue="1">
      <formula>$A926="barcode"</formula>
    </cfRule>
  </conditionalFormatting>
  <conditionalFormatting sqref="A926">
    <cfRule type="expression" dxfId="21" priority="5060" stopIfTrue="1">
      <formula>OR($A926="geopoint", $A926="geoshape", $A926="geotrace")</formula>
    </cfRule>
  </conditionalFormatting>
  <conditionalFormatting sqref="A926">
    <cfRule type="expression" dxfId="22" priority="5061" stopIfTrue="1">
      <formula>OR($A926="audio audit", $A926="text audit", $A926="speed violations count", $A926="speed violations list", $A926="speed violations audit")</formula>
    </cfRule>
  </conditionalFormatting>
  <conditionalFormatting sqref="A926">
    <cfRule type="expression" dxfId="23" priority="5062" stopIfTrue="1">
      <formula>OR($A926="username", $A926="phonenumber", $A926="start", $A926="end", $A926="deviceid", $A926="subscriberid", $A926="simserial", $A926="caseid")</formula>
    </cfRule>
  </conditionalFormatting>
  <conditionalFormatting sqref="A926">
    <cfRule type="expression" dxfId="24" priority="5063" stopIfTrue="1">
      <formula>OR(AND(LEFT($A926, 16)="select_multiple ", LEN($A926)&gt;16, NOT(ISNUMBER(SEARCH(" ", $A926, 17)))), AND(LEFT($A926, 11)="select_one ", LEN($A926)&gt;11, NOT(ISNUMBER(SEARCH(" ", $A926, 12)))))</formula>
    </cfRule>
  </conditionalFormatting>
  <conditionalFormatting sqref="A926">
    <cfRule type="expression" dxfId="25" priority="5064" stopIfTrue="1">
      <formula>$A926="decimal"</formula>
    </cfRule>
  </conditionalFormatting>
  <conditionalFormatting sqref="A926">
    <cfRule type="expression" dxfId="26" priority="5065" stopIfTrue="1">
      <formula>$A926="integer"</formula>
    </cfRule>
  </conditionalFormatting>
  <conditionalFormatting sqref="A926">
    <cfRule type="expression" dxfId="27" priority="5066" stopIfTrue="1">
      <formula>$A926="text"</formula>
    </cfRule>
  </conditionalFormatting>
  <conditionalFormatting sqref="A926">
    <cfRule type="expression" dxfId="28" priority="5067" stopIfTrue="1">
      <formula>$A926="end repeat"</formula>
    </cfRule>
  </conditionalFormatting>
  <conditionalFormatting sqref="A926">
    <cfRule type="expression" dxfId="28" priority="5068" stopIfTrue="1">
      <formula>$A926="begin repeat"</formula>
    </cfRule>
  </conditionalFormatting>
  <conditionalFormatting sqref="A926">
    <cfRule type="expression" dxfId="29" priority="5069" stopIfTrue="1">
      <formula>$A926="end group"</formula>
    </cfRule>
  </conditionalFormatting>
  <conditionalFormatting sqref="A926">
    <cfRule type="expression" dxfId="29" priority="5070" stopIfTrue="1">
      <formula>$A926="begin group"</formula>
    </cfRule>
  </conditionalFormatting>
  <conditionalFormatting sqref="A924">
    <cfRule type="expression" dxfId="33" priority="5071" stopIfTrue="1">
      <formula>$A924="file"</formula>
    </cfRule>
  </conditionalFormatting>
  <conditionalFormatting sqref="A924">
    <cfRule type="expression" dxfId="34" priority="5072" stopIfTrue="1">
      <formula>$A924="enumerator"</formula>
    </cfRule>
  </conditionalFormatting>
  <conditionalFormatting sqref="A924">
    <cfRule type="expression" dxfId="35" priority="5073" stopIfTrue="1">
      <formula>OR(AND(LEFT($A924, 14)="sensor_stream ", LEN($A924)&gt;14, NOT(ISNUMBER(SEARCH(" ", $A924, 15)))), AND(LEFT($A924, 17)="sensor_statistic ", LEN($A924)&gt;17, NOT(ISNUMBER(SEARCH(" ", $A924, 18)))))</formula>
    </cfRule>
  </conditionalFormatting>
  <conditionalFormatting sqref="A924">
    <cfRule type="expression" dxfId="14" priority="5074" stopIfTrue="1">
      <formula>$A924="comments"</formula>
    </cfRule>
  </conditionalFormatting>
  <conditionalFormatting sqref="A924">
    <cfRule type="expression" dxfId="15" priority="5075" stopIfTrue="1">
      <formula>OR($A924="audio", $A924="video")</formula>
    </cfRule>
  </conditionalFormatting>
  <conditionalFormatting sqref="A924">
    <cfRule type="expression" dxfId="16" priority="5076" stopIfTrue="1">
      <formula>$A924="image"</formula>
    </cfRule>
  </conditionalFormatting>
  <conditionalFormatting sqref="A924">
    <cfRule type="expression" dxfId="17" priority="5077" stopIfTrue="1">
      <formula>OR($A924="date", $A924="datetime", $A924="time")</formula>
    </cfRule>
  </conditionalFormatting>
  <conditionalFormatting sqref="A924">
    <cfRule type="expression" dxfId="18" priority="5078" stopIfTrue="1">
      <formula>OR($A924="calculate", $A924="calculate_here")</formula>
    </cfRule>
  </conditionalFormatting>
  <conditionalFormatting sqref="A924">
    <cfRule type="expression" dxfId="19" priority="5079" stopIfTrue="1">
      <formula>$A924="note"</formula>
    </cfRule>
  </conditionalFormatting>
  <conditionalFormatting sqref="A924">
    <cfRule type="expression" dxfId="20" priority="5080" stopIfTrue="1">
      <formula>$A924="barcode"</formula>
    </cfRule>
  </conditionalFormatting>
  <conditionalFormatting sqref="A924">
    <cfRule type="expression" dxfId="21" priority="5081" stopIfTrue="1">
      <formula>OR($A924="geopoint", $A924="geoshape", $A924="geotrace")</formula>
    </cfRule>
  </conditionalFormatting>
  <conditionalFormatting sqref="A924">
    <cfRule type="expression" dxfId="22" priority="5082" stopIfTrue="1">
      <formula>OR($A924="audio audit", $A924="text audit", $A924="speed violations count", $A924="speed violations list", $A924="speed violations audit")</formula>
    </cfRule>
  </conditionalFormatting>
  <conditionalFormatting sqref="A924">
    <cfRule type="expression" dxfId="23" priority="5083" stopIfTrue="1">
      <formula>OR($A924="username", $A924="phonenumber", $A924="start", $A924="end", $A924="deviceid", $A924="subscriberid", $A924="simserial", $A924="caseid")</formula>
    </cfRule>
  </conditionalFormatting>
  <conditionalFormatting sqref="A924">
    <cfRule type="expression" dxfId="24" priority="5084" stopIfTrue="1">
      <formula>OR(AND(LEFT($A924, 16)="select_multiple ", LEN($A924)&gt;16, NOT(ISNUMBER(SEARCH(" ", $A924, 17)))), AND(LEFT($A924, 11)="select_one ", LEN($A924)&gt;11, NOT(ISNUMBER(SEARCH(" ", $A924, 12)))))</formula>
    </cfRule>
  </conditionalFormatting>
  <conditionalFormatting sqref="A924">
    <cfRule type="expression" dxfId="25" priority="5085" stopIfTrue="1">
      <formula>$A924="decimal"</formula>
    </cfRule>
  </conditionalFormatting>
  <conditionalFormatting sqref="A924">
    <cfRule type="expression" dxfId="26" priority="5086" stopIfTrue="1">
      <formula>$A924="integer"</formula>
    </cfRule>
  </conditionalFormatting>
  <conditionalFormatting sqref="A924">
    <cfRule type="expression" dxfId="27" priority="5087" stopIfTrue="1">
      <formula>$A924="text"</formula>
    </cfRule>
  </conditionalFormatting>
  <conditionalFormatting sqref="A924">
    <cfRule type="expression" dxfId="28" priority="5088" stopIfTrue="1">
      <formula>$A924="end repeat"</formula>
    </cfRule>
  </conditionalFormatting>
  <conditionalFormatting sqref="A924">
    <cfRule type="expression" dxfId="28" priority="5089" stopIfTrue="1">
      <formula>$A924="begin repeat"</formula>
    </cfRule>
  </conditionalFormatting>
  <conditionalFormatting sqref="A924">
    <cfRule type="expression" dxfId="29" priority="5090" stopIfTrue="1">
      <formula>$A924="end group"</formula>
    </cfRule>
  </conditionalFormatting>
  <conditionalFormatting sqref="A924">
    <cfRule type="expression" dxfId="29" priority="5091" stopIfTrue="1">
      <formula>$A924="begin group"</formula>
    </cfRule>
  </conditionalFormatting>
  <conditionalFormatting sqref="A921">
    <cfRule type="expression" dxfId="33" priority="5092" stopIfTrue="1">
      <formula>$A921="file"</formula>
    </cfRule>
  </conditionalFormatting>
  <conditionalFormatting sqref="A921">
    <cfRule type="expression" dxfId="34" priority="5093" stopIfTrue="1">
      <formula>$A921="enumerator"</formula>
    </cfRule>
  </conditionalFormatting>
  <conditionalFormatting sqref="A921">
    <cfRule type="expression" dxfId="35" priority="5094" stopIfTrue="1">
      <formula>OR(AND(LEFT($A921, 14)="sensor_stream ", LEN($A921)&gt;14, NOT(ISNUMBER(SEARCH(" ", $A921, 15)))), AND(LEFT($A921, 17)="sensor_statistic ", LEN($A921)&gt;17, NOT(ISNUMBER(SEARCH(" ", $A921, 18)))))</formula>
    </cfRule>
  </conditionalFormatting>
  <conditionalFormatting sqref="A921">
    <cfRule type="expression" dxfId="14" priority="5095" stopIfTrue="1">
      <formula>$A921="comments"</formula>
    </cfRule>
  </conditionalFormatting>
  <conditionalFormatting sqref="A921">
    <cfRule type="expression" dxfId="15" priority="5096" stopIfTrue="1">
      <formula>OR($A921="audio", $A921="video")</formula>
    </cfRule>
  </conditionalFormatting>
  <conditionalFormatting sqref="A921">
    <cfRule type="expression" dxfId="16" priority="5097" stopIfTrue="1">
      <formula>$A921="image"</formula>
    </cfRule>
  </conditionalFormatting>
  <conditionalFormatting sqref="A921">
    <cfRule type="expression" dxfId="17" priority="5098" stopIfTrue="1">
      <formula>OR($A921="date", $A921="datetime", $A921="time")</formula>
    </cfRule>
  </conditionalFormatting>
  <conditionalFormatting sqref="A921">
    <cfRule type="expression" dxfId="18" priority="5099" stopIfTrue="1">
      <formula>OR($A921="calculate", $A921="calculate_here")</formula>
    </cfRule>
  </conditionalFormatting>
  <conditionalFormatting sqref="A921">
    <cfRule type="expression" dxfId="19" priority="5100" stopIfTrue="1">
      <formula>$A921="note"</formula>
    </cfRule>
  </conditionalFormatting>
  <conditionalFormatting sqref="A921">
    <cfRule type="expression" dxfId="20" priority="5101" stopIfTrue="1">
      <formula>$A921="barcode"</formula>
    </cfRule>
  </conditionalFormatting>
  <conditionalFormatting sqref="A921">
    <cfRule type="expression" dxfId="21" priority="5102" stopIfTrue="1">
      <formula>OR($A921="geopoint", $A921="geoshape", $A921="geotrace")</formula>
    </cfRule>
  </conditionalFormatting>
  <conditionalFormatting sqref="A921">
    <cfRule type="expression" dxfId="22" priority="5103" stopIfTrue="1">
      <formula>OR($A921="audio audit", $A921="text audit", $A921="speed violations count", $A921="speed violations list", $A921="speed violations audit")</formula>
    </cfRule>
  </conditionalFormatting>
  <conditionalFormatting sqref="A921">
    <cfRule type="expression" dxfId="23" priority="5104" stopIfTrue="1">
      <formula>OR($A921="username", $A921="phonenumber", $A921="start", $A921="end", $A921="deviceid", $A921="subscriberid", $A921="simserial", $A921="caseid")</formula>
    </cfRule>
  </conditionalFormatting>
  <conditionalFormatting sqref="A921">
    <cfRule type="expression" dxfId="24" priority="5105" stopIfTrue="1">
      <formula>OR(AND(LEFT($A921, 16)="select_multiple ", LEN($A921)&gt;16, NOT(ISNUMBER(SEARCH(" ", $A921, 17)))), AND(LEFT($A921, 11)="select_one ", LEN($A921)&gt;11, NOT(ISNUMBER(SEARCH(" ", $A921, 12)))))</formula>
    </cfRule>
  </conditionalFormatting>
  <conditionalFormatting sqref="A921">
    <cfRule type="expression" dxfId="25" priority="5106" stopIfTrue="1">
      <formula>$A921="decimal"</formula>
    </cfRule>
  </conditionalFormatting>
  <conditionalFormatting sqref="A921">
    <cfRule type="expression" dxfId="26" priority="5107" stopIfTrue="1">
      <formula>$A921="integer"</formula>
    </cfRule>
  </conditionalFormatting>
  <conditionalFormatting sqref="A921">
    <cfRule type="expression" dxfId="27" priority="5108" stopIfTrue="1">
      <formula>$A921="text"</formula>
    </cfRule>
  </conditionalFormatting>
  <conditionalFormatting sqref="A921">
    <cfRule type="expression" dxfId="28" priority="5109" stopIfTrue="1">
      <formula>$A921="end repeat"</formula>
    </cfRule>
  </conditionalFormatting>
  <conditionalFormatting sqref="A921">
    <cfRule type="expression" dxfId="28" priority="5110" stopIfTrue="1">
      <formula>$A921="begin repeat"</formula>
    </cfRule>
  </conditionalFormatting>
  <conditionalFormatting sqref="A921">
    <cfRule type="expression" dxfId="29" priority="5111" stopIfTrue="1">
      <formula>$A921="end group"</formula>
    </cfRule>
  </conditionalFormatting>
  <conditionalFormatting sqref="A921">
    <cfRule type="expression" dxfId="29" priority="5112" stopIfTrue="1">
      <formula>$A921="begin group"</formula>
    </cfRule>
  </conditionalFormatting>
  <conditionalFormatting sqref="A905:A915">
    <cfRule type="expression" dxfId="33" priority="5113" stopIfTrue="1">
      <formula>$A905="file"</formula>
    </cfRule>
  </conditionalFormatting>
  <conditionalFormatting sqref="A905:A915">
    <cfRule type="expression" dxfId="34" priority="5114" stopIfTrue="1">
      <formula>$A905="enumerator"</formula>
    </cfRule>
  </conditionalFormatting>
  <conditionalFormatting sqref="A905:A915">
    <cfRule type="expression" dxfId="35" priority="5115" stopIfTrue="1">
      <formula>OR(AND(LEFT($A905, 14)="sensor_stream ", LEN($A905)&gt;14, NOT(ISNUMBER(SEARCH(" ", $A905, 15)))), AND(LEFT($A905, 17)="sensor_statistic ", LEN($A905)&gt;17, NOT(ISNUMBER(SEARCH(" ", $A905, 18)))))</formula>
    </cfRule>
  </conditionalFormatting>
  <conditionalFormatting sqref="A905:A915">
    <cfRule type="expression" dxfId="14" priority="5116" stopIfTrue="1">
      <formula>$A905="comments"</formula>
    </cfRule>
  </conditionalFormatting>
  <conditionalFormatting sqref="A905:A915">
    <cfRule type="expression" dxfId="15" priority="5117" stopIfTrue="1">
      <formula>OR($A905="audio", $A905="video")</formula>
    </cfRule>
  </conditionalFormatting>
  <conditionalFormatting sqref="A905:A915">
    <cfRule type="expression" dxfId="16" priority="5118" stopIfTrue="1">
      <formula>$A905="image"</formula>
    </cfRule>
  </conditionalFormatting>
  <conditionalFormatting sqref="A905:A915">
    <cfRule type="expression" dxfId="17" priority="5119" stopIfTrue="1">
      <formula>OR($A905="date", $A905="datetime", $A905="time")</formula>
    </cfRule>
  </conditionalFormatting>
  <conditionalFormatting sqref="A905:A915">
    <cfRule type="expression" dxfId="18" priority="5120" stopIfTrue="1">
      <formula>OR($A905="calculate", $A905="calculate_here")</formula>
    </cfRule>
  </conditionalFormatting>
  <conditionalFormatting sqref="A905:A915">
    <cfRule type="expression" dxfId="19" priority="5121" stopIfTrue="1">
      <formula>$A905="note"</formula>
    </cfRule>
  </conditionalFormatting>
  <conditionalFormatting sqref="A905:A915">
    <cfRule type="expression" dxfId="20" priority="5122" stopIfTrue="1">
      <formula>$A905="barcode"</formula>
    </cfRule>
  </conditionalFormatting>
  <conditionalFormatting sqref="A905:A915">
    <cfRule type="expression" dxfId="21" priority="5123" stopIfTrue="1">
      <formula>OR($A905="geopoint", $A905="geoshape", $A905="geotrace")</formula>
    </cfRule>
  </conditionalFormatting>
  <conditionalFormatting sqref="A905:A915">
    <cfRule type="expression" dxfId="22" priority="5124" stopIfTrue="1">
      <formula>OR($A905="audio audit", $A905="text audit", $A905="speed violations count", $A905="speed violations list", $A905="speed violations audit")</formula>
    </cfRule>
  </conditionalFormatting>
  <conditionalFormatting sqref="A905:A915">
    <cfRule type="expression" dxfId="23" priority="5125" stopIfTrue="1">
      <formula>OR($A905="username", $A905="phonenumber", $A905="start", $A905="end", $A905="deviceid", $A905="subscriberid", $A905="simserial", $A905="caseid")</formula>
    </cfRule>
  </conditionalFormatting>
  <conditionalFormatting sqref="A905:A915">
    <cfRule type="expression" dxfId="24" priority="5126" stopIfTrue="1">
      <formula>OR(AND(LEFT($A905, 16)="select_multiple ", LEN($A905)&gt;16, NOT(ISNUMBER(SEARCH(" ", $A905, 17)))), AND(LEFT($A905, 11)="select_one ", LEN($A905)&gt;11, NOT(ISNUMBER(SEARCH(" ", $A905, 12)))))</formula>
    </cfRule>
  </conditionalFormatting>
  <conditionalFormatting sqref="A905:A915">
    <cfRule type="expression" dxfId="25" priority="5127" stopIfTrue="1">
      <formula>$A905="decimal"</formula>
    </cfRule>
  </conditionalFormatting>
  <conditionalFormatting sqref="A905:A915">
    <cfRule type="expression" dxfId="26" priority="5128" stopIfTrue="1">
      <formula>$A905="integer"</formula>
    </cfRule>
  </conditionalFormatting>
  <conditionalFormatting sqref="A905:A915">
    <cfRule type="expression" dxfId="27" priority="5129" stopIfTrue="1">
      <formula>$A905="text"</formula>
    </cfRule>
  </conditionalFormatting>
  <conditionalFormatting sqref="A905:A915">
    <cfRule type="expression" dxfId="28" priority="5130" stopIfTrue="1">
      <formula>$A905="end repeat"</formula>
    </cfRule>
  </conditionalFormatting>
  <conditionalFormatting sqref="A905:A915">
    <cfRule type="expression" dxfId="28" priority="5131" stopIfTrue="1">
      <formula>$A905="begin repeat"</formula>
    </cfRule>
  </conditionalFormatting>
  <conditionalFormatting sqref="A905:A915">
    <cfRule type="expression" dxfId="29" priority="5132" stopIfTrue="1">
      <formula>$A905="end group"</formula>
    </cfRule>
  </conditionalFormatting>
  <conditionalFormatting sqref="A905:A915">
    <cfRule type="expression" dxfId="29" priority="5133" stopIfTrue="1">
      <formula>$A905="begin group"</formula>
    </cfRule>
  </conditionalFormatting>
  <conditionalFormatting sqref="A895:A901">
    <cfRule type="expression" dxfId="33" priority="5134" stopIfTrue="1">
      <formula>$A895="file"</formula>
    </cfRule>
  </conditionalFormatting>
  <conditionalFormatting sqref="A895:A901">
    <cfRule type="expression" dxfId="34" priority="5135" stopIfTrue="1">
      <formula>$A895="enumerator"</formula>
    </cfRule>
  </conditionalFormatting>
  <conditionalFormatting sqref="A895:A901">
    <cfRule type="expression" dxfId="35" priority="5136" stopIfTrue="1">
      <formula>OR(AND(LEFT($A895, 14)="sensor_stream ", LEN($A895)&gt;14, NOT(ISNUMBER(SEARCH(" ", $A895, 15)))), AND(LEFT($A895, 17)="sensor_statistic ", LEN($A895)&gt;17, NOT(ISNUMBER(SEARCH(" ", $A895, 18)))))</formula>
    </cfRule>
  </conditionalFormatting>
  <conditionalFormatting sqref="A895:A901">
    <cfRule type="expression" dxfId="14" priority="5137" stopIfTrue="1">
      <formula>$A895="comments"</formula>
    </cfRule>
  </conditionalFormatting>
  <conditionalFormatting sqref="A895:A901">
    <cfRule type="expression" dxfId="15" priority="5138" stopIfTrue="1">
      <formula>OR($A895="audio", $A895="video")</formula>
    </cfRule>
  </conditionalFormatting>
  <conditionalFormatting sqref="A895:A901">
    <cfRule type="expression" dxfId="16" priority="5139" stopIfTrue="1">
      <formula>$A895="image"</formula>
    </cfRule>
  </conditionalFormatting>
  <conditionalFormatting sqref="A895:A901">
    <cfRule type="expression" dxfId="17" priority="5140" stopIfTrue="1">
      <formula>OR($A895="date", $A895="datetime", $A895="time")</formula>
    </cfRule>
  </conditionalFormatting>
  <conditionalFormatting sqref="A895:A901">
    <cfRule type="expression" dxfId="18" priority="5141" stopIfTrue="1">
      <formula>OR($A895="calculate", $A895="calculate_here")</formula>
    </cfRule>
  </conditionalFormatting>
  <conditionalFormatting sqref="A895:A901">
    <cfRule type="expression" dxfId="19" priority="5142" stopIfTrue="1">
      <formula>$A895="note"</formula>
    </cfRule>
  </conditionalFormatting>
  <conditionalFormatting sqref="A895:A901">
    <cfRule type="expression" dxfId="20" priority="5143" stopIfTrue="1">
      <formula>$A895="barcode"</formula>
    </cfRule>
  </conditionalFormatting>
  <conditionalFormatting sqref="A895:A901">
    <cfRule type="expression" dxfId="21" priority="5144" stopIfTrue="1">
      <formula>OR($A895="geopoint", $A895="geoshape", $A895="geotrace")</formula>
    </cfRule>
  </conditionalFormatting>
  <conditionalFormatting sqref="A895:A901">
    <cfRule type="expression" dxfId="22" priority="5145" stopIfTrue="1">
      <formula>OR($A895="audio audit", $A895="text audit", $A895="speed violations count", $A895="speed violations list", $A895="speed violations audit")</formula>
    </cfRule>
  </conditionalFormatting>
  <conditionalFormatting sqref="A895:A901">
    <cfRule type="expression" dxfId="23" priority="5146" stopIfTrue="1">
      <formula>OR($A895="username", $A895="phonenumber", $A895="start", $A895="end", $A895="deviceid", $A895="subscriberid", $A895="simserial", $A895="caseid")</formula>
    </cfRule>
  </conditionalFormatting>
  <conditionalFormatting sqref="A895:A901">
    <cfRule type="expression" dxfId="24" priority="5147" stopIfTrue="1">
      <formula>OR(AND(LEFT($A895, 16)="select_multiple ", LEN($A895)&gt;16, NOT(ISNUMBER(SEARCH(" ", $A895, 17)))), AND(LEFT($A895, 11)="select_one ", LEN($A895)&gt;11, NOT(ISNUMBER(SEARCH(" ", $A895, 12)))))</formula>
    </cfRule>
  </conditionalFormatting>
  <conditionalFormatting sqref="A895:A901">
    <cfRule type="expression" dxfId="25" priority="5148" stopIfTrue="1">
      <formula>$A895="decimal"</formula>
    </cfRule>
  </conditionalFormatting>
  <conditionalFormatting sqref="A895:A901">
    <cfRule type="expression" dxfId="26" priority="5149" stopIfTrue="1">
      <formula>$A895="integer"</formula>
    </cfRule>
  </conditionalFormatting>
  <conditionalFormatting sqref="A895:A901">
    <cfRule type="expression" dxfId="27" priority="5150" stopIfTrue="1">
      <formula>$A895="text"</formula>
    </cfRule>
  </conditionalFormatting>
  <conditionalFormatting sqref="A895:A901">
    <cfRule type="expression" dxfId="28" priority="5151" stopIfTrue="1">
      <formula>$A895="end repeat"</formula>
    </cfRule>
  </conditionalFormatting>
  <conditionalFormatting sqref="A895:A901">
    <cfRule type="expression" dxfId="28" priority="5152" stopIfTrue="1">
      <formula>$A895="begin repeat"</formula>
    </cfRule>
  </conditionalFormatting>
  <conditionalFormatting sqref="A895:A901">
    <cfRule type="expression" dxfId="29" priority="5153" stopIfTrue="1">
      <formula>$A895="end group"</formula>
    </cfRule>
  </conditionalFormatting>
  <conditionalFormatting sqref="A895:A901">
    <cfRule type="expression" dxfId="29" priority="5154" stopIfTrue="1">
      <formula>$A895="begin group"</formula>
    </cfRule>
  </conditionalFormatting>
  <conditionalFormatting sqref="A886:A889">
    <cfRule type="expression" dxfId="33" priority="5155" stopIfTrue="1">
      <formula>$A886="file"</formula>
    </cfRule>
  </conditionalFormatting>
  <conditionalFormatting sqref="A886:A889">
    <cfRule type="expression" dxfId="34" priority="5156" stopIfTrue="1">
      <formula>$A886="enumerator"</formula>
    </cfRule>
  </conditionalFormatting>
  <conditionalFormatting sqref="A886:A889">
    <cfRule type="expression" dxfId="35" priority="5157" stopIfTrue="1">
      <formula>OR(AND(LEFT($A886, 14)="sensor_stream ", LEN($A886)&gt;14, NOT(ISNUMBER(SEARCH(" ", $A886, 15)))), AND(LEFT($A886, 17)="sensor_statistic ", LEN($A886)&gt;17, NOT(ISNUMBER(SEARCH(" ", $A886, 18)))))</formula>
    </cfRule>
  </conditionalFormatting>
  <conditionalFormatting sqref="A886:A889">
    <cfRule type="expression" dxfId="14" priority="5158" stopIfTrue="1">
      <formula>$A886="comments"</formula>
    </cfRule>
  </conditionalFormatting>
  <conditionalFormatting sqref="A886:A889">
    <cfRule type="expression" dxfId="15" priority="5159" stopIfTrue="1">
      <formula>OR($A886="audio", $A886="video")</formula>
    </cfRule>
  </conditionalFormatting>
  <conditionalFormatting sqref="A886:A889">
    <cfRule type="expression" dxfId="16" priority="5160" stopIfTrue="1">
      <formula>$A886="image"</formula>
    </cfRule>
  </conditionalFormatting>
  <conditionalFormatting sqref="A886:A889">
    <cfRule type="expression" dxfId="17" priority="5161" stopIfTrue="1">
      <formula>OR($A886="date", $A886="datetime", $A886="time")</formula>
    </cfRule>
  </conditionalFormatting>
  <conditionalFormatting sqref="A886:A889">
    <cfRule type="expression" dxfId="18" priority="5162" stopIfTrue="1">
      <formula>OR($A886="calculate", $A886="calculate_here")</formula>
    </cfRule>
  </conditionalFormatting>
  <conditionalFormatting sqref="A886:A889">
    <cfRule type="expression" dxfId="19" priority="5163" stopIfTrue="1">
      <formula>$A886="note"</formula>
    </cfRule>
  </conditionalFormatting>
  <conditionalFormatting sqref="A886:A889">
    <cfRule type="expression" dxfId="20" priority="5164" stopIfTrue="1">
      <formula>$A886="barcode"</formula>
    </cfRule>
  </conditionalFormatting>
  <conditionalFormatting sqref="A886:A889">
    <cfRule type="expression" dxfId="21" priority="5165" stopIfTrue="1">
      <formula>OR($A886="geopoint", $A886="geoshape", $A886="geotrace")</formula>
    </cfRule>
  </conditionalFormatting>
  <conditionalFormatting sqref="A886:A889">
    <cfRule type="expression" dxfId="22" priority="5166" stopIfTrue="1">
      <formula>OR($A886="audio audit", $A886="text audit", $A886="speed violations count", $A886="speed violations list", $A886="speed violations audit")</formula>
    </cfRule>
  </conditionalFormatting>
  <conditionalFormatting sqref="A886:A889">
    <cfRule type="expression" dxfId="23" priority="5167" stopIfTrue="1">
      <formula>OR($A886="username", $A886="phonenumber", $A886="start", $A886="end", $A886="deviceid", $A886="subscriberid", $A886="simserial", $A886="caseid")</formula>
    </cfRule>
  </conditionalFormatting>
  <conditionalFormatting sqref="A886:A889">
    <cfRule type="expression" dxfId="24" priority="5168" stopIfTrue="1">
      <formula>OR(AND(LEFT($A886, 16)="select_multiple ", LEN($A886)&gt;16, NOT(ISNUMBER(SEARCH(" ", $A886, 17)))), AND(LEFT($A886, 11)="select_one ", LEN($A886)&gt;11, NOT(ISNUMBER(SEARCH(" ", $A886, 12)))))</formula>
    </cfRule>
  </conditionalFormatting>
  <conditionalFormatting sqref="A886:A889">
    <cfRule type="expression" dxfId="25" priority="5169" stopIfTrue="1">
      <formula>$A886="decimal"</formula>
    </cfRule>
  </conditionalFormatting>
  <conditionalFormatting sqref="A886:A889">
    <cfRule type="expression" dxfId="26" priority="5170" stopIfTrue="1">
      <formula>$A886="integer"</formula>
    </cfRule>
  </conditionalFormatting>
  <conditionalFormatting sqref="A886:A889">
    <cfRule type="expression" dxfId="27" priority="5171" stopIfTrue="1">
      <formula>$A886="text"</formula>
    </cfRule>
  </conditionalFormatting>
  <conditionalFormatting sqref="A886:A889">
    <cfRule type="expression" dxfId="28" priority="5172" stopIfTrue="1">
      <formula>$A886="end repeat"</formula>
    </cfRule>
  </conditionalFormatting>
  <conditionalFormatting sqref="A886:A889">
    <cfRule type="expression" dxfId="28" priority="5173" stopIfTrue="1">
      <formula>$A886="begin repeat"</formula>
    </cfRule>
  </conditionalFormatting>
  <conditionalFormatting sqref="A886:A889">
    <cfRule type="expression" dxfId="29" priority="5174" stopIfTrue="1">
      <formula>$A886="end group"</formula>
    </cfRule>
  </conditionalFormatting>
  <conditionalFormatting sqref="A886:A889">
    <cfRule type="expression" dxfId="29" priority="5175" stopIfTrue="1">
      <formula>$A886="begin group"</formula>
    </cfRule>
  </conditionalFormatting>
  <conditionalFormatting sqref="A879:A883">
    <cfRule type="expression" dxfId="33" priority="5176" stopIfTrue="1">
      <formula>$A879="file"</formula>
    </cfRule>
  </conditionalFormatting>
  <conditionalFormatting sqref="A879:A883">
    <cfRule type="expression" dxfId="34" priority="5177" stopIfTrue="1">
      <formula>$A879="enumerator"</formula>
    </cfRule>
  </conditionalFormatting>
  <conditionalFormatting sqref="A879:A883">
    <cfRule type="expression" dxfId="35" priority="5178" stopIfTrue="1">
      <formula>OR(AND(LEFT($A879, 14)="sensor_stream ", LEN($A879)&gt;14, NOT(ISNUMBER(SEARCH(" ", $A879, 15)))), AND(LEFT($A879, 17)="sensor_statistic ", LEN($A879)&gt;17, NOT(ISNUMBER(SEARCH(" ", $A879, 18)))))</formula>
    </cfRule>
  </conditionalFormatting>
  <conditionalFormatting sqref="A879:A883">
    <cfRule type="expression" dxfId="14" priority="5179" stopIfTrue="1">
      <formula>$A879="comments"</formula>
    </cfRule>
  </conditionalFormatting>
  <conditionalFormatting sqref="A879:A883">
    <cfRule type="expression" dxfId="15" priority="5180" stopIfTrue="1">
      <formula>OR($A879="audio", $A879="video")</formula>
    </cfRule>
  </conditionalFormatting>
  <conditionalFormatting sqref="A879:A883">
    <cfRule type="expression" dxfId="16" priority="5181" stopIfTrue="1">
      <formula>$A879="image"</formula>
    </cfRule>
  </conditionalFormatting>
  <conditionalFormatting sqref="A879:A883">
    <cfRule type="expression" dxfId="17" priority="5182" stopIfTrue="1">
      <formula>OR($A879="date", $A879="datetime", $A879="time")</formula>
    </cfRule>
  </conditionalFormatting>
  <conditionalFormatting sqref="A879:A883">
    <cfRule type="expression" dxfId="18" priority="5183" stopIfTrue="1">
      <formula>OR($A879="calculate", $A879="calculate_here")</formula>
    </cfRule>
  </conditionalFormatting>
  <conditionalFormatting sqref="A879:A883">
    <cfRule type="expression" dxfId="19" priority="5184" stopIfTrue="1">
      <formula>$A879="note"</formula>
    </cfRule>
  </conditionalFormatting>
  <conditionalFormatting sqref="A879:A883">
    <cfRule type="expression" dxfId="20" priority="5185" stopIfTrue="1">
      <formula>$A879="barcode"</formula>
    </cfRule>
  </conditionalFormatting>
  <conditionalFormatting sqref="A879:A883">
    <cfRule type="expression" dxfId="21" priority="5186" stopIfTrue="1">
      <formula>OR($A879="geopoint", $A879="geoshape", $A879="geotrace")</formula>
    </cfRule>
  </conditionalFormatting>
  <conditionalFormatting sqref="A879:A883">
    <cfRule type="expression" dxfId="22" priority="5187" stopIfTrue="1">
      <formula>OR($A879="audio audit", $A879="text audit", $A879="speed violations count", $A879="speed violations list", $A879="speed violations audit")</formula>
    </cfRule>
  </conditionalFormatting>
  <conditionalFormatting sqref="A879:A883">
    <cfRule type="expression" dxfId="23" priority="5188" stopIfTrue="1">
      <formula>OR($A879="username", $A879="phonenumber", $A879="start", $A879="end", $A879="deviceid", $A879="subscriberid", $A879="simserial", $A879="caseid")</formula>
    </cfRule>
  </conditionalFormatting>
  <conditionalFormatting sqref="A879:A883">
    <cfRule type="expression" dxfId="24" priority="5189" stopIfTrue="1">
      <formula>OR(AND(LEFT($A879, 16)="select_multiple ", LEN($A879)&gt;16, NOT(ISNUMBER(SEARCH(" ", $A879, 17)))), AND(LEFT($A879, 11)="select_one ", LEN($A879)&gt;11, NOT(ISNUMBER(SEARCH(" ", $A879, 12)))))</formula>
    </cfRule>
  </conditionalFormatting>
  <conditionalFormatting sqref="A879:A883">
    <cfRule type="expression" dxfId="25" priority="5190" stopIfTrue="1">
      <formula>$A879="decimal"</formula>
    </cfRule>
  </conditionalFormatting>
  <conditionalFormatting sqref="A879:A883">
    <cfRule type="expression" dxfId="26" priority="5191" stopIfTrue="1">
      <formula>$A879="integer"</formula>
    </cfRule>
  </conditionalFormatting>
  <conditionalFormatting sqref="A879:A883">
    <cfRule type="expression" dxfId="27" priority="5192" stopIfTrue="1">
      <formula>$A879="text"</formula>
    </cfRule>
  </conditionalFormatting>
  <conditionalFormatting sqref="A879:A883">
    <cfRule type="expression" dxfId="28" priority="5193" stopIfTrue="1">
      <formula>$A879="end repeat"</formula>
    </cfRule>
  </conditionalFormatting>
  <conditionalFormatting sqref="A879:A883">
    <cfRule type="expression" dxfId="28" priority="5194" stopIfTrue="1">
      <formula>$A879="begin repeat"</formula>
    </cfRule>
  </conditionalFormatting>
  <conditionalFormatting sqref="A879:A883">
    <cfRule type="expression" dxfId="29" priority="5195" stopIfTrue="1">
      <formula>$A879="end group"</formula>
    </cfRule>
  </conditionalFormatting>
  <conditionalFormatting sqref="A879:A883">
    <cfRule type="expression" dxfId="29" priority="5196" stopIfTrue="1">
      <formula>$A879="begin group"</formula>
    </cfRule>
  </conditionalFormatting>
  <conditionalFormatting sqref="A873:A874">
    <cfRule type="expression" dxfId="33" priority="5197" stopIfTrue="1">
      <formula>$A873="file"</formula>
    </cfRule>
  </conditionalFormatting>
  <conditionalFormatting sqref="A873:A874">
    <cfRule type="expression" dxfId="34" priority="5198" stopIfTrue="1">
      <formula>$A873="enumerator"</formula>
    </cfRule>
  </conditionalFormatting>
  <conditionalFormatting sqref="A873:A874">
    <cfRule type="expression" dxfId="35" priority="5199" stopIfTrue="1">
      <formula>OR(AND(LEFT($A873, 14)="sensor_stream ", LEN($A873)&gt;14, NOT(ISNUMBER(SEARCH(" ", $A873, 15)))), AND(LEFT($A873, 17)="sensor_statistic ", LEN($A873)&gt;17, NOT(ISNUMBER(SEARCH(" ", $A873, 18)))))</formula>
    </cfRule>
  </conditionalFormatting>
  <conditionalFormatting sqref="A873:A874">
    <cfRule type="expression" dxfId="14" priority="5200" stopIfTrue="1">
      <formula>$A873="comments"</formula>
    </cfRule>
  </conditionalFormatting>
  <conditionalFormatting sqref="A873:A874">
    <cfRule type="expression" dxfId="15" priority="5201" stopIfTrue="1">
      <formula>OR($A873="audio", $A873="video")</formula>
    </cfRule>
  </conditionalFormatting>
  <conditionalFormatting sqref="A873:A874">
    <cfRule type="expression" dxfId="16" priority="5202" stopIfTrue="1">
      <formula>$A873="image"</formula>
    </cfRule>
  </conditionalFormatting>
  <conditionalFormatting sqref="A873:A874">
    <cfRule type="expression" dxfId="17" priority="5203" stopIfTrue="1">
      <formula>OR($A873="date", $A873="datetime", $A873="time")</formula>
    </cfRule>
  </conditionalFormatting>
  <conditionalFormatting sqref="A873:A874">
    <cfRule type="expression" dxfId="18" priority="5204" stopIfTrue="1">
      <formula>OR($A873="calculate", $A873="calculate_here")</formula>
    </cfRule>
  </conditionalFormatting>
  <conditionalFormatting sqref="A873:A874">
    <cfRule type="expression" dxfId="19" priority="5205" stopIfTrue="1">
      <formula>$A873="note"</formula>
    </cfRule>
  </conditionalFormatting>
  <conditionalFormatting sqref="A873:A874">
    <cfRule type="expression" dxfId="20" priority="5206" stopIfTrue="1">
      <formula>$A873="barcode"</formula>
    </cfRule>
  </conditionalFormatting>
  <conditionalFormatting sqref="A873:A874">
    <cfRule type="expression" dxfId="21" priority="5207" stopIfTrue="1">
      <formula>OR($A873="geopoint", $A873="geoshape", $A873="geotrace")</formula>
    </cfRule>
  </conditionalFormatting>
  <conditionalFormatting sqref="A873:A874">
    <cfRule type="expression" dxfId="22" priority="5208" stopIfTrue="1">
      <formula>OR($A873="audio audit", $A873="text audit", $A873="speed violations count", $A873="speed violations list", $A873="speed violations audit")</formula>
    </cfRule>
  </conditionalFormatting>
  <conditionalFormatting sqref="A873:A874">
    <cfRule type="expression" dxfId="23" priority="5209" stopIfTrue="1">
      <formula>OR($A873="username", $A873="phonenumber", $A873="start", $A873="end", $A873="deviceid", $A873="subscriberid", $A873="simserial", $A873="caseid")</formula>
    </cfRule>
  </conditionalFormatting>
  <conditionalFormatting sqref="A873:A874">
    <cfRule type="expression" dxfId="24" priority="5210" stopIfTrue="1">
      <formula>OR(AND(LEFT($A873, 16)="select_multiple ", LEN($A873)&gt;16, NOT(ISNUMBER(SEARCH(" ", $A873, 17)))), AND(LEFT($A873, 11)="select_one ", LEN($A873)&gt;11, NOT(ISNUMBER(SEARCH(" ", $A873, 12)))))</formula>
    </cfRule>
  </conditionalFormatting>
  <conditionalFormatting sqref="A873:A874">
    <cfRule type="expression" dxfId="25" priority="5211" stopIfTrue="1">
      <formula>$A873="decimal"</formula>
    </cfRule>
  </conditionalFormatting>
  <conditionalFormatting sqref="A873:A874">
    <cfRule type="expression" dxfId="26" priority="5212" stopIfTrue="1">
      <formula>$A873="integer"</formula>
    </cfRule>
  </conditionalFormatting>
  <conditionalFormatting sqref="A873:A874">
    <cfRule type="expression" dxfId="27" priority="5213" stopIfTrue="1">
      <formula>$A873="text"</formula>
    </cfRule>
  </conditionalFormatting>
  <conditionalFormatting sqref="A873:A874">
    <cfRule type="expression" dxfId="28" priority="5214" stopIfTrue="1">
      <formula>$A873="end repeat"</formula>
    </cfRule>
  </conditionalFormatting>
  <conditionalFormatting sqref="A873:A874">
    <cfRule type="expression" dxfId="28" priority="5215" stopIfTrue="1">
      <formula>$A873="begin repeat"</formula>
    </cfRule>
  </conditionalFormatting>
  <conditionalFormatting sqref="A873:A874">
    <cfRule type="expression" dxfId="29" priority="5216" stopIfTrue="1">
      <formula>$A873="end group"</formula>
    </cfRule>
  </conditionalFormatting>
  <conditionalFormatting sqref="A873:A874">
    <cfRule type="expression" dxfId="29" priority="5217" stopIfTrue="1">
      <formula>$A873="begin group"</formula>
    </cfRule>
  </conditionalFormatting>
  <conditionalFormatting sqref="A871">
    <cfRule type="expression" dxfId="33" priority="5218" stopIfTrue="1">
      <formula>$A871="file"</formula>
    </cfRule>
  </conditionalFormatting>
  <conditionalFormatting sqref="A871">
    <cfRule type="expression" dxfId="34" priority="5219" stopIfTrue="1">
      <formula>$A871="enumerator"</formula>
    </cfRule>
  </conditionalFormatting>
  <conditionalFormatting sqref="A871">
    <cfRule type="expression" dxfId="35" priority="5220" stopIfTrue="1">
      <formula>OR(AND(LEFT($A871, 14)="sensor_stream ", LEN($A871)&gt;14, NOT(ISNUMBER(SEARCH(" ", $A871, 15)))), AND(LEFT($A871, 17)="sensor_statistic ", LEN($A871)&gt;17, NOT(ISNUMBER(SEARCH(" ", $A871, 18)))))</formula>
    </cfRule>
  </conditionalFormatting>
  <conditionalFormatting sqref="A871">
    <cfRule type="expression" dxfId="14" priority="5221" stopIfTrue="1">
      <formula>$A871="comments"</formula>
    </cfRule>
  </conditionalFormatting>
  <conditionalFormatting sqref="A871">
    <cfRule type="expression" dxfId="15" priority="5222" stopIfTrue="1">
      <formula>OR($A871="audio", $A871="video")</formula>
    </cfRule>
  </conditionalFormatting>
  <conditionalFormatting sqref="A871">
    <cfRule type="expression" dxfId="16" priority="5223" stopIfTrue="1">
      <formula>$A871="image"</formula>
    </cfRule>
  </conditionalFormatting>
  <conditionalFormatting sqref="A871">
    <cfRule type="expression" dxfId="17" priority="5224" stopIfTrue="1">
      <formula>OR($A871="date", $A871="datetime", $A871="time")</formula>
    </cfRule>
  </conditionalFormatting>
  <conditionalFormatting sqref="A871">
    <cfRule type="expression" dxfId="18" priority="5225" stopIfTrue="1">
      <formula>OR($A871="calculate", $A871="calculate_here")</formula>
    </cfRule>
  </conditionalFormatting>
  <conditionalFormatting sqref="A871">
    <cfRule type="expression" dxfId="19" priority="5226" stopIfTrue="1">
      <formula>$A871="note"</formula>
    </cfRule>
  </conditionalFormatting>
  <conditionalFormatting sqref="A871">
    <cfRule type="expression" dxfId="20" priority="5227" stopIfTrue="1">
      <formula>$A871="barcode"</formula>
    </cfRule>
  </conditionalFormatting>
  <conditionalFormatting sqref="A871">
    <cfRule type="expression" dxfId="21" priority="5228" stopIfTrue="1">
      <formula>OR($A871="geopoint", $A871="geoshape", $A871="geotrace")</formula>
    </cfRule>
  </conditionalFormatting>
  <conditionalFormatting sqref="A871">
    <cfRule type="expression" dxfId="22" priority="5229" stopIfTrue="1">
      <formula>OR($A871="audio audit", $A871="text audit", $A871="speed violations count", $A871="speed violations list", $A871="speed violations audit")</formula>
    </cfRule>
  </conditionalFormatting>
  <conditionalFormatting sqref="A871">
    <cfRule type="expression" dxfId="23" priority="5230" stopIfTrue="1">
      <formula>OR($A871="username", $A871="phonenumber", $A871="start", $A871="end", $A871="deviceid", $A871="subscriberid", $A871="simserial", $A871="caseid")</formula>
    </cfRule>
  </conditionalFormatting>
  <conditionalFormatting sqref="A871">
    <cfRule type="expression" dxfId="24" priority="5231" stopIfTrue="1">
      <formula>OR(AND(LEFT($A871, 16)="select_multiple ", LEN($A871)&gt;16, NOT(ISNUMBER(SEARCH(" ", $A871, 17)))), AND(LEFT($A871, 11)="select_one ", LEN($A871)&gt;11, NOT(ISNUMBER(SEARCH(" ", $A871, 12)))))</formula>
    </cfRule>
  </conditionalFormatting>
  <conditionalFormatting sqref="A871">
    <cfRule type="expression" dxfId="25" priority="5232" stopIfTrue="1">
      <formula>$A871="decimal"</formula>
    </cfRule>
  </conditionalFormatting>
  <conditionalFormatting sqref="A871">
    <cfRule type="expression" dxfId="26" priority="5233" stopIfTrue="1">
      <formula>$A871="integer"</formula>
    </cfRule>
  </conditionalFormatting>
  <conditionalFormatting sqref="A871">
    <cfRule type="expression" dxfId="27" priority="5234" stopIfTrue="1">
      <formula>$A871="text"</formula>
    </cfRule>
  </conditionalFormatting>
  <conditionalFormatting sqref="A871">
    <cfRule type="expression" dxfId="28" priority="5235" stopIfTrue="1">
      <formula>$A871="end repeat"</formula>
    </cfRule>
  </conditionalFormatting>
  <conditionalFormatting sqref="A871">
    <cfRule type="expression" dxfId="28" priority="5236" stopIfTrue="1">
      <formula>$A871="begin repeat"</formula>
    </cfRule>
  </conditionalFormatting>
  <conditionalFormatting sqref="A871">
    <cfRule type="expression" dxfId="29" priority="5237" stopIfTrue="1">
      <formula>$A871="end group"</formula>
    </cfRule>
  </conditionalFormatting>
  <conditionalFormatting sqref="A871">
    <cfRule type="expression" dxfId="29" priority="5238" stopIfTrue="1">
      <formula>$A871="begin group"</formula>
    </cfRule>
  </conditionalFormatting>
  <conditionalFormatting sqref="A865:A866">
    <cfRule type="expression" dxfId="33" priority="5239" stopIfTrue="1">
      <formula>$A865="file"</formula>
    </cfRule>
  </conditionalFormatting>
  <conditionalFormatting sqref="A865:A866">
    <cfRule type="expression" dxfId="34" priority="5240" stopIfTrue="1">
      <formula>$A865="enumerator"</formula>
    </cfRule>
  </conditionalFormatting>
  <conditionalFormatting sqref="A865:A866">
    <cfRule type="expression" dxfId="35" priority="5241" stopIfTrue="1">
      <formula>OR(AND(LEFT($A865, 14)="sensor_stream ", LEN($A865)&gt;14, NOT(ISNUMBER(SEARCH(" ", $A865, 15)))), AND(LEFT($A865, 17)="sensor_statistic ", LEN($A865)&gt;17, NOT(ISNUMBER(SEARCH(" ", $A865, 18)))))</formula>
    </cfRule>
  </conditionalFormatting>
  <conditionalFormatting sqref="A865:A866">
    <cfRule type="expression" dxfId="14" priority="5242" stopIfTrue="1">
      <formula>$A865="comments"</formula>
    </cfRule>
  </conditionalFormatting>
  <conditionalFormatting sqref="A865:A866">
    <cfRule type="expression" dxfId="15" priority="5243" stopIfTrue="1">
      <formula>OR($A865="audio", $A865="video")</formula>
    </cfRule>
  </conditionalFormatting>
  <conditionalFormatting sqref="A865:A866">
    <cfRule type="expression" dxfId="16" priority="5244" stopIfTrue="1">
      <formula>$A865="image"</formula>
    </cfRule>
  </conditionalFormatting>
  <conditionalFormatting sqref="A865:A866">
    <cfRule type="expression" dxfId="17" priority="5245" stopIfTrue="1">
      <formula>OR($A865="date", $A865="datetime", $A865="time")</formula>
    </cfRule>
  </conditionalFormatting>
  <conditionalFormatting sqref="A865:A866">
    <cfRule type="expression" dxfId="18" priority="5246" stopIfTrue="1">
      <formula>OR($A865="calculate", $A865="calculate_here")</formula>
    </cfRule>
  </conditionalFormatting>
  <conditionalFormatting sqref="A865:A866">
    <cfRule type="expression" dxfId="19" priority="5247" stopIfTrue="1">
      <formula>$A865="note"</formula>
    </cfRule>
  </conditionalFormatting>
  <conditionalFormatting sqref="A865:A866">
    <cfRule type="expression" dxfId="20" priority="5248" stopIfTrue="1">
      <formula>$A865="barcode"</formula>
    </cfRule>
  </conditionalFormatting>
  <conditionalFormatting sqref="A865:A866">
    <cfRule type="expression" dxfId="21" priority="5249" stopIfTrue="1">
      <formula>OR($A865="geopoint", $A865="geoshape", $A865="geotrace")</formula>
    </cfRule>
  </conditionalFormatting>
  <conditionalFormatting sqref="A865:A866">
    <cfRule type="expression" dxfId="22" priority="5250" stopIfTrue="1">
      <formula>OR($A865="audio audit", $A865="text audit", $A865="speed violations count", $A865="speed violations list", $A865="speed violations audit")</formula>
    </cfRule>
  </conditionalFormatting>
  <conditionalFormatting sqref="A865:A866">
    <cfRule type="expression" dxfId="23" priority="5251" stopIfTrue="1">
      <formula>OR($A865="username", $A865="phonenumber", $A865="start", $A865="end", $A865="deviceid", $A865="subscriberid", $A865="simserial", $A865="caseid")</formula>
    </cfRule>
  </conditionalFormatting>
  <conditionalFormatting sqref="A865:A866">
    <cfRule type="expression" dxfId="24" priority="5252" stopIfTrue="1">
      <formula>OR(AND(LEFT($A865, 16)="select_multiple ", LEN($A865)&gt;16, NOT(ISNUMBER(SEARCH(" ", $A865, 17)))), AND(LEFT($A865, 11)="select_one ", LEN($A865)&gt;11, NOT(ISNUMBER(SEARCH(" ", $A865, 12)))))</formula>
    </cfRule>
  </conditionalFormatting>
  <conditionalFormatting sqref="A865:A866">
    <cfRule type="expression" dxfId="25" priority="5253" stopIfTrue="1">
      <formula>$A865="decimal"</formula>
    </cfRule>
  </conditionalFormatting>
  <conditionalFormatting sqref="A865:A866">
    <cfRule type="expression" dxfId="26" priority="5254" stopIfTrue="1">
      <formula>$A865="integer"</formula>
    </cfRule>
  </conditionalFormatting>
  <conditionalFormatting sqref="A865:A866">
    <cfRule type="expression" dxfId="27" priority="5255" stopIfTrue="1">
      <formula>$A865="text"</formula>
    </cfRule>
  </conditionalFormatting>
  <conditionalFormatting sqref="A865:A866">
    <cfRule type="expression" dxfId="28" priority="5256" stopIfTrue="1">
      <formula>$A865="end repeat"</formula>
    </cfRule>
  </conditionalFormatting>
  <conditionalFormatting sqref="A865:A866">
    <cfRule type="expression" dxfId="28" priority="5257" stopIfTrue="1">
      <formula>$A865="begin repeat"</formula>
    </cfRule>
  </conditionalFormatting>
  <conditionalFormatting sqref="A865:A866">
    <cfRule type="expression" dxfId="29" priority="5258" stopIfTrue="1">
      <formula>$A865="end group"</formula>
    </cfRule>
  </conditionalFormatting>
  <conditionalFormatting sqref="A865:A866">
    <cfRule type="expression" dxfId="29" priority="5259" stopIfTrue="1">
      <formula>$A865="begin group"</formula>
    </cfRule>
  </conditionalFormatting>
  <conditionalFormatting sqref="A859:A861">
    <cfRule type="expression" dxfId="33" priority="5260" stopIfTrue="1">
      <formula>$A859="file"</formula>
    </cfRule>
  </conditionalFormatting>
  <conditionalFormatting sqref="A859:A861">
    <cfRule type="expression" dxfId="34" priority="5261" stopIfTrue="1">
      <formula>$A859="enumerator"</formula>
    </cfRule>
  </conditionalFormatting>
  <conditionalFormatting sqref="A859:A861">
    <cfRule type="expression" dxfId="35" priority="5262" stopIfTrue="1">
      <formula>OR(AND(LEFT($A859, 14)="sensor_stream ", LEN($A859)&gt;14, NOT(ISNUMBER(SEARCH(" ", $A859, 15)))), AND(LEFT($A859, 17)="sensor_statistic ", LEN($A859)&gt;17, NOT(ISNUMBER(SEARCH(" ", $A859, 18)))))</formula>
    </cfRule>
  </conditionalFormatting>
  <conditionalFormatting sqref="A859:A861">
    <cfRule type="expression" dxfId="14" priority="5263" stopIfTrue="1">
      <formula>$A859="comments"</formula>
    </cfRule>
  </conditionalFormatting>
  <conditionalFormatting sqref="A859:A861">
    <cfRule type="expression" dxfId="15" priority="5264" stopIfTrue="1">
      <formula>OR($A859="audio", $A859="video")</formula>
    </cfRule>
  </conditionalFormatting>
  <conditionalFormatting sqref="A859:A861">
    <cfRule type="expression" dxfId="16" priority="5265" stopIfTrue="1">
      <formula>$A859="image"</formula>
    </cfRule>
  </conditionalFormatting>
  <conditionalFormatting sqref="A859:A861">
    <cfRule type="expression" dxfId="17" priority="5266" stopIfTrue="1">
      <formula>OR($A859="date", $A859="datetime", $A859="time")</formula>
    </cfRule>
  </conditionalFormatting>
  <conditionalFormatting sqref="A859:A861">
    <cfRule type="expression" dxfId="18" priority="5267" stopIfTrue="1">
      <formula>OR($A859="calculate", $A859="calculate_here")</formula>
    </cfRule>
  </conditionalFormatting>
  <conditionalFormatting sqref="A859:A861">
    <cfRule type="expression" dxfId="19" priority="5268" stopIfTrue="1">
      <formula>$A859="note"</formula>
    </cfRule>
  </conditionalFormatting>
  <conditionalFormatting sqref="A859:A861">
    <cfRule type="expression" dxfId="20" priority="5269" stopIfTrue="1">
      <formula>$A859="barcode"</formula>
    </cfRule>
  </conditionalFormatting>
  <conditionalFormatting sqref="A859:A861">
    <cfRule type="expression" dxfId="21" priority="5270" stopIfTrue="1">
      <formula>OR($A859="geopoint", $A859="geoshape", $A859="geotrace")</formula>
    </cfRule>
  </conditionalFormatting>
  <conditionalFormatting sqref="A859:A861">
    <cfRule type="expression" dxfId="22" priority="5271" stopIfTrue="1">
      <formula>OR($A859="audio audit", $A859="text audit", $A859="speed violations count", $A859="speed violations list", $A859="speed violations audit")</formula>
    </cfRule>
  </conditionalFormatting>
  <conditionalFormatting sqref="A859:A861">
    <cfRule type="expression" dxfId="23" priority="5272" stopIfTrue="1">
      <formula>OR($A859="username", $A859="phonenumber", $A859="start", $A859="end", $A859="deviceid", $A859="subscriberid", $A859="simserial", $A859="caseid")</formula>
    </cfRule>
  </conditionalFormatting>
  <conditionalFormatting sqref="A859:A861">
    <cfRule type="expression" dxfId="24" priority="5273" stopIfTrue="1">
      <formula>OR(AND(LEFT($A859, 16)="select_multiple ", LEN($A859)&gt;16, NOT(ISNUMBER(SEARCH(" ", $A859, 17)))), AND(LEFT($A859, 11)="select_one ", LEN($A859)&gt;11, NOT(ISNUMBER(SEARCH(" ", $A859, 12)))))</formula>
    </cfRule>
  </conditionalFormatting>
  <conditionalFormatting sqref="A859:A861">
    <cfRule type="expression" dxfId="25" priority="5274" stopIfTrue="1">
      <formula>$A859="decimal"</formula>
    </cfRule>
  </conditionalFormatting>
  <conditionalFormatting sqref="A859:A861">
    <cfRule type="expression" dxfId="26" priority="5275" stopIfTrue="1">
      <formula>$A859="integer"</formula>
    </cfRule>
  </conditionalFormatting>
  <conditionalFormatting sqref="A859:A861">
    <cfRule type="expression" dxfId="27" priority="5276" stopIfTrue="1">
      <formula>$A859="text"</formula>
    </cfRule>
  </conditionalFormatting>
  <conditionalFormatting sqref="A859:A861">
    <cfRule type="expression" dxfId="28" priority="5277" stopIfTrue="1">
      <formula>$A859="end repeat"</formula>
    </cfRule>
  </conditionalFormatting>
  <conditionalFormatting sqref="A859:A861">
    <cfRule type="expression" dxfId="28" priority="5278" stopIfTrue="1">
      <formula>$A859="begin repeat"</formula>
    </cfRule>
  </conditionalFormatting>
  <conditionalFormatting sqref="A859:A861">
    <cfRule type="expression" dxfId="29" priority="5279" stopIfTrue="1">
      <formula>$A859="end group"</formula>
    </cfRule>
  </conditionalFormatting>
  <conditionalFormatting sqref="A859:A861">
    <cfRule type="expression" dxfId="29" priority="5280" stopIfTrue="1">
      <formula>$A859="begin group"</formula>
    </cfRule>
  </conditionalFormatting>
  <conditionalFormatting sqref="A850:A855">
    <cfRule type="expression" dxfId="33" priority="5281" stopIfTrue="1">
      <formula>$A850="file"</formula>
    </cfRule>
  </conditionalFormatting>
  <conditionalFormatting sqref="A850:A855">
    <cfRule type="expression" dxfId="34" priority="5282" stopIfTrue="1">
      <formula>$A850="enumerator"</formula>
    </cfRule>
  </conditionalFormatting>
  <conditionalFormatting sqref="A850:A855">
    <cfRule type="expression" dxfId="35" priority="5283" stopIfTrue="1">
      <formula>OR(AND(LEFT($A850, 14)="sensor_stream ", LEN($A850)&gt;14, NOT(ISNUMBER(SEARCH(" ", $A850, 15)))), AND(LEFT($A850, 17)="sensor_statistic ", LEN($A850)&gt;17, NOT(ISNUMBER(SEARCH(" ", $A850, 18)))))</formula>
    </cfRule>
  </conditionalFormatting>
  <conditionalFormatting sqref="A850:A855">
    <cfRule type="expression" dxfId="14" priority="5284" stopIfTrue="1">
      <formula>$A850="comments"</formula>
    </cfRule>
  </conditionalFormatting>
  <conditionalFormatting sqref="A850:A855">
    <cfRule type="expression" dxfId="15" priority="5285" stopIfTrue="1">
      <formula>OR($A850="audio", $A850="video")</formula>
    </cfRule>
  </conditionalFormatting>
  <conditionalFormatting sqref="A850:A855">
    <cfRule type="expression" dxfId="16" priority="5286" stopIfTrue="1">
      <formula>$A850="image"</formula>
    </cfRule>
  </conditionalFormatting>
  <conditionalFormatting sqref="A850:A855">
    <cfRule type="expression" dxfId="17" priority="5287" stopIfTrue="1">
      <formula>OR($A850="date", $A850="datetime", $A850="time")</formula>
    </cfRule>
  </conditionalFormatting>
  <conditionalFormatting sqref="A850:A855">
    <cfRule type="expression" dxfId="18" priority="5288" stopIfTrue="1">
      <formula>OR($A850="calculate", $A850="calculate_here")</formula>
    </cfRule>
  </conditionalFormatting>
  <conditionalFormatting sqref="A850:A855">
    <cfRule type="expression" dxfId="19" priority="5289" stopIfTrue="1">
      <formula>$A850="note"</formula>
    </cfRule>
  </conditionalFormatting>
  <conditionalFormatting sqref="A850:A855">
    <cfRule type="expression" dxfId="20" priority="5290" stopIfTrue="1">
      <formula>$A850="barcode"</formula>
    </cfRule>
  </conditionalFormatting>
  <conditionalFormatting sqref="A850:A855">
    <cfRule type="expression" dxfId="21" priority="5291" stopIfTrue="1">
      <formula>OR($A850="geopoint", $A850="geoshape", $A850="geotrace")</formula>
    </cfRule>
  </conditionalFormatting>
  <conditionalFormatting sqref="A850:A855">
    <cfRule type="expression" dxfId="22" priority="5292" stopIfTrue="1">
      <formula>OR($A850="audio audit", $A850="text audit", $A850="speed violations count", $A850="speed violations list", $A850="speed violations audit")</formula>
    </cfRule>
  </conditionalFormatting>
  <conditionalFormatting sqref="A850:A855">
    <cfRule type="expression" dxfId="23" priority="5293" stopIfTrue="1">
      <formula>OR($A850="username", $A850="phonenumber", $A850="start", $A850="end", $A850="deviceid", $A850="subscriberid", $A850="simserial", $A850="caseid")</formula>
    </cfRule>
  </conditionalFormatting>
  <conditionalFormatting sqref="A850:A855">
    <cfRule type="expression" dxfId="24" priority="5294" stopIfTrue="1">
      <formula>OR(AND(LEFT($A850, 16)="select_multiple ", LEN($A850)&gt;16, NOT(ISNUMBER(SEARCH(" ", $A850, 17)))), AND(LEFT($A850, 11)="select_one ", LEN($A850)&gt;11, NOT(ISNUMBER(SEARCH(" ", $A850, 12)))))</formula>
    </cfRule>
  </conditionalFormatting>
  <conditionalFormatting sqref="A850:A855">
    <cfRule type="expression" dxfId="25" priority="5295" stopIfTrue="1">
      <formula>$A850="decimal"</formula>
    </cfRule>
  </conditionalFormatting>
  <conditionalFormatting sqref="A850:A855">
    <cfRule type="expression" dxfId="26" priority="5296" stopIfTrue="1">
      <formula>$A850="integer"</formula>
    </cfRule>
  </conditionalFormatting>
  <conditionalFormatting sqref="A850:A855">
    <cfRule type="expression" dxfId="27" priority="5297" stopIfTrue="1">
      <formula>$A850="text"</formula>
    </cfRule>
  </conditionalFormatting>
  <conditionalFormatting sqref="A850:A855">
    <cfRule type="expression" dxfId="28" priority="5298" stopIfTrue="1">
      <formula>$A850="end repeat"</formula>
    </cfRule>
  </conditionalFormatting>
  <conditionalFormatting sqref="A850:A855">
    <cfRule type="expression" dxfId="28" priority="5299" stopIfTrue="1">
      <formula>$A850="begin repeat"</formula>
    </cfRule>
  </conditionalFormatting>
  <conditionalFormatting sqref="A850:A855">
    <cfRule type="expression" dxfId="29" priority="5300" stopIfTrue="1">
      <formula>$A850="end group"</formula>
    </cfRule>
  </conditionalFormatting>
  <conditionalFormatting sqref="A850:A855">
    <cfRule type="expression" dxfId="29" priority="5301" stopIfTrue="1">
      <formula>$A850="begin group"</formula>
    </cfRule>
  </conditionalFormatting>
  <conditionalFormatting sqref="A843:A848">
    <cfRule type="expression" dxfId="33" priority="5302" stopIfTrue="1">
      <formula>$A843="file"</formula>
    </cfRule>
  </conditionalFormatting>
  <conditionalFormatting sqref="A843:A848">
    <cfRule type="expression" dxfId="34" priority="5303" stopIfTrue="1">
      <formula>$A843="enumerator"</formula>
    </cfRule>
  </conditionalFormatting>
  <conditionalFormatting sqref="A843:A848">
    <cfRule type="expression" dxfId="35" priority="5304" stopIfTrue="1">
      <formula>OR(AND(LEFT($A843, 14)="sensor_stream ", LEN($A843)&gt;14, NOT(ISNUMBER(SEARCH(" ", $A843, 15)))), AND(LEFT($A843, 17)="sensor_statistic ", LEN($A843)&gt;17, NOT(ISNUMBER(SEARCH(" ", $A843, 18)))))</formula>
    </cfRule>
  </conditionalFormatting>
  <conditionalFormatting sqref="A843:A848">
    <cfRule type="expression" dxfId="14" priority="5305" stopIfTrue="1">
      <formula>$A843="comments"</formula>
    </cfRule>
  </conditionalFormatting>
  <conditionalFormatting sqref="A843:A848">
    <cfRule type="expression" dxfId="15" priority="5306" stopIfTrue="1">
      <formula>OR($A843="audio", $A843="video")</formula>
    </cfRule>
  </conditionalFormatting>
  <conditionalFormatting sqref="A843:A848">
    <cfRule type="expression" dxfId="16" priority="5307" stopIfTrue="1">
      <formula>$A843="image"</formula>
    </cfRule>
  </conditionalFormatting>
  <conditionalFormatting sqref="A843:A848">
    <cfRule type="expression" dxfId="17" priority="5308" stopIfTrue="1">
      <formula>OR($A843="date", $A843="datetime", $A843="time")</formula>
    </cfRule>
  </conditionalFormatting>
  <conditionalFormatting sqref="A843:A848">
    <cfRule type="expression" dxfId="18" priority="5309" stopIfTrue="1">
      <formula>OR($A843="calculate", $A843="calculate_here")</formula>
    </cfRule>
  </conditionalFormatting>
  <conditionalFormatting sqref="A843:A848">
    <cfRule type="expression" dxfId="19" priority="5310" stopIfTrue="1">
      <formula>$A843="note"</formula>
    </cfRule>
  </conditionalFormatting>
  <conditionalFormatting sqref="A843:A848">
    <cfRule type="expression" dxfId="20" priority="5311" stopIfTrue="1">
      <formula>$A843="barcode"</formula>
    </cfRule>
  </conditionalFormatting>
  <conditionalFormatting sqref="A843:A848">
    <cfRule type="expression" dxfId="21" priority="5312" stopIfTrue="1">
      <formula>OR($A843="geopoint", $A843="geoshape", $A843="geotrace")</formula>
    </cfRule>
  </conditionalFormatting>
  <conditionalFormatting sqref="A843:A848">
    <cfRule type="expression" dxfId="22" priority="5313" stopIfTrue="1">
      <formula>OR($A843="audio audit", $A843="text audit", $A843="speed violations count", $A843="speed violations list", $A843="speed violations audit")</formula>
    </cfRule>
  </conditionalFormatting>
  <conditionalFormatting sqref="A843:A848">
    <cfRule type="expression" dxfId="23" priority="5314" stopIfTrue="1">
      <formula>OR($A843="username", $A843="phonenumber", $A843="start", $A843="end", $A843="deviceid", $A843="subscriberid", $A843="simserial", $A843="caseid")</formula>
    </cfRule>
  </conditionalFormatting>
  <conditionalFormatting sqref="A843:A848">
    <cfRule type="expression" dxfId="24" priority="5315" stopIfTrue="1">
      <formula>OR(AND(LEFT($A843, 16)="select_multiple ", LEN($A843)&gt;16, NOT(ISNUMBER(SEARCH(" ", $A843, 17)))), AND(LEFT($A843, 11)="select_one ", LEN($A843)&gt;11, NOT(ISNUMBER(SEARCH(" ", $A843, 12)))))</formula>
    </cfRule>
  </conditionalFormatting>
  <conditionalFormatting sqref="A843:A848">
    <cfRule type="expression" dxfId="25" priority="5316" stopIfTrue="1">
      <formula>$A843="decimal"</formula>
    </cfRule>
  </conditionalFormatting>
  <conditionalFormatting sqref="A843:A848">
    <cfRule type="expression" dxfId="26" priority="5317" stopIfTrue="1">
      <formula>$A843="integer"</formula>
    </cfRule>
  </conditionalFormatting>
  <conditionalFormatting sqref="A843:A848">
    <cfRule type="expression" dxfId="27" priority="5318" stopIfTrue="1">
      <formula>$A843="text"</formula>
    </cfRule>
  </conditionalFormatting>
  <conditionalFormatting sqref="A843:A848">
    <cfRule type="expression" dxfId="28" priority="5319" stopIfTrue="1">
      <formula>$A843="end repeat"</formula>
    </cfRule>
  </conditionalFormatting>
  <conditionalFormatting sqref="A843:A848">
    <cfRule type="expression" dxfId="28" priority="5320" stopIfTrue="1">
      <formula>$A843="begin repeat"</formula>
    </cfRule>
  </conditionalFormatting>
  <conditionalFormatting sqref="A843:A848">
    <cfRule type="expression" dxfId="29" priority="5321" stopIfTrue="1">
      <formula>$A843="end group"</formula>
    </cfRule>
  </conditionalFormatting>
  <conditionalFormatting sqref="A843:A848">
    <cfRule type="expression" dxfId="29" priority="5322" stopIfTrue="1">
      <formula>$A843="begin group"</formula>
    </cfRule>
  </conditionalFormatting>
  <conditionalFormatting sqref="A803:A837">
    <cfRule type="expression" dxfId="33" priority="5323" stopIfTrue="1">
      <formula>$A803="file"</formula>
    </cfRule>
  </conditionalFormatting>
  <conditionalFormatting sqref="A803:A837">
    <cfRule type="expression" dxfId="34" priority="5324" stopIfTrue="1">
      <formula>$A803="enumerator"</formula>
    </cfRule>
  </conditionalFormatting>
  <conditionalFormatting sqref="A803:A837">
    <cfRule type="expression" dxfId="35" priority="5325" stopIfTrue="1">
      <formula>OR(AND(LEFT($A803, 14)="sensor_stream ", LEN($A803)&gt;14, NOT(ISNUMBER(SEARCH(" ", $A803, 15)))), AND(LEFT($A803, 17)="sensor_statistic ", LEN($A803)&gt;17, NOT(ISNUMBER(SEARCH(" ", $A803, 18)))))</formula>
    </cfRule>
  </conditionalFormatting>
  <conditionalFormatting sqref="A803:A837">
    <cfRule type="expression" dxfId="14" priority="5326" stopIfTrue="1">
      <formula>$A803="comments"</formula>
    </cfRule>
  </conditionalFormatting>
  <conditionalFormatting sqref="A803:A837">
    <cfRule type="expression" dxfId="15" priority="5327" stopIfTrue="1">
      <formula>OR($A803="audio", $A803="video")</formula>
    </cfRule>
  </conditionalFormatting>
  <conditionalFormatting sqref="A803:A837">
    <cfRule type="expression" dxfId="16" priority="5328" stopIfTrue="1">
      <formula>$A803="image"</formula>
    </cfRule>
  </conditionalFormatting>
  <conditionalFormatting sqref="A803:A837">
    <cfRule type="expression" dxfId="17" priority="5329" stopIfTrue="1">
      <formula>OR($A803="date", $A803="datetime", $A803="time")</formula>
    </cfRule>
  </conditionalFormatting>
  <conditionalFormatting sqref="A803:A837">
    <cfRule type="expression" dxfId="18" priority="5330" stopIfTrue="1">
      <formula>OR($A803="calculate", $A803="calculate_here")</formula>
    </cfRule>
  </conditionalFormatting>
  <conditionalFormatting sqref="A803:A837">
    <cfRule type="expression" dxfId="19" priority="5331" stopIfTrue="1">
      <formula>$A803="note"</formula>
    </cfRule>
  </conditionalFormatting>
  <conditionalFormatting sqref="A803:A837">
    <cfRule type="expression" dxfId="20" priority="5332" stopIfTrue="1">
      <formula>$A803="barcode"</formula>
    </cfRule>
  </conditionalFormatting>
  <conditionalFormatting sqref="A803:A837">
    <cfRule type="expression" dxfId="21" priority="5333" stopIfTrue="1">
      <formula>OR($A803="geopoint", $A803="geoshape", $A803="geotrace")</formula>
    </cfRule>
  </conditionalFormatting>
  <conditionalFormatting sqref="A803:A837">
    <cfRule type="expression" dxfId="22" priority="5334" stopIfTrue="1">
      <formula>OR($A803="audio audit", $A803="text audit", $A803="speed violations count", $A803="speed violations list", $A803="speed violations audit")</formula>
    </cfRule>
  </conditionalFormatting>
  <conditionalFormatting sqref="A803:A837">
    <cfRule type="expression" dxfId="23" priority="5335" stopIfTrue="1">
      <formula>OR($A803="username", $A803="phonenumber", $A803="start", $A803="end", $A803="deviceid", $A803="subscriberid", $A803="simserial", $A803="caseid")</formula>
    </cfRule>
  </conditionalFormatting>
  <conditionalFormatting sqref="A803:A837">
    <cfRule type="expression" dxfId="24" priority="5336" stopIfTrue="1">
      <formula>OR(AND(LEFT($A803, 16)="select_multiple ", LEN($A803)&gt;16, NOT(ISNUMBER(SEARCH(" ", $A803, 17)))), AND(LEFT($A803, 11)="select_one ", LEN($A803)&gt;11, NOT(ISNUMBER(SEARCH(" ", $A803, 12)))))</formula>
    </cfRule>
  </conditionalFormatting>
  <conditionalFormatting sqref="A803:A837">
    <cfRule type="expression" dxfId="25" priority="5337" stopIfTrue="1">
      <formula>$A803="decimal"</formula>
    </cfRule>
  </conditionalFormatting>
  <conditionalFormatting sqref="A803:A837">
    <cfRule type="expression" dxfId="26" priority="5338" stopIfTrue="1">
      <formula>$A803="integer"</formula>
    </cfRule>
  </conditionalFormatting>
  <conditionalFormatting sqref="A803:A837">
    <cfRule type="expression" dxfId="27" priority="5339" stopIfTrue="1">
      <formula>$A803="text"</formula>
    </cfRule>
  </conditionalFormatting>
  <conditionalFormatting sqref="A803:A837">
    <cfRule type="expression" dxfId="28" priority="5340" stopIfTrue="1">
      <formula>$A803="end repeat"</formula>
    </cfRule>
  </conditionalFormatting>
  <conditionalFormatting sqref="A803:A837">
    <cfRule type="expression" dxfId="28" priority="5341" stopIfTrue="1">
      <formula>$A803="begin repeat"</formula>
    </cfRule>
  </conditionalFormatting>
  <conditionalFormatting sqref="A803:A837">
    <cfRule type="expression" dxfId="29" priority="5342" stopIfTrue="1">
      <formula>$A803="end group"</formula>
    </cfRule>
  </conditionalFormatting>
  <conditionalFormatting sqref="A803:A837">
    <cfRule type="expression" dxfId="29" priority="5343" stopIfTrue="1">
      <formula>$A803="begin group"</formula>
    </cfRule>
  </conditionalFormatting>
  <conditionalFormatting sqref="A794:A796">
    <cfRule type="expression" dxfId="33" priority="5344" stopIfTrue="1">
      <formula>$A794="file"</formula>
    </cfRule>
  </conditionalFormatting>
  <conditionalFormatting sqref="A794:A796">
    <cfRule type="expression" dxfId="34" priority="5345" stopIfTrue="1">
      <formula>$A794="enumerator"</formula>
    </cfRule>
  </conditionalFormatting>
  <conditionalFormatting sqref="A794:A796">
    <cfRule type="expression" dxfId="35" priority="5346" stopIfTrue="1">
      <formula>OR(AND(LEFT($A794, 14)="sensor_stream ", LEN($A794)&gt;14, NOT(ISNUMBER(SEARCH(" ", $A794, 15)))), AND(LEFT($A794, 17)="sensor_statistic ", LEN($A794)&gt;17, NOT(ISNUMBER(SEARCH(" ", $A794, 18)))))</formula>
    </cfRule>
  </conditionalFormatting>
  <conditionalFormatting sqref="A794:A796">
    <cfRule type="expression" dxfId="14" priority="5347" stopIfTrue="1">
      <formula>$A794="comments"</formula>
    </cfRule>
  </conditionalFormatting>
  <conditionalFormatting sqref="A794:A796">
    <cfRule type="expression" dxfId="15" priority="5348" stopIfTrue="1">
      <formula>OR($A794="audio", $A794="video")</formula>
    </cfRule>
  </conditionalFormatting>
  <conditionalFormatting sqref="A794:A796">
    <cfRule type="expression" dxfId="16" priority="5349" stopIfTrue="1">
      <formula>$A794="image"</formula>
    </cfRule>
  </conditionalFormatting>
  <conditionalFormatting sqref="A794:A796">
    <cfRule type="expression" dxfId="17" priority="5350" stopIfTrue="1">
      <formula>OR($A794="date", $A794="datetime", $A794="time")</formula>
    </cfRule>
  </conditionalFormatting>
  <conditionalFormatting sqref="A794:A796">
    <cfRule type="expression" dxfId="18" priority="5351" stopIfTrue="1">
      <formula>OR($A794="calculate", $A794="calculate_here")</formula>
    </cfRule>
  </conditionalFormatting>
  <conditionalFormatting sqref="A794:A796">
    <cfRule type="expression" dxfId="19" priority="5352" stopIfTrue="1">
      <formula>$A794="note"</formula>
    </cfRule>
  </conditionalFormatting>
  <conditionalFormatting sqref="A794:A796">
    <cfRule type="expression" dxfId="20" priority="5353" stopIfTrue="1">
      <formula>$A794="barcode"</formula>
    </cfRule>
  </conditionalFormatting>
  <conditionalFormatting sqref="A794:A796">
    <cfRule type="expression" dxfId="21" priority="5354" stopIfTrue="1">
      <formula>OR($A794="geopoint", $A794="geoshape", $A794="geotrace")</formula>
    </cfRule>
  </conditionalFormatting>
  <conditionalFormatting sqref="A794:A796">
    <cfRule type="expression" dxfId="22" priority="5355" stopIfTrue="1">
      <formula>OR($A794="audio audit", $A794="text audit", $A794="speed violations count", $A794="speed violations list", $A794="speed violations audit")</formula>
    </cfRule>
  </conditionalFormatting>
  <conditionalFormatting sqref="A794:A796">
    <cfRule type="expression" dxfId="23" priority="5356" stopIfTrue="1">
      <formula>OR($A794="username", $A794="phonenumber", $A794="start", $A794="end", $A794="deviceid", $A794="subscriberid", $A794="simserial", $A794="caseid")</formula>
    </cfRule>
  </conditionalFormatting>
  <conditionalFormatting sqref="A794:A796">
    <cfRule type="expression" dxfId="24" priority="5357" stopIfTrue="1">
      <formula>OR(AND(LEFT($A794, 16)="select_multiple ", LEN($A794)&gt;16, NOT(ISNUMBER(SEARCH(" ", $A794, 17)))), AND(LEFT($A794, 11)="select_one ", LEN($A794)&gt;11, NOT(ISNUMBER(SEARCH(" ", $A794, 12)))))</formula>
    </cfRule>
  </conditionalFormatting>
  <conditionalFormatting sqref="A794:A796">
    <cfRule type="expression" dxfId="25" priority="5358" stopIfTrue="1">
      <formula>$A794="decimal"</formula>
    </cfRule>
  </conditionalFormatting>
  <conditionalFormatting sqref="A794:A796">
    <cfRule type="expression" dxfId="26" priority="5359" stopIfTrue="1">
      <formula>$A794="integer"</formula>
    </cfRule>
  </conditionalFormatting>
  <conditionalFormatting sqref="A794:A796">
    <cfRule type="expression" dxfId="27" priority="5360" stopIfTrue="1">
      <formula>$A794="text"</formula>
    </cfRule>
  </conditionalFormatting>
  <conditionalFormatting sqref="A794:A796">
    <cfRule type="expression" dxfId="28" priority="5361" stopIfTrue="1">
      <formula>$A794="end repeat"</formula>
    </cfRule>
  </conditionalFormatting>
  <conditionalFormatting sqref="A794:A796">
    <cfRule type="expression" dxfId="28" priority="5362" stopIfTrue="1">
      <formula>$A794="begin repeat"</formula>
    </cfRule>
  </conditionalFormatting>
  <conditionalFormatting sqref="A794:A796">
    <cfRule type="expression" dxfId="29" priority="5363" stopIfTrue="1">
      <formula>$A794="end group"</formula>
    </cfRule>
  </conditionalFormatting>
  <conditionalFormatting sqref="A794:A796">
    <cfRule type="expression" dxfId="29" priority="5364" stopIfTrue="1">
      <formula>$A794="begin group"</formula>
    </cfRule>
  </conditionalFormatting>
  <conditionalFormatting sqref="A790:A792">
    <cfRule type="expression" dxfId="33" priority="5365" stopIfTrue="1">
      <formula>$A790="file"</formula>
    </cfRule>
  </conditionalFormatting>
  <conditionalFormatting sqref="A790:A792">
    <cfRule type="expression" dxfId="34" priority="5366" stopIfTrue="1">
      <formula>$A790="enumerator"</formula>
    </cfRule>
  </conditionalFormatting>
  <conditionalFormatting sqref="A790:A792">
    <cfRule type="expression" dxfId="35" priority="5367" stopIfTrue="1">
      <formula>OR(AND(LEFT($A790, 14)="sensor_stream ", LEN($A790)&gt;14, NOT(ISNUMBER(SEARCH(" ", $A790, 15)))), AND(LEFT($A790, 17)="sensor_statistic ", LEN($A790)&gt;17, NOT(ISNUMBER(SEARCH(" ", $A790, 18)))))</formula>
    </cfRule>
  </conditionalFormatting>
  <conditionalFormatting sqref="A790:A792">
    <cfRule type="expression" dxfId="14" priority="5368" stopIfTrue="1">
      <formula>$A790="comments"</formula>
    </cfRule>
  </conditionalFormatting>
  <conditionalFormatting sqref="A790:A792">
    <cfRule type="expression" dxfId="15" priority="5369" stopIfTrue="1">
      <formula>OR($A790="audio", $A790="video")</formula>
    </cfRule>
  </conditionalFormatting>
  <conditionalFormatting sqref="A790:A792">
    <cfRule type="expression" dxfId="16" priority="5370" stopIfTrue="1">
      <formula>$A790="image"</formula>
    </cfRule>
  </conditionalFormatting>
  <conditionalFormatting sqref="A790:A792">
    <cfRule type="expression" dxfId="17" priority="5371" stopIfTrue="1">
      <formula>OR($A790="date", $A790="datetime", $A790="time")</formula>
    </cfRule>
  </conditionalFormatting>
  <conditionalFormatting sqref="A790:A792">
    <cfRule type="expression" dxfId="18" priority="5372" stopIfTrue="1">
      <formula>OR($A790="calculate", $A790="calculate_here")</formula>
    </cfRule>
  </conditionalFormatting>
  <conditionalFormatting sqref="A790:A792">
    <cfRule type="expression" dxfId="19" priority="5373" stopIfTrue="1">
      <formula>$A790="note"</formula>
    </cfRule>
  </conditionalFormatting>
  <conditionalFormatting sqref="A790:A792">
    <cfRule type="expression" dxfId="20" priority="5374" stopIfTrue="1">
      <formula>$A790="barcode"</formula>
    </cfRule>
  </conditionalFormatting>
  <conditionalFormatting sqref="A790:A792">
    <cfRule type="expression" dxfId="21" priority="5375" stopIfTrue="1">
      <formula>OR($A790="geopoint", $A790="geoshape", $A790="geotrace")</formula>
    </cfRule>
  </conditionalFormatting>
  <conditionalFormatting sqref="A790:A792">
    <cfRule type="expression" dxfId="22" priority="5376" stopIfTrue="1">
      <formula>OR($A790="audio audit", $A790="text audit", $A790="speed violations count", $A790="speed violations list", $A790="speed violations audit")</formula>
    </cfRule>
  </conditionalFormatting>
  <conditionalFormatting sqref="A790:A792">
    <cfRule type="expression" dxfId="23" priority="5377" stopIfTrue="1">
      <formula>OR($A790="username", $A790="phonenumber", $A790="start", $A790="end", $A790="deviceid", $A790="subscriberid", $A790="simserial", $A790="caseid")</formula>
    </cfRule>
  </conditionalFormatting>
  <conditionalFormatting sqref="A790:A792">
    <cfRule type="expression" dxfId="24" priority="5378" stopIfTrue="1">
      <formula>OR(AND(LEFT($A790, 16)="select_multiple ", LEN($A790)&gt;16, NOT(ISNUMBER(SEARCH(" ", $A790, 17)))), AND(LEFT($A790, 11)="select_one ", LEN($A790)&gt;11, NOT(ISNUMBER(SEARCH(" ", $A790, 12)))))</formula>
    </cfRule>
  </conditionalFormatting>
  <conditionalFormatting sqref="A790:A792">
    <cfRule type="expression" dxfId="25" priority="5379" stopIfTrue="1">
      <formula>$A790="decimal"</formula>
    </cfRule>
  </conditionalFormatting>
  <conditionalFormatting sqref="A790:A792">
    <cfRule type="expression" dxfId="26" priority="5380" stopIfTrue="1">
      <formula>$A790="integer"</formula>
    </cfRule>
  </conditionalFormatting>
  <conditionalFormatting sqref="A790:A792">
    <cfRule type="expression" dxfId="27" priority="5381" stopIfTrue="1">
      <formula>$A790="text"</formula>
    </cfRule>
  </conditionalFormatting>
  <conditionalFormatting sqref="A790:A792">
    <cfRule type="expression" dxfId="28" priority="5382" stopIfTrue="1">
      <formula>$A790="end repeat"</formula>
    </cfRule>
  </conditionalFormatting>
  <conditionalFormatting sqref="A790:A792">
    <cfRule type="expression" dxfId="28" priority="5383" stopIfTrue="1">
      <formula>$A790="begin repeat"</formula>
    </cfRule>
  </conditionalFormatting>
  <conditionalFormatting sqref="A790:A792">
    <cfRule type="expression" dxfId="29" priority="5384" stopIfTrue="1">
      <formula>$A790="end group"</formula>
    </cfRule>
  </conditionalFormatting>
  <conditionalFormatting sqref="A790:A792">
    <cfRule type="expression" dxfId="29" priority="5385" stopIfTrue="1">
      <formula>$A790="begin group"</formula>
    </cfRule>
  </conditionalFormatting>
  <conditionalFormatting sqref="A784:A785">
    <cfRule type="expression" dxfId="33" priority="5386" stopIfTrue="1">
      <formula>$A784="file"</formula>
    </cfRule>
  </conditionalFormatting>
  <conditionalFormatting sqref="A784:A785">
    <cfRule type="expression" dxfId="34" priority="5387" stopIfTrue="1">
      <formula>$A784="enumerator"</formula>
    </cfRule>
  </conditionalFormatting>
  <conditionalFormatting sqref="A784:A785">
    <cfRule type="expression" dxfId="35" priority="5388" stopIfTrue="1">
      <formula>OR(AND(LEFT($A784, 14)="sensor_stream ", LEN($A784)&gt;14, NOT(ISNUMBER(SEARCH(" ", $A784, 15)))), AND(LEFT($A784, 17)="sensor_statistic ", LEN($A784)&gt;17, NOT(ISNUMBER(SEARCH(" ", $A784, 18)))))</formula>
    </cfRule>
  </conditionalFormatting>
  <conditionalFormatting sqref="A784:A785">
    <cfRule type="expression" dxfId="14" priority="5389" stopIfTrue="1">
      <formula>$A784="comments"</formula>
    </cfRule>
  </conditionalFormatting>
  <conditionalFormatting sqref="A784:A785">
    <cfRule type="expression" dxfId="15" priority="5390" stopIfTrue="1">
      <formula>OR($A784="audio", $A784="video")</formula>
    </cfRule>
  </conditionalFormatting>
  <conditionalFormatting sqref="A784:A785">
    <cfRule type="expression" dxfId="16" priority="5391" stopIfTrue="1">
      <formula>$A784="image"</formula>
    </cfRule>
  </conditionalFormatting>
  <conditionalFormatting sqref="A784:A785">
    <cfRule type="expression" dxfId="17" priority="5392" stopIfTrue="1">
      <formula>OR($A784="date", $A784="datetime", $A784="time")</formula>
    </cfRule>
  </conditionalFormatting>
  <conditionalFormatting sqref="A784:A785">
    <cfRule type="expression" dxfId="18" priority="5393" stopIfTrue="1">
      <formula>OR($A784="calculate", $A784="calculate_here")</formula>
    </cfRule>
  </conditionalFormatting>
  <conditionalFormatting sqref="A784:A785">
    <cfRule type="expression" dxfId="19" priority="5394" stopIfTrue="1">
      <formula>$A784="note"</formula>
    </cfRule>
  </conditionalFormatting>
  <conditionalFormatting sqref="A784:A785">
    <cfRule type="expression" dxfId="20" priority="5395" stopIfTrue="1">
      <formula>$A784="barcode"</formula>
    </cfRule>
  </conditionalFormatting>
  <conditionalFormatting sqref="A784:A785">
    <cfRule type="expression" dxfId="21" priority="5396" stopIfTrue="1">
      <formula>OR($A784="geopoint", $A784="geoshape", $A784="geotrace")</formula>
    </cfRule>
  </conditionalFormatting>
  <conditionalFormatting sqref="A784:A785">
    <cfRule type="expression" dxfId="22" priority="5397" stopIfTrue="1">
      <formula>OR($A784="audio audit", $A784="text audit", $A784="speed violations count", $A784="speed violations list", $A784="speed violations audit")</formula>
    </cfRule>
  </conditionalFormatting>
  <conditionalFormatting sqref="A784:A785">
    <cfRule type="expression" dxfId="23" priority="5398" stopIfTrue="1">
      <formula>OR($A784="username", $A784="phonenumber", $A784="start", $A784="end", $A784="deviceid", $A784="subscriberid", $A784="simserial", $A784="caseid")</formula>
    </cfRule>
  </conditionalFormatting>
  <conditionalFormatting sqref="A784:A785">
    <cfRule type="expression" dxfId="24" priority="5399" stopIfTrue="1">
      <formula>OR(AND(LEFT($A784, 16)="select_multiple ", LEN($A784)&gt;16, NOT(ISNUMBER(SEARCH(" ", $A784, 17)))), AND(LEFT($A784, 11)="select_one ", LEN($A784)&gt;11, NOT(ISNUMBER(SEARCH(" ", $A784, 12)))))</formula>
    </cfRule>
  </conditionalFormatting>
  <conditionalFormatting sqref="A784:A785">
    <cfRule type="expression" dxfId="25" priority="5400" stopIfTrue="1">
      <formula>$A784="decimal"</formula>
    </cfRule>
  </conditionalFormatting>
  <conditionalFormatting sqref="A784:A785">
    <cfRule type="expression" dxfId="26" priority="5401" stopIfTrue="1">
      <formula>$A784="integer"</formula>
    </cfRule>
  </conditionalFormatting>
  <conditionalFormatting sqref="A784:A785">
    <cfRule type="expression" dxfId="27" priority="5402" stopIfTrue="1">
      <formula>$A784="text"</formula>
    </cfRule>
  </conditionalFormatting>
  <conditionalFormatting sqref="A784:A785">
    <cfRule type="expression" dxfId="28" priority="5403" stopIfTrue="1">
      <formula>$A784="end repeat"</formula>
    </cfRule>
  </conditionalFormatting>
  <conditionalFormatting sqref="A784:A785">
    <cfRule type="expression" dxfId="28" priority="5404" stopIfTrue="1">
      <formula>$A784="begin repeat"</formula>
    </cfRule>
  </conditionalFormatting>
  <conditionalFormatting sqref="A784:A785">
    <cfRule type="expression" dxfId="29" priority="5405" stopIfTrue="1">
      <formula>$A784="end group"</formula>
    </cfRule>
  </conditionalFormatting>
  <conditionalFormatting sqref="A784:A785">
    <cfRule type="expression" dxfId="29" priority="5406" stopIfTrue="1">
      <formula>$A784="begin group"</formula>
    </cfRule>
  </conditionalFormatting>
  <conditionalFormatting sqref="A781:A782">
    <cfRule type="expression" dxfId="33" priority="5407" stopIfTrue="1">
      <formula>$A781="file"</formula>
    </cfRule>
  </conditionalFormatting>
  <conditionalFormatting sqref="A781:A782">
    <cfRule type="expression" dxfId="34" priority="5408" stopIfTrue="1">
      <formula>$A781="enumerator"</formula>
    </cfRule>
  </conditionalFormatting>
  <conditionalFormatting sqref="A781:A782">
    <cfRule type="expression" dxfId="35" priority="5409" stopIfTrue="1">
      <formula>OR(AND(LEFT($A781, 14)="sensor_stream ", LEN($A781)&gt;14, NOT(ISNUMBER(SEARCH(" ", $A781, 15)))), AND(LEFT($A781, 17)="sensor_statistic ", LEN($A781)&gt;17, NOT(ISNUMBER(SEARCH(" ", $A781, 18)))))</formula>
    </cfRule>
  </conditionalFormatting>
  <conditionalFormatting sqref="A781:A782">
    <cfRule type="expression" dxfId="14" priority="5410" stopIfTrue="1">
      <formula>$A781="comments"</formula>
    </cfRule>
  </conditionalFormatting>
  <conditionalFormatting sqref="A781:A782">
    <cfRule type="expression" dxfId="15" priority="5411" stopIfTrue="1">
      <formula>OR($A781="audio", $A781="video")</formula>
    </cfRule>
  </conditionalFormatting>
  <conditionalFormatting sqref="A781:A782">
    <cfRule type="expression" dxfId="16" priority="5412" stopIfTrue="1">
      <formula>$A781="image"</formula>
    </cfRule>
  </conditionalFormatting>
  <conditionalFormatting sqref="A781:A782">
    <cfRule type="expression" dxfId="17" priority="5413" stopIfTrue="1">
      <formula>OR($A781="date", $A781="datetime", $A781="time")</formula>
    </cfRule>
  </conditionalFormatting>
  <conditionalFormatting sqref="A781:A782">
    <cfRule type="expression" dxfId="18" priority="5414" stopIfTrue="1">
      <formula>OR($A781="calculate", $A781="calculate_here")</formula>
    </cfRule>
  </conditionalFormatting>
  <conditionalFormatting sqref="A781:A782">
    <cfRule type="expression" dxfId="19" priority="5415" stopIfTrue="1">
      <formula>$A781="note"</formula>
    </cfRule>
  </conditionalFormatting>
  <conditionalFormatting sqref="A781:A782">
    <cfRule type="expression" dxfId="20" priority="5416" stopIfTrue="1">
      <formula>$A781="barcode"</formula>
    </cfRule>
  </conditionalFormatting>
  <conditionalFormatting sqref="A781:A782">
    <cfRule type="expression" dxfId="21" priority="5417" stopIfTrue="1">
      <formula>OR($A781="geopoint", $A781="geoshape", $A781="geotrace")</formula>
    </cfRule>
  </conditionalFormatting>
  <conditionalFormatting sqref="A781:A782">
    <cfRule type="expression" dxfId="22" priority="5418" stopIfTrue="1">
      <formula>OR($A781="audio audit", $A781="text audit", $A781="speed violations count", $A781="speed violations list", $A781="speed violations audit")</formula>
    </cfRule>
  </conditionalFormatting>
  <conditionalFormatting sqref="A781:A782">
    <cfRule type="expression" dxfId="23" priority="5419" stopIfTrue="1">
      <formula>OR($A781="username", $A781="phonenumber", $A781="start", $A781="end", $A781="deviceid", $A781="subscriberid", $A781="simserial", $A781="caseid")</formula>
    </cfRule>
  </conditionalFormatting>
  <conditionalFormatting sqref="A781:A782">
    <cfRule type="expression" dxfId="24" priority="5420" stopIfTrue="1">
      <formula>OR(AND(LEFT($A781, 16)="select_multiple ", LEN($A781)&gt;16, NOT(ISNUMBER(SEARCH(" ", $A781, 17)))), AND(LEFT($A781, 11)="select_one ", LEN($A781)&gt;11, NOT(ISNUMBER(SEARCH(" ", $A781, 12)))))</formula>
    </cfRule>
  </conditionalFormatting>
  <conditionalFormatting sqref="A781:A782">
    <cfRule type="expression" dxfId="25" priority="5421" stopIfTrue="1">
      <formula>$A781="decimal"</formula>
    </cfRule>
  </conditionalFormatting>
  <conditionalFormatting sqref="A781:A782">
    <cfRule type="expression" dxfId="26" priority="5422" stopIfTrue="1">
      <formula>$A781="integer"</formula>
    </cfRule>
  </conditionalFormatting>
  <conditionalFormatting sqref="A781:A782">
    <cfRule type="expression" dxfId="27" priority="5423" stopIfTrue="1">
      <formula>$A781="text"</formula>
    </cfRule>
  </conditionalFormatting>
  <conditionalFormatting sqref="A781:A782">
    <cfRule type="expression" dxfId="28" priority="5424" stopIfTrue="1">
      <formula>$A781="end repeat"</formula>
    </cfRule>
  </conditionalFormatting>
  <conditionalFormatting sqref="A781:A782">
    <cfRule type="expression" dxfId="28" priority="5425" stopIfTrue="1">
      <formula>$A781="begin repeat"</formula>
    </cfRule>
  </conditionalFormatting>
  <conditionalFormatting sqref="A781:A782">
    <cfRule type="expression" dxfId="29" priority="5426" stopIfTrue="1">
      <formula>$A781="end group"</formula>
    </cfRule>
  </conditionalFormatting>
  <conditionalFormatting sqref="A781:A782">
    <cfRule type="expression" dxfId="29" priority="5427" stopIfTrue="1">
      <formula>$A781="begin group"</formula>
    </cfRule>
  </conditionalFormatting>
  <conditionalFormatting sqref="A777">
    <cfRule type="expression" dxfId="33" priority="5428" stopIfTrue="1">
      <formula>$A777="file"</formula>
    </cfRule>
  </conditionalFormatting>
  <conditionalFormatting sqref="A777">
    <cfRule type="expression" dxfId="34" priority="5429" stopIfTrue="1">
      <formula>$A777="enumerator"</formula>
    </cfRule>
  </conditionalFormatting>
  <conditionalFormatting sqref="A777">
    <cfRule type="expression" dxfId="35" priority="5430" stopIfTrue="1">
      <formula>OR(AND(LEFT($A777, 14)="sensor_stream ", LEN($A777)&gt;14, NOT(ISNUMBER(SEARCH(" ", $A777, 15)))), AND(LEFT($A777, 17)="sensor_statistic ", LEN($A777)&gt;17, NOT(ISNUMBER(SEARCH(" ", $A777, 18)))))</formula>
    </cfRule>
  </conditionalFormatting>
  <conditionalFormatting sqref="A777">
    <cfRule type="expression" dxfId="14" priority="5431" stopIfTrue="1">
      <formula>$A777="comments"</formula>
    </cfRule>
  </conditionalFormatting>
  <conditionalFormatting sqref="A777">
    <cfRule type="expression" dxfId="15" priority="5432" stopIfTrue="1">
      <formula>OR($A777="audio", $A777="video")</formula>
    </cfRule>
  </conditionalFormatting>
  <conditionalFormatting sqref="A777">
    <cfRule type="expression" dxfId="16" priority="5433" stopIfTrue="1">
      <formula>$A777="image"</formula>
    </cfRule>
  </conditionalFormatting>
  <conditionalFormatting sqref="A777">
    <cfRule type="expression" dxfId="17" priority="5434" stopIfTrue="1">
      <formula>OR($A777="date", $A777="datetime", $A777="time")</formula>
    </cfRule>
  </conditionalFormatting>
  <conditionalFormatting sqref="A777">
    <cfRule type="expression" dxfId="18" priority="5435" stopIfTrue="1">
      <formula>OR($A777="calculate", $A777="calculate_here")</formula>
    </cfRule>
  </conditionalFormatting>
  <conditionalFormatting sqref="A777">
    <cfRule type="expression" dxfId="19" priority="5436" stopIfTrue="1">
      <formula>$A777="note"</formula>
    </cfRule>
  </conditionalFormatting>
  <conditionalFormatting sqref="A777">
    <cfRule type="expression" dxfId="20" priority="5437" stopIfTrue="1">
      <formula>$A777="barcode"</formula>
    </cfRule>
  </conditionalFormatting>
  <conditionalFormatting sqref="A777">
    <cfRule type="expression" dxfId="21" priority="5438" stopIfTrue="1">
      <formula>OR($A777="geopoint", $A777="geoshape", $A777="geotrace")</formula>
    </cfRule>
  </conditionalFormatting>
  <conditionalFormatting sqref="A777">
    <cfRule type="expression" dxfId="22" priority="5439" stopIfTrue="1">
      <formula>OR($A777="audio audit", $A777="text audit", $A777="speed violations count", $A777="speed violations list", $A777="speed violations audit")</formula>
    </cfRule>
  </conditionalFormatting>
  <conditionalFormatting sqref="A777">
    <cfRule type="expression" dxfId="23" priority="5440" stopIfTrue="1">
      <formula>OR($A777="username", $A777="phonenumber", $A777="start", $A777="end", $A777="deviceid", $A777="subscriberid", $A777="simserial", $A777="caseid")</formula>
    </cfRule>
  </conditionalFormatting>
  <conditionalFormatting sqref="A777">
    <cfRule type="expression" dxfId="24" priority="5441" stopIfTrue="1">
      <formula>OR(AND(LEFT($A777, 16)="select_multiple ", LEN($A777)&gt;16, NOT(ISNUMBER(SEARCH(" ", $A777, 17)))), AND(LEFT($A777, 11)="select_one ", LEN($A777)&gt;11, NOT(ISNUMBER(SEARCH(" ", $A777, 12)))))</formula>
    </cfRule>
  </conditionalFormatting>
  <conditionalFormatting sqref="A777">
    <cfRule type="expression" dxfId="25" priority="5442" stopIfTrue="1">
      <formula>$A777="decimal"</formula>
    </cfRule>
  </conditionalFormatting>
  <conditionalFormatting sqref="A777">
    <cfRule type="expression" dxfId="26" priority="5443" stopIfTrue="1">
      <formula>$A777="integer"</formula>
    </cfRule>
  </conditionalFormatting>
  <conditionalFormatting sqref="A777">
    <cfRule type="expression" dxfId="27" priority="5444" stopIfTrue="1">
      <formula>$A777="text"</formula>
    </cfRule>
  </conditionalFormatting>
  <conditionalFormatting sqref="A777">
    <cfRule type="expression" dxfId="28" priority="5445" stopIfTrue="1">
      <formula>$A777="end repeat"</formula>
    </cfRule>
  </conditionalFormatting>
  <conditionalFormatting sqref="A777">
    <cfRule type="expression" dxfId="28" priority="5446" stopIfTrue="1">
      <formula>$A777="begin repeat"</formula>
    </cfRule>
  </conditionalFormatting>
  <conditionalFormatting sqref="A777">
    <cfRule type="expression" dxfId="29" priority="5447" stopIfTrue="1">
      <formula>$A777="end group"</formula>
    </cfRule>
  </conditionalFormatting>
  <conditionalFormatting sqref="A777">
    <cfRule type="expression" dxfId="29" priority="5448" stopIfTrue="1">
      <formula>$A777="begin group"</formula>
    </cfRule>
  </conditionalFormatting>
  <conditionalFormatting sqref="A769:A771">
    <cfRule type="expression" dxfId="33" priority="5449" stopIfTrue="1">
      <formula>$A769="file"</formula>
    </cfRule>
  </conditionalFormatting>
  <conditionalFormatting sqref="A769:A771">
    <cfRule type="expression" dxfId="34" priority="5450" stopIfTrue="1">
      <formula>$A769="enumerator"</formula>
    </cfRule>
  </conditionalFormatting>
  <conditionalFormatting sqref="A769:A771">
    <cfRule type="expression" dxfId="35" priority="5451" stopIfTrue="1">
      <formula>OR(AND(LEFT($A769, 14)="sensor_stream ", LEN($A769)&gt;14, NOT(ISNUMBER(SEARCH(" ", $A769, 15)))), AND(LEFT($A769, 17)="sensor_statistic ", LEN($A769)&gt;17, NOT(ISNUMBER(SEARCH(" ", $A769, 18)))))</formula>
    </cfRule>
  </conditionalFormatting>
  <conditionalFormatting sqref="A769:A771">
    <cfRule type="expression" dxfId="14" priority="5452" stopIfTrue="1">
      <formula>$A769="comments"</formula>
    </cfRule>
  </conditionalFormatting>
  <conditionalFormatting sqref="A769:A771">
    <cfRule type="expression" dxfId="15" priority="5453" stopIfTrue="1">
      <formula>OR($A769="audio", $A769="video")</formula>
    </cfRule>
  </conditionalFormatting>
  <conditionalFormatting sqref="A769:A771">
    <cfRule type="expression" dxfId="16" priority="5454" stopIfTrue="1">
      <formula>$A769="image"</formula>
    </cfRule>
  </conditionalFormatting>
  <conditionalFormatting sqref="A769:A771">
    <cfRule type="expression" dxfId="17" priority="5455" stopIfTrue="1">
      <formula>OR($A769="date", $A769="datetime", $A769="time")</formula>
    </cfRule>
  </conditionalFormatting>
  <conditionalFormatting sqref="A769:A771">
    <cfRule type="expression" dxfId="18" priority="5456" stopIfTrue="1">
      <formula>OR($A769="calculate", $A769="calculate_here")</formula>
    </cfRule>
  </conditionalFormatting>
  <conditionalFormatting sqref="A769:A771">
    <cfRule type="expression" dxfId="19" priority="5457" stopIfTrue="1">
      <formula>$A769="note"</formula>
    </cfRule>
  </conditionalFormatting>
  <conditionalFormatting sqref="A769:A771">
    <cfRule type="expression" dxfId="20" priority="5458" stopIfTrue="1">
      <formula>$A769="barcode"</formula>
    </cfRule>
  </conditionalFormatting>
  <conditionalFormatting sqref="A769:A771">
    <cfRule type="expression" dxfId="21" priority="5459" stopIfTrue="1">
      <formula>OR($A769="geopoint", $A769="geoshape", $A769="geotrace")</formula>
    </cfRule>
  </conditionalFormatting>
  <conditionalFormatting sqref="A769:A771">
    <cfRule type="expression" dxfId="22" priority="5460" stopIfTrue="1">
      <formula>OR($A769="audio audit", $A769="text audit", $A769="speed violations count", $A769="speed violations list", $A769="speed violations audit")</formula>
    </cfRule>
  </conditionalFormatting>
  <conditionalFormatting sqref="A769:A771">
    <cfRule type="expression" dxfId="23" priority="5461" stopIfTrue="1">
      <formula>OR($A769="username", $A769="phonenumber", $A769="start", $A769="end", $A769="deviceid", $A769="subscriberid", $A769="simserial", $A769="caseid")</formula>
    </cfRule>
  </conditionalFormatting>
  <conditionalFormatting sqref="A769:A771">
    <cfRule type="expression" dxfId="24" priority="5462" stopIfTrue="1">
      <formula>OR(AND(LEFT($A769, 16)="select_multiple ", LEN($A769)&gt;16, NOT(ISNUMBER(SEARCH(" ", $A769, 17)))), AND(LEFT($A769, 11)="select_one ", LEN($A769)&gt;11, NOT(ISNUMBER(SEARCH(" ", $A769, 12)))))</formula>
    </cfRule>
  </conditionalFormatting>
  <conditionalFormatting sqref="A769:A771">
    <cfRule type="expression" dxfId="25" priority="5463" stopIfTrue="1">
      <formula>$A769="decimal"</formula>
    </cfRule>
  </conditionalFormatting>
  <conditionalFormatting sqref="A769:A771">
    <cfRule type="expression" dxfId="26" priority="5464" stopIfTrue="1">
      <formula>$A769="integer"</formula>
    </cfRule>
  </conditionalFormatting>
  <conditionalFormatting sqref="A769:A771">
    <cfRule type="expression" dxfId="27" priority="5465" stopIfTrue="1">
      <formula>$A769="text"</formula>
    </cfRule>
  </conditionalFormatting>
  <conditionalFormatting sqref="A769:A771">
    <cfRule type="expression" dxfId="28" priority="5466" stopIfTrue="1">
      <formula>$A769="end repeat"</formula>
    </cfRule>
  </conditionalFormatting>
  <conditionalFormatting sqref="A769:A771">
    <cfRule type="expression" dxfId="28" priority="5467" stopIfTrue="1">
      <formula>$A769="begin repeat"</formula>
    </cfRule>
  </conditionalFormatting>
  <conditionalFormatting sqref="A769:A771">
    <cfRule type="expression" dxfId="29" priority="5468" stopIfTrue="1">
      <formula>$A769="end group"</formula>
    </cfRule>
  </conditionalFormatting>
  <conditionalFormatting sqref="A769:A771">
    <cfRule type="expression" dxfId="29" priority="5469" stopIfTrue="1">
      <formula>$A769="begin group"</formula>
    </cfRule>
  </conditionalFormatting>
  <conditionalFormatting sqref="A765:A767">
    <cfRule type="expression" dxfId="33" priority="5470" stopIfTrue="1">
      <formula>$A765="file"</formula>
    </cfRule>
  </conditionalFormatting>
  <conditionalFormatting sqref="A765:A767">
    <cfRule type="expression" dxfId="34" priority="5471" stopIfTrue="1">
      <formula>$A765="enumerator"</formula>
    </cfRule>
  </conditionalFormatting>
  <conditionalFormatting sqref="A765:A767">
    <cfRule type="expression" dxfId="35" priority="5472" stopIfTrue="1">
      <formula>OR(AND(LEFT($A765, 14)="sensor_stream ", LEN($A765)&gt;14, NOT(ISNUMBER(SEARCH(" ", $A765, 15)))), AND(LEFT($A765, 17)="sensor_statistic ", LEN($A765)&gt;17, NOT(ISNUMBER(SEARCH(" ", $A765, 18)))))</formula>
    </cfRule>
  </conditionalFormatting>
  <conditionalFormatting sqref="A765:A767">
    <cfRule type="expression" dxfId="14" priority="5473" stopIfTrue="1">
      <formula>$A765="comments"</formula>
    </cfRule>
  </conditionalFormatting>
  <conditionalFormatting sqref="A765:A767">
    <cfRule type="expression" dxfId="15" priority="5474" stopIfTrue="1">
      <formula>OR($A765="audio", $A765="video")</formula>
    </cfRule>
  </conditionalFormatting>
  <conditionalFormatting sqref="A765:A767">
    <cfRule type="expression" dxfId="16" priority="5475" stopIfTrue="1">
      <formula>$A765="image"</formula>
    </cfRule>
  </conditionalFormatting>
  <conditionalFormatting sqref="A765:A767">
    <cfRule type="expression" dxfId="17" priority="5476" stopIfTrue="1">
      <formula>OR($A765="date", $A765="datetime", $A765="time")</formula>
    </cfRule>
  </conditionalFormatting>
  <conditionalFormatting sqref="A765:A767">
    <cfRule type="expression" dxfId="18" priority="5477" stopIfTrue="1">
      <formula>OR($A765="calculate", $A765="calculate_here")</formula>
    </cfRule>
  </conditionalFormatting>
  <conditionalFormatting sqref="A765:A767">
    <cfRule type="expression" dxfId="19" priority="5478" stopIfTrue="1">
      <formula>$A765="note"</formula>
    </cfRule>
  </conditionalFormatting>
  <conditionalFormatting sqref="A765:A767">
    <cfRule type="expression" dxfId="20" priority="5479" stopIfTrue="1">
      <formula>$A765="barcode"</formula>
    </cfRule>
  </conditionalFormatting>
  <conditionalFormatting sqref="A765:A767">
    <cfRule type="expression" dxfId="21" priority="5480" stopIfTrue="1">
      <formula>OR($A765="geopoint", $A765="geoshape", $A765="geotrace")</formula>
    </cfRule>
  </conditionalFormatting>
  <conditionalFormatting sqref="A765:A767">
    <cfRule type="expression" dxfId="22" priority="5481" stopIfTrue="1">
      <formula>OR($A765="audio audit", $A765="text audit", $A765="speed violations count", $A765="speed violations list", $A765="speed violations audit")</formula>
    </cfRule>
  </conditionalFormatting>
  <conditionalFormatting sqref="A765:A767">
    <cfRule type="expression" dxfId="23" priority="5482" stopIfTrue="1">
      <formula>OR($A765="username", $A765="phonenumber", $A765="start", $A765="end", $A765="deviceid", $A765="subscriberid", $A765="simserial", $A765="caseid")</formula>
    </cfRule>
  </conditionalFormatting>
  <conditionalFormatting sqref="A765:A767">
    <cfRule type="expression" dxfId="24" priority="5483" stopIfTrue="1">
      <formula>OR(AND(LEFT($A765, 16)="select_multiple ", LEN($A765)&gt;16, NOT(ISNUMBER(SEARCH(" ", $A765, 17)))), AND(LEFT($A765, 11)="select_one ", LEN($A765)&gt;11, NOT(ISNUMBER(SEARCH(" ", $A765, 12)))))</formula>
    </cfRule>
  </conditionalFormatting>
  <conditionalFormatting sqref="A765:A767">
    <cfRule type="expression" dxfId="25" priority="5484" stopIfTrue="1">
      <formula>$A765="decimal"</formula>
    </cfRule>
  </conditionalFormatting>
  <conditionalFormatting sqref="A765:A767">
    <cfRule type="expression" dxfId="26" priority="5485" stopIfTrue="1">
      <formula>$A765="integer"</formula>
    </cfRule>
  </conditionalFormatting>
  <conditionalFormatting sqref="A765:A767">
    <cfRule type="expression" dxfId="27" priority="5486" stopIfTrue="1">
      <formula>$A765="text"</formula>
    </cfRule>
  </conditionalFormatting>
  <conditionalFormatting sqref="A765:A767">
    <cfRule type="expression" dxfId="28" priority="5487" stopIfTrue="1">
      <formula>$A765="end repeat"</formula>
    </cfRule>
  </conditionalFormatting>
  <conditionalFormatting sqref="A765:A767">
    <cfRule type="expression" dxfId="28" priority="5488" stopIfTrue="1">
      <formula>$A765="begin repeat"</formula>
    </cfRule>
  </conditionalFormatting>
  <conditionalFormatting sqref="A765:A767">
    <cfRule type="expression" dxfId="29" priority="5489" stopIfTrue="1">
      <formula>$A765="end group"</formula>
    </cfRule>
  </conditionalFormatting>
  <conditionalFormatting sqref="A765:A767">
    <cfRule type="expression" dxfId="29" priority="5490" stopIfTrue="1">
      <formula>$A765="begin group"</formula>
    </cfRule>
  </conditionalFormatting>
  <conditionalFormatting sqref="A753:A760">
    <cfRule type="expression" dxfId="33" priority="5491" stopIfTrue="1">
      <formula>$A753="file"</formula>
    </cfRule>
  </conditionalFormatting>
  <conditionalFormatting sqref="A753:A760">
    <cfRule type="expression" dxfId="34" priority="5492" stopIfTrue="1">
      <formula>$A753="enumerator"</formula>
    </cfRule>
  </conditionalFormatting>
  <conditionalFormatting sqref="A753:A760">
    <cfRule type="expression" dxfId="35" priority="5493" stopIfTrue="1">
      <formula>OR(AND(LEFT($A753, 14)="sensor_stream ", LEN($A753)&gt;14, NOT(ISNUMBER(SEARCH(" ", $A753, 15)))), AND(LEFT($A753, 17)="sensor_statistic ", LEN($A753)&gt;17, NOT(ISNUMBER(SEARCH(" ", $A753, 18)))))</formula>
    </cfRule>
  </conditionalFormatting>
  <conditionalFormatting sqref="A753:A760">
    <cfRule type="expression" dxfId="14" priority="5494" stopIfTrue="1">
      <formula>$A753="comments"</formula>
    </cfRule>
  </conditionalFormatting>
  <conditionalFormatting sqref="A753:A760">
    <cfRule type="expression" dxfId="15" priority="5495" stopIfTrue="1">
      <formula>OR($A753="audio", $A753="video")</formula>
    </cfRule>
  </conditionalFormatting>
  <conditionalFormatting sqref="A753:A760">
    <cfRule type="expression" dxfId="16" priority="5496" stopIfTrue="1">
      <formula>$A753="image"</formula>
    </cfRule>
  </conditionalFormatting>
  <conditionalFormatting sqref="A753:A760">
    <cfRule type="expression" dxfId="17" priority="5497" stopIfTrue="1">
      <formula>OR($A753="date", $A753="datetime", $A753="time")</formula>
    </cfRule>
  </conditionalFormatting>
  <conditionalFormatting sqref="A753:A760">
    <cfRule type="expression" dxfId="18" priority="5498" stopIfTrue="1">
      <formula>OR($A753="calculate", $A753="calculate_here")</formula>
    </cfRule>
  </conditionalFormatting>
  <conditionalFormatting sqref="A753:A760">
    <cfRule type="expression" dxfId="19" priority="5499" stopIfTrue="1">
      <formula>$A753="note"</formula>
    </cfRule>
  </conditionalFormatting>
  <conditionalFormatting sqref="A753:A760">
    <cfRule type="expression" dxfId="20" priority="5500" stopIfTrue="1">
      <formula>$A753="barcode"</formula>
    </cfRule>
  </conditionalFormatting>
  <conditionalFormatting sqref="A753:A760">
    <cfRule type="expression" dxfId="21" priority="5501" stopIfTrue="1">
      <formula>OR($A753="geopoint", $A753="geoshape", $A753="geotrace")</formula>
    </cfRule>
  </conditionalFormatting>
  <conditionalFormatting sqref="A753:A760">
    <cfRule type="expression" dxfId="22" priority="5502" stopIfTrue="1">
      <formula>OR($A753="audio audit", $A753="text audit", $A753="speed violations count", $A753="speed violations list", $A753="speed violations audit")</formula>
    </cfRule>
  </conditionalFormatting>
  <conditionalFormatting sqref="A753:A760">
    <cfRule type="expression" dxfId="23" priority="5503" stopIfTrue="1">
      <formula>OR($A753="username", $A753="phonenumber", $A753="start", $A753="end", $A753="deviceid", $A753="subscriberid", $A753="simserial", $A753="caseid")</formula>
    </cfRule>
  </conditionalFormatting>
  <conditionalFormatting sqref="A753:A760">
    <cfRule type="expression" dxfId="24" priority="5504" stopIfTrue="1">
      <formula>OR(AND(LEFT($A753, 16)="select_multiple ", LEN($A753)&gt;16, NOT(ISNUMBER(SEARCH(" ", $A753, 17)))), AND(LEFT($A753, 11)="select_one ", LEN($A753)&gt;11, NOT(ISNUMBER(SEARCH(" ", $A753, 12)))))</formula>
    </cfRule>
  </conditionalFormatting>
  <conditionalFormatting sqref="A753:A760">
    <cfRule type="expression" dxfId="25" priority="5505" stopIfTrue="1">
      <formula>$A753="decimal"</formula>
    </cfRule>
  </conditionalFormatting>
  <conditionalFormatting sqref="A753:A760">
    <cfRule type="expression" dxfId="26" priority="5506" stopIfTrue="1">
      <formula>$A753="integer"</formula>
    </cfRule>
  </conditionalFormatting>
  <conditionalFormatting sqref="A753:A760">
    <cfRule type="expression" dxfId="27" priority="5507" stopIfTrue="1">
      <formula>$A753="text"</formula>
    </cfRule>
  </conditionalFormatting>
  <conditionalFormatting sqref="A753:A760">
    <cfRule type="expression" dxfId="28" priority="5508" stopIfTrue="1">
      <formula>$A753="end repeat"</formula>
    </cfRule>
  </conditionalFormatting>
  <conditionalFormatting sqref="A753:A760">
    <cfRule type="expression" dxfId="28" priority="5509" stopIfTrue="1">
      <formula>$A753="begin repeat"</formula>
    </cfRule>
  </conditionalFormatting>
  <conditionalFormatting sqref="A753:A760">
    <cfRule type="expression" dxfId="29" priority="5510" stopIfTrue="1">
      <formula>$A753="end group"</formula>
    </cfRule>
  </conditionalFormatting>
  <conditionalFormatting sqref="A753:A760">
    <cfRule type="expression" dxfId="29" priority="5511" stopIfTrue="1">
      <formula>$A753="begin group"</formula>
    </cfRule>
  </conditionalFormatting>
  <conditionalFormatting sqref="A746:A751">
    <cfRule type="expression" dxfId="33" priority="5512" stopIfTrue="1">
      <formula>$A746="file"</formula>
    </cfRule>
  </conditionalFormatting>
  <conditionalFormatting sqref="A746:A751">
    <cfRule type="expression" dxfId="34" priority="5513" stopIfTrue="1">
      <formula>$A746="enumerator"</formula>
    </cfRule>
  </conditionalFormatting>
  <conditionalFormatting sqref="A746:A751">
    <cfRule type="expression" dxfId="35" priority="5514" stopIfTrue="1">
      <formula>OR(AND(LEFT($A746, 14)="sensor_stream ", LEN($A746)&gt;14, NOT(ISNUMBER(SEARCH(" ", $A746, 15)))), AND(LEFT($A746, 17)="sensor_statistic ", LEN($A746)&gt;17, NOT(ISNUMBER(SEARCH(" ", $A746, 18)))))</formula>
    </cfRule>
  </conditionalFormatting>
  <conditionalFormatting sqref="A746:A751">
    <cfRule type="expression" dxfId="14" priority="5515" stopIfTrue="1">
      <formula>$A746="comments"</formula>
    </cfRule>
  </conditionalFormatting>
  <conditionalFormatting sqref="A746:A751">
    <cfRule type="expression" dxfId="15" priority="5516" stopIfTrue="1">
      <formula>OR($A746="audio", $A746="video")</formula>
    </cfRule>
  </conditionalFormatting>
  <conditionalFormatting sqref="A746:A751">
    <cfRule type="expression" dxfId="16" priority="5517" stopIfTrue="1">
      <formula>$A746="image"</formula>
    </cfRule>
  </conditionalFormatting>
  <conditionalFormatting sqref="A746:A751">
    <cfRule type="expression" dxfId="17" priority="5518" stopIfTrue="1">
      <formula>OR($A746="date", $A746="datetime", $A746="time")</formula>
    </cfRule>
  </conditionalFormatting>
  <conditionalFormatting sqref="A746:A751">
    <cfRule type="expression" dxfId="18" priority="5519" stopIfTrue="1">
      <formula>OR($A746="calculate", $A746="calculate_here")</formula>
    </cfRule>
  </conditionalFormatting>
  <conditionalFormatting sqref="A746:A751">
    <cfRule type="expression" dxfId="19" priority="5520" stopIfTrue="1">
      <formula>$A746="note"</formula>
    </cfRule>
  </conditionalFormatting>
  <conditionalFormatting sqref="A746:A751">
    <cfRule type="expression" dxfId="20" priority="5521" stopIfTrue="1">
      <formula>$A746="barcode"</formula>
    </cfRule>
  </conditionalFormatting>
  <conditionalFormatting sqref="A746:A751">
    <cfRule type="expression" dxfId="21" priority="5522" stopIfTrue="1">
      <formula>OR($A746="geopoint", $A746="geoshape", $A746="geotrace")</formula>
    </cfRule>
  </conditionalFormatting>
  <conditionalFormatting sqref="A746:A751">
    <cfRule type="expression" dxfId="22" priority="5523" stopIfTrue="1">
      <formula>OR($A746="audio audit", $A746="text audit", $A746="speed violations count", $A746="speed violations list", $A746="speed violations audit")</formula>
    </cfRule>
  </conditionalFormatting>
  <conditionalFormatting sqref="A746:A751">
    <cfRule type="expression" dxfId="23" priority="5524" stopIfTrue="1">
      <formula>OR($A746="username", $A746="phonenumber", $A746="start", $A746="end", $A746="deviceid", $A746="subscriberid", $A746="simserial", $A746="caseid")</formula>
    </cfRule>
  </conditionalFormatting>
  <conditionalFormatting sqref="A746:A751">
    <cfRule type="expression" dxfId="24" priority="5525" stopIfTrue="1">
      <formula>OR(AND(LEFT($A746, 16)="select_multiple ", LEN($A746)&gt;16, NOT(ISNUMBER(SEARCH(" ", $A746, 17)))), AND(LEFT($A746, 11)="select_one ", LEN($A746)&gt;11, NOT(ISNUMBER(SEARCH(" ", $A746, 12)))))</formula>
    </cfRule>
  </conditionalFormatting>
  <conditionalFormatting sqref="A746:A751">
    <cfRule type="expression" dxfId="25" priority="5526" stopIfTrue="1">
      <formula>$A746="decimal"</formula>
    </cfRule>
  </conditionalFormatting>
  <conditionalFormatting sqref="A746:A751">
    <cfRule type="expression" dxfId="26" priority="5527" stopIfTrue="1">
      <formula>$A746="integer"</formula>
    </cfRule>
  </conditionalFormatting>
  <conditionalFormatting sqref="A746:A751">
    <cfRule type="expression" dxfId="27" priority="5528" stopIfTrue="1">
      <formula>$A746="text"</formula>
    </cfRule>
  </conditionalFormatting>
  <conditionalFormatting sqref="A746:A751">
    <cfRule type="expression" dxfId="28" priority="5529" stopIfTrue="1">
      <formula>$A746="end repeat"</formula>
    </cfRule>
  </conditionalFormatting>
  <conditionalFormatting sqref="A746:A751">
    <cfRule type="expression" dxfId="28" priority="5530" stopIfTrue="1">
      <formula>$A746="begin repeat"</formula>
    </cfRule>
  </conditionalFormatting>
  <conditionalFormatting sqref="A746:A751">
    <cfRule type="expression" dxfId="29" priority="5531" stopIfTrue="1">
      <formula>$A746="end group"</formula>
    </cfRule>
  </conditionalFormatting>
  <conditionalFormatting sqref="A746:A751">
    <cfRule type="expression" dxfId="29" priority="5532" stopIfTrue="1">
      <formula>$A746="begin group"</formula>
    </cfRule>
  </conditionalFormatting>
  <conditionalFormatting sqref="A740:A742">
    <cfRule type="expression" dxfId="33" priority="5533" stopIfTrue="1">
      <formula>$A740="file"</formula>
    </cfRule>
  </conditionalFormatting>
  <conditionalFormatting sqref="A740:A742">
    <cfRule type="expression" dxfId="34" priority="5534" stopIfTrue="1">
      <formula>$A740="enumerator"</formula>
    </cfRule>
  </conditionalFormatting>
  <conditionalFormatting sqref="A740:A742">
    <cfRule type="expression" dxfId="35" priority="5535" stopIfTrue="1">
      <formula>OR(AND(LEFT($A740, 14)="sensor_stream ", LEN($A740)&gt;14, NOT(ISNUMBER(SEARCH(" ", $A740, 15)))), AND(LEFT($A740, 17)="sensor_statistic ", LEN($A740)&gt;17, NOT(ISNUMBER(SEARCH(" ", $A740, 18)))))</formula>
    </cfRule>
  </conditionalFormatting>
  <conditionalFormatting sqref="A740:A742">
    <cfRule type="expression" dxfId="14" priority="5536" stopIfTrue="1">
      <formula>$A740="comments"</formula>
    </cfRule>
  </conditionalFormatting>
  <conditionalFormatting sqref="A740:A742">
    <cfRule type="expression" dxfId="15" priority="5537" stopIfTrue="1">
      <formula>OR($A740="audio", $A740="video")</formula>
    </cfRule>
  </conditionalFormatting>
  <conditionalFormatting sqref="A740:A742">
    <cfRule type="expression" dxfId="16" priority="5538" stopIfTrue="1">
      <formula>$A740="image"</formula>
    </cfRule>
  </conditionalFormatting>
  <conditionalFormatting sqref="A740:A742">
    <cfRule type="expression" dxfId="17" priority="5539" stopIfTrue="1">
      <formula>OR($A740="date", $A740="datetime", $A740="time")</formula>
    </cfRule>
  </conditionalFormatting>
  <conditionalFormatting sqref="A740:A742">
    <cfRule type="expression" dxfId="18" priority="5540" stopIfTrue="1">
      <formula>OR($A740="calculate", $A740="calculate_here")</formula>
    </cfRule>
  </conditionalFormatting>
  <conditionalFormatting sqref="A740:A742">
    <cfRule type="expression" dxfId="19" priority="5541" stopIfTrue="1">
      <formula>$A740="note"</formula>
    </cfRule>
  </conditionalFormatting>
  <conditionalFormatting sqref="A740:A742">
    <cfRule type="expression" dxfId="20" priority="5542" stopIfTrue="1">
      <formula>$A740="barcode"</formula>
    </cfRule>
  </conditionalFormatting>
  <conditionalFormatting sqref="A740:A742">
    <cfRule type="expression" dxfId="21" priority="5543" stopIfTrue="1">
      <formula>OR($A740="geopoint", $A740="geoshape", $A740="geotrace")</formula>
    </cfRule>
  </conditionalFormatting>
  <conditionalFormatting sqref="A740:A742">
    <cfRule type="expression" dxfId="22" priority="5544" stopIfTrue="1">
      <formula>OR($A740="audio audit", $A740="text audit", $A740="speed violations count", $A740="speed violations list", $A740="speed violations audit")</formula>
    </cfRule>
  </conditionalFormatting>
  <conditionalFormatting sqref="A740:A742">
    <cfRule type="expression" dxfId="23" priority="5545" stopIfTrue="1">
      <formula>OR($A740="username", $A740="phonenumber", $A740="start", $A740="end", $A740="deviceid", $A740="subscriberid", $A740="simserial", $A740="caseid")</formula>
    </cfRule>
  </conditionalFormatting>
  <conditionalFormatting sqref="A740:A742">
    <cfRule type="expression" dxfId="24" priority="5546" stopIfTrue="1">
      <formula>OR(AND(LEFT($A740, 16)="select_multiple ", LEN($A740)&gt;16, NOT(ISNUMBER(SEARCH(" ", $A740, 17)))), AND(LEFT($A740, 11)="select_one ", LEN($A740)&gt;11, NOT(ISNUMBER(SEARCH(" ", $A740, 12)))))</formula>
    </cfRule>
  </conditionalFormatting>
  <conditionalFormatting sqref="A740:A742">
    <cfRule type="expression" dxfId="25" priority="5547" stopIfTrue="1">
      <formula>$A740="decimal"</formula>
    </cfRule>
  </conditionalFormatting>
  <conditionalFormatting sqref="A740:A742">
    <cfRule type="expression" dxfId="26" priority="5548" stopIfTrue="1">
      <formula>$A740="integer"</formula>
    </cfRule>
  </conditionalFormatting>
  <conditionalFormatting sqref="A740:A742">
    <cfRule type="expression" dxfId="27" priority="5549" stopIfTrue="1">
      <formula>$A740="text"</formula>
    </cfRule>
  </conditionalFormatting>
  <conditionalFormatting sqref="A740:A742">
    <cfRule type="expression" dxfId="28" priority="5550" stopIfTrue="1">
      <formula>$A740="end repeat"</formula>
    </cfRule>
  </conditionalFormatting>
  <conditionalFormatting sqref="A740:A742">
    <cfRule type="expression" dxfId="28" priority="5551" stopIfTrue="1">
      <formula>$A740="begin repeat"</formula>
    </cfRule>
  </conditionalFormatting>
  <conditionalFormatting sqref="A740:A742">
    <cfRule type="expression" dxfId="29" priority="5552" stopIfTrue="1">
      <formula>$A740="end group"</formula>
    </cfRule>
  </conditionalFormatting>
  <conditionalFormatting sqref="A740:A742">
    <cfRule type="expression" dxfId="29" priority="5553" stopIfTrue="1">
      <formula>$A740="begin group"</formula>
    </cfRule>
  </conditionalFormatting>
  <conditionalFormatting sqref="A735:A736">
    <cfRule type="expression" dxfId="33" priority="5554" stopIfTrue="1">
      <formula>$A735="file"</formula>
    </cfRule>
  </conditionalFormatting>
  <conditionalFormatting sqref="A735:A736">
    <cfRule type="expression" dxfId="34" priority="5555" stopIfTrue="1">
      <formula>$A735="enumerator"</formula>
    </cfRule>
  </conditionalFormatting>
  <conditionalFormatting sqref="A735:A736">
    <cfRule type="expression" dxfId="35" priority="5556" stopIfTrue="1">
      <formula>OR(AND(LEFT($A735, 14)="sensor_stream ", LEN($A735)&gt;14, NOT(ISNUMBER(SEARCH(" ", $A735, 15)))), AND(LEFT($A735, 17)="sensor_statistic ", LEN($A735)&gt;17, NOT(ISNUMBER(SEARCH(" ", $A735, 18)))))</formula>
    </cfRule>
  </conditionalFormatting>
  <conditionalFormatting sqref="A735:A736">
    <cfRule type="expression" dxfId="14" priority="5557" stopIfTrue="1">
      <formula>$A735="comments"</formula>
    </cfRule>
  </conditionalFormatting>
  <conditionalFormatting sqref="A735:A736">
    <cfRule type="expression" dxfId="15" priority="5558" stopIfTrue="1">
      <formula>OR($A735="audio", $A735="video")</formula>
    </cfRule>
  </conditionalFormatting>
  <conditionalFormatting sqref="A735:A736">
    <cfRule type="expression" dxfId="16" priority="5559" stopIfTrue="1">
      <formula>$A735="image"</formula>
    </cfRule>
  </conditionalFormatting>
  <conditionalFormatting sqref="A735:A736">
    <cfRule type="expression" dxfId="17" priority="5560" stopIfTrue="1">
      <formula>OR($A735="date", $A735="datetime", $A735="time")</formula>
    </cfRule>
  </conditionalFormatting>
  <conditionalFormatting sqref="A735:A736">
    <cfRule type="expression" dxfId="18" priority="5561" stopIfTrue="1">
      <formula>OR($A735="calculate", $A735="calculate_here")</formula>
    </cfRule>
  </conditionalFormatting>
  <conditionalFormatting sqref="A735:A736">
    <cfRule type="expression" dxfId="19" priority="5562" stopIfTrue="1">
      <formula>$A735="note"</formula>
    </cfRule>
  </conditionalFormatting>
  <conditionalFormatting sqref="A735:A736">
    <cfRule type="expression" dxfId="20" priority="5563" stopIfTrue="1">
      <formula>$A735="barcode"</formula>
    </cfRule>
  </conditionalFormatting>
  <conditionalFormatting sqref="A735:A736">
    <cfRule type="expression" dxfId="21" priority="5564" stopIfTrue="1">
      <formula>OR($A735="geopoint", $A735="geoshape", $A735="geotrace")</formula>
    </cfRule>
  </conditionalFormatting>
  <conditionalFormatting sqref="A735:A736">
    <cfRule type="expression" dxfId="22" priority="5565" stopIfTrue="1">
      <formula>OR($A735="audio audit", $A735="text audit", $A735="speed violations count", $A735="speed violations list", $A735="speed violations audit")</formula>
    </cfRule>
  </conditionalFormatting>
  <conditionalFormatting sqref="A735:A736">
    <cfRule type="expression" dxfId="23" priority="5566" stopIfTrue="1">
      <formula>OR($A735="username", $A735="phonenumber", $A735="start", $A735="end", $A735="deviceid", $A735="subscriberid", $A735="simserial", $A735="caseid")</formula>
    </cfRule>
  </conditionalFormatting>
  <conditionalFormatting sqref="A735:A736">
    <cfRule type="expression" dxfId="24" priority="5567" stopIfTrue="1">
      <formula>OR(AND(LEFT($A735, 16)="select_multiple ", LEN($A735)&gt;16, NOT(ISNUMBER(SEARCH(" ", $A735, 17)))), AND(LEFT($A735, 11)="select_one ", LEN($A735)&gt;11, NOT(ISNUMBER(SEARCH(" ", $A735, 12)))))</formula>
    </cfRule>
  </conditionalFormatting>
  <conditionalFormatting sqref="A735:A736">
    <cfRule type="expression" dxfId="25" priority="5568" stopIfTrue="1">
      <formula>$A735="decimal"</formula>
    </cfRule>
  </conditionalFormatting>
  <conditionalFormatting sqref="A735:A736">
    <cfRule type="expression" dxfId="26" priority="5569" stopIfTrue="1">
      <formula>$A735="integer"</formula>
    </cfRule>
  </conditionalFormatting>
  <conditionalFormatting sqref="A735:A736">
    <cfRule type="expression" dxfId="27" priority="5570" stopIfTrue="1">
      <formula>$A735="text"</formula>
    </cfRule>
  </conditionalFormatting>
  <conditionalFormatting sqref="A735:A736">
    <cfRule type="expression" dxfId="28" priority="5571" stopIfTrue="1">
      <formula>$A735="end repeat"</formula>
    </cfRule>
  </conditionalFormatting>
  <conditionalFormatting sqref="A735:A736">
    <cfRule type="expression" dxfId="28" priority="5572" stopIfTrue="1">
      <formula>$A735="begin repeat"</formula>
    </cfRule>
  </conditionalFormatting>
  <conditionalFormatting sqref="A735:A736">
    <cfRule type="expression" dxfId="29" priority="5573" stopIfTrue="1">
      <formula>$A735="end group"</formula>
    </cfRule>
  </conditionalFormatting>
  <conditionalFormatting sqref="A735:A736">
    <cfRule type="expression" dxfId="29" priority="5574" stopIfTrue="1">
      <formula>$A735="begin group"</formula>
    </cfRule>
  </conditionalFormatting>
  <conditionalFormatting sqref="A723:A725">
    <cfRule type="expression" dxfId="33" priority="5575" stopIfTrue="1">
      <formula>$A723="file"</formula>
    </cfRule>
  </conditionalFormatting>
  <conditionalFormatting sqref="A723:A725">
    <cfRule type="expression" dxfId="34" priority="5576" stopIfTrue="1">
      <formula>$A723="enumerator"</formula>
    </cfRule>
  </conditionalFormatting>
  <conditionalFormatting sqref="A723:A725">
    <cfRule type="expression" dxfId="35" priority="5577" stopIfTrue="1">
      <formula>OR(AND(LEFT($A723, 14)="sensor_stream ", LEN($A723)&gt;14, NOT(ISNUMBER(SEARCH(" ", $A723, 15)))), AND(LEFT($A723, 17)="sensor_statistic ", LEN($A723)&gt;17, NOT(ISNUMBER(SEARCH(" ", $A723, 18)))))</formula>
    </cfRule>
  </conditionalFormatting>
  <conditionalFormatting sqref="A723:A725">
    <cfRule type="expression" dxfId="14" priority="5578" stopIfTrue="1">
      <formula>$A723="comments"</formula>
    </cfRule>
  </conditionalFormatting>
  <conditionalFormatting sqref="A723:A725">
    <cfRule type="expression" dxfId="15" priority="5579" stopIfTrue="1">
      <formula>OR($A723="audio", $A723="video")</formula>
    </cfRule>
  </conditionalFormatting>
  <conditionalFormatting sqref="A723:A725">
    <cfRule type="expression" dxfId="16" priority="5580" stopIfTrue="1">
      <formula>$A723="image"</formula>
    </cfRule>
  </conditionalFormatting>
  <conditionalFormatting sqref="A723:A725">
    <cfRule type="expression" dxfId="17" priority="5581" stopIfTrue="1">
      <formula>OR($A723="date", $A723="datetime", $A723="time")</formula>
    </cfRule>
  </conditionalFormatting>
  <conditionalFormatting sqref="A723:A725">
    <cfRule type="expression" dxfId="18" priority="5582" stopIfTrue="1">
      <formula>OR($A723="calculate", $A723="calculate_here")</formula>
    </cfRule>
  </conditionalFormatting>
  <conditionalFormatting sqref="A723:A725">
    <cfRule type="expression" dxfId="19" priority="5583" stopIfTrue="1">
      <formula>$A723="note"</formula>
    </cfRule>
  </conditionalFormatting>
  <conditionalFormatting sqref="A723:A725">
    <cfRule type="expression" dxfId="20" priority="5584" stopIfTrue="1">
      <formula>$A723="barcode"</formula>
    </cfRule>
  </conditionalFormatting>
  <conditionalFormatting sqref="A723:A725">
    <cfRule type="expression" dxfId="21" priority="5585" stopIfTrue="1">
      <formula>OR($A723="geopoint", $A723="geoshape", $A723="geotrace")</formula>
    </cfRule>
  </conditionalFormatting>
  <conditionalFormatting sqref="A723:A725">
    <cfRule type="expression" dxfId="22" priority="5586" stopIfTrue="1">
      <formula>OR($A723="audio audit", $A723="text audit", $A723="speed violations count", $A723="speed violations list", $A723="speed violations audit")</formula>
    </cfRule>
  </conditionalFormatting>
  <conditionalFormatting sqref="A723:A725">
    <cfRule type="expression" dxfId="23" priority="5587" stopIfTrue="1">
      <formula>OR($A723="username", $A723="phonenumber", $A723="start", $A723="end", $A723="deviceid", $A723="subscriberid", $A723="simserial", $A723="caseid")</formula>
    </cfRule>
  </conditionalFormatting>
  <conditionalFormatting sqref="A723:A725">
    <cfRule type="expression" dxfId="24" priority="5588" stopIfTrue="1">
      <formula>OR(AND(LEFT($A723, 16)="select_multiple ", LEN($A723)&gt;16, NOT(ISNUMBER(SEARCH(" ", $A723, 17)))), AND(LEFT($A723, 11)="select_one ", LEN($A723)&gt;11, NOT(ISNUMBER(SEARCH(" ", $A723, 12)))))</formula>
    </cfRule>
  </conditionalFormatting>
  <conditionalFormatting sqref="A723:A725">
    <cfRule type="expression" dxfId="25" priority="5589" stopIfTrue="1">
      <formula>$A723="decimal"</formula>
    </cfRule>
  </conditionalFormatting>
  <conditionalFormatting sqref="A723:A725">
    <cfRule type="expression" dxfId="26" priority="5590" stopIfTrue="1">
      <formula>$A723="integer"</formula>
    </cfRule>
  </conditionalFormatting>
  <conditionalFormatting sqref="A723:A725">
    <cfRule type="expression" dxfId="27" priority="5591" stopIfTrue="1">
      <formula>$A723="text"</formula>
    </cfRule>
  </conditionalFormatting>
  <conditionalFormatting sqref="A723:A725">
    <cfRule type="expression" dxfId="28" priority="5592" stopIfTrue="1">
      <formula>$A723="end repeat"</formula>
    </cfRule>
  </conditionalFormatting>
  <conditionalFormatting sqref="A723:A725">
    <cfRule type="expression" dxfId="28" priority="5593" stopIfTrue="1">
      <formula>$A723="begin repeat"</formula>
    </cfRule>
  </conditionalFormatting>
  <conditionalFormatting sqref="A723:A725">
    <cfRule type="expression" dxfId="29" priority="5594" stopIfTrue="1">
      <formula>$A723="end group"</formula>
    </cfRule>
  </conditionalFormatting>
  <conditionalFormatting sqref="A723:A725">
    <cfRule type="expression" dxfId="29" priority="5595" stopIfTrue="1">
      <formula>$A723="begin group"</formula>
    </cfRule>
  </conditionalFormatting>
  <conditionalFormatting sqref="A717:A718">
    <cfRule type="expression" dxfId="33" priority="5596" stopIfTrue="1">
      <formula>$A717="file"</formula>
    </cfRule>
  </conditionalFormatting>
  <conditionalFormatting sqref="A717:A718">
    <cfRule type="expression" dxfId="34" priority="5597" stopIfTrue="1">
      <formula>$A717="enumerator"</formula>
    </cfRule>
  </conditionalFormatting>
  <conditionalFormatting sqref="A717:A718">
    <cfRule type="expression" dxfId="35" priority="5598" stopIfTrue="1">
      <formula>OR(AND(LEFT($A717, 14)="sensor_stream ", LEN($A717)&gt;14, NOT(ISNUMBER(SEARCH(" ", $A717, 15)))), AND(LEFT($A717, 17)="sensor_statistic ", LEN($A717)&gt;17, NOT(ISNUMBER(SEARCH(" ", $A717, 18)))))</formula>
    </cfRule>
  </conditionalFormatting>
  <conditionalFormatting sqref="A717:A718">
    <cfRule type="expression" dxfId="14" priority="5599" stopIfTrue="1">
      <formula>$A717="comments"</formula>
    </cfRule>
  </conditionalFormatting>
  <conditionalFormatting sqref="A717:A718">
    <cfRule type="expression" dxfId="15" priority="5600" stopIfTrue="1">
      <formula>OR($A717="audio", $A717="video")</formula>
    </cfRule>
  </conditionalFormatting>
  <conditionalFormatting sqref="A717:A718">
    <cfRule type="expression" dxfId="16" priority="5601" stopIfTrue="1">
      <formula>$A717="image"</formula>
    </cfRule>
  </conditionalFormatting>
  <conditionalFormatting sqref="A717:A718">
    <cfRule type="expression" dxfId="17" priority="5602" stopIfTrue="1">
      <formula>OR($A717="date", $A717="datetime", $A717="time")</formula>
    </cfRule>
  </conditionalFormatting>
  <conditionalFormatting sqref="A717:A718">
    <cfRule type="expression" dxfId="18" priority="5603" stopIfTrue="1">
      <formula>OR($A717="calculate", $A717="calculate_here")</formula>
    </cfRule>
  </conditionalFormatting>
  <conditionalFormatting sqref="A717:A718">
    <cfRule type="expression" dxfId="19" priority="5604" stopIfTrue="1">
      <formula>$A717="note"</formula>
    </cfRule>
  </conditionalFormatting>
  <conditionalFormatting sqref="A717:A718">
    <cfRule type="expression" dxfId="20" priority="5605" stopIfTrue="1">
      <formula>$A717="barcode"</formula>
    </cfRule>
  </conditionalFormatting>
  <conditionalFormatting sqref="A717:A718">
    <cfRule type="expression" dxfId="21" priority="5606" stopIfTrue="1">
      <formula>OR($A717="geopoint", $A717="geoshape", $A717="geotrace")</formula>
    </cfRule>
  </conditionalFormatting>
  <conditionalFormatting sqref="A717:A718">
    <cfRule type="expression" dxfId="22" priority="5607" stopIfTrue="1">
      <formula>OR($A717="audio audit", $A717="text audit", $A717="speed violations count", $A717="speed violations list", $A717="speed violations audit")</formula>
    </cfRule>
  </conditionalFormatting>
  <conditionalFormatting sqref="A717:A718">
    <cfRule type="expression" dxfId="23" priority="5608" stopIfTrue="1">
      <formula>OR($A717="username", $A717="phonenumber", $A717="start", $A717="end", $A717="deviceid", $A717="subscriberid", $A717="simserial", $A717="caseid")</formula>
    </cfRule>
  </conditionalFormatting>
  <conditionalFormatting sqref="A717:A718">
    <cfRule type="expression" dxfId="24" priority="5609" stopIfTrue="1">
      <formula>OR(AND(LEFT($A717, 16)="select_multiple ", LEN($A717)&gt;16, NOT(ISNUMBER(SEARCH(" ", $A717, 17)))), AND(LEFT($A717, 11)="select_one ", LEN($A717)&gt;11, NOT(ISNUMBER(SEARCH(" ", $A717, 12)))))</formula>
    </cfRule>
  </conditionalFormatting>
  <conditionalFormatting sqref="A717:A718">
    <cfRule type="expression" dxfId="25" priority="5610" stopIfTrue="1">
      <formula>$A717="decimal"</formula>
    </cfRule>
  </conditionalFormatting>
  <conditionalFormatting sqref="A717:A718">
    <cfRule type="expression" dxfId="26" priority="5611" stopIfTrue="1">
      <formula>$A717="integer"</formula>
    </cfRule>
  </conditionalFormatting>
  <conditionalFormatting sqref="A717:A718">
    <cfRule type="expression" dxfId="27" priority="5612" stopIfTrue="1">
      <formula>$A717="text"</formula>
    </cfRule>
  </conditionalFormatting>
  <conditionalFormatting sqref="A717:A718">
    <cfRule type="expression" dxfId="28" priority="5613" stopIfTrue="1">
      <formula>$A717="end repeat"</formula>
    </cfRule>
  </conditionalFormatting>
  <conditionalFormatting sqref="A717:A718">
    <cfRule type="expression" dxfId="28" priority="5614" stopIfTrue="1">
      <formula>$A717="begin repeat"</formula>
    </cfRule>
  </conditionalFormatting>
  <conditionalFormatting sqref="A717:A718">
    <cfRule type="expression" dxfId="29" priority="5615" stopIfTrue="1">
      <formula>$A717="end group"</formula>
    </cfRule>
  </conditionalFormatting>
  <conditionalFormatting sqref="A717:A718">
    <cfRule type="expression" dxfId="29" priority="5616" stopIfTrue="1">
      <formula>$A717="begin group"</formula>
    </cfRule>
  </conditionalFormatting>
  <conditionalFormatting sqref="A708:A710">
    <cfRule type="expression" dxfId="33" priority="5617" stopIfTrue="1">
      <formula>$A708="file"</formula>
    </cfRule>
  </conditionalFormatting>
  <conditionalFormatting sqref="A708:A710">
    <cfRule type="expression" dxfId="34" priority="5618" stopIfTrue="1">
      <formula>$A708="enumerator"</formula>
    </cfRule>
  </conditionalFormatting>
  <conditionalFormatting sqref="A708:A710">
    <cfRule type="expression" dxfId="35" priority="5619" stopIfTrue="1">
      <formula>OR(AND(LEFT($A708, 14)="sensor_stream ", LEN($A708)&gt;14, NOT(ISNUMBER(SEARCH(" ", $A708, 15)))), AND(LEFT($A708, 17)="sensor_statistic ", LEN($A708)&gt;17, NOT(ISNUMBER(SEARCH(" ", $A708, 18)))))</formula>
    </cfRule>
  </conditionalFormatting>
  <conditionalFormatting sqref="A708:A710">
    <cfRule type="expression" dxfId="14" priority="5620" stopIfTrue="1">
      <formula>$A708="comments"</formula>
    </cfRule>
  </conditionalFormatting>
  <conditionalFormatting sqref="A708:A710">
    <cfRule type="expression" dxfId="15" priority="5621" stopIfTrue="1">
      <formula>OR($A708="audio", $A708="video")</formula>
    </cfRule>
  </conditionalFormatting>
  <conditionalFormatting sqref="A708:A710">
    <cfRule type="expression" dxfId="16" priority="5622" stopIfTrue="1">
      <formula>$A708="image"</formula>
    </cfRule>
  </conditionalFormatting>
  <conditionalFormatting sqref="A708:A710">
    <cfRule type="expression" dxfId="17" priority="5623" stopIfTrue="1">
      <formula>OR($A708="date", $A708="datetime", $A708="time")</formula>
    </cfRule>
  </conditionalFormatting>
  <conditionalFormatting sqref="A708:A710">
    <cfRule type="expression" dxfId="18" priority="5624" stopIfTrue="1">
      <formula>OR($A708="calculate", $A708="calculate_here")</formula>
    </cfRule>
  </conditionalFormatting>
  <conditionalFormatting sqref="A708:A710">
    <cfRule type="expression" dxfId="19" priority="5625" stopIfTrue="1">
      <formula>$A708="note"</formula>
    </cfRule>
  </conditionalFormatting>
  <conditionalFormatting sqref="A708:A710">
    <cfRule type="expression" dxfId="20" priority="5626" stopIfTrue="1">
      <formula>$A708="barcode"</formula>
    </cfRule>
  </conditionalFormatting>
  <conditionalFormatting sqref="A708:A710">
    <cfRule type="expression" dxfId="21" priority="5627" stopIfTrue="1">
      <formula>OR($A708="geopoint", $A708="geoshape", $A708="geotrace")</formula>
    </cfRule>
  </conditionalFormatting>
  <conditionalFormatting sqref="A708:A710">
    <cfRule type="expression" dxfId="22" priority="5628" stopIfTrue="1">
      <formula>OR($A708="audio audit", $A708="text audit", $A708="speed violations count", $A708="speed violations list", $A708="speed violations audit")</formula>
    </cfRule>
  </conditionalFormatting>
  <conditionalFormatting sqref="A708:A710">
    <cfRule type="expression" dxfId="23" priority="5629" stopIfTrue="1">
      <formula>OR($A708="username", $A708="phonenumber", $A708="start", $A708="end", $A708="deviceid", $A708="subscriberid", $A708="simserial", $A708="caseid")</formula>
    </cfRule>
  </conditionalFormatting>
  <conditionalFormatting sqref="A708:A710">
    <cfRule type="expression" dxfId="24" priority="5630" stopIfTrue="1">
      <formula>OR(AND(LEFT($A708, 16)="select_multiple ", LEN($A708)&gt;16, NOT(ISNUMBER(SEARCH(" ", $A708, 17)))), AND(LEFT($A708, 11)="select_one ", LEN($A708)&gt;11, NOT(ISNUMBER(SEARCH(" ", $A708, 12)))))</formula>
    </cfRule>
  </conditionalFormatting>
  <conditionalFormatting sqref="A708:A710">
    <cfRule type="expression" dxfId="25" priority="5631" stopIfTrue="1">
      <formula>$A708="decimal"</formula>
    </cfRule>
  </conditionalFormatting>
  <conditionalFormatting sqref="A708:A710">
    <cfRule type="expression" dxfId="26" priority="5632" stopIfTrue="1">
      <formula>$A708="integer"</formula>
    </cfRule>
  </conditionalFormatting>
  <conditionalFormatting sqref="A708:A710">
    <cfRule type="expression" dxfId="27" priority="5633" stopIfTrue="1">
      <formula>$A708="text"</formula>
    </cfRule>
  </conditionalFormatting>
  <conditionalFormatting sqref="A708:A710">
    <cfRule type="expression" dxfId="28" priority="5634" stopIfTrue="1">
      <formula>$A708="end repeat"</formula>
    </cfRule>
  </conditionalFormatting>
  <conditionalFormatting sqref="A708:A710">
    <cfRule type="expression" dxfId="28" priority="5635" stopIfTrue="1">
      <formula>$A708="begin repeat"</formula>
    </cfRule>
  </conditionalFormatting>
  <conditionalFormatting sqref="A708:A710">
    <cfRule type="expression" dxfId="29" priority="5636" stopIfTrue="1">
      <formula>$A708="end group"</formula>
    </cfRule>
  </conditionalFormatting>
  <conditionalFormatting sqref="A708:A710">
    <cfRule type="expression" dxfId="29" priority="5637" stopIfTrue="1">
      <formula>$A708="begin group"</formula>
    </cfRule>
  </conditionalFormatting>
  <conditionalFormatting sqref="A702:A706">
    <cfRule type="expression" dxfId="33" priority="5638" stopIfTrue="1">
      <formula>$A702="file"</formula>
    </cfRule>
  </conditionalFormatting>
  <conditionalFormatting sqref="A702:A706">
    <cfRule type="expression" dxfId="34" priority="5639" stopIfTrue="1">
      <formula>$A702="enumerator"</formula>
    </cfRule>
  </conditionalFormatting>
  <conditionalFormatting sqref="A702:A706">
    <cfRule type="expression" dxfId="35" priority="5640" stopIfTrue="1">
      <formula>OR(AND(LEFT($A702, 14)="sensor_stream ", LEN($A702)&gt;14, NOT(ISNUMBER(SEARCH(" ", $A702, 15)))), AND(LEFT($A702, 17)="sensor_statistic ", LEN($A702)&gt;17, NOT(ISNUMBER(SEARCH(" ", $A702, 18)))))</formula>
    </cfRule>
  </conditionalFormatting>
  <conditionalFormatting sqref="A702:A706">
    <cfRule type="expression" dxfId="14" priority="5641" stopIfTrue="1">
      <formula>$A702="comments"</formula>
    </cfRule>
  </conditionalFormatting>
  <conditionalFormatting sqref="A702:A706">
    <cfRule type="expression" dxfId="15" priority="5642" stopIfTrue="1">
      <formula>OR($A702="audio", $A702="video")</formula>
    </cfRule>
  </conditionalFormatting>
  <conditionalFormatting sqref="A702:A706">
    <cfRule type="expression" dxfId="16" priority="5643" stopIfTrue="1">
      <formula>$A702="image"</formula>
    </cfRule>
  </conditionalFormatting>
  <conditionalFormatting sqref="A702:A706">
    <cfRule type="expression" dxfId="17" priority="5644" stopIfTrue="1">
      <formula>OR($A702="date", $A702="datetime", $A702="time")</formula>
    </cfRule>
  </conditionalFormatting>
  <conditionalFormatting sqref="A702:A706">
    <cfRule type="expression" dxfId="18" priority="5645" stopIfTrue="1">
      <formula>OR($A702="calculate", $A702="calculate_here")</formula>
    </cfRule>
  </conditionalFormatting>
  <conditionalFormatting sqref="A702:A706">
    <cfRule type="expression" dxfId="19" priority="5646" stopIfTrue="1">
      <formula>$A702="note"</formula>
    </cfRule>
  </conditionalFormatting>
  <conditionalFormatting sqref="A702:A706">
    <cfRule type="expression" dxfId="20" priority="5647" stopIfTrue="1">
      <formula>$A702="barcode"</formula>
    </cfRule>
  </conditionalFormatting>
  <conditionalFormatting sqref="A702:A706">
    <cfRule type="expression" dxfId="21" priority="5648" stopIfTrue="1">
      <formula>OR($A702="geopoint", $A702="geoshape", $A702="geotrace")</formula>
    </cfRule>
  </conditionalFormatting>
  <conditionalFormatting sqref="A702:A706">
    <cfRule type="expression" dxfId="22" priority="5649" stopIfTrue="1">
      <formula>OR($A702="audio audit", $A702="text audit", $A702="speed violations count", $A702="speed violations list", $A702="speed violations audit")</formula>
    </cfRule>
  </conditionalFormatting>
  <conditionalFormatting sqref="A702:A706">
    <cfRule type="expression" dxfId="23" priority="5650" stopIfTrue="1">
      <formula>OR($A702="username", $A702="phonenumber", $A702="start", $A702="end", $A702="deviceid", $A702="subscriberid", $A702="simserial", $A702="caseid")</formula>
    </cfRule>
  </conditionalFormatting>
  <conditionalFormatting sqref="A702:A706">
    <cfRule type="expression" dxfId="24" priority="5651" stopIfTrue="1">
      <formula>OR(AND(LEFT($A702, 16)="select_multiple ", LEN($A702)&gt;16, NOT(ISNUMBER(SEARCH(" ", $A702, 17)))), AND(LEFT($A702, 11)="select_one ", LEN($A702)&gt;11, NOT(ISNUMBER(SEARCH(" ", $A702, 12)))))</formula>
    </cfRule>
  </conditionalFormatting>
  <conditionalFormatting sqref="A702:A706">
    <cfRule type="expression" dxfId="25" priority="5652" stopIfTrue="1">
      <formula>$A702="decimal"</formula>
    </cfRule>
  </conditionalFormatting>
  <conditionalFormatting sqref="A702:A706">
    <cfRule type="expression" dxfId="26" priority="5653" stopIfTrue="1">
      <formula>$A702="integer"</formula>
    </cfRule>
  </conditionalFormatting>
  <conditionalFormatting sqref="A702:A706">
    <cfRule type="expression" dxfId="27" priority="5654" stopIfTrue="1">
      <formula>$A702="text"</formula>
    </cfRule>
  </conditionalFormatting>
  <conditionalFormatting sqref="A702:A706">
    <cfRule type="expression" dxfId="28" priority="5655" stopIfTrue="1">
      <formula>$A702="end repeat"</formula>
    </cfRule>
  </conditionalFormatting>
  <conditionalFormatting sqref="A702:A706">
    <cfRule type="expression" dxfId="28" priority="5656" stopIfTrue="1">
      <formula>$A702="begin repeat"</formula>
    </cfRule>
  </conditionalFormatting>
  <conditionalFormatting sqref="A702:A706">
    <cfRule type="expression" dxfId="29" priority="5657" stopIfTrue="1">
      <formula>$A702="end group"</formula>
    </cfRule>
  </conditionalFormatting>
  <conditionalFormatting sqref="A702:A706">
    <cfRule type="expression" dxfId="29" priority="5658" stopIfTrue="1">
      <formula>$A702="begin group"</formula>
    </cfRule>
  </conditionalFormatting>
  <conditionalFormatting sqref="A700">
    <cfRule type="expression" dxfId="33" priority="5659" stopIfTrue="1">
      <formula>$A700="file"</formula>
    </cfRule>
  </conditionalFormatting>
  <conditionalFormatting sqref="A700">
    <cfRule type="expression" dxfId="34" priority="5660" stopIfTrue="1">
      <formula>$A700="enumerator"</formula>
    </cfRule>
  </conditionalFormatting>
  <conditionalFormatting sqref="A700">
    <cfRule type="expression" dxfId="35" priority="5661" stopIfTrue="1">
      <formula>OR(AND(LEFT($A700, 14)="sensor_stream ", LEN($A700)&gt;14, NOT(ISNUMBER(SEARCH(" ", $A700, 15)))), AND(LEFT($A700, 17)="sensor_statistic ", LEN($A700)&gt;17, NOT(ISNUMBER(SEARCH(" ", $A700, 18)))))</formula>
    </cfRule>
  </conditionalFormatting>
  <conditionalFormatting sqref="A700">
    <cfRule type="expression" dxfId="14" priority="5662" stopIfTrue="1">
      <formula>$A700="comments"</formula>
    </cfRule>
  </conditionalFormatting>
  <conditionalFormatting sqref="A700">
    <cfRule type="expression" dxfId="15" priority="5663" stopIfTrue="1">
      <formula>OR($A700="audio", $A700="video")</formula>
    </cfRule>
  </conditionalFormatting>
  <conditionalFormatting sqref="A700">
    <cfRule type="expression" dxfId="16" priority="5664" stopIfTrue="1">
      <formula>$A700="image"</formula>
    </cfRule>
  </conditionalFormatting>
  <conditionalFormatting sqref="A700">
    <cfRule type="expression" dxfId="17" priority="5665" stopIfTrue="1">
      <formula>OR($A700="date", $A700="datetime", $A700="time")</formula>
    </cfRule>
  </conditionalFormatting>
  <conditionalFormatting sqref="A700">
    <cfRule type="expression" dxfId="18" priority="5666" stopIfTrue="1">
      <formula>OR($A700="calculate", $A700="calculate_here")</formula>
    </cfRule>
  </conditionalFormatting>
  <conditionalFormatting sqref="A700">
    <cfRule type="expression" dxfId="19" priority="5667" stopIfTrue="1">
      <formula>$A700="note"</formula>
    </cfRule>
  </conditionalFormatting>
  <conditionalFormatting sqref="A700">
    <cfRule type="expression" dxfId="20" priority="5668" stopIfTrue="1">
      <formula>$A700="barcode"</formula>
    </cfRule>
  </conditionalFormatting>
  <conditionalFormatting sqref="A700">
    <cfRule type="expression" dxfId="21" priority="5669" stopIfTrue="1">
      <formula>OR($A700="geopoint", $A700="geoshape", $A700="geotrace")</formula>
    </cfRule>
  </conditionalFormatting>
  <conditionalFormatting sqref="A700">
    <cfRule type="expression" dxfId="22" priority="5670" stopIfTrue="1">
      <formula>OR($A700="audio audit", $A700="text audit", $A700="speed violations count", $A700="speed violations list", $A700="speed violations audit")</formula>
    </cfRule>
  </conditionalFormatting>
  <conditionalFormatting sqref="A700">
    <cfRule type="expression" dxfId="23" priority="5671" stopIfTrue="1">
      <formula>OR($A700="username", $A700="phonenumber", $A700="start", $A700="end", $A700="deviceid", $A700="subscriberid", $A700="simserial", $A700="caseid")</formula>
    </cfRule>
  </conditionalFormatting>
  <conditionalFormatting sqref="A700">
    <cfRule type="expression" dxfId="24" priority="5672" stopIfTrue="1">
      <formula>OR(AND(LEFT($A700, 16)="select_multiple ", LEN($A700)&gt;16, NOT(ISNUMBER(SEARCH(" ", $A700, 17)))), AND(LEFT($A700, 11)="select_one ", LEN($A700)&gt;11, NOT(ISNUMBER(SEARCH(" ", $A700, 12)))))</formula>
    </cfRule>
  </conditionalFormatting>
  <conditionalFormatting sqref="A700">
    <cfRule type="expression" dxfId="25" priority="5673" stopIfTrue="1">
      <formula>$A700="decimal"</formula>
    </cfRule>
  </conditionalFormatting>
  <conditionalFormatting sqref="A700">
    <cfRule type="expression" dxfId="26" priority="5674" stopIfTrue="1">
      <formula>$A700="integer"</formula>
    </cfRule>
  </conditionalFormatting>
  <conditionalFormatting sqref="A700">
    <cfRule type="expression" dxfId="27" priority="5675" stopIfTrue="1">
      <formula>$A700="text"</formula>
    </cfRule>
  </conditionalFormatting>
  <conditionalFormatting sqref="A700">
    <cfRule type="expression" dxfId="28" priority="5676" stopIfTrue="1">
      <formula>$A700="end repeat"</formula>
    </cfRule>
  </conditionalFormatting>
  <conditionalFormatting sqref="A700">
    <cfRule type="expression" dxfId="28" priority="5677" stopIfTrue="1">
      <formula>$A700="begin repeat"</formula>
    </cfRule>
  </conditionalFormatting>
  <conditionalFormatting sqref="A700">
    <cfRule type="expression" dxfId="29" priority="5678" stopIfTrue="1">
      <formula>$A700="end group"</formula>
    </cfRule>
  </conditionalFormatting>
  <conditionalFormatting sqref="A700">
    <cfRule type="expression" dxfId="29" priority="5679" stopIfTrue="1">
      <formula>$A700="begin group"</formula>
    </cfRule>
  </conditionalFormatting>
  <conditionalFormatting sqref="A693:A695">
    <cfRule type="expression" dxfId="33" priority="5680" stopIfTrue="1">
      <formula>$A693="file"</formula>
    </cfRule>
  </conditionalFormatting>
  <conditionalFormatting sqref="A693:A695">
    <cfRule type="expression" dxfId="34" priority="5681" stopIfTrue="1">
      <formula>$A693="enumerator"</formula>
    </cfRule>
  </conditionalFormatting>
  <conditionalFormatting sqref="A693:A695">
    <cfRule type="expression" dxfId="35" priority="5682" stopIfTrue="1">
      <formula>OR(AND(LEFT($A693, 14)="sensor_stream ", LEN($A693)&gt;14, NOT(ISNUMBER(SEARCH(" ", $A693, 15)))), AND(LEFT($A693, 17)="sensor_statistic ", LEN($A693)&gt;17, NOT(ISNUMBER(SEARCH(" ", $A693, 18)))))</formula>
    </cfRule>
  </conditionalFormatting>
  <conditionalFormatting sqref="A693:A695">
    <cfRule type="expression" dxfId="14" priority="5683" stopIfTrue="1">
      <formula>$A693="comments"</formula>
    </cfRule>
  </conditionalFormatting>
  <conditionalFormatting sqref="A693:A695">
    <cfRule type="expression" dxfId="15" priority="5684" stopIfTrue="1">
      <formula>OR($A693="audio", $A693="video")</formula>
    </cfRule>
  </conditionalFormatting>
  <conditionalFormatting sqref="A693:A695">
    <cfRule type="expression" dxfId="16" priority="5685" stopIfTrue="1">
      <formula>$A693="image"</formula>
    </cfRule>
  </conditionalFormatting>
  <conditionalFormatting sqref="A693:A695">
    <cfRule type="expression" dxfId="17" priority="5686" stopIfTrue="1">
      <formula>OR($A693="date", $A693="datetime", $A693="time")</formula>
    </cfRule>
  </conditionalFormatting>
  <conditionalFormatting sqref="A693:A695">
    <cfRule type="expression" dxfId="18" priority="5687" stopIfTrue="1">
      <formula>OR($A693="calculate", $A693="calculate_here")</formula>
    </cfRule>
  </conditionalFormatting>
  <conditionalFormatting sqref="A693:A695">
    <cfRule type="expression" dxfId="19" priority="5688" stopIfTrue="1">
      <formula>$A693="note"</formula>
    </cfRule>
  </conditionalFormatting>
  <conditionalFormatting sqref="A693:A695">
    <cfRule type="expression" dxfId="20" priority="5689" stopIfTrue="1">
      <formula>$A693="barcode"</formula>
    </cfRule>
  </conditionalFormatting>
  <conditionalFormatting sqref="A693:A695">
    <cfRule type="expression" dxfId="21" priority="5690" stopIfTrue="1">
      <formula>OR($A693="geopoint", $A693="geoshape", $A693="geotrace")</formula>
    </cfRule>
  </conditionalFormatting>
  <conditionalFormatting sqref="A693:A695">
    <cfRule type="expression" dxfId="22" priority="5691" stopIfTrue="1">
      <formula>OR($A693="audio audit", $A693="text audit", $A693="speed violations count", $A693="speed violations list", $A693="speed violations audit")</formula>
    </cfRule>
  </conditionalFormatting>
  <conditionalFormatting sqref="A693:A695">
    <cfRule type="expression" dxfId="23" priority="5692" stopIfTrue="1">
      <formula>OR($A693="username", $A693="phonenumber", $A693="start", $A693="end", $A693="deviceid", $A693="subscriberid", $A693="simserial", $A693="caseid")</formula>
    </cfRule>
  </conditionalFormatting>
  <conditionalFormatting sqref="A693:A695">
    <cfRule type="expression" dxfId="24" priority="5693" stopIfTrue="1">
      <formula>OR(AND(LEFT($A693, 16)="select_multiple ", LEN($A693)&gt;16, NOT(ISNUMBER(SEARCH(" ", $A693, 17)))), AND(LEFT($A693, 11)="select_one ", LEN($A693)&gt;11, NOT(ISNUMBER(SEARCH(" ", $A693, 12)))))</formula>
    </cfRule>
  </conditionalFormatting>
  <conditionalFormatting sqref="A693:A695">
    <cfRule type="expression" dxfId="25" priority="5694" stopIfTrue="1">
      <formula>$A693="decimal"</formula>
    </cfRule>
  </conditionalFormatting>
  <conditionalFormatting sqref="A693:A695">
    <cfRule type="expression" dxfId="26" priority="5695" stopIfTrue="1">
      <formula>$A693="integer"</formula>
    </cfRule>
  </conditionalFormatting>
  <conditionalFormatting sqref="A693:A695">
    <cfRule type="expression" dxfId="27" priority="5696" stopIfTrue="1">
      <formula>$A693="text"</formula>
    </cfRule>
  </conditionalFormatting>
  <conditionalFormatting sqref="A693:A695">
    <cfRule type="expression" dxfId="28" priority="5697" stopIfTrue="1">
      <formula>$A693="end repeat"</formula>
    </cfRule>
  </conditionalFormatting>
  <conditionalFormatting sqref="A693:A695">
    <cfRule type="expression" dxfId="28" priority="5698" stopIfTrue="1">
      <formula>$A693="begin repeat"</formula>
    </cfRule>
  </conditionalFormatting>
  <conditionalFormatting sqref="A693:A695">
    <cfRule type="expression" dxfId="29" priority="5699" stopIfTrue="1">
      <formula>$A693="end group"</formula>
    </cfRule>
  </conditionalFormatting>
  <conditionalFormatting sqref="A693:A695">
    <cfRule type="expression" dxfId="29" priority="5700" stopIfTrue="1">
      <formula>$A693="begin group"</formula>
    </cfRule>
  </conditionalFormatting>
  <conditionalFormatting sqref="A683:A687">
    <cfRule type="expression" dxfId="33" priority="5701" stopIfTrue="1">
      <formula>$A683="file"</formula>
    </cfRule>
  </conditionalFormatting>
  <conditionalFormatting sqref="A683:A687">
    <cfRule type="expression" dxfId="34" priority="5702" stopIfTrue="1">
      <formula>$A683="enumerator"</formula>
    </cfRule>
  </conditionalFormatting>
  <conditionalFormatting sqref="A683:A687">
    <cfRule type="expression" dxfId="35" priority="5703" stopIfTrue="1">
      <formula>OR(AND(LEFT($A683, 14)="sensor_stream ", LEN($A683)&gt;14, NOT(ISNUMBER(SEARCH(" ", $A683, 15)))), AND(LEFT($A683, 17)="sensor_statistic ", LEN($A683)&gt;17, NOT(ISNUMBER(SEARCH(" ", $A683, 18)))))</formula>
    </cfRule>
  </conditionalFormatting>
  <conditionalFormatting sqref="A683:A687">
    <cfRule type="expression" dxfId="14" priority="5704" stopIfTrue="1">
      <formula>$A683="comments"</formula>
    </cfRule>
  </conditionalFormatting>
  <conditionalFormatting sqref="A683:A687">
    <cfRule type="expression" dxfId="15" priority="5705" stopIfTrue="1">
      <formula>OR($A683="audio", $A683="video")</formula>
    </cfRule>
  </conditionalFormatting>
  <conditionalFormatting sqref="A683:A687">
    <cfRule type="expression" dxfId="16" priority="5706" stopIfTrue="1">
      <formula>$A683="image"</formula>
    </cfRule>
  </conditionalFormatting>
  <conditionalFormatting sqref="A683:A687">
    <cfRule type="expression" dxfId="17" priority="5707" stopIfTrue="1">
      <formula>OR($A683="date", $A683="datetime", $A683="time")</formula>
    </cfRule>
  </conditionalFormatting>
  <conditionalFormatting sqref="A683:A687">
    <cfRule type="expression" dxfId="18" priority="5708" stopIfTrue="1">
      <formula>OR($A683="calculate", $A683="calculate_here")</formula>
    </cfRule>
  </conditionalFormatting>
  <conditionalFormatting sqref="A683:A687">
    <cfRule type="expression" dxfId="19" priority="5709" stopIfTrue="1">
      <formula>$A683="note"</formula>
    </cfRule>
  </conditionalFormatting>
  <conditionalFormatting sqref="A683:A687">
    <cfRule type="expression" dxfId="20" priority="5710" stopIfTrue="1">
      <formula>$A683="barcode"</formula>
    </cfRule>
  </conditionalFormatting>
  <conditionalFormatting sqref="A683:A687">
    <cfRule type="expression" dxfId="21" priority="5711" stopIfTrue="1">
      <formula>OR($A683="geopoint", $A683="geoshape", $A683="geotrace")</formula>
    </cfRule>
  </conditionalFormatting>
  <conditionalFormatting sqref="A683:A687">
    <cfRule type="expression" dxfId="22" priority="5712" stopIfTrue="1">
      <formula>OR($A683="audio audit", $A683="text audit", $A683="speed violations count", $A683="speed violations list", $A683="speed violations audit")</formula>
    </cfRule>
  </conditionalFormatting>
  <conditionalFormatting sqref="A683:A687">
    <cfRule type="expression" dxfId="23" priority="5713" stopIfTrue="1">
      <formula>OR($A683="username", $A683="phonenumber", $A683="start", $A683="end", $A683="deviceid", $A683="subscriberid", $A683="simserial", $A683="caseid")</formula>
    </cfRule>
  </conditionalFormatting>
  <conditionalFormatting sqref="A683:A687">
    <cfRule type="expression" dxfId="24" priority="5714" stopIfTrue="1">
      <formula>OR(AND(LEFT($A683, 16)="select_multiple ", LEN($A683)&gt;16, NOT(ISNUMBER(SEARCH(" ", $A683, 17)))), AND(LEFT($A683, 11)="select_one ", LEN($A683)&gt;11, NOT(ISNUMBER(SEARCH(" ", $A683, 12)))))</formula>
    </cfRule>
  </conditionalFormatting>
  <conditionalFormatting sqref="A683:A687">
    <cfRule type="expression" dxfId="25" priority="5715" stopIfTrue="1">
      <formula>$A683="decimal"</formula>
    </cfRule>
  </conditionalFormatting>
  <conditionalFormatting sqref="A683:A687">
    <cfRule type="expression" dxfId="26" priority="5716" stopIfTrue="1">
      <formula>$A683="integer"</formula>
    </cfRule>
  </conditionalFormatting>
  <conditionalFormatting sqref="A683:A687">
    <cfRule type="expression" dxfId="27" priority="5717" stopIfTrue="1">
      <formula>$A683="text"</formula>
    </cfRule>
  </conditionalFormatting>
  <conditionalFormatting sqref="A683:A687">
    <cfRule type="expression" dxfId="28" priority="5718" stopIfTrue="1">
      <formula>$A683="end repeat"</formula>
    </cfRule>
  </conditionalFormatting>
  <conditionalFormatting sqref="A683:A687">
    <cfRule type="expression" dxfId="28" priority="5719" stopIfTrue="1">
      <formula>$A683="begin repeat"</formula>
    </cfRule>
  </conditionalFormatting>
  <conditionalFormatting sqref="A683:A687">
    <cfRule type="expression" dxfId="29" priority="5720" stopIfTrue="1">
      <formula>$A683="end group"</formula>
    </cfRule>
  </conditionalFormatting>
  <conditionalFormatting sqref="A683:A687">
    <cfRule type="expression" dxfId="29" priority="5721" stopIfTrue="1">
      <formula>$A683="begin group"</formula>
    </cfRule>
  </conditionalFormatting>
  <conditionalFormatting sqref="A677:A678">
    <cfRule type="expression" dxfId="33" priority="5722" stopIfTrue="1">
      <formula>$A677="file"</formula>
    </cfRule>
  </conditionalFormatting>
  <conditionalFormatting sqref="A677:A678">
    <cfRule type="expression" dxfId="34" priority="5723" stopIfTrue="1">
      <formula>$A677="enumerator"</formula>
    </cfRule>
  </conditionalFormatting>
  <conditionalFormatting sqref="A677:A678">
    <cfRule type="expression" dxfId="35" priority="5724" stopIfTrue="1">
      <formula>OR(AND(LEFT($A677, 14)="sensor_stream ", LEN($A677)&gt;14, NOT(ISNUMBER(SEARCH(" ", $A677, 15)))), AND(LEFT($A677, 17)="sensor_statistic ", LEN($A677)&gt;17, NOT(ISNUMBER(SEARCH(" ", $A677, 18)))))</formula>
    </cfRule>
  </conditionalFormatting>
  <conditionalFormatting sqref="A677:A678">
    <cfRule type="expression" dxfId="14" priority="5725" stopIfTrue="1">
      <formula>$A677="comments"</formula>
    </cfRule>
  </conditionalFormatting>
  <conditionalFormatting sqref="A677:A678">
    <cfRule type="expression" dxfId="15" priority="5726" stopIfTrue="1">
      <formula>OR($A677="audio", $A677="video")</formula>
    </cfRule>
  </conditionalFormatting>
  <conditionalFormatting sqref="A677:A678">
    <cfRule type="expression" dxfId="16" priority="5727" stopIfTrue="1">
      <formula>$A677="image"</formula>
    </cfRule>
  </conditionalFormatting>
  <conditionalFormatting sqref="A677:A678">
    <cfRule type="expression" dxfId="17" priority="5728" stopIfTrue="1">
      <formula>OR($A677="date", $A677="datetime", $A677="time")</formula>
    </cfRule>
  </conditionalFormatting>
  <conditionalFormatting sqref="A677:A678">
    <cfRule type="expression" dxfId="18" priority="5729" stopIfTrue="1">
      <formula>OR($A677="calculate", $A677="calculate_here")</formula>
    </cfRule>
  </conditionalFormatting>
  <conditionalFormatting sqref="A677:A678">
    <cfRule type="expression" dxfId="19" priority="5730" stopIfTrue="1">
      <formula>$A677="note"</formula>
    </cfRule>
  </conditionalFormatting>
  <conditionalFormatting sqref="A677:A678">
    <cfRule type="expression" dxfId="20" priority="5731" stopIfTrue="1">
      <formula>$A677="barcode"</formula>
    </cfRule>
  </conditionalFormatting>
  <conditionalFormatting sqref="A677:A678">
    <cfRule type="expression" dxfId="21" priority="5732" stopIfTrue="1">
      <formula>OR($A677="geopoint", $A677="geoshape", $A677="geotrace")</formula>
    </cfRule>
  </conditionalFormatting>
  <conditionalFormatting sqref="A677:A678">
    <cfRule type="expression" dxfId="22" priority="5733" stopIfTrue="1">
      <formula>OR($A677="audio audit", $A677="text audit", $A677="speed violations count", $A677="speed violations list", $A677="speed violations audit")</formula>
    </cfRule>
  </conditionalFormatting>
  <conditionalFormatting sqref="A677:A678">
    <cfRule type="expression" dxfId="23" priority="5734" stopIfTrue="1">
      <formula>OR($A677="username", $A677="phonenumber", $A677="start", $A677="end", $A677="deviceid", $A677="subscriberid", $A677="simserial", $A677="caseid")</formula>
    </cfRule>
  </conditionalFormatting>
  <conditionalFormatting sqref="A677:A678">
    <cfRule type="expression" dxfId="24" priority="5735" stopIfTrue="1">
      <formula>OR(AND(LEFT($A677, 16)="select_multiple ", LEN($A677)&gt;16, NOT(ISNUMBER(SEARCH(" ", $A677, 17)))), AND(LEFT($A677, 11)="select_one ", LEN($A677)&gt;11, NOT(ISNUMBER(SEARCH(" ", $A677, 12)))))</formula>
    </cfRule>
  </conditionalFormatting>
  <conditionalFormatting sqref="A677:A678">
    <cfRule type="expression" dxfId="25" priority="5736" stopIfTrue="1">
      <formula>$A677="decimal"</formula>
    </cfRule>
  </conditionalFormatting>
  <conditionalFormatting sqref="A677:A678">
    <cfRule type="expression" dxfId="26" priority="5737" stopIfTrue="1">
      <formula>$A677="integer"</formula>
    </cfRule>
  </conditionalFormatting>
  <conditionalFormatting sqref="A677:A678">
    <cfRule type="expression" dxfId="27" priority="5738" stopIfTrue="1">
      <formula>$A677="text"</formula>
    </cfRule>
  </conditionalFormatting>
  <conditionalFormatting sqref="A677:A678">
    <cfRule type="expression" dxfId="28" priority="5739" stopIfTrue="1">
      <formula>$A677="end repeat"</formula>
    </cfRule>
  </conditionalFormatting>
  <conditionalFormatting sqref="A677:A678">
    <cfRule type="expression" dxfId="28" priority="5740" stopIfTrue="1">
      <formula>$A677="begin repeat"</formula>
    </cfRule>
  </conditionalFormatting>
  <conditionalFormatting sqref="A677:A678">
    <cfRule type="expression" dxfId="29" priority="5741" stopIfTrue="1">
      <formula>$A677="end group"</formula>
    </cfRule>
  </conditionalFormatting>
  <conditionalFormatting sqref="A677:A678">
    <cfRule type="expression" dxfId="29" priority="5742" stopIfTrue="1">
      <formula>$A677="begin group"</formula>
    </cfRule>
  </conditionalFormatting>
  <conditionalFormatting sqref="A673:A675">
    <cfRule type="expression" dxfId="33" priority="5743" stopIfTrue="1">
      <formula>$A673="file"</formula>
    </cfRule>
  </conditionalFormatting>
  <conditionalFormatting sqref="A673:A675">
    <cfRule type="expression" dxfId="34" priority="5744" stopIfTrue="1">
      <formula>$A673="enumerator"</formula>
    </cfRule>
  </conditionalFormatting>
  <conditionalFormatting sqref="A673:A675">
    <cfRule type="expression" dxfId="35" priority="5745" stopIfTrue="1">
      <formula>OR(AND(LEFT($A673, 14)="sensor_stream ", LEN($A673)&gt;14, NOT(ISNUMBER(SEARCH(" ", $A673, 15)))), AND(LEFT($A673, 17)="sensor_statistic ", LEN($A673)&gt;17, NOT(ISNUMBER(SEARCH(" ", $A673, 18)))))</formula>
    </cfRule>
  </conditionalFormatting>
  <conditionalFormatting sqref="A673:A675">
    <cfRule type="expression" dxfId="14" priority="5746" stopIfTrue="1">
      <formula>$A673="comments"</formula>
    </cfRule>
  </conditionalFormatting>
  <conditionalFormatting sqref="A673:A675">
    <cfRule type="expression" dxfId="15" priority="5747" stopIfTrue="1">
      <formula>OR($A673="audio", $A673="video")</formula>
    </cfRule>
  </conditionalFormatting>
  <conditionalFormatting sqref="A673:A675">
    <cfRule type="expression" dxfId="16" priority="5748" stopIfTrue="1">
      <formula>$A673="image"</formula>
    </cfRule>
  </conditionalFormatting>
  <conditionalFormatting sqref="A673:A675">
    <cfRule type="expression" dxfId="17" priority="5749" stopIfTrue="1">
      <formula>OR($A673="date", $A673="datetime", $A673="time")</formula>
    </cfRule>
  </conditionalFormatting>
  <conditionalFormatting sqref="A673:A675">
    <cfRule type="expression" dxfId="18" priority="5750" stopIfTrue="1">
      <formula>OR($A673="calculate", $A673="calculate_here")</formula>
    </cfRule>
  </conditionalFormatting>
  <conditionalFormatting sqref="A673:A675">
    <cfRule type="expression" dxfId="19" priority="5751" stopIfTrue="1">
      <formula>$A673="note"</formula>
    </cfRule>
  </conditionalFormatting>
  <conditionalFormatting sqref="A673:A675">
    <cfRule type="expression" dxfId="20" priority="5752" stopIfTrue="1">
      <formula>$A673="barcode"</formula>
    </cfRule>
  </conditionalFormatting>
  <conditionalFormatting sqref="A673:A675">
    <cfRule type="expression" dxfId="21" priority="5753" stopIfTrue="1">
      <formula>OR($A673="geopoint", $A673="geoshape", $A673="geotrace")</formula>
    </cfRule>
  </conditionalFormatting>
  <conditionalFormatting sqref="A673:A675">
    <cfRule type="expression" dxfId="22" priority="5754" stopIfTrue="1">
      <formula>OR($A673="audio audit", $A673="text audit", $A673="speed violations count", $A673="speed violations list", $A673="speed violations audit")</formula>
    </cfRule>
  </conditionalFormatting>
  <conditionalFormatting sqref="A673:A675">
    <cfRule type="expression" dxfId="23" priority="5755" stopIfTrue="1">
      <formula>OR($A673="username", $A673="phonenumber", $A673="start", $A673="end", $A673="deviceid", $A673="subscriberid", $A673="simserial", $A673="caseid")</formula>
    </cfRule>
  </conditionalFormatting>
  <conditionalFormatting sqref="A673:A675">
    <cfRule type="expression" dxfId="24" priority="5756" stopIfTrue="1">
      <formula>OR(AND(LEFT($A673, 16)="select_multiple ", LEN($A673)&gt;16, NOT(ISNUMBER(SEARCH(" ", $A673, 17)))), AND(LEFT($A673, 11)="select_one ", LEN($A673)&gt;11, NOT(ISNUMBER(SEARCH(" ", $A673, 12)))))</formula>
    </cfRule>
  </conditionalFormatting>
  <conditionalFormatting sqref="A673:A675">
    <cfRule type="expression" dxfId="25" priority="5757" stopIfTrue="1">
      <formula>$A673="decimal"</formula>
    </cfRule>
  </conditionalFormatting>
  <conditionalFormatting sqref="A673:A675">
    <cfRule type="expression" dxfId="26" priority="5758" stopIfTrue="1">
      <formula>$A673="integer"</formula>
    </cfRule>
  </conditionalFormatting>
  <conditionalFormatting sqref="A673:A675">
    <cfRule type="expression" dxfId="27" priority="5759" stopIfTrue="1">
      <formula>$A673="text"</formula>
    </cfRule>
  </conditionalFormatting>
  <conditionalFormatting sqref="A673:A675">
    <cfRule type="expression" dxfId="28" priority="5760" stopIfTrue="1">
      <formula>$A673="end repeat"</formula>
    </cfRule>
  </conditionalFormatting>
  <conditionalFormatting sqref="A673:A675">
    <cfRule type="expression" dxfId="28" priority="5761" stopIfTrue="1">
      <formula>$A673="begin repeat"</formula>
    </cfRule>
  </conditionalFormatting>
  <conditionalFormatting sqref="A673:A675">
    <cfRule type="expression" dxfId="29" priority="5762" stopIfTrue="1">
      <formula>$A673="end group"</formula>
    </cfRule>
  </conditionalFormatting>
  <conditionalFormatting sqref="A673:A675">
    <cfRule type="expression" dxfId="29" priority="5763" stopIfTrue="1">
      <formula>$A673="begin group"</formula>
    </cfRule>
  </conditionalFormatting>
  <conditionalFormatting sqref="A671">
    <cfRule type="expression" dxfId="33" priority="5764" stopIfTrue="1">
      <formula>$A671="file"</formula>
    </cfRule>
  </conditionalFormatting>
  <conditionalFormatting sqref="A671">
    <cfRule type="expression" dxfId="34" priority="5765" stopIfTrue="1">
      <formula>$A671="enumerator"</formula>
    </cfRule>
  </conditionalFormatting>
  <conditionalFormatting sqref="A671">
    <cfRule type="expression" dxfId="35" priority="5766" stopIfTrue="1">
      <formula>OR(AND(LEFT($A671, 14)="sensor_stream ", LEN($A671)&gt;14, NOT(ISNUMBER(SEARCH(" ", $A671, 15)))), AND(LEFT($A671, 17)="sensor_statistic ", LEN($A671)&gt;17, NOT(ISNUMBER(SEARCH(" ", $A671, 18)))))</formula>
    </cfRule>
  </conditionalFormatting>
  <conditionalFormatting sqref="A671">
    <cfRule type="expression" dxfId="14" priority="5767" stopIfTrue="1">
      <formula>$A671="comments"</formula>
    </cfRule>
  </conditionalFormatting>
  <conditionalFormatting sqref="A671">
    <cfRule type="expression" dxfId="15" priority="5768" stopIfTrue="1">
      <formula>OR($A671="audio", $A671="video")</formula>
    </cfRule>
  </conditionalFormatting>
  <conditionalFormatting sqref="A671">
    <cfRule type="expression" dxfId="16" priority="5769" stopIfTrue="1">
      <formula>$A671="image"</formula>
    </cfRule>
  </conditionalFormatting>
  <conditionalFormatting sqref="A671">
    <cfRule type="expression" dxfId="17" priority="5770" stopIfTrue="1">
      <formula>OR($A671="date", $A671="datetime", $A671="time")</formula>
    </cfRule>
  </conditionalFormatting>
  <conditionalFormatting sqref="A671">
    <cfRule type="expression" dxfId="18" priority="5771" stopIfTrue="1">
      <formula>OR($A671="calculate", $A671="calculate_here")</formula>
    </cfRule>
  </conditionalFormatting>
  <conditionalFormatting sqref="A671">
    <cfRule type="expression" dxfId="19" priority="5772" stopIfTrue="1">
      <formula>$A671="note"</formula>
    </cfRule>
  </conditionalFormatting>
  <conditionalFormatting sqref="A671">
    <cfRule type="expression" dxfId="20" priority="5773" stopIfTrue="1">
      <formula>$A671="barcode"</formula>
    </cfRule>
  </conditionalFormatting>
  <conditionalFormatting sqref="A671">
    <cfRule type="expression" dxfId="21" priority="5774" stopIfTrue="1">
      <formula>OR($A671="geopoint", $A671="geoshape", $A671="geotrace")</formula>
    </cfRule>
  </conditionalFormatting>
  <conditionalFormatting sqref="A671">
    <cfRule type="expression" dxfId="22" priority="5775" stopIfTrue="1">
      <formula>OR($A671="audio audit", $A671="text audit", $A671="speed violations count", $A671="speed violations list", $A671="speed violations audit")</formula>
    </cfRule>
  </conditionalFormatting>
  <conditionalFormatting sqref="A671">
    <cfRule type="expression" dxfId="23" priority="5776" stopIfTrue="1">
      <formula>OR($A671="username", $A671="phonenumber", $A671="start", $A671="end", $A671="deviceid", $A671="subscriberid", $A671="simserial", $A671="caseid")</formula>
    </cfRule>
  </conditionalFormatting>
  <conditionalFormatting sqref="A671">
    <cfRule type="expression" dxfId="24" priority="5777" stopIfTrue="1">
      <formula>OR(AND(LEFT($A671, 16)="select_multiple ", LEN($A671)&gt;16, NOT(ISNUMBER(SEARCH(" ", $A671, 17)))), AND(LEFT($A671, 11)="select_one ", LEN($A671)&gt;11, NOT(ISNUMBER(SEARCH(" ", $A671, 12)))))</formula>
    </cfRule>
  </conditionalFormatting>
  <conditionalFormatting sqref="A671">
    <cfRule type="expression" dxfId="25" priority="5778" stopIfTrue="1">
      <formula>$A671="decimal"</formula>
    </cfRule>
  </conditionalFormatting>
  <conditionalFormatting sqref="A671">
    <cfRule type="expression" dxfId="26" priority="5779" stopIfTrue="1">
      <formula>$A671="integer"</formula>
    </cfRule>
  </conditionalFormatting>
  <conditionalFormatting sqref="A671">
    <cfRule type="expression" dxfId="27" priority="5780" stopIfTrue="1">
      <formula>$A671="text"</formula>
    </cfRule>
  </conditionalFormatting>
  <conditionalFormatting sqref="A671">
    <cfRule type="expression" dxfId="28" priority="5781" stopIfTrue="1">
      <formula>$A671="end repeat"</formula>
    </cfRule>
  </conditionalFormatting>
  <conditionalFormatting sqref="A671">
    <cfRule type="expression" dxfId="28" priority="5782" stopIfTrue="1">
      <formula>$A671="begin repeat"</formula>
    </cfRule>
  </conditionalFormatting>
  <conditionalFormatting sqref="A671">
    <cfRule type="expression" dxfId="29" priority="5783" stopIfTrue="1">
      <formula>$A671="end group"</formula>
    </cfRule>
  </conditionalFormatting>
  <conditionalFormatting sqref="A671">
    <cfRule type="expression" dxfId="29" priority="5784" stopIfTrue="1">
      <formula>$A671="begin group"</formula>
    </cfRule>
  </conditionalFormatting>
  <conditionalFormatting sqref="A668:A669">
    <cfRule type="expression" dxfId="33" priority="5785" stopIfTrue="1">
      <formula>$A668="file"</formula>
    </cfRule>
  </conditionalFormatting>
  <conditionalFormatting sqref="A668:A669">
    <cfRule type="expression" dxfId="34" priority="5786" stopIfTrue="1">
      <formula>$A668="enumerator"</formula>
    </cfRule>
  </conditionalFormatting>
  <conditionalFormatting sqref="A668:A669">
    <cfRule type="expression" dxfId="35" priority="5787" stopIfTrue="1">
      <formula>OR(AND(LEFT($A668, 14)="sensor_stream ", LEN($A668)&gt;14, NOT(ISNUMBER(SEARCH(" ", $A668, 15)))), AND(LEFT($A668, 17)="sensor_statistic ", LEN($A668)&gt;17, NOT(ISNUMBER(SEARCH(" ", $A668, 18)))))</formula>
    </cfRule>
  </conditionalFormatting>
  <conditionalFormatting sqref="A668:A669">
    <cfRule type="expression" dxfId="14" priority="5788" stopIfTrue="1">
      <formula>$A668="comments"</formula>
    </cfRule>
  </conditionalFormatting>
  <conditionalFormatting sqref="A668:A669">
    <cfRule type="expression" dxfId="15" priority="5789" stopIfTrue="1">
      <formula>OR($A668="audio", $A668="video")</formula>
    </cfRule>
  </conditionalFormatting>
  <conditionalFormatting sqref="A668:A669">
    <cfRule type="expression" dxfId="16" priority="5790" stopIfTrue="1">
      <formula>$A668="image"</formula>
    </cfRule>
  </conditionalFormatting>
  <conditionalFormatting sqref="A668:A669">
    <cfRule type="expression" dxfId="17" priority="5791" stopIfTrue="1">
      <formula>OR($A668="date", $A668="datetime", $A668="time")</formula>
    </cfRule>
  </conditionalFormatting>
  <conditionalFormatting sqref="A668:A669">
    <cfRule type="expression" dxfId="18" priority="5792" stopIfTrue="1">
      <formula>OR($A668="calculate", $A668="calculate_here")</formula>
    </cfRule>
  </conditionalFormatting>
  <conditionalFormatting sqref="A668:A669">
    <cfRule type="expression" dxfId="19" priority="5793" stopIfTrue="1">
      <formula>$A668="note"</formula>
    </cfRule>
  </conditionalFormatting>
  <conditionalFormatting sqref="A668:A669">
    <cfRule type="expression" dxfId="20" priority="5794" stopIfTrue="1">
      <formula>$A668="barcode"</formula>
    </cfRule>
  </conditionalFormatting>
  <conditionalFormatting sqref="A668:A669">
    <cfRule type="expression" dxfId="21" priority="5795" stopIfTrue="1">
      <formula>OR($A668="geopoint", $A668="geoshape", $A668="geotrace")</formula>
    </cfRule>
  </conditionalFormatting>
  <conditionalFormatting sqref="A668:A669">
    <cfRule type="expression" dxfId="22" priority="5796" stopIfTrue="1">
      <formula>OR($A668="audio audit", $A668="text audit", $A668="speed violations count", $A668="speed violations list", $A668="speed violations audit")</formula>
    </cfRule>
  </conditionalFormatting>
  <conditionalFormatting sqref="A668:A669">
    <cfRule type="expression" dxfId="23" priority="5797" stopIfTrue="1">
      <formula>OR($A668="username", $A668="phonenumber", $A668="start", $A668="end", $A668="deviceid", $A668="subscriberid", $A668="simserial", $A668="caseid")</formula>
    </cfRule>
  </conditionalFormatting>
  <conditionalFormatting sqref="A668:A669">
    <cfRule type="expression" dxfId="24" priority="5798" stopIfTrue="1">
      <formula>OR(AND(LEFT($A668, 16)="select_multiple ", LEN($A668)&gt;16, NOT(ISNUMBER(SEARCH(" ", $A668, 17)))), AND(LEFT($A668, 11)="select_one ", LEN($A668)&gt;11, NOT(ISNUMBER(SEARCH(" ", $A668, 12)))))</formula>
    </cfRule>
  </conditionalFormatting>
  <conditionalFormatting sqref="A668:A669">
    <cfRule type="expression" dxfId="25" priority="5799" stopIfTrue="1">
      <formula>$A668="decimal"</formula>
    </cfRule>
  </conditionalFormatting>
  <conditionalFormatting sqref="A668:A669">
    <cfRule type="expression" dxfId="26" priority="5800" stopIfTrue="1">
      <formula>$A668="integer"</formula>
    </cfRule>
  </conditionalFormatting>
  <conditionalFormatting sqref="A668:A669">
    <cfRule type="expression" dxfId="27" priority="5801" stopIfTrue="1">
      <formula>$A668="text"</formula>
    </cfRule>
  </conditionalFormatting>
  <conditionalFormatting sqref="A668:A669">
    <cfRule type="expression" dxfId="28" priority="5802" stopIfTrue="1">
      <formula>$A668="end repeat"</formula>
    </cfRule>
  </conditionalFormatting>
  <conditionalFormatting sqref="A668:A669">
    <cfRule type="expression" dxfId="28" priority="5803" stopIfTrue="1">
      <formula>$A668="begin repeat"</formula>
    </cfRule>
  </conditionalFormatting>
  <conditionalFormatting sqref="A668:A669">
    <cfRule type="expression" dxfId="29" priority="5804" stopIfTrue="1">
      <formula>$A668="end group"</formula>
    </cfRule>
  </conditionalFormatting>
  <conditionalFormatting sqref="A668:A669">
    <cfRule type="expression" dxfId="29" priority="5805" stopIfTrue="1">
      <formula>$A668="begin group"</formula>
    </cfRule>
  </conditionalFormatting>
  <conditionalFormatting sqref="A661:A663">
    <cfRule type="expression" dxfId="33" priority="5806" stopIfTrue="1">
      <formula>$A661="file"</formula>
    </cfRule>
  </conditionalFormatting>
  <conditionalFormatting sqref="A661:A663">
    <cfRule type="expression" dxfId="34" priority="5807" stopIfTrue="1">
      <formula>$A661="enumerator"</formula>
    </cfRule>
  </conditionalFormatting>
  <conditionalFormatting sqref="A661:A663">
    <cfRule type="expression" dxfId="35" priority="5808" stopIfTrue="1">
      <formula>OR(AND(LEFT($A661, 14)="sensor_stream ", LEN($A661)&gt;14, NOT(ISNUMBER(SEARCH(" ", $A661, 15)))), AND(LEFT($A661, 17)="sensor_statistic ", LEN($A661)&gt;17, NOT(ISNUMBER(SEARCH(" ", $A661, 18)))))</formula>
    </cfRule>
  </conditionalFormatting>
  <conditionalFormatting sqref="A661:A663">
    <cfRule type="expression" dxfId="14" priority="5809" stopIfTrue="1">
      <formula>$A661="comments"</formula>
    </cfRule>
  </conditionalFormatting>
  <conditionalFormatting sqref="A661:A663">
    <cfRule type="expression" dxfId="15" priority="5810" stopIfTrue="1">
      <formula>OR($A661="audio", $A661="video")</formula>
    </cfRule>
  </conditionalFormatting>
  <conditionalFormatting sqref="A661:A663">
    <cfRule type="expression" dxfId="16" priority="5811" stopIfTrue="1">
      <formula>$A661="image"</formula>
    </cfRule>
  </conditionalFormatting>
  <conditionalFormatting sqref="A661:A663">
    <cfRule type="expression" dxfId="17" priority="5812" stopIfTrue="1">
      <formula>OR($A661="date", $A661="datetime", $A661="time")</formula>
    </cfRule>
  </conditionalFormatting>
  <conditionalFormatting sqref="A661:A663">
    <cfRule type="expression" dxfId="18" priority="5813" stopIfTrue="1">
      <formula>OR($A661="calculate", $A661="calculate_here")</formula>
    </cfRule>
  </conditionalFormatting>
  <conditionalFormatting sqref="A661:A663">
    <cfRule type="expression" dxfId="19" priority="5814" stopIfTrue="1">
      <formula>$A661="note"</formula>
    </cfRule>
  </conditionalFormatting>
  <conditionalFormatting sqref="A661:A663">
    <cfRule type="expression" dxfId="20" priority="5815" stopIfTrue="1">
      <formula>$A661="barcode"</formula>
    </cfRule>
  </conditionalFormatting>
  <conditionalFormatting sqref="A661:A663">
    <cfRule type="expression" dxfId="21" priority="5816" stopIfTrue="1">
      <formula>OR($A661="geopoint", $A661="geoshape", $A661="geotrace")</formula>
    </cfRule>
  </conditionalFormatting>
  <conditionalFormatting sqref="A661:A663">
    <cfRule type="expression" dxfId="22" priority="5817" stopIfTrue="1">
      <formula>OR($A661="audio audit", $A661="text audit", $A661="speed violations count", $A661="speed violations list", $A661="speed violations audit")</formula>
    </cfRule>
  </conditionalFormatting>
  <conditionalFormatting sqref="A661:A663">
    <cfRule type="expression" dxfId="23" priority="5818" stopIfTrue="1">
      <formula>OR($A661="username", $A661="phonenumber", $A661="start", $A661="end", $A661="deviceid", $A661="subscriberid", $A661="simserial", $A661="caseid")</formula>
    </cfRule>
  </conditionalFormatting>
  <conditionalFormatting sqref="A661:A663">
    <cfRule type="expression" dxfId="24" priority="5819" stopIfTrue="1">
      <formula>OR(AND(LEFT($A661, 16)="select_multiple ", LEN($A661)&gt;16, NOT(ISNUMBER(SEARCH(" ", $A661, 17)))), AND(LEFT($A661, 11)="select_one ", LEN($A661)&gt;11, NOT(ISNUMBER(SEARCH(" ", $A661, 12)))))</formula>
    </cfRule>
  </conditionalFormatting>
  <conditionalFormatting sqref="A661:A663">
    <cfRule type="expression" dxfId="25" priority="5820" stopIfTrue="1">
      <formula>$A661="decimal"</formula>
    </cfRule>
  </conditionalFormatting>
  <conditionalFormatting sqref="A661:A663">
    <cfRule type="expression" dxfId="26" priority="5821" stopIfTrue="1">
      <formula>$A661="integer"</formula>
    </cfRule>
  </conditionalFormatting>
  <conditionalFormatting sqref="A661:A663">
    <cfRule type="expression" dxfId="27" priority="5822" stopIfTrue="1">
      <formula>$A661="text"</formula>
    </cfRule>
  </conditionalFormatting>
  <conditionalFormatting sqref="A661:A663">
    <cfRule type="expression" dxfId="28" priority="5823" stopIfTrue="1">
      <formula>$A661="end repeat"</formula>
    </cfRule>
  </conditionalFormatting>
  <conditionalFormatting sqref="A661:A663">
    <cfRule type="expression" dxfId="28" priority="5824" stopIfTrue="1">
      <formula>$A661="begin repeat"</formula>
    </cfRule>
  </conditionalFormatting>
  <conditionalFormatting sqref="A661:A663">
    <cfRule type="expression" dxfId="29" priority="5825" stopIfTrue="1">
      <formula>$A661="end group"</formula>
    </cfRule>
  </conditionalFormatting>
  <conditionalFormatting sqref="A661:A663">
    <cfRule type="expression" dxfId="29" priority="5826" stopIfTrue="1">
      <formula>$A661="begin group"</formula>
    </cfRule>
  </conditionalFormatting>
  <conditionalFormatting sqref="A652:A658">
    <cfRule type="expression" dxfId="33" priority="5827" stopIfTrue="1">
      <formula>$A652="file"</formula>
    </cfRule>
  </conditionalFormatting>
  <conditionalFormatting sqref="A652:A658">
    <cfRule type="expression" dxfId="34" priority="5828" stopIfTrue="1">
      <formula>$A652="enumerator"</formula>
    </cfRule>
  </conditionalFormatting>
  <conditionalFormatting sqref="A652:A658">
    <cfRule type="expression" dxfId="35" priority="5829" stopIfTrue="1">
      <formula>OR(AND(LEFT($A652, 14)="sensor_stream ", LEN($A652)&gt;14, NOT(ISNUMBER(SEARCH(" ", $A652, 15)))), AND(LEFT($A652, 17)="sensor_statistic ", LEN($A652)&gt;17, NOT(ISNUMBER(SEARCH(" ", $A652, 18)))))</formula>
    </cfRule>
  </conditionalFormatting>
  <conditionalFormatting sqref="A652:A658">
    <cfRule type="expression" dxfId="14" priority="5830" stopIfTrue="1">
      <formula>$A652="comments"</formula>
    </cfRule>
  </conditionalFormatting>
  <conditionalFormatting sqref="A652:A658">
    <cfRule type="expression" dxfId="15" priority="5831" stopIfTrue="1">
      <formula>OR($A652="audio", $A652="video")</formula>
    </cfRule>
  </conditionalFormatting>
  <conditionalFormatting sqref="A652:A658">
    <cfRule type="expression" dxfId="16" priority="5832" stopIfTrue="1">
      <formula>$A652="image"</formula>
    </cfRule>
  </conditionalFormatting>
  <conditionalFormatting sqref="A652:A658">
    <cfRule type="expression" dxfId="17" priority="5833" stopIfTrue="1">
      <formula>OR($A652="date", $A652="datetime", $A652="time")</formula>
    </cfRule>
  </conditionalFormatting>
  <conditionalFormatting sqref="A652:A658">
    <cfRule type="expression" dxfId="18" priority="5834" stopIfTrue="1">
      <formula>OR($A652="calculate", $A652="calculate_here")</formula>
    </cfRule>
  </conditionalFormatting>
  <conditionalFormatting sqref="A652:A658">
    <cfRule type="expression" dxfId="19" priority="5835" stopIfTrue="1">
      <formula>$A652="note"</formula>
    </cfRule>
  </conditionalFormatting>
  <conditionalFormatting sqref="A652:A658">
    <cfRule type="expression" dxfId="20" priority="5836" stopIfTrue="1">
      <formula>$A652="barcode"</formula>
    </cfRule>
  </conditionalFormatting>
  <conditionalFormatting sqref="A652:A658">
    <cfRule type="expression" dxfId="21" priority="5837" stopIfTrue="1">
      <formula>OR($A652="geopoint", $A652="geoshape", $A652="geotrace")</formula>
    </cfRule>
  </conditionalFormatting>
  <conditionalFormatting sqref="A652:A658">
    <cfRule type="expression" dxfId="22" priority="5838" stopIfTrue="1">
      <formula>OR($A652="audio audit", $A652="text audit", $A652="speed violations count", $A652="speed violations list", $A652="speed violations audit")</formula>
    </cfRule>
  </conditionalFormatting>
  <conditionalFormatting sqref="A652:A658">
    <cfRule type="expression" dxfId="23" priority="5839" stopIfTrue="1">
      <formula>OR($A652="username", $A652="phonenumber", $A652="start", $A652="end", $A652="deviceid", $A652="subscriberid", $A652="simserial", $A652="caseid")</formula>
    </cfRule>
  </conditionalFormatting>
  <conditionalFormatting sqref="A652:A658">
    <cfRule type="expression" dxfId="24" priority="5840" stopIfTrue="1">
      <formula>OR(AND(LEFT($A652, 16)="select_multiple ", LEN($A652)&gt;16, NOT(ISNUMBER(SEARCH(" ", $A652, 17)))), AND(LEFT($A652, 11)="select_one ", LEN($A652)&gt;11, NOT(ISNUMBER(SEARCH(" ", $A652, 12)))))</formula>
    </cfRule>
  </conditionalFormatting>
  <conditionalFormatting sqref="A652:A658">
    <cfRule type="expression" dxfId="25" priority="5841" stopIfTrue="1">
      <formula>$A652="decimal"</formula>
    </cfRule>
  </conditionalFormatting>
  <conditionalFormatting sqref="A652:A658">
    <cfRule type="expression" dxfId="26" priority="5842" stopIfTrue="1">
      <formula>$A652="integer"</formula>
    </cfRule>
  </conditionalFormatting>
  <conditionalFormatting sqref="A652:A658">
    <cfRule type="expression" dxfId="27" priority="5843" stopIfTrue="1">
      <formula>$A652="text"</formula>
    </cfRule>
  </conditionalFormatting>
  <conditionalFormatting sqref="A652:A658">
    <cfRule type="expression" dxfId="28" priority="5844" stopIfTrue="1">
      <formula>$A652="end repeat"</formula>
    </cfRule>
  </conditionalFormatting>
  <conditionalFormatting sqref="A652:A658">
    <cfRule type="expression" dxfId="28" priority="5845" stopIfTrue="1">
      <formula>$A652="begin repeat"</formula>
    </cfRule>
  </conditionalFormatting>
  <conditionalFormatting sqref="A652:A658">
    <cfRule type="expression" dxfId="29" priority="5846" stopIfTrue="1">
      <formula>$A652="end group"</formula>
    </cfRule>
  </conditionalFormatting>
  <conditionalFormatting sqref="A652:A658">
    <cfRule type="expression" dxfId="29" priority="5847" stopIfTrue="1">
      <formula>$A652="begin group"</formula>
    </cfRule>
  </conditionalFormatting>
  <conditionalFormatting sqref="A646:A647">
    <cfRule type="expression" dxfId="33" priority="5848" stopIfTrue="1">
      <formula>$A646="file"</formula>
    </cfRule>
  </conditionalFormatting>
  <conditionalFormatting sqref="A646:A647">
    <cfRule type="expression" dxfId="34" priority="5849" stopIfTrue="1">
      <formula>$A646="enumerator"</formula>
    </cfRule>
  </conditionalFormatting>
  <conditionalFormatting sqref="A646:A647">
    <cfRule type="expression" dxfId="35" priority="5850" stopIfTrue="1">
      <formula>OR(AND(LEFT($A646, 14)="sensor_stream ", LEN($A646)&gt;14, NOT(ISNUMBER(SEARCH(" ", $A646, 15)))), AND(LEFT($A646, 17)="sensor_statistic ", LEN($A646)&gt;17, NOT(ISNUMBER(SEARCH(" ", $A646, 18)))))</formula>
    </cfRule>
  </conditionalFormatting>
  <conditionalFormatting sqref="A646:A647">
    <cfRule type="expression" dxfId="14" priority="5851" stopIfTrue="1">
      <formula>$A646="comments"</formula>
    </cfRule>
  </conditionalFormatting>
  <conditionalFormatting sqref="A646:A647">
    <cfRule type="expression" dxfId="15" priority="5852" stopIfTrue="1">
      <formula>OR($A646="audio", $A646="video")</formula>
    </cfRule>
  </conditionalFormatting>
  <conditionalFormatting sqref="A646:A647">
    <cfRule type="expression" dxfId="16" priority="5853" stopIfTrue="1">
      <formula>$A646="image"</formula>
    </cfRule>
  </conditionalFormatting>
  <conditionalFormatting sqref="A646:A647">
    <cfRule type="expression" dxfId="17" priority="5854" stopIfTrue="1">
      <formula>OR($A646="date", $A646="datetime", $A646="time")</formula>
    </cfRule>
  </conditionalFormatting>
  <conditionalFormatting sqref="A646:A647">
    <cfRule type="expression" dxfId="18" priority="5855" stopIfTrue="1">
      <formula>OR($A646="calculate", $A646="calculate_here")</formula>
    </cfRule>
  </conditionalFormatting>
  <conditionalFormatting sqref="A646:A647">
    <cfRule type="expression" dxfId="19" priority="5856" stopIfTrue="1">
      <formula>$A646="note"</formula>
    </cfRule>
  </conditionalFormatting>
  <conditionalFormatting sqref="A646:A647">
    <cfRule type="expression" dxfId="20" priority="5857" stopIfTrue="1">
      <formula>$A646="barcode"</formula>
    </cfRule>
  </conditionalFormatting>
  <conditionalFormatting sqref="A646:A647">
    <cfRule type="expression" dxfId="21" priority="5858" stopIfTrue="1">
      <formula>OR($A646="geopoint", $A646="geoshape", $A646="geotrace")</formula>
    </cfRule>
  </conditionalFormatting>
  <conditionalFormatting sqref="A646:A647">
    <cfRule type="expression" dxfId="22" priority="5859" stopIfTrue="1">
      <formula>OR($A646="audio audit", $A646="text audit", $A646="speed violations count", $A646="speed violations list", $A646="speed violations audit")</formula>
    </cfRule>
  </conditionalFormatting>
  <conditionalFormatting sqref="A646:A647">
    <cfRule type="expression" dxfId="23" priority="5860" stopIfTrue="1">
      <formula>OR($A646="username", $A646="phonenumber", $A646="start", $A646="end", $A646="deviceid", $A646="subscriberid", $A646="simserial", $A646="caseid")</formula>
    </cfRule>
  </conditionalFormatting>
  <conditionalFormatting sqref="A646:A647">
    <cfRule type="expression" dxfId="24" priority="5861" stopIfTrue="1">
      <formula>OR(AND(LEFT($A646, 16)="select_multiple ", LEN($A646)&gt;16, NOT(ISNUMBER(SEARCH(" ", $A646, 17)))), AND(LEFT($A646, 11)="select_one ", LEN($A646)&gt;11, NOT(ISNUMBER(SEARCH(" ", $A646, 12)))))</formula>
    </cfRule>
  </conditionalFormatting>
  <conditionalFormatting sqref="A646:A647">
    <cfRule type="expression" dxfId="25" priority="5862" stopIfTrue="1">
      <formula>$A646="decimal"</formula>
    </cfRule>
  </conditionalFormatting>
  <conditionalFormatting sqref="A646:A647">
    <cfRule type="expression" dxfId="26" priority="5863" stopIfTrue="1">
      <formula>$A646="integer"</formula>
    </cfRule>
  </conditionalFormatting>
  <conditionalFormatting sqref="A646:A647">
    <cfRule type="expression" dxfId="27" priority="5864" stopIfTrue="1">
      <formula>$A646="text"</formula>
    </cfRule>
  </conditionalFormatting>
  <conditionalFormatting sqref="A646:A647">
    <cfRule type="expression" dxfId="28" priority="5865" stopIfTrue="1">
      <formula>$A646="end repeat"</formula>
    </cfRule>
  </conditionalFormatting>
  <conditionalFormatting sqref="A646:A647">
    <cfRule type="expression" dxfId="28" priority="5866" stopIfTrue="1">
      <formula>$A646="begin repeat"</formula>
    </cfRule>
  </conditionalFormatting>
  <conditionalFormatting sqref="A646:A647">
    <cfRule type="expression" dxfId="29" priority="5867" stopIfTrue="1">
      <formula>$A646="end group"</formula>
    </cfRule>
  </conditionalFormatting>
  <conditionalFormatting sqref="A646:A647">
    <cfRule type="expression" dxfId="29" priority="5868" stopIfTrue="1">
      <formula>$A646="begin group"</formula>
    </cfRule>
  </conditionalFormatting>
  <conditionalFormatting sqref="A638:A642">
    <cfRule type="expression" dxfId="33" priority="5869" stopIfTrue="1">
      <formula>$A638="file"</formula>
    </cfRule>
  </conditionalFormatting>
  <conditionalFormatting sqref="A638:A642">
    <cfRule type="expression" dxfId="34" priority="5870" stopIfTrue="1">
      <formula>$A638="enumerator"</formula>
    </cfRule>
  </conditionalFormatting>
  <conditionalFormatting sqref="A638:A642">
    <cfRule type="expression" dxfId="35" priority="5871" stopIfTrue="1">
      <formula>OR(AND(LEFT($A638, 14)="sensor_stream ", LEN($A638)&gt;14, NOT(ISNUMBER(SEARCH(" ", $A638, 15)))), AND(LEFT($A638, 17)="sensor_statistic ", LEN($A638)&gt;17, NOT(ISNUMBER(SEARCH(" ", $A638, 18)))))</formula>
    </cfRule>
  </conditionalFormatting>
  <conditionalFormatting sqref="A638:A642">
    <cfRule type="expression" dxfId="14" priority="5872" stopIfTrue="1">
      <formula>$A638="comments"</formula>
    </cfRule>
  </conditionalFormatting>
  <conditionalFormatting sqref="A638:A642">
    <cfRule type="expression" dxfId="15" priority="5873" stopIfTrue="1">
      <formula>OR($A638="audio", $A638="video")</formula>
    </cfRule>
  </conditionalFormatting>
  <conditionalFormatting sqref="A638:A642">
    <cfRule type="expression" dxfId="16" priority="5874" stopIfTrue="1">
      <formula>$A638="image"</formula>
    </cfRule>
  </conditionalFormatting>
  <conditionalFormatting sqref="A638:A642">
    <cfRule type="expression" dxfId="17" priority="5875" stopIfTrue="1">
      <formula>OR($A638="date", $A638="datetime", $A638="time")</formula>
    </cfRule>
  </conditionalFormatting>
  <conditionalFormatting sqref="A638:A642">
    <cfRule type="expression" dxfId="18" priority="5876" stopIfTrue="1">
      <formula>OR($A638="calculate", $A638="calculate_here")</formula>
    </cfRule>
  </conditionalFormatting>
  <conditionalFormatting sqref="A638:A642">
    <cfRule type="expression" dxfId="19" priority="5877" stopIfTrue="1">
      <formula>$A638="note"</formula>
    </cfRule>
  </conditionalFormatting>
  <conditionalFormatting sqref="A638:A642">
    <cfRule type="expression" dxfId="20" priority="5878" stopIfTrue="1">
      <formula>$A638="barcode"</formula>
    </cfRule>
  </conditionalFormatting>
  <conditionalFormatting sqref="A638:A642">
    <cfRule type="expression" dxfId="21" priority="5879" stopIfTrue="1">
      <formula>OR($A638="geopoint", $A638="geoshape", $A638="geotrace")</formula>
    </cfRule>
  </conditionalFormatting>
  <conditionalFormatting sqref="A638:A642">
    <cfRule type="expression" dxfId="22" priority="5880" stopIfTrue="1">
      <formula>OR($A638="audio audit", $A638="text audit", $A638="speed violations count", $A638="speed violations list", $A638="speed violations audit")</formula>
    </cfRule>
  </conditionalFormatting>
  <conditionalFormatting sqref="A638:A642">
    <cfRule type="expression" dxfId="23" priority="5881" stopIfTrue="1">
      <formula>OR($A638="username", $A638="phonenumber", $A638="start", $A638="end", $A638="deviceid", $A638="subscriberid", $A638="simserial", $A638="caseid")</formula>
    </cfRule>
  </conditionalFormatting>
  <conditionalFormatting sqref="A638:A642">
    <cfRule type="expression" dxfId="24" priority="5882" stopIfTrue="1">
      <formula>OR(AND(LEFT($A638, 16)="select_multiple ", LEN($A638)&gt;16, NOT(ISNUMBER(SEARCH(" ", $A638, 17)))), AND(LEFT($A638, 11)="select_one ", LEN($A638)&gt;11, NOT(ISNUMBER(SEARCH(" ", $A638, 12)))))</formula>
    </cfRule>
  </conditionalFormatting>
  <conditionalFormatting sqref="A638:A642">
    <cfRule type="expression" dxfId="25" priority="5883" stopIfTrue="1">
      <formula>$A638="decimal"</formula>
    </cfRule>
  </conditionalFormatting>
  <conditionalFormatting sqref="A638:A642">
    <cfRule type="expression" dxfId="26" priority="5884" stopIfTrue="1">
      <formula>$A638="integer"</formula>
    </cfRule>
  </conditionalFormatting>
  <conditionalFormatting sqref="A638:A642">
    <cfRule type="expression" dxfId="27" priority="5885" stopIfTrue="1">
      <formula>$A638="text"</formula>
    </cfRule>
  </conditionalFormatting>
  <conditionalFormatting sqref="A638:A642">
    <cfRule type="expression" dxfId="28" priority="5886" stopIfTrue="1">
      <formula>$A638="end repeat"</formula>
    </cfRule>
  </conditionalFormatting>
  <conditionalFormatting sqref="A638:A642">
    <cfRule type="expression" dxfId="28" priority="5887" stopIfTrue="1">
      <formula>$A638="begin repeat"</formula>
    </cfRule>
  </conditionalFormatting>
  <conditionalFormatting sqref="A638:A642">
    <cfRule type="expression" dxfId="29" priority="5888" stopIfTrue="1">
      <formula>$A638="end group"</formula>
    </cfRule>
  </conditionalFormatting>
  <conditionalFormatting sqref="A638:A642">
    <cfRule type="expression" dxfId="29" priority="5889" stopIfTrue="1">
      <formula>$A638="begin group"</formula>
    </cfRule>
  </conditionalFormatting>
  <conditionalFormatting sqref="A616:A622">
    <cfRule type="expression" dxfId="33" priority="5890" stopIfTrue="1">
      <formula>$A616="file"</formula>
    </cfRule>
  </conditionalFormatting>
  <conditionalFormatting sqref="A616:A622">
    <cfRule type="expression" dxfId="34" priority="5891" stopIfTrue="1">
      <formula>$A616="enumerator"</formula>
    </cfRule>
  </conditionalFormatting>
  <conditionalFormatting sqref="A616:A622">
    <cfRule type="expression" dxfId="35" priority="5892" stopIfTrue="1">
      <formula>OR(AND(LEFT($A616, 14)="sensor_stream ", LEN($A616)&gt;14, NOT(ISNUMBER(SEARCH(" ", $A616, 15)))), AND(LEFT($A616, 17)="sensor_statistic ", LEN($A616)&gt;17, NOT(ISNUMBER(SEARCH(" ", $A616, 18)))))</formula>
    </cfRule>
  </conditionalFormatting>
  <conditionalFormatting sqref="A616:A622">
    <cfRule type="expression" dxfId="14" priority="5893" stopIfTrue="1">
      <formula>$A616="comments"</formula>
    </cfRule>
  </conditionalFormatting>
  <conditionalFormatting sqref="A616:A622">
    <cfRule type="expression" dxfId="15" priority="5894" stopIfTrue="1">
      <formula>OR($A616="audio", $A616="video")</formula>
    </cfRule>
  </conditionalFormatting>
  <conditionalFormatting sqref="A616:A622">
    <cfRule type="expression" dxfId="16" priority="5895" stopIfTrue="1">
      <formula>$A616="image"</formula>
    </cfRule>
  </conditionalFormatting>
  <conditionalFormatting sqref="A616:A622">
    <cfRule type="expression" dxfId="17" priority="5896" stopIfTrue="1">
      <formula>OR($A616="date", $A616="datetime", $A616="time")</formula>
    </cfRule>
  </conditionalFormatting>
  <conditionalFormatting sqref="A616:A622">
    <cfRule type="expression" dxfId="18" priority="5897" stopIfTrue="1">
      <formula>OR($A616="calculate", $A616="calculate_here")</formula>
    </cfRule>
  </conditionalFormatting>
  <conditionalFormatting sqref="A616:A622">
    <cfRule type="expression" dxfId="19" priority="5898" stopIfTrue="1">
      <formula>$A616="note"</formula>
    </cfRule>
  </conditionalFormatting>
  <conditionalFormatting sqref="A616:A622">
    <cfRule type="expression" dxfId="20" priority="5899" stopIfTrue="1">
      <formula>$A616="barcode"</formula>
    </cfRule>
  </conditionalFormatting>
  <conditionalFormatting sqref="A616:A622">
    <cfRule type="expression" dxfId="21" priority="5900" stopIfTrue="1">
      <formula>OR($A616="geopoint", $A616="geoshape", $A616="geotrace")</formula>
    </cfRule>
  </conditionalFormatting>
  <conditionalFormatting sqref="A616:A622">
    <cfRule type="expression" dxfId="22" priority="5901" stopIfTrue="1">
      <formula>OR($A616="audio audit", $A616="text audit", $A616="speed violations count", $A616="speed violations list", $A616="speed violations audit")</formula>
    </cfRule>
  </conditionalFormatting>
  <conditionalFormatting sqref="A616:A622">
    <cfRule type="expression" dxfId="23" priority="5902" stopIfTrue="1">
      <formula>OR($A616="username", $A616="phonenumber", $A616="start", $A616="end", $A616="deviceid", $A616="subscriberid", $A616="simserial", $A616="caseid")</formula>
    </cfRule>
  </conditionalFormatting>
  <conditionalFormatting sqref="A616:A622">
    <cfRule type="expression" dxfId="24" priority="5903" stopIfTrue="1">
      <formula>OR(AND(LEFT($A616, 16)="select_multiple ", LEN($A616)&gt;16, NOT(ISNUMBER(SEARCH(" ", $A616, 17)))), AND(LEFT($A616, 11)="select_one ", LEN($A616)&gt;11, NOT(ISNUMBER(SEARCH(" ", $A616, 12)))))</formula>
    </cfRule>
  </conditionalFormatting>
  <conditionalFormatting sqref="A616:A622">
    <cfRule type="expression" dxfId="25" priority="5904" stopIfTrue="1">
      <formula>$A616="decimal"</formula>
    </cfRule>
  </conditionalFormatting>
  <conditionalFormatting sqref="A616:A622">
    <cfRule type="expression" dxfId="26" priority="5905" stopIfTrue="1">
      <formula>$A616="integer"</formula>
    </cfRule>
  </conditionalFormatting>
  <conditionalFormatting sqref="A616:A622">
    <cfRule type="expression" dxfId="27" priority="5906" stopIfTrue="1">
      <formula>$A616="text"</formula>
    </cfRule>
  </conditionalFormatting>
  <conditionalFormatting sqref="A616:A622">
    <cfRule type="expression" dxfId="28" priority="5907" stopIfTrue="1">
      <formula>$A616="end repeat"</formula>
    </cfRule>
  </conditionalFormatting>
  <conditionalFormatting sqref="A616:A622">
    <cfRule type="expression" dxfId="28" priority="5908" stopIfTrue="1">
      <formula>$A616="begin repeat"</formula>
    </cfRule>
  </conditionalFormatting>
  <conditionalFormatting sqref="A616:A622">
    <cfRule type="expression" dxfId="29" priority="5909" stopIfTrue="1">
      <formula>$A616="end group"</formula>
    </cfRule>
  </conditionalFormatting>
  <conditionalFormatting sqref="A616:A622">
    <cfRule type="expression" dxfId="29" priority="5910" stopIfTrue="1">
      <formula>$A616="begin group"</formula>
    </cfRule>
  </conditionalFormatting>
  <conditionalFormatting sqref="A609:A611">
    <cfRule type="expression" dxfId="33" priority="5911" stopIfTrue="1">
      <formula>$A609="file"</formula>
    </cfRule>
  </conditionalFormatting>
  <conditionalFormatting sqref="A609:A611">
    <cfRule type="expression" dxfId="34" priority="5912" stopIfTrue="1">
      <formula>$A609="enumerator"</formula>
    </cfRule>
  </conditionalFormatting>
  <conditionalFormatting sqref="A609:A611">
    <cfRule type="expression" dxfId="35" priority="5913" stopIfTrue="1">
      <formula>OR(AND(LEFT($A609, 14)="sensor_stream ", LEN($A609)&gt;14, NOT(ISNUMBER(SEARCH(" ", $A609, 15)))), AND(LEFT($A609, 17)="sensor_statistic ", LEN($A609)&gt;17, NOT(ISNUMBER(SEARCH(" ", $A609, 18)))))</formula>
    </cfRule>
  </conditionalFormatting>
  <conditionalFormatting sqref="A609:A611">
    <cfRule type="expression" dxfId="14" priority="5914" stopIfTrue="1">
      <formula>$A609="comments"</formula>
    </cfRule>
  </conditionalFormatting>
  <conditionalFormatting sqref="A609:A611">
    <cfRule type="expression" dxfId="15" priority="5915" stopIfTrue="1">
      <formula>OR($A609="audio", $A609="video")</formula>
    </cfRule>
  </conditionalFormatting>
  <conditionalFormatting sqref="A609:A611">
    <cfRule type="expression" dxfId="16" priority="5916" stopIfTrue="1">
      <formula>$A609="image"</formula>
    </cfRule>
  </conditionalFormatting>
  <conditionalFormatting sqref="A609:A611">
    <cfRule type="expression" dxfId="17" priority="5917" stopIfTrue="1">
      <formula>OR($A609="date", $A609="datetime", $A609="time")</formula>
    </cfRule>
  </conditionalFormatting>
  <conditionalFormatting sqref="A609:A611">
    <cfRule type="expression" dxfId="18" priority="5918" stopIfTrue="1">
      <formula>OR($A609="calculate", $A609="calculate_here")</formula>
    </cfRule>
  </conditionalFormatting>
  <conditionalFormatting sqref="A609:A611">
    <cfRule type="expression" dxfId="19" priority="5919" stopIfTrue="1">
      <formula>$A609="note"</formula>
    </cfRule>
  </conditionalFormatting>
  <conditionalFormatting sqref="A609:A611">
    <cfRule type="expression" dxfId="20" priority="5920" stopIfTrue="1">
      <formula>$A609="barcode"</formula>
    </cfRule>
  </conditionalFormatting>
  <conditionalFormatting sqref="A609:A611">
    <cfRule type="expression" dxfId="21" priority="5921" stopIfTrue="1">
      <formula>OR($A609="geopoint", $A609="geoshape", $A609="geotrace")</formula>
    </cfRule>
  </conditionalFormatting>
  <conditionalFormatting sqref="A609:A611">
    <cfRule type="expression" dxfId="22" priority="5922" stopIfTrue="1">
      <formula>OR($A609="audio audit", $A609="text audit", $A609="speed violations count", $A609="speed violations list", $A609="speed violations audit")</formula>
    </cfRule>
  </conditionalFormatting>
  <conditionalFormatting sqref="A609:A611">
    <cfRule type="expression" dxfId="23" priority="5923" stopIfTrue="1">
      <formula>OR($A609="username", $A609="phonenumber", $A609="start", $A609="end", $A609="deviceid", $A609="subscriberid", $A609="simserial", $A609="caseid")</formula>
    </cfRule>
  </conditionalFormatting>
  <conditionalFormatting sqref="A609:A611">
    <cfRule type="expression" dxfId="24" priority="5924" stopIfTrue="1">
      <formula>OR(AND(LEFT($A609, 16)="select_multiple ", LEN($A609)&gt;16, NOT(ISNUMBER(SEARCH(" ", $A609, 17)))), AND(LEFT($A609, 11)="select_one ", LEN($A609)&gt;11, NOT(ISNUMBER(SEARCH(" ", $A609, 12)))))</formula>
    </cfRule>
  </conditionalFormatting>
  <conditionalFormatting sqref="A609:A611">
    <cfRule type="expression" dxfId="25" priority="5925" stopIfTrue="1">
      <formula>$A609="decimal"</formula>
    </cfRule>
  </conditionalFormatting>
  <conditionalFormatting sqref="A609:A611">
    <cfRule type="expression" dxfId="26" priority="5926" stopIfTrue="1">
      <formula>$A609="integer"</formula>
    </cfRule>
  </conditionalFormatting>
  <conditionalFormatting sqref="A609:A611">
    <cfRule type="expression" dxfId="27" priority="5927" stopIfTrue="1">
      <formula>$A609="text"</formula>
    </cfRule>
  </conditionalFormatting>
  <conditionalFormatting sqref="A609:A611">
    <cfRule type="expression" dxfId="28" priority="5928" stopIfTrue="1">
      <formula>$A609="end repeat"</formula>
    </cfRule>
  </conditionalFormatting>
  <conditionalFormatting sqref="A609:A611">
    <cfRule type="expression" dxfId="28" priority="5929" stopIfTrue="1">
      <formula>$A609="begin repeat"</formula>
    </cfRule>
  </conditionalFormatting>
  <conditionalFormatting sqref="A609:A611">
    <cfRule type="expression" dxfId="29" priority="5930" stopIfTrue="1">
      <formula>$A609="end group"</formula>
    </cfRule>
  </conditionalFormatting>
  <conditionalFormatting sqref="A609:A611">
    <cfRule type="expression" dxfId="29" priority="5931" stopIfTrue="1">
      <formula>$A609="begin group"</formula>
    </cfRule>
  </conditionalFormatting>
  <conditionalFormatting sqref="A601:A605">
    <cfRule type="expression" dxfId="33" priority="5932" stopIfTrue="1">
      <formula>$A601="file"</formula>
    </cfRule>
  </conditionalFormatting>
  <conditionalFormatting sqref="A601:A605">
    <cfRule type="expression" dxfId="34" priority="5933" stopIfTrue="1">
      <formula>$A601="enumerator"</formula>
    </cfRule>
  </conditionalFormatting>
  <conditionalFormatting sqref="A601:A605">
    <cfRule type="expression" dxfId="35" priority="5934" stopIfTrue="1">
      <formula>OR(AND(LEFT($A601, 14)="sensor_stream ", LEN($A601)&gt;14, NOT(ISNUMBER(SEARCH(" ", $A601, 15)))), AND(LEFT($A601, 17)="sensor_statistic ", LEN($A601)&gt;17, NOT(ISNUMBER(SEARCH(" ", $A601, 18)))))</formula>
    </cfRule>
  </conditionalFormatting>
  <conditionalFormatting sqref="A601:A605">
    <cfRule type="expression" dxfId="14" priority="5935" stopIfTrue="1">
      <formula>$A601="comments"</formula>
    </cfRule>
  </conditionalFormatting>
  <conditionalFormatting sqref="A601:A605">
    <cfRule type="expression" dxfId="15" priority="5936" stopIfTrue="1">
      <formula>OR($A601="audio", $A601="video")</formula>
    </cfRule>
  </conditionalFormatting>
  <conditionalFormatting sqref="A601:A605">
    <cfRule type="expression" dxfId="16" priority="5937" stopIfTrue="1">
      <formula>$A601="image"</formula>
    </cfRule>
  </conditionalFormatting>
  <conditionalFormatting sqref="A601:A605">
    <cfRule type="expression" dxfId="17" priority="5938" stopIfTrue="1">
      <formula>OR($A601="date", $A601="datetime", $A601="time")</formula>
    </cfRule>
  </conditionalFormatting>
  <conditionalFormatting sqref="A601:A605">
    <cfRule type="expression" dxfId="18" priority="5939" stopIfTrue="1">
      <formula>OR($A601="calculate", $A601="calculate_here")</formula>
    </cfRule>
  </conditionalFormatting>
  <conditionalFormatting sqref="A601:A605">
    <cfRule type="expression" dxfId="19" priority="5940" stopIfTrue="1">
      <formula>$A601="note"</formula>
    </cfRule>
  </conditionalFormatting>
  <conditionalFormatting sqref="A601:A605">
    <cfRule type="expression" dxfId="20" priority="5941" stopIfTrue="1">
      <formula>$A601="barcode"</formula>
    </cfRule>
  </conditionalFormatting>
  <conditionalFormatting sqref="A601:A605">
    <cfRule type="expression" dxfId="21" priority="5942" stopIfTrue="1">
      <formula>OR($A601="geopoint", $A601="geoshape", $A601="geotrace")</formula>
    </cfRule>
  </conditionalFormatting>
  <conditionalFormatting sqref="A601:A605">
    <cfRule type="expression" dxfId="22" priority="5943" stopIfTrue="1">
      <formula>OR($A601="audio audit", $A601="text audit", $A601="speed violations count", $A601="speed violations list", $A601="speed violations audit")</formula>
    </cfRule>
  </conditionalFormatting>
  <conditionalFormatting sqref="A601:A605">
    <cfRule type="expression" dxfId="23" priority="5944" stopIfTrue="1">
      <formula>OR($A601="username", $A601="phonenumber", $A601="start", $A601="end", $A601="deviceid", $A601="subscriberid", $A601="simserial", $A601="caseid")</formula>
    </cfRule>
  </conditionalFormatting>
  <conditionalFormatting sqref="A601:A605">
    <cfRule type="expression" dxfId="24" priority="5945" stopIfTrue="1">
      <formula>OR(AND(LEFT($A601, 16)="select_multiple ", LEN($A601)&gt;16, NOT(ISNUMBER(SEARCH(" ", $A601, 17)))), AND(LEFT($A601, 11)="select_one ", LEN($A601)&gt;11, NOT(ISNUMBER(SEARCH(" ", $A601, 12)))))</formula>
    </cfRule>
  </conditionalFormatting>
  <conditionalFormatting sqref="A601:A605">
    <cfRule type="expression" dxfId="25" priority="5946" stopIfTrue="1">
      <formula>$A601="decimal"</formula>
    </cfRule>
  </conditionalFormatting>
  <conditionalFormatting sqref="A601:A605">
    <cfRule type="expression" dxfId="26" priority="5947" stopIfTrue="1">
      <formula>$A601="integer"</formula>
    </cfRule>
  </conditionalFormatting>
  <conditionalFormatting sqref="A601:A605">
    <cfRule type="expression" dxfId="27" priority="5948" stopIfTrue="1">
      <formula>$A601="text"</formula>
    </cfRule>
  </conditionalFormatting>
  <conditionalFormatting sqref="A601:A605">
    <cfRule type="expression" dxfId="28" priority="5949" stopIfTrue="1">
      <formula>$A601="end repeat"</formula>
    </cfRule>
  </conditionalFormatting>
  <conditionalFormatting sqref="A601:A605">
    <cfRule type="expression" dxfId="28" priority="5950" stopIfTrue="1">
      <formula>$A601="begin repeat"</formula>
    </cfRule>
  </conditionalFormatting>
  <conditionalFormatting sqref="A601:A605">
    <cfRule type="expression" dxfId="29" priority="5951" stopIfTrue="1">
      <formula>$A601="end group"</formula>
    </cfRule>
  </conditionalFormatting>
  <conditionalFormatting sqref="A601:A605">
    <cfRule type="expression" dxfId="29" priority="5952" stopIfTrue="1">
      <formula>$A601="begin group"</formula>
    </cfRule>
  </conditionalFormatting>
  <conditionalFormatting sqref="A588:A591">
    <cfRule type="expression" dxfId="33" priority="5953" stopIfTrue="1">
      <formula>$A588="file"</formula>
    </cfRule>
  </conditionalFormatting>
  <conditionalFormatting sqref="A588:A591">
    <cfRule type="expression" dxfId="34" priority="5954" stopIfTrue="1">
      <formula>$A588="enumerator"</formula>
    </cfRule>
  </conditionalFormatting>
  <conditionalFormatting sqref="A588:A591">
    <cfRule type="expression" dxfId="35" priority="5955" stopIfTrue="1">
      <formula>OR(AND(LEFT($A588, 14)="sensor_stream ", LEN($A588)&gt;14, NOT(ISNUMBER(SEARCH(" ", $A588, 15)))), AND(LEFT($A588, 17)="sensor_statistic ", LEN($A588)&gt;17, NOT(ISNUMBER(SEARCH(" ", $A588, 18)))))</formula>
    </cfRule>
  </conditionalFormatting>
  <conditionalFormatting sqref="A588:A591">
    <cfRule type="expression" dxfId="14" priority="5956" stopIfTrue="1">
      <formula>$A588="comments"</formula>
    </cfRule>
  </conditionalFormatting>
  <conditionalFormatting sqref="A588:A591">
    <cfRule type="expression" dxfId="15" priority="5957" stopIfTrue="1">
      <formula>OR($A588="audio", $A588="video")</formula>
    </cfRule>
  </conditionalFormatting>
  <conditionalFormatting sqref="A588:A591">
    <cfRule type="expression" dxfId="16" priority="5958" stopIfTrue="1">
      <formula>$A588="image"</formula>
    </cfRule>
  </conditionalFormatting>
  <conditionalFormatting sqref="A588:A591">
    <cfRule type="expression" dxfId="17" priority="5959" stopIfTrue="1">
      <formula>OR($A588="date", $A588="datetime", $A588="time")</formula>
    </cfRule>
  </conditionalFormatting>
  <conditionalFormatting sqref="A588:A591">
    <cfRule type="expression" dxfId="18" priority="5960" stopIfTrue="1">
      <formula>OR($A588="calculate", $A588="calculate_here")</formula>
    </cfRule>
  </conditionalFormatting>
  <conditionalFormatting sqref="A588:A591">
    <cfRule type="expression" dxfId="19" priority="5961" stopIfTrue="1">
      <formula>$A588="note"</formula>
    </cfRule>
  </conditionalFormatting>
  <conditionalFormatting sqref="A588:A591">
    <cfRule type="expression" dxfId="20" priority="5962" stopIfTrue="1">
      <formula>$A588="barcode"</formula>
    </cfRule>
  </conditionalFormatting>
  <conditionalFormatting sqref="A588:A591">
    <cfRule type="expression" dxfId="21" priority="5963" stopIfTrue="1">
      <formula>OR($A588="geopoint", $A588="geoshape", $A588="geotrace")</formula>
    </cfRule>
  </conditionalFormatting>
  <conditionalFormatting sqref="A588:A591">
    <cfRule type="expression" dxfId="22" priority="5964" stopIfTrue="1">
      <formula>OR($A588="audio audit", $A588="text audit", $A588="speed violations count", $A588="speed violations list", $A588="speed violations audit")</formula>
    </cfRule>
  </conditionalFormatting>
  <conditionalFormatting sqref="A588:A591">
    <cfRule type="expression" dxfId="23" priority="5965" stopIfTrue="1">
      <formula>OR($A588="username", $A588="phonenumber", $A588="start", $A588="end", $A588="deviceid", $A588="subscriberid", $A588="simserial", $A588="caseid")</formula>
    </cfRule>
  </conditionalFormatting>
  <conditionalFormatting sqref="A588:A591">
    <cfRule type="expression" dxfId="24" priority="5966" stopIfTrue="1">
      <formula>OR(AND(LEFT($A588, 16)="select_multiple ", LEN($A588)&gt;16, NOT(ISNUMBER(SEARCH(" ", $A588, 17)))), AND(LEFT($A588, 11)="select_one ", LEN($A588)&gt;11, NOT(ISNUMBER(SEARCH(" ", $A588, 12)))))</formula>
    </cfRule>
  </conditionalFormatting>
  <conditionalFormatting sqref="A588:A591">
    <cfRule type="expression" dxfId="25" priority="5967" stopIfTrue="1">
      <formula>$A588="decimal"</formula>
    </cfRule>
  </conditionalFormatting>
  <conditionalFormatting sqref="A588:A591">
    <cfRule type="expression" dxfId="26" priority="5968" stopIfTrue="1">
      <formula>$A588="integer"</formula>
    </cfRule>
  </conditionalFormatting>
  <conditionalFormatting sqref="A588:A591">
    <cfRule type="expression" dxfId="27" priority="5969" stopIfTrue="1">
      <formula>$A588="text"</formula>
    </cfRule>
  </conditionalFormatting>
  <conditionalFormatting sqref="A588:A591">
    <cfRule type="expression" dxfId="28" priority="5970" stopIfTrue="1">
      <formula>$A588="end repeat"</formula>
    </cfRule>
  </conditionalFormatting>
  <conditionalFormatting sqref="A588:A591">
    <cfRule type="expression" dxfId="28" priority="5971" stopIfTrue="1">
      <formula>$A588="begin repeat"</formula>
    </cfRule>
  </conditionalFormatting>
  <conditionalFormatting sqref="A588:A591">
    <cfRule type="expression" dxfId="29" priority="5972" stopIfTrue="1">
      <formula>$A588="end group"</formula>
    </cfRule>
  </conditionalFormatting>
  <conditionalFormatting sqref="A588:A591">
    <cfRule type="expression" dxfId="29" priority="5973" stopIfTrue="1">
      <formula>$A588="begin group"</formula>
    </cfRule>
  </conditionalFormatting>
  <conditionalFormatting sqref="A577">
    <cfRule type="expression" dxfId="10" priority="5974" stopIfTrue="1">
      <formula>OR($A577="calculate", $A577="calculate_here")</formula>
    </cfRule>
  </conditionalFormatting>
  <conditionalFormatting sqref="A572:A584">
    <cfRule type="expression" dxfId="33" priority="5975" stopIfTrue="1">
      <formula>$A572="file"</formula>
    </cfRule>
  </conditionalFormatting>
  <conditionalFormatting sqref="A572:A584">
    <cfRule type="expression" dxfId="34" priority="5976" stopIfTrue="1">
      <formula>$A572="enumerator"</formula>
    </cfRule>
  </conditionalFormatting>
  <conditionalFormatting sqref="A572:A584">
    <cfRule type="expression" dxfId="35" priority="5977" stopIfTrue="1">
      <formula>OR(AND(LEFT($A572, 14)="sensor_stream ", LEN($A572)&gt;14, NOT(ISNUMBER(SEARCH(" ", $A572, 15)))), AND(LEFT($A572, 17)="sensor_statistic ", LEN($A572)&gt;17, NOT(ISNUMBER(SEARCH(" ", $A572, 18)))))</formula>
    </cfRule>
  </conditionalFormatting>
  <conditionalFormatting sqref="A572:A584">
    <cfRule type="expression" dxfId="14" priority="5978" stopIfTrue="1">
      <formula>$A572="comments"</formula>
    </cfRule>
  </conditionalFormatting>
  <conditionalFormatting sqref="A572:A584">
    <cfRule type="expression" dxfId="15" priority="5979" stopIfTrue="1">
      <formula>OR($A572="audio", $A572="video")</formula>
    </cfRule>
  </conditionalFormatting>
  <conditionalFormatting sqref="A572:A584">
    <cfRule type="expression" dxfId="16" priority="5980" stopIfTrue="1">
      <formula>$A572="image"</formula>
    </cfRule>
  </conditionalFormatting>
  <conditionalFormatting sqref="A572:A584">
    <cfRule type="expression" dxfId="17" priority="5981" stopIfTrue="1">
      <formula>OR($A572="date", $A572="datetime", $A572="time")</formula>
    </cfRule>
  </conditionalFormatting>
  <conditionalFormatting sqref="A572:A584">
    <cfRule type="expression" dxfId="18" priority="5982" stopIfTrue="1">
      <formula>OR($A572="calculate", $A572="calculate_here")</formula>
    </cfRule>
  </conditionalFormatting>
  <conditionalFormatting sqref="A572:A584">
    <cfRule type="expression" dxfId="19" priority="5983" stopIfTrue="1">
      <formula>$A572="note"</formula>
    </cfRule>
  </conditionalFormatting>
  <conditionalFormatting sqref="A572:A584">
    <cfRule type="expression" dxfId="20" priority="5984" stopIfTrue="1">
      <formula>$A572="barcode"</formula>
    </cfRule>
  </conditionalFormatting>
  <conditionalFormatting sqref="A572:A584">
    <cfRule type="expression" dxfId="21" priority="5985" stopIfTrue="1">
      <formula>OR($A572="geopoint", $A572="geoshape", $A572="geotrace")</formula>
    </cfRule>
  </conditionalFormatting>
  <conditionalFormatting sqref="A572:A584">
    <cfRule type="expression" dxfId="22" priority="5986" stopIfTrue="1">
      <formula>OR($A572="audio audit", $A572="text audit", $A572="speed violations count", $A572="speed violations list", $A572="speed violations audit")</formula>
    </cfRule>
  </conditionalFormatting>
  <conditionalFormatting sqref="A572:A584">
    <cfRule type="expression" dxfId="23" priority="5987" stopIfTrue="1">
      <formula>OR($A572="username", $A572="phonenumber", $A572="start", $A572="end", $A572="deviceid", $A572="subscriberid", $A572="simserial", $A572="caseid")</formula>
    </cfRule>
  </conditionalFormatting>
  <conditionalFormatting sqref="A572:A584">
    <cfRule type="expression" dxfId="24" priority="5988" stopIfTrue="1">
      <formula>OR(AND(LEFT($A572, 16)="select_multiple ", LEN($A572)&gt;16, NOT(ISNUMBER(SEARCH(" ", $A572, 17)))), AND(LEFT($A572, 11)="select_one ", LEN($A572)&gt;11, NOT(ISNUMBER(SEARCH(" ", $A572, 12)))))</formula>
    </cfRule>
  </conditionalFormatting>
  <conditionalFormatting sqref="A572:A584">
    <cfRule type="expression" dxfId="25" priority="5989" stopIfTrue="1">
      <formula>$A572="decimal"</formula>
    </cfRule>
  </conditionalFormatting>
  <conditionalFormatting sqref="A572:A584">
    <cfRule type="expression" dxfId="26" priority="5990" stopIfTrue="1">
      <formula>$A572="integer"</formula>
    </cfRule>
  </conditionalFormatting>
  <conditionalFormatting sqref="A572:A584">
    <cfRule type="expression" dxfId="27" priority="5991" stopIfTrue="1">
      <formula>$A572="text"</formula>
    </cfRule>
  </conditionalFormatting>
  <conditionalFormatting sqref="A572:A584">
    <cfRule type="expression" dxfId="28" priority="5992" stopIfTrue="1">
      <formula>$A572="end repeat"</formula>
    </cfRule>
  </conditionalFormatting>
  <conditionalFormatting sqref="A572:A584">
    <cfRule type="expression" dxfId="28" priority="5993" stopIfTrue="1">
      <formula>$A572="begin repeat"</formula>
    </cfRule>
  </conditionalFormatting>
  <conditionalFormatting sqref="A572:A584">
    <cfRule type="expression" dxfId="29" priority="5994" stopIfTrue="1">
      <formula>$A572="end group"</formula>
    </cfRule>
  </conditionalFormatting>
  <conditionalFormatting sqref="A572:A584">
    <cfRule type="expression" dxfId="29" priority="5995" stopIfTrue="1">
      <formula>$A572="begin group"</formula>
    </cfRule>
  </conditionalFormatting>
  <conditionalFormatting sqref="A557 A562">
    <cfRule type="expression" dxfId="10" priority="5996" stopIfTrue="1">
      <formula>OR($A557="calculate", $A557="calculate_here")</formula>
    </cfRule>
  </conditionalFormatting>
  <conditionalFormatting sqref="A556:A570">
    <cfRule type="expression" dxfId="33" priority="5997" stopIfTrue="1">
      <formula>$A556="file"</formula>
    </cfRule>
  </conditionalFormatting>
  <conditionalFormatting sqref="A556:A570">
    <cfRule type="expression" dxfId="34" priority="5998" stopIfTrue="1">
      <formula>$A556="enumerator"</formula>
    </cfRule>
  </conditionalFormatting>
  <conditionalFormatting sqref="A556:A570">
    <cfRule type="expression" dxfId="35" priority="5999" stopIfTrue="1">
      <formula>OR(AND(LEFT($A556, 14)="sensor_stream ", LEN($A556)&gt;14, NOT(ISNUMBER(SEARCH(" ", $A556, 15)))), AND(LEFT($A556, 17)="sensor_statistic ", LEN($A556)&gt;17, NOT(ISNUMBER(SEARCH(" ", $A556, 18)))))</formula>
    </cfRule>
  </conditionalFormatting>
  <conditionalFormatting sqref="A556:A570">
    <cfRule type="expression" dxfId="14" priority="6000" stopIfTrue="1">
      <formula>$A556="comments"</formula>
    </cfRule>
  </conditionalFormatting>
  <conditionalFormatting sqref="A556:A570">
    <cfRule type="expression" dxfId="15" priority="6001" stopIfTrue="1">
      <formula>OR($A556="audio", $A556="video")</formula>
    </cfRule>
  </conditionalFormatting>
  <conditionalFormatting sqref="A556:A570">
    <cfRule type="expression" dxfId="16" priority="6002" stopIfTrue="1">
      <formula>$A556="image"</formula>
    </cfRule>
  </conditionalFormatting>
  <conditionalFormatting sqref="A556:A570">
    <cfRule type="expression" dxfId="17" priority="6003" stopIfTrue="1">
      <formula>OR($A556="date", $A556="datetime", $A556="time")</formula>
    </cfRule>
  </conditionalFormatting>
  <conditionalFormatting sqref="A556:A570">
    <cfRule type="expression" dxfId="18" priority="6004" stopIfTrue="1">
      <formula>OR($A556="calculate", $A556="calculate_here")</formula>
    </cfRule>
  </conditionalFormatting>
  <conditionalFormatting sqref="A556:A570">
    <cfRule type="expression" dxfId="19" priority="6005" stopIfTrue="1">
      <formula>$A556="note"</formula>
    </cfRule>
  </conditionalFormatting>
  <conditionalFormatting sqref="A556:A570">
    <cfRule type="expression" dxfId="20" priority="6006" stopIfTrue="1">
      <formula>$A556="barcode"</formula>
    </cfRule>
  </conditionalFormatting>
  <conditionalFormatting sqref="A556:A570">
    <cfRule type="expression" dxfId="21" priority="6007" stopIfTrue="1">
      <formula>OR($A556="geopoint", $A556="geoshape", $A556="geotrace")</formula>
    </cfRule>
  </conditionalFormatting>
  <conditionalFormatting sqref="A556:A570">
    <cfRule type="expression" dxfId="22" priority="6008" stopIfTrue="1">
      <formula>OR($A556="audio audit", $A556="text audit", $A556="speed violations count", $A556="speed violations list", $A556="speed violations audit")</formula>
    </cfRule>
  </conditionalFormatting>
  <conditionalFormatting sqref="A556:A570">
    <cfRule type="expression" dxfId="23" priority="6009" stopIfTrue="1">
      <formula>OR($A556="username", $A556="phonenumber", $A556="start", $A556="end", $A556="deviceid", $A556="subscriberid", $A556="simserial", $A556="caseid")</formula>
    </cfRule>
  </conditionalFormatting>
  <conditionalFormatting sqref="A556:A570">
    <cfRule type="expression" dxfId="24" priority="6010" stopIfTrue="1">
      <formula>OR(AND(LEFT($A556, 16)="select_multiple ", LEN($A556)&gt;16, NOT(ISNUMBER(SEARCH(" ", $A556, 17)))), AND(LEFT($A556, 11)="select_one ", LEN($A556)&gt;11, NOT(ISNUMBER(SEARCH(" ", $A556, 12)))))</formula>
    </cfRule>
  </conditionalFormatting>
  <conditionalFormatting sqref="A556:A570">
    <cfRule type="expression" dxfId="25" priority="6011" stopIfTrue="1">
      <formula>$A556="decimal"</formula>
    </cfRule>
  </conditionalFormatting>
  <conditionalFormatting sqref="A556:A570">
    <cfRule type="expression" dxfId="26" priority="6012" stopIfTrue="1">
      <formula>$A556="integer"</formula>
    </cfRule>
  </conditionalFormatting>
  <conditionalFormatting sqref="A556:A570">
    <cfRule type="expression" dxfId="27" priority="6013" stopIfTrue="1">
      <formula>$A556="text"</formula>
    </cfRule>
  </conditionalFormatting>
  <conditionalFormatting sqref="A556:A570">
    <cfRule type="expression" dxfId="28" priority="6014" stopIfTrue="1">
      <formula>$A556="end repeat"</formula>
    </cfRule>
  </conditionalFormatting>
  <conditionalFormatting sqref="A556:A570">
    <cfRule type="expression" dxfId="28" priority="6015" stopIfTrue="1">
      <formula>$A556="begin repeat"</formula>
    </cfRule>
  </conditionalFormatting>
  <conditionalFormatting sqref="A556:A570">
    <cfRule type="expression" dxfId="29" priority="6016" stopIfTrue="1">
      <formula>$A556="end group"</formula>
    </cfRule>
  </conditionalFormatting>
  <conditionalFormatting sqref="A556:A570">
    <cfRule type="expression" dxfId="29" priority="6017" stopIfTrue="1">
      <formula>$A556="begin group"</formula>
    </cfRule>
  </conditionalFormatting>
  <conditionalFormatting sqref="A542">
    <cfRule type="expression" dxfId="33" priority="6018" stopIfTrue="1">
      <formula>$A542="file"</formula>
    </cfRule>
  </conditionalFormatting>
  <conditionalFormatting sqref="A542">
    <cfRule type="expression" dxfId="34" priority="6019" stopIfTrue="1">
      <formula>$A542="enumerator"</formula>
    </cfRule>
  </conditionalFormatting>
  <conditionalFormatting sqref="A542">
    <cfRule type="expression" dxfId="35" priority="6020" stopIfTrue="1">
      <formula>OR(AND(LEFT($A542, 14)="sensor_stream ", LEN($A542)&gt;14, NOT(ISNUMBER(SEARCH(" ", $A542, 15)))), AND(LEFT($A542, 17)="sensor_statistic ", LEN($A542)&gt;17, NOT(ISNUMBER(SEARCH(" ", $A542, 18)))))</formula>
    </cfRule>
  </conditionalFormatting>
  <conditionalFormatting sqref="A542">
    <cfRule type="expression" dxfId="14" priority="6021" stopIfTrue="1">
      <formula>$A542="comments"</formula>
    </cfRule>
  </conditionalFormatting>
  <conditionalFormatting sqref="A542">
    <cfRule type="expression" dxfId="15" priority="6022" stopIfTrue="1">
      <formula>OR($A542="audio", $A542="video")</formula>
    </cfRule>
  </conditionalFormatting>
  <conditionalFormatting sqref="A542">
    <cfRule type="expression" dxfId="16" priority="6023" stopIfTrue="1">
      <formula>$A542="image"</formula>
    </cfRule>
  </conditionalFormatting>
  <conditionalFormatting sqref="A542">
    <cfRule type="expression" dxfId="17" priority="6024" stopIfTrue="1">
      <formula>OR($A542="date", $A542="datetime", $A542="time")</formula>
    </cfRule>
  </conditionalFormatting>
  <conditionalFormatting sqref="A542">
    <cfRule type="expression" dxfId="18" priority="6025" stopIfTrue="1">
      <formula>OR($A542="calculate", $A542="calculate_here")</formula>
    </cfRule>
  </conditionalFormatting>
  <conditionalFormatting sqref="A542">
    <cfRule type="expression" dxfId="19" priority="6026" stopIfTrue="1">
      <formula>$A542="note"</formula>
    </cfRule>
  </conditionalFormatting>
  <conditionalFormatting sqref="A542">
    <cfRule type="expression" dxfId="20" priority="6027" stopIfTrue="1">
      <formula>$A542="barcode"</formula>
    </cfRule>
  </conditionalFormatting>
  <conditionalFormatting sqref="A542">
    <cfRule type="expression" dxfId="21" priority="6028" stopIfTrue="1">
      <formula>OR($A542="geopoint", $A542="geoshape", $A542="geotrace")</formula>
    </cfRule>
  </conditionalFormatting>
  <conditionalFormatting sqref="A542">
    <cfRule type="expression" dxfId="22" priority="6029" stopIfTrue="1">
      <formula>OR($A542="audio audit", $A542="text audit", $A542="speed violations count", $A542="speed violations list", $A542="speed violations audit")</formula>
    </cfRule>
  </conditionalFormatting>
  <conditionalFormatting sqref="A542">
    <cfRule type="expression" dxfId="23" priority="6030" stopIfTrue="1">
      <formula>OR($A542="username", $A542="phonenumber", $A542="start", $A542="end", $A542="deviceid", $A542="subscriberid", $A542="simserial", $A542="caseid")</formula>
    </cfRule>
  </conditionalFormatting>
  <conditionalFormatting sqref="A542">
    <cfRule type="expression" dxfId="24" priority="6031" stopIfTrue="1">
      <formula>OR(AND(LEFT($A542, 16)="select_multiple ", LEN($A542)&gt;16, NOT(ISNUMBER(SEARCH(" ", $A542, 17)))), AND(LEFT($A542, 11)="select_one ", LEN($A542)&gt;11, NOT(ISNUMBER(SEARCH(" ", $A542, 12)))))</formula>
    </cfRule>
  </conditionalFormatting>
  <conditionalFormatting sqref="A542">
    <cfRule type="expression" dxfId="25" priority="6032" stopIfTrue="1">
      <formula>$A542="decimal"</formula>
    </cfRule>
  </conditionalFormatting>
  <conditionalFormatting sqref="A542">
    <cfRule type="expression" dxfId="26" priority="6033" stopIfTrue="1">
      <formula>$A542="integer"</formula>
    </cfRule>
  </conditionalFormatting>
  <conditionalFormatting sqref="A542">
    <cfRule type="expression" dxfId="27" priority="6034" stopIfTrue="1">
      <formula>$A542="text"</formula>
    </cfRule>
  </conditionalFormatting>
  <conditionalFormatting sqref="A542">
    <cfRule type="expression" dxfId="28" priority="6035" stopIfTrue="1">
      <formula>$A542="end repeat"</formula>
    </cfRule>
  </conditionalFormatting>
  <conditionalFormatting sqref="A542">
    <cfRule type="expression" dxfId="28" priority="6036" stopIfTrue="1">
      <formula>$A542="begin repeat"</formula>
    </cfRule>
  </conditionalFormatting>
  <conditionalFormatting sqref="A542">
    <cfRule type="expression" dxfId="29" priority="6037" stopIfTrue="1">
      <formula>$A542="end group"</formula>
    </cfRule>
  </conditionalFormatting>
  <conditionalFormatting sqref="A542">
    <cfRule type="expression" dxfId="29" priority="6038" stopIfTrue="1">
      <formula>$A542="begin group"</formula>
    </cfRule>
  </conditionalFormatting>
  <conditionalFormatting sqref="A534:A536">
    <cfRule type="expression" dxfId="33" priority="6039" stopIfTrue="1">
      <formula>$A534="file"</formula>
    </cfRule>
  </conditionalFormatting>
  <conditionalFormatting sqref="A534:A536">
    <cfRule type="expression" dxfId="34" priority="6040" stopIfTrue="1">
      <formula>$A534="enumerator"</formula>
    </cfRule>
  </conditionalFormatting>
  <conditionalFormatting sqref="A534:A536">
    <cfRule type="expression" dxfId="35" priority="6041" stopIfTrue="1">
      <formula>OR(AND(LEFT($A534, 14)="sensor_stream ", LEN($A534)&gt;14, NOT(ISNUMBER(SEARCH(" ", $A534, 15)))), AND(LEFT($A534, 17)="sensor_statistic ", LEN($A534)&gt;17, NOT(ISNUMBER(SEARCH(" ", $A534, 18)))))</formula>
    </cfRule>
  </conditionalFormatting>
  <conditionalFormatting sqref="A534:A536">
    <cfRule type="expression" dxfId="14" priority="6042" stopIfTrue="1">
      <formula>$A534="comments"</formula>
    </cfRule>
  </conditionalFormatting>
  <conditionalFormatting sqref="A534:A536">
    <cfRule type="expression" dxfId="15" priority="6043" stopIfTrue="1">
      <formula>OR($A534="audio", $A534="video")</formula>
    </cfRule>
  </conditionalFormatting>
  <conditionalFormatting sqref="A534:A536">
    <cfRule type="expression" dxfId="16" priority="6044" stopIfTrue="1">
      <formula>$A534="image"</formula>
    </cfRule>
  </conditionalFormatting>
  <conditionalFormatting sqref="A534:A536">
    <cfRule type="expression" dxfId="17" priority="6045" stopIfTrue="1">
      <formula>OR($A534="date", $A534="datetime", $A534="time")</formula>
    </cfRule>
  </conditionalFormatting>
  <conditionalFormatting sqref="A534:A536">
    <cfRule type="expression" dxfId="18" priority="6046" stopIfTrue="1">
      <formula>OR($A534="calculate", $A534="calculate_here")</formula>
    </cfRule>
  </conditionalFormatting>
  <conditionalFormatting sqref="A534:A536">
    <cfRule type="expression" dxfId="19" priority="6047" stopIfTrue="1">
      <formula>$A534="note"</formula>
    </cfRule>
  </conditionalFormatting>
  <conditionalFormatting sqref="A534:A536">
    <cfRule type="expression" dxfId="20" priority="6048" stopIfTrue="1">
      <formula>$A534="barcode"</formula>
    </cfRule>
  </conditionalFormatting>
  <conditionalFormatting sqref="A534:A536">
    <cfRule type="expression" dxfId="21" priority="6049" stopIfTrue="1">
      <formula>OR($A534="geopoint", $A534="geoshape", $A534="geotrace")</formula>
    </cfRule>
  </conditionalFormatting>
  <conditionalFormatting sqref="A534:A536">
    <cfRule type="expression" dxfId="22" priority="6050" stopIfTrue="1">
      <formula>OR($A534="audio audit", $A534="text audit", $A534="speed violations count", $A534="speed violations list", $A534="speed violations audit")</formula>
    </cfRule>
  </conditionalFormatting>
  <conditionalFormatting sqref="A534:A536">
    <cfRule type="expression" dxfId="23" priority="6051" stopIfTrue="1">
      <formula>OR($A534="username", $A534="phonenumber", $A534="start", $A534="end", $A534="deviceid", $A534="subscriberid", $A534="simserial", $A534="caseid")</formula>
    </cfRule>
  </conditionalFormatting>
  <conditionalFormatting sqref="A534:A536">
    <cfRule type="expression" dxfId="24" priority="6052" stopIfTrue="1">
      <formula>OR(AND(LEFT($A534, 16)="select_multiple ", LEN($A534)&gt;16, NOT(ISNUMBER(SEARCH(" ", $A534, 17)))), AND(LEFT($A534, 11)="select_one ", LEN($A534)&gt;11, NOT(ISNUMBER(SEARCH(" ", $A534, 12)))))</formula>
    </cfRule>
  </conditionalFormatting>
  <conditionalFormatting sqref="A534:A536">
    <cfRule type="expression" dxfId="25" priority="6053" stopIfTrue="1">
      <formula>$A534="decimal"</formula>
    </cfRule>
  </conditionalFormatting>
  <conditionalFormatting sqref="A534:A536">
    <cfRule type="expression" dxfId="26" priority="6054" stopIfTrue="1">
      <formula>$A534="integer"</formula>
    </cfRule>
  </conditionalFormatting>
  <conditionalFormatting sqref="A534:A536">
    <cfRule type="expression" dxfId="27" priority="6055" stopIfTrue="1">
      <formula>$A534="text"</formula>
    </cfRule>
  </conditionalFormatting>
  <conditionalFormatting sqref="A534:A536">
    <cfRule type="expression" dxfId="28" priority="6056" stopIfTrue="1">
      <formula>$A534="end repeat"</formula>
    </cfRule>
  </conditionalFormatting>
  <conditionalFormatting sqref="A534:A536">
    <cfRule type="expression" dxfId="28" priority="6057" stopIfTrue="1">
      <formula>$A534="begin repeat"</formula>
    </cfRule>
  </conditionalFormatting>
  <conditionalFormatting sqref="A534:A536">
    <cfRule type="expression" dxfId="29" priority="6058" stopIfTrue="1">
      <formula>$A534="end group"</formula>
    </cfRule>
  </conditionalFormatting>
  <conditionalFormatting sqref="A534:A536">
    <cfRule type="expression" dxfId="29" priority="6059" stopIfTrue="1">
      <formula>$A534="begin group"</formula>
    </cfRule>
  </conditionalFormatting>
  <conditionalFormatting sqref="A530:A531">
    <cfRule type="expression" dxfId="33" priority="6060" stopIfTrue="1">
      <formula>$A530="file"</formula>
    </cfRule>
  </conditionalFormatting>
  <conditionalFormatting sqref="A530:A531">
    <cfRule type="expression" dxfId="34" priority="6061" stopIfTrue="1">
      <formula>$A530="enumerator"</formula>
    </cfRule>
  </conditionalFormatting>
  <conditionalFormatting sqref="A530:A531">
    <cfRule type="expression" dxfId="35" priority="6062" stopIfTrue="1">
      <formula>OR(AND(LEFT($A530, 14)="sensor_stream ", LEN($A530)&gt;14, NOT(ISNUMBER(SEARCH(" ", $A530, 15)))), AND(LEFT($A530, 17)="sensor_statistic ", LEN($A530)&gt;17, NOT(ISNUMBER(SEARCH(" ", $A530, 18)))))</formula>
    </cfRule>
  </conditionalFormatting>
  <conditionalFormatting sqref="A530:A531">
    <cfRule type="expression" dxfId="14" priority="6063" stopIfTrue="1">
      <formula>$A530="comments"</formula>
    </cfRule>
  </conditionalFormatting>
  <conditionalFormatting sqref="A530:A531">
    <cfRule type="expression" dxfId="15" priority="6064" stopIfTrue="1">
      <formula>OR($A530="audio", $A530="video")</formula>
    </cfRule>
  </conditionalFormatting>
  <conditionalFormatting sqref="A530:A531">
    <cfRule type="expression" dxfId="16" priority="6065" stopIfTrue="1">
      <formula>$A530="image"</formula>
    </cfRule>
  </conditionalFormatting>
  <conditionalFormatting sqref="A530:A531">
    <cfRule type="expression" dxfId="17" priority="6066" stopIfTrue="1">
      <formula>OR($A530="date", $A530="datetime", $A530="time")</formula>
    </cfRule>
  </conditionalFormatting>
  <conditionalFormatting sqref="A530:A531">
    <cfRule type="expression" dxfId="18" priority="6067" stopIfTrue="1">
      <formula>OR($A530="calculate", $A530="calculate_here")</formula>
    </cfRule>
  </conditionalFormatting>
  <conditionalFormatting sqref="A530:A531">
    <cfRule type="expression" dxfId="19" priority="6068" stopIfTrue="1">
      <formula>$A530="note"</formula>
    </cfRule>
  </conditionalFormatting>
  <conditionalFormatting sqref="A530:A531">
    <cfRule type="expression" dxfId="20" priority="6069" stopIfTrue="1">
      <formula>$A530="barcode"</formula>
    </cfRule>
  </conditionalFormatting>
  <conditionalFormatting sqref="A530:A531">
    <cfRule type="expression" dxfId="21" priority="6070" stopIfTrue="1">
      <formula>OR($A530="geopoint", $A530="geoshape", $A530="geotrace")</formula>
    </cfRule>
  </conditionalFormatting>
  <conditionalFormatting sqref="A530:A531">
    <cfRule type="expression" dxfId="22" priority="6071" stopIfTrue="1">
      <formula>OR($A530="audio audit", $A530="text audit", $A530="speed violations count", $A530="speed violations list", $A530="speed violations audit")</formula>
    </cfRule>
  </conditionalFormatting>
  <conditionalFormatting sqref="A530:A531">
    <cfRule type="expression" dxfId="23" priority="6072" stopIfTrue="1">
      <formula>OR($A530="username", $A530="phonenumber", $A530="start", $A530="end", $A530="deviceid", $A530="subscriberid", $A530="simserial", $A530="caseid")</formula>
    </cfRule>
  </conditionalFormatting>
  <conditionalFormatting sqref="A530:A531">
    <cfRule type="expression" dxfId="24" priority="6073" stopIfTrue="1">
      <formula>OR(AND(LEFT($A530, 16)="select_multiple ", LEN($A530)&gt;16, NOT(ISNUMBER(SEARCH(" ", $A530, 17)))), AND(LEFT($A530, 11)="select_one ", LEN($A530)&gt;11, NOT(ISNUMBER(SEARCH(" ", $A530, 12)))))</formula>
    </cfRule>
  </conditionalFormatting>
  <conditionalFormatting sqref="A530:A531">
    <cfRule type="expression" dxfId="25" priority="6074" stopIfTrue="1">
      <formula>$A530="decimal"</formula>
    </cfRule>
  </conditionalFormatting>
  <conditionalFormatting sqref="A530:A531">
    <cfRule type="expression" dxfId="26" priority="6075" stopIfTrue="1">
      <formula>$A530="integer"</formula>
    </cfRule>
  </conditionalFormatting>
  <conditionalFormatting sqref="A530:A531">
    <cfRule type="expression" dxfId="27" priority="6076" stopIfTrue="1">
      <formula>$A530="text"</formula>
    </cfRule>
  </conditionalFormatting>
  <conditionalFormatting sqref="A530:A531">
    <cfRule type="expression" dxfId="28" priority="6077" stopIfTrue="1">
      <formula>$A530="end repeat"</formula>
    </cfRule>
  </conditionalFormatting>
  <conditionalFormatting sqref="A530:A531">
    <cfRule type="expression" dxfId="28" priority="6078" stopIfTrue="1">
      <formula>$A530="begin repeat"</formula>
    </cfRule>
  </conditionalFormatting>
  <conditionalFormatting sqref="A530:A531">
    <cfRule type="expression" dxfId="29" priority="6079" stopIfTrue="1">
      <formula>$A530="end group"</formula>
    </cfRule>
  </conditionalFormatting>
  <conditionalFormatting sqref="A530:A531">
    <cfRule type="expression" dxfId="29" priority="6080" stopIfTrue="1">
      <formula>$A530="begin group"</formula>
    </cfRule>
  </conditionalFormatting>
  <conditionalFormatting sqref="A520:A522">
    <cfRule type="expression" dxfId="33" priority="6081" stopIfTrue="1">
      <formula>$A520="file"</formula>
    </cfRule>
  </conditionalFormatting>
  <conditionalFormatting sqref="A520:A522">
    <cfRule type="expression" dxfId="34" priority="6082" stopIfTrue="1">
      <formula>$A520="enumerator"</formula>
    </cfRule>
  </conditionalFormatting>
  <conditionalFormatting sqref="A520:A522">
    <cfRule type="expression" dxfId="35" priority="6083" stopIfTrue="1">
      <formula>OR(AND(LEFT($A520, 14)="sensor_stream ", LEN($A520)&gt;14, NOT(ISNUMBER(SEARCH(" ", $A520, 15)))), AND(LEFT($A520, 17)="sensor_statistic ", LEN($A520)&gt;17, NOT(ISNUMBER(SEARCH(" ", $A520, 18)))))</formula>
    </cfRule>
  </conditionalFormatting>
  <conditionalFormatting sqref="A520:A522">
    <cfRule type="expression" dxfId="14" priority="6084" stopIfTrue="1">
      <formula>$A520="comments"</formula>
    </cfRule>
  </conditionalFormatting>
  <conditionalFormatting sqref="A520:A522">
    <cfRule type="expression" dxfId="15" priority="6085" stopIfTrue="1">
      <formula>OR($A520="audio", $A520="video")</formula>
    </cfRule>
  </conditionalFormatting>
  <conditionalFormatting sqref="A520:A522">
    <cfRule type="expression" dxfId="16" priority="6086" stopIfTrue="1">
      <formula>$A520="image"</formula>
    </cfRule>
  </conditionalFormatting>
  <conditionalFormatting sqref="A520:A522">
    <cfRule type="expression" dxfId="17" priority="6087" stopIfTrue="1">
      <formula>OR($A520="date", $A520="datetime", $A520="time")</formula>
    </cfRule>
  </conditionalFormatting>
  <conditionalFormatting sqref="A520:A522">
    <cfRule type="expression" dxfId="18" priority="6088" stopIfTrue="1">
      <formula>OR($A520="calculate", $A520="calculate_here")</formula>
    </cfRule>
  </conditionalFormatting>
  <conditionalFormatting sqref="A520:A522">
    <cfRule type="expression" dxfId="19" priority="6089" stopIfTrue="1">
      <formula>$A520="note"</formula>
    </cfRule>
  </conditionalFormatting>
  <conditionalFormatting sqref="A520:A522">
    <cfRule type="expression" dxfId="20" priority="6090" stopIfTrue="1">
      <formula>$A520="barcode"</formula>
    </cfRule>
  </conditionalFormatting>
  <conditionalFormatting sqref="A520:A522">
    <cfRule type="expression" dxfId="21" priority="6091" stopIfTrue="1">
      <formula>OR($A520="geopoint", $A520="geoshape", $A520="geotrace")</formula>
    </cfRule>
  </conditionalFormatting>
  <conditionalFormatting sqref="A520:A522">
    <cfRule type="expression" dxfId="22" priority="6092" stopIfTrue="1">
      <formula>OR($A520="audio audit", $A520="text audit", $A520="speed violations count", $A520="speed violations list", $A520="speed violations audit")</formula>
    </cfRule>
  </conditionalFormatting>
  <conditionalFormatting sqref="A520:A522">
    <cfRule type="expression" dxfId="23" priority="6093" stopIfTrue="1">
      <formula>OR($A520="username", $A520="phonenumber", $A520="start", $A520="end", $A520="deviceid", $A520="subscriberid", $A520="simserial", $A520="caseid")</formula>
    </cfRule>
  </conditionalFormatting>
  <conditionalFormatting sqref="A520:A522">
    <cfRule type="expression" dxfId="24" priority="6094" stopIfTrue="1">
      <formula>OR(AND(LEFT($A520, 16)="select_multiple ", LEN($A520)&gt;16, NOT(ISNUMBER(SEARCH(" ", $A520, 17)))), AND(LEFT($A520, 11)="select_one ", LEN($A520)&gt;11, NOT(ISNUMBER(SEARCH(" ", $A520, 12)))))</formula>
    </cfRule>
  </conditionalFormatting>
  <conditionalFormatting sqref="A520:A522">
    <cfRule type="expression" dxfId="25" priority="6095" stopIfTrue="1">
      <formula>$A520="decimal"</formula>
    </cfRule>
  </conditionalFormatting>
  <conditionalFormatting sqref="A520:A522">
    <cfRule type="expression" dxfId="26" priority="6096" stopIfTrue="1">
      <formula>$A520="integer"</formula>
    </cfRule>
  </conditionalFormatting>
  <conditionalFormatting sqref="A520:A522">
    <cfRule type="expression" dxfId="27" priority="6097" stopIfTrue="1">
      <formula>$A520="text"</formula>
    </cfRule>
  </conditionalFormatting>
  <conditionalFormatting sqref="A520:A522">
    <cfRule type="expression" dxfId="28" priority="6098" stopIfTrue="1">
      <formula>$A520="end repeat"</formula>
    </cfRule>
  </conditionalFormatting>
  <conditionalFormatting sqref="A520:A522">
    <cfRule type="expression" dxfId="28" priority="6099" stopIfTrue="1">
      <formula>$A520="begin repeat"</formula>
    </cfRule>
  </conditionalFormatting>
  <conditionalFormatting sqref="A520:A522">
    <cfRule type="expression" dxfId="29" priority="6100" stopIfTrue="1">
      <formula>$A520="end group"</formula>
    </cfRule>
  </conditionalFormatting>
  <conditionalFormatting sqref="A520:A522">
    <cfRule type="expression" dxfId="29" priority="6101" stopIfTrue="1">
      <formula>$A520="begin group"</formula>
    </cfRule>
  </conditionalFormatting>
  <conditionalFormatting sqref="A510">
    <cfRule type="expression" dxfId="33" priority="6102" stopIfTrue="1">
      <formula>$A510="file"</formula>
    </cfRule>
  </conditionalFormatting>
  <conditionalFormatting sqref="A510">
    <cfRule type="expression" dxfId="34" priority="6103" stopIfTrue="1">
      <formula>$A510="enumerator"</formula>
    </cfRule>
  </conditionalFormatting>
  <conditionalFormatting sqref="A510">
    <cfRule type="expression" dxfId="35" priority="6104" stopIfTrue="1">
      <formula>OR(AND(LEFT($A510, 14)="sensor_stream ", LEN($A510)&gt;14, NOT(ISNUMBER(SEARCH(" ", $A510, 15)))), AND(LEFT($A510, 17)="sensor_statistic ", LEN($A510)&gt;17, NOT(ISNUMBER(SEARCH(" ", $A510, 18)))))</formula>
    </cfRule>
  </conditionalFormatting>
  <conditionalFormatting sqref="A510">
    <cfRule type="expression" dxfId="14" priority="6105" stopIfTrue="1">
      <formula>$A510="comments"</formula>
    </cfRule>
  </conditionalFormatting>
  <conditionalFormatting sqref="A510">
    <cfRule type="expression" dxfId="15" priority="6106" stopIfTrue="1">
      <formula>OR($A510="audio", $A510="video")</formula>
    </cfRule>
  </conditionalFormatting>
  <conditionalFormatting sqref="A510">
    <cfRule type="expression" dxfId="16" priority="6107" stopIfTrue="1">
      <formula>$A510="image"</formula>
    </cfRule>
  </conditionalFormatting>
  <conditionalFormatting sqref="A510">
    <cfRule type="expression" dxfId="17" priority="6108" stopIfTrue="1">
      <formula>OR($A510="date", $A510="datetime", $A510="time")</formula>
    </cfRule>
  </conditionalFormatting>
  <conditionalFormatting sqref="A510">
    <cfRule type="expression" dxfId="18" priority="6109" stopIfTrue="1">
      <formula>OR($A510="calculate", $A510="calculate_here")</formula>
    </cfRule>
  </conditionalFormatting>
  <conditionalFormatting sqref="A510">
    <cfRule type="expression" dxfId="19" priority="6110" stopIfTrue="1">
      <formula>$A510="note"</formula>
    </cfRule>
  </conditionalFormatting>
  <conditionalFormatting sqref="A510">
    <cfRule type="expression" dxfId="20" priority="6111" stopIfTrue="1">
      <formula>$A510="barcode"</formula>
    </cfRule>
  </conditionalFormatting>
  <conditionalFormatting sqref="A510">
    <cfRule type="expression" dxfId="21" priority="6112" stopIfTrue="1">
      <formula>OR($A510="geopoint", $A510="geoshape", $A510="geotrace")</formula>
    </cfRule>
  </conditionalFormatting>
  <conditionalFormatting sqref="A510">
    <cfRule type="expression" dxfId="22" priority="6113" stopIfTrue="1">
      <formula>OR($A510="audio audit", $A510="text audit", $A510="speed violations count", $A510="speed violations list", $A510="speed violations audit")</formula>
    </cfRule>
  </conditionalFormatting>
  <conditionalFormatting sqref="A510">
    <cfRule type="expression" dxfId="23" priority="6114" stopIfTrue="1">
      <formula>OR($A510="username", $A510="phonenumber", $A510="start", $A510="end", $A510="deviceid", $A510="subscriberid", $A510="simserial", $A510="caseid")</formula>
    </cfRule>
  </conditionalFormatting>
  <conditionalFormatting sqref="A510">
    <cfRule type="expression" dxfId="24" priority="6115" stopIfTrue="1">
      <formula>OR(AND(LEFT($A510, 16)="select_multiple ", LEN($A510)&gt;16, NOT(ISNUMBER(SEARCH(" ", $A510, 17)))), AND(LEFT($A510, 11)="select_one ", LEN($A510)&gt;11, NOT(ISNUMBER(SEARCH(" ", $A510, 12)))))</formula>
    </cfRule>
  </conditionalFormatting>
  <conditionalFormatting sqref="A510">
    <cfRule type="expression" dxfId="25" priority="6116" stopIfTrue="1">
      <formula>$A510="decimal"</formula>
    </cfRule>
  </conditionalFormatting>
  <conditionalFormatting sqref="A510">
    <cfRule type="expression" dxfId="26" priority="6117" stopIfTrue="1">
      <formula>$A510="integer"</formula>
    </cfRule>
  </conditionalFormatting>
  <conditionalFormatting sqref="A510">
    <cfRule type="expression" dxfId="27" priority="6118" stopIfTrue="1">
      <formula>$A510="text"</formula>
    </cfRule>
  </conditionalFormatting>
  <conditionalFormatting sqref="A510">
    <cfRule type="expression" dxfId="28" priority="6119" stopIfTrue="1">
      <formula>$A510="end repeat"</formula>
    </cfRule>
  </conditionalFormatting>
  <conditionalFormatting sqref="A510">
    <cfRule type="expression" dxfId="28" priority="6120" stopIfTrue="1">
      <formula>$A510="begin repeat"</formula>
    </cfRule>
  </conditionalFormatting>
  <conditionalFormatting sqref="A510">
    <cfRule type="expression" dxfId="29" priority="6121" stopIfTrue="1">
      <formula>$A510="end group"</formula>
    </cfRule>
  </conditionalFormatting>
  <conditionalFormatting sqref="A510">
    <cfRule type="expression" dxfId="29" priority="6122" stopIfTrue="1">
      <formula>$A510="begin group"</formula>
    </cfRule>
  </conditionalFormatting>
  <conditionalFormatting sqref="A503">
    <cfRule type="expression" dxfId="33" priority="6123" stopIfTrue="1">
      <formula>$A503="file"</formula>
    </cfRule>
  </conditionalFormatting>
  <conditionalFormatting sqref="A503">
    <cfRule type="expression" dxfId="34" priority="6124" stopIfTrue="1">
      <formula>$A503="enumerator"</formula>
    </cfRule>
  </conditionalFormatting>
  <conditionalFormatting sqref="A503">
    <cfRule type="expression" dxfId="35" priority="6125" stopIfTrue="1">
      <formula>OR(AND(LEFT($A503, 14)="sensor_stream ", LEN($A503)&gt;14, NOT(ISNUMBER(SEARCH(" ", $A503, 15)))), AND(LEFT($A503, 17)="sensor_statistic ", LEN($A503)&gt;17, NOT(ISNUMBER(SEARCH(" ", $A503, 18)))))</formula>
    </cfRule>
  </conditionalFormatting>
  <conditionalFormatting sqref="A503">
    <cfRule type="expression" dxfId="14" priority="6126" stopIfTrue="1">
      <formula>$A503="comments"</formula>
    </cfRule>
  </conditionalFormatting>
  <conditionalFormatting sqref="A503">
    <cfRule type="expression" dxfId="15" priority="6127" stopIfTrue="1">
      <formula>OR($A503="audio", $A503="video")</formula>
    </cfRule>
  </conditionalFormatting>
  <conditionalFormatting sqref="A503">
    <cfRule type="expression" dxfId="16" priority="6128" stopIfTrue="1">
      <formula>$A503="image"</formula>
    </cfRule>
  </conditionalFormatting>
  <conditionalFormatting sqref="A503">
    <cfRule type="expression" dxfId="17" priority="6129" stopIfTrue="1">
      <formula>OR($A503="date", $A503="datetime", $A503="time")</formula>
    </cfRule>
  </conditionalFormatting>
  <conditionalFormatting sqref="A503">
    <cfRule type="expression" dxfId="18" priority="6130" stopIfTrue="1">
      <formula>OR($A503="calculate", $A503="calculate_here")</formula>
    </cfRule>
  </conditionalFormatting>
  <conditionalFormatting sqref="A503">
    <cfRule type="expression" dxfId="19" priority="6131" stopIfTrue="1">
      <formula>$A503="note"</formula>
    </cfRule>
  </conditionalFormatting>
  <conditionalFormatting sqref="A503">
    <cfRule type="expression" dxfId="20" priority="6132" stopIfTrue="1">
      <formula>$A503="barcode"</formula>
    </cfRule>
  </conditionalFormatting>
  <conditionalFormatting sqref="A503">
    <cfRule type="expression" dxfId="21" priority="6133" stopIfTrue="1">
      <formula>OR($A503="geopoint", $A503="geoshape", $A503="geotrace")</formula>
    </cfRule>
  </conditionalFormatting>
  <conditionalFormatting sqref="A503">
    <cfRule type="expression" dxfId="22" priority="6134" stopIfTrue="1">
      <formula>OR($A503="audio audit", $A503="text audit", $A503="speed violations count", $A503="speed violations list", $A503="speed violations audit")</formula>
    </cfRule>
  </conditionalFormatting>
  <conditionalFormatting sqref="A503">
    <cfRule type="expression" dxfId="23" priority="6135" stopIfTrue="1">
      <formula>OR($A503="username", $A503="phonenumber", $A503="start", $A503="end", $A503="deviceid", $A503="subscriberid", $A503="simserial", $A503="caseid")</formula>
    </cfRule>
  </conditionalFormatting>
  <conditionalFormatting sqref="A503">
    <cfRule type="expression" dxfId="24" priority="6136" stopIfTrue="1">
      <formula>OR(AND(LEFT($A503, 16)="select_multiple ", LEN($A503)&gt;16, NOT(ISNUMBER(SEARCH(" ", $A503, 17)))), AND(LEFT($A503, 11)="select_one ", LEN($A503)&gt;11, NOT(ISNUMBER(SEARCH(" ", $A503, 12)))))</formula>
    </cfRule>
  </conditionalFormatting>
  <conditionalFormatting sqref="A503">
    <cfRule type="expression" dxfId="25" priority="6137" stopIfTrue="1">
      <formula>$A503="decimal"</formula>
    </cfRule>
  </conditionalFormatting>
  <conditionalFormatting sqref="A503">
    <cfRule type="expression" dxfId="26" priority="6138" stopIfTrue="1">
      <formula>$A503="integer"</formula>
    </cfRule>
  </conditionalFormatting>
  <conditionalFormatting sqref="A503">
    <cfRule type="expression" dxfId="27" priority="6139" stopIfTrue="1">
      <formula>$A503="text"</formula>
    </cfRule>
  </conditionalFormatting>
  <conditionalFormatting sqref="A503">
    <cfRule type="expression" dxfId="28" priority="6140" stopIfTrue="1">
      <formula>$A503="end repeat"</formula>
    </cfRule>
  </conditionalFormatting>
  <conditionalFormatting sqref="A503">
    <cfRule type="expression" dxfId="28" priority="6141" stopIfTrue="1">
      <formula>$A503="begin repeat"</formula>
    </cfRule>
  </conditionalFormatting>
  <conditionalFormatting sqref="A503">
    <cfRule type="expression" dxfId="29" priority="6142" stopIfTrue="1">
      <formula>$A503="end group"</formula>
    </cfRule>
  </conditionalFormatting>
  <conditionalFormatting sqref="A503">
    <cfRule type="expression" dxfId="29" priority="6143" stopIfTrue="1">
      <formula>$A503="begin group"</formula>
    </cfRule>
  </conditionalFormatting>
  <conditionalFormatting sqref="A491">
    <cfRule type="expression" dxfId="10" priority="6144" stopIfTrue="1">
      <formula>OR($A491="calculate", $A491="calculate_here")</formula>
    </cfRule>
  </conditionalFormatting>
  <conditionalFormatting sqref="A490:A500">
    <cfRule type="expression" dxfId="33" priority="6145" stopIfTrue="1">
      <formula>$A490="file"</formula>
    </cfRule>
  </conditionalFormatting>
  <conditionalFormatting sqref="A490:A500">
    <cfRule type="expression" dxfId="34" priority="6146" stopIfTrue="1">
      <formula>$A490="enumerator"</formula>
    </cfRule>
  </conditionalFormatting>
  <conditionalFormatting sqref="A490:A500">
    <cfRule type="expression" dxfId="35" priority="6147" stopIfTrue="1">
      <formula>OR(AND(LEFT($A490, 14)="sensor_stream ", LEN($A490)&gt;14, NOT(ISNUMBER(SEARCH(" ", $A490, 15)))), AND(LEFT($A490, 17)="sensor_statistic ", LEN($A490)&gt;17, NOT(ISNUMBER(SEARCH(" ", $A490, 18)))))</formula>
    </cfRule>
  </conditionalFormatting>
  <conditionalFormatting sqref="A490:A500">
    <cfRule type="expression" dxfId="14" priority="6148" stopIfTrue="1">
      <formula>$A490="comments"</formula>
    </cfRule>
  </conditionalFormatting>
  <conditionalFormatting sqref="A490:A500">
    <cfRule type="expression" dxfId="15" priority="6149" stopIfTrue="1">
      <formula>OR($A490="audio", $A490="video")</formula>
    </cfRule>
  </conditionalFormatting>
  <conditionalFormatting sqref="A490:A500">
    <cfRule type="expression" dxfId="16" priority="6150" stopIfTrue="1">
      <formula>$A490="image"</formula>
    </cfRule>
  </conditionalFormatting>
  <conditionalFormatting sqref="A490:A500">
    <cfRule type="expression" dxfId="17" priority="6151" stopIfTrue="1">
      <formula>OR($A490="date", $A490="datetime", $A490="time")</formula>
    </cfRule>
  </conditionalFormatting>
  <conditionalFormatting sqref="A490:A500">
    <cfRule type="expression" dxfId="18" priority="6152" stopIfTrue="1">
      <formula>OR($A490="calculate", $A490="calculate_here")</formula>
    </cfRule>
  </conditionalFormatting>
  <conditionalFormatting sqref="A490:A500">
    <cfRule type="expression" dxfId="19" priority="6153" stopIfTrue="1">
      <formula>$A490="note"</formula>
    </cfRule>
  </conditionalFormatting>
  <conditionalFormatting sqref="A490:A500">
    <cfRule type="expression" dxfId="20" priority="6154" stopIfTrue="1">
      <formula>$A490="barcode"</formula>
    </cfRule>
  </conditionalFormatting>
  <conditionalFormatting sqref="A490:A500">
    <cfRule type="expression" dxfId="21" priority="6155" stopIfTrue="1">
      <formula>OR($A490="geopoint", $A490="geoshape", $A490="geotrace")</formula>
    </cfRule>
  </conditionalFormatting>
  <conditionalFormatting sqref="A490:A500">
    <cfRule type="expression" dxfId="22" priority="6156" stopIfTrue="1">
      <formula>OR($A490="audio audit", $A490="text audit", $A490="speed violations count", $A490="speed violations list", $A490="speed violations audit")</formula>
    </cfRule>
  </conditionalFormatting>
  <conditionalFormatting sqref="A490:A500">
    <cfRule type="expression" dxfId="23" priority="6157" stopIfTrue="1">
      <formula>OR($A490="username", $A490="phonenumber", $A490="start", $A490="end", $A490="deviceid", $A490="subscriberid", $A490="simserial", $A490="caseid")</formula>
    </cfRule>
  </conditionalFormatting>
  <conditionalFormatting sqref="A490:A500">
    <cfRule type="expression" dxfId="24" priority="6158" stopIfTrue="1">
      <formula>OR(AND(LEFT($A490, 16)="select_multiple ", LEN($A490)&gt;16, NOT(ISNUMBER(SEARCH(" ", $A490, 17)))), AND(LEFT($A490, 11)="select_one ", LEN($A490)&gt;11, NOT(ISNUMBER(SEARCH(" ", $A490, 12)))))</formula>
    </cfRule>
  </conditionalFormatting>
  <conditionalFormatting sqref="A490:A500">
    <cfRule type="expression" dxfId="25" priority="6159" stopIfTrue="1">
      <formula>$A490="decimal"</formula>
    </cfRule>
  </conditionalFormatting>
  <conditionalFormatting sqref="A490:A500">
    <cfRule type="expression" dxfId="26" priority="6160" stopIfTrue="1">
      <formula>$A490="integer"</formula>
    </cfRule>
  </conditionalFormatting>
  <conditionalFormatting sqref="A490:A500">
    <cfRule type="expression" dxfId="27" priority="6161" stopIfTrue="1">
      <formula>$A490="text"</formula>
    </cfRule>
  </conditionalFormatting>
  <conditionalFormatting sqref="A490:A500">
    <cfRule type="expression" dxfId="28" priority="6162" stopIfTrue="1">
      <formula>$A490="end repeat"</formula>
    </cfRule>
  </conditionalFormatting>
  <conditionalFormatting sqref="A490:A500">
    <cfRule type="expression" dxfId="28" priority="6163" stopIfTrue="1">
      <formula>$A490="begin repeat"</formula>
    </cfRule>
  </conditionalFormatting>
  <conditionalFormatting sqref="A490:A500">
    <cfRule type="expression" dxfId="29" priority="6164" stopIfTrue="1">
      <formula>$A490="end group"</formula>
    </cfRule>
  </conditionalFormatting>
  <conditionalFormatting sqref="A490:A500">
    <cfRule type="expression" dxfId="29" priority="6165" stopIfTrue="1">
      <formula>$A490="begin group"</formula>
    </cfRule>
  </conditionalFormatting>
  <conditionalFormatting sqref="A484:A487">
    <cfRule type="expression" dxfId="33" priority="6166" stopIfTrue="1">
      <formula>$A484="file"</formula>
    </cfRule>
  </conditionalFormatting>
  <conditionalFormatting sqref="A484:A487">
    <cfRule type="expression" dxfId="34" priority="6167" stopIfTrue="1">
      <formula>$A484="enumerator"</formula>
    </cfRule>
  </conditionalFormatting>
  <conditionalFormatting sqref="A484:A487">
    <cfRule type="expression" dxfId="35" priority="6168" stopIfTrue="1">
      <formula>OR(AND(LEFT($A484, 14)="sensor_stream ", LEN($A484)&gt;14, NOT(ISNUMBER(SEARCH(" ", $A484, 15)))), AND(LEFT($A484, 17)="sensor_statistic ", LEN($A484)&gt;17, NOT(ISNUMBER(SEARCH(" ", $A484, 18)))))</formula>
    </cfRule>
  </conditionalFormatting>
  <conditionalFormatting sqref="A484:A487">
    <cfRule type="expression" dxfId="14" priority="6169" stopIfTrue="1">
      <formula>$A484="comments"</formula>
    </cfRule>
  </conditionalFormatting>
  <conditionalFormatting sqref="A484:A487">
    <cfRule type="expression" dxfId="15" priority="6170" stopIfTrue="1">
      <formula>OR($A484="audio", $A484="video")</formula>
    </cfRule>
  </conditionalFormatting>
  <conditionalFormatting sqref="A484:A487">
    <cfRule type="expression" dxfId="16" priority="6171" stopIfTrue="1">
      <formula>$A484="image"</formula>
    </cfRule>
  </conditionalFormatting>
  <conditionalFormatting sqref="A484:A487">
    <cfRule type="expression" dxfId="17" priority="6172" stopIfTrue="1">
      <formula>OR($A484="date", $A484="datetime", $A484="time")</formula>
    </cfRule>
  </conditionalFormatting>
  <conditionalFormatting sqref="A484:A487">
    <cfRule type="expression" dxfId="18" priority="6173" stopIfTrue="1">
      <formula>OR($A484="calculate", $A484="calculate_here")</formula>
    </cfRule>
  </conditionalFormatting>
  <conditionalFormatting sqref="A484:A487">
    <cfRule type="expression" dxfId="19" priority="6174" stopIfTrue="1">
      <formula>$A484="note"</formula>
    </cfRule>
  </conditionalFormatting>
  <conditionalFormatting sqref="A484:A487">
    <cfRule type="expression" dxfId="20" priority="6175" stopIfTrue="1">
      <formula>$A484="barcode"</formula>
    </cfRule>
  </conditionalFormatting>
  <conditionalFormatting sqref="A484:A487">
    <cfRule type="expression" dxfId="21" priority="6176" stopIfTrue="1">
      <formula>OR($A484="geopoint", $A484="geoshape", $A484="geotrace")</formula>
    </cfRule>
  </conditionalFormatting>
  <conditionalFormatting sqref="A484:A487">
    <cfRule type="expression" dxfId="22" priority="6177" stopIfTrue="1">
      <formula>OR($A484="audio audit", $A484="text audit", $A484="speed violations count", $A484="speed violations list", $A484="speed violations audit")</formula>
    </cfRule>
  </conditionalFormatting>
  <conditionalFormatting sqref="A484:A487">
    <cfRule type="expression" dxfId="23" priority="6178" stopIfTrue="1">
      <formula>OR($A484="username", $A484="phonenumber", $A484="start", $A484="end", $A484="deviceid", $A484="subscriberid", $A484="simserial", $A484="caseid")</formula>
    </cfRule>
  </conditionalFormatting>
  <conditionalFormatting sqref="A484:A487">
    <cfRule type="expression" dxfId="24" priority="6179" stopIfTrue="1">
      <formula>OR(AND(LEFT($A484, 16)="select_multiple ", LEN($A484)&gt;16, NOT(ISNUMBER(SEARCH(" ", $A484, 17)))), AND(LEFT($A484, 11)="select_one ", LEN($A484)&gt;11, NOT(ISNUMBER(SEARCH(" ", $A484, 12)))))</formula>
    </cfRule>
  </conditionalFormatting>
  <conditionalFormatting sqref="A484:A487">
    <cfRule type="expression" dxfId="25" priority="6180" stopIfTrue="1">
      <formula>$A484="decimal"</formula>
    </cfRule>
  </conditionalFormatting>
  <conditionalFormatting sqref="A484:A487">
    <cfRule type="expression" dxfId="26" priority="6181" stopIfTrue="1">
      <formula>$A484="integer"</formula>
    </cfRule>
  </conditionalFormatting>
  <conditionalFormatting sqref="A484:A487">
    <cfRule type="expression" dxfId="27" priority="6182" stopIfTrue="1">
      <formula>$A484="text"</formula>
    </cfRule>
  </conditionalFormatting>
  <conditionalFormatting sqref="A484:A487">
    <cfRule type="expression" dxfId="28" priority="6183" stopIfTrue="1">
      <formula>$A484="end repeat"</formula>
    </cfRule>
  </conditionalFormatting>
  <conditionalFormatting sqref="A484:A487">
    <cfRule type="expression" dxfId="28" priority="6184" stopIfTrue="1">
      <formula>$A484="begin repeat"</formula>
    </cfRule>
  </conditionalFormatting>
  <conditionalFormatting sqref="A484:A487">
    <cfRule type="expression" dxfId="29" priority="6185" stopIfTrue="1">
      <formula>$A484="end group"</formula>
    </cfRule>
  </conditionalFormatting>
  <conditionalFormatting sqref="A484:A487">
    <cfRule type="expression" dxfId="29" priority="6186" stopIfTrue="1">
      <formula>$A484="begin group"</formula>
    </cfRule>
  </conditionalFormatting>
  <conditionalFormatting sqref="A478:A481">
    <cfRule type="expression" dxfId="33" priority="6187" stopIfTrue="1">
      <formula>$A478="file"</formula>
    </cfRule>
  </conditionalFormatting>
  <conditionalFormatting sqref="A478:A481">
    <cfRule type="expression" dxfId="34" priority="6188" stopIfTrue="1">
      <formula>$A478="enumerator"</formula>
    </cfRule>
  </conditionalFormatting>
  <conditionalFormatting sqref="A478:A481">
    <cfRule type="expression" dxfId="35" priority="6189" stopIfTrue="1">
      <formula>OR(AND(LEFT($A478, 14)="sensor_stream ", LEN($A478)&gt;14, NOT(ISNUMBER(SEARCH(" ", $A478, 15)))), AND(LEFT($A478, 17)="sensor_statistic ", LEN($A478)&gt;17, NOT(ISNUMBER(SEARCH(" ", $A478, 18)))))</formula>
    </cfRule>
  </conditionalFormatting>
  <conditionalFormatting sqref="A478:A481">
    <cfRule type="expression" dxfId="14" priority="6190" stopIfTrue="1">
      <formula>$A478="comments"</formula>
    </cfRule>
  </conditionalFormatting>
  <conditionalFormatting sqref="A478:A481">
    <cfRule type="expression" dxfId="15" priority="6191" stopIfTrue="1">
      <formula>OR($A478="audio", $A478="video")</formula>
    </cfRule>
  </conditionalFormatting>
  <conditionalFormatting sqref="A478:A481">
    <cfRule type="expression" dxfId="16" priority="6192" stopIfTrue="1">
      <formula>$A478="image"</formula>
    </cfRule>
  </conditionalFormatting>
  <conditionalFormatting sqref="A478:A481">
    <cfRule type="expression" dxfId="17" priority="6193" stopIfTrue="1">
      <formula>OR($A478="date", $A478="datetime", $A478="time")</formula>
    </cfRule>
  </conditionalFormatting>
  <conditionalFormatting sqref="A478:A481">
    <cfRule type="expression" dxfId="18" priority="6194" stopIfTrue="1">
      <formula>OR($A478="calculate", $A478="calculate_here")</formula>
    </cfRule>
  </conditionalFormatting>
  <conditionalFormatting sqref="A478:A481">
    <cfRule type="expression" dxfId="19" priority="6195" stopIfTrue="1">
      <formula>$A478="note"</formula>
    </cfRule>
  </conditionalFormatting>
  <conditionalFormatting sqref="A478:A481">
    <cfRule type="expression" dxfId="20" priority="6196" stopIfTrue="1">
      <formula>$A478="barcode"</formula>
    </cfRule>
  </conditionalFormatting>
  <conditionalFormatting sqref="A478:A481">
    <cfRule type="expression" dxfId="21" priority="6197" stopIfTrue="1">
      <formula>OR($A478="geopoint", $A478="geoshape", $A478="geotrace")</formula>
    </cfRule>
  </conditionalFormatting>
  <conditionalFormatting sqref="A478:A481">
    <cfRule type="expression" dxfId="22" priority="6198" stopIfTrue="1">
      <formula>OR($A478="audio audit", $A478="text audit", $A478="speed violations count", $A478="speed violations list", $A478="speed violations audit")</formula>
    </cfRule>
  </conditionalFormatting>
  <conditionalFormatting sqref="A478:A481">
    <cfRule type="expression" dxfId="23" priority="6199" stopIfTrue="1">
      <formula>OR($A478="username", $A478="phonenumber", $A478="start", $A478="end", $A478="deviceid", $A478="subscriberid", $A478="simserial", $A478="caseid")</formula>
    </cfRule>
  </conditionalFormatting>
  <conditionalFormatting sqref="A478:A481">
    <cfRule type="expression" dxfId="24" priority="6200" stopIfTrue="1">
      <formula>OR(AND(LEFT($A478, 16)="select_multiple ", LEN($A478)&gt;16, NOT(ISNUMBER(SEARCH(" ", $A478, 17)))), AND(LEFT($A478, 11)="select_one ", LEN($A478)&gt;11, NOT(ISNUMBER(SEARCH(" ", $A478, 12)))))</formula>
    </cfRule>
  </conditionalFormatting>
  <conditionalFormatting sqref="A478:A481">
    <cfRule type="expression" dxfId="25" priority="6201" stopIfTrue="1">
      <formula>$A478="decimal"</formula>
    </cfRule>
  </conditionalFormatting>
  <conditionalFormatting sqref="A478:A481">
    <cfRule type="expression" dxfId="26" priority="6202" stopIfTrue="1">
      <formula>$A478="integer"</formula>
    </cfRule>
  </conditionalFormatting>
  <conditionalFormatting sqref="A478:A481">
    <cfRule type="expression" dxfId="27" priority="6203" stopIfTrue="1">
      <formula>$A478="text"</formula>
    </cfRule>
  </conditionalFormatting>
  <conditionalFormatting sqref="A478:A481">
    <cfRule type="expression" dxfId="28" priority="6204" stopIfTrue="1">
      <formula>$A478="end repeat"</formula>
    </cfRule>
  </conditionalFormatting>
  <conditionalFormatting sqref="A478:A481">
    <cfRule type="expression" dxfId="28" priority="6205" stopIfTrue="1">
      <formula>$A478="begin repeat"</formula>
    </cfRule>
  </conditionalFormatting>
  <conditionalFormatting sqref="A478:A481">
    <cfRule type="expression" dxfId="29" priority="6206" stopIfTrue="1">
      <formula>$A478="end group"</formula>
    </cfRule>
  </conditionalFormatting>
  <conditionalFormatting sqref="A478:A481">
    <cfRule type="expression" dxfId="29" priority="6207" stopIfTrue="1">
      <formula>$A478="begin group"</formula>
    </cfRule>
  </conditionalFormatting>
  <conditionalFormatting sqref="A470:A472">
    <cfRule type="expression" dxfId="33" priority="6208" stopIfTrue="1">
      <formula>$A470="file"</formula>
    </cfRule>
  </conditionalFormatting>
  <conditionalFormatting sqref="A470:A472">
    <cfRule type="expression" dxfId="34" priority="6209" stopIfTrue="1">
      <formula>$A470="enumerator"</formula>
    </cfRule>
  </conditionalFormatting>
  <conditionalFormatting sqref="A470:A472">
    <cfRule type="expression" dxfId="35" priority="6210" stopIfTrue="1">
      <formula>OR(AND(LEFT($A470, 14)="sensor_stream ", LEN($A470)&gt;14, NOT(ISNUMBER(SEARCH(" ", $A470, 15)))), AND(LEFT($A470, 17)="sensor_statistic ", LEN($A470)&gt;17, NOT(ISNUMBER(SEARCH(" ", $A470, 18)))))</formula>
    </cfRule>
  </conditionalFormatting>
  <conditionalFormatting sqref="A470:A472">
    <cfRule type="expression" dxfId="14" priority="6211" stopIfTrue="1">
      <formula>$A470="comments"</formula>
    </cfRule>
  </conditionalFormatting>
  <conditionalFormatting sqref="A470:A472">
    <cfRule type="expression" dxfId="15" priority="6212" stopIfTrue="1">
      <formula>OR($A470="audio", $A470="video")</formula>
    </cfRule>
  </conditionalFormatting>
  <conditionalFormatting sqref="A470:A472">
    <cfRule type="expression" dxfId="16" priority="6213" stopIfTrue="1">
      <formula>$A470="image"</formula>
    </cfRule>
  </conditionalFormatting>
  <conditionalFormatting sqref="A470:A472">
    <cfRule type="expression" dxfId="17" priority="6214" stopIfTrue="1">
      <formula>OR($A470="date", $A470="datetime", $A470="time")</formula>
    </cfRule>
  </conditionalFormatting>
  <conditionalFormatting sqref="A470:A472">
    <cfRule type="expression" dxfId="18" priority="6215" stopIfTrue="1">
      <formula>OR($A470="calculate", $A470="calculate_here")</formula>
    </cfRule>
  </conditionalFormatting>
  <conditionalFormatting sqref="A470:A472">
    <cfRule type="expression" dxfId="19" priority="6216" stopIfTrue="1">
      <formula>$A470="note"</formula>
    </cfRule>
  </conditionalFormatting>
  <conditionalFormatting sqref="A470:A472">
    <cfRule type="expression" dxfId="20" priority="6217" stopIfTrue="1">
      <formula>$A470="barcode"</formula>
    </cfRule>
  </conditionalFormatting>
  <conditionalFormatting sqref="A470:A472">
    <cfRule type="expression" dxfId="21" priority="6218" stopIfTrue="1">
      <formula>OR($A470="geopoint", $A470="geoshape", $A470="geotrace")</formula>
    </cfRule>
  </conditionalFormatting>
  <conditionalFormatting sqref="A470:A472">
    <cfRule type="expression" dxfId="22" priority="6219" stopIfTrue="1">
      <formula>OR($A470="audio audit", $A470="text audit", $A470="speed violations count", $A470="speed violations list", $A470="speed violations audit")</formula>
    </cfRule>
  </conditionalFormatting>
  <conditionalFormatting sqref="A470:A472">
    <cfRule type="expression" dxfId="23" priority="6220" stopIfTrue="1">
      <formula>OR($A470="username", $A470="phonenumber", $A470="start", $A470="end", $A470="deviceid", $A470="subscriberid", $A470="simserial", $A470="caseid")</formula>
    </cfRule>
  </conditionalFormatting>
  <conditionalFormatting sqref="A470:A472">
    <cfRule type="expression" dxfId="24" priority="6221" stopIfTrue="1">
      <formula>OR(AND(LEFT($A470, 16)="select_multiple ", LEN($A470)&gt;16, NOT(ISNUMBER(SEARCH(" ", $A470, 17)))), AND(LEFT($A470, 11)="select_one ", LEN($A470)&gt;11, NOT(ISNUMBER(SEARCH(" ", $A470, 12)))))</formula>
    </cfRule>
  </conditionalFormatting>
  <conditionalFormatting sqref="A470:A472">
    <cfRule type="expression" dxfId="25" priority="6222" stopIfTrue="1">
      <formula>$A470="decimal"</formula>
    </cfRule>
  </conditionalFormatting>
  <conditionalFormatting sqref="A470:A472">
    <cfRule type="expression" dxfId="26" priority="6223" stopIfTrue="1">
      <formula>$A470="integer"</formula>
    </cfRule>
  </conditionalFormatting>
  <conditionalFormatting sqref="A470:A472">
    <cfRule type="expression" dxfId="27" priority="6224" stopIfTrue="1">
      <formula>$A470="text"</formula>
    </cfRule>
  </conditionalFormatting>
  <conditionalFormatting sqref="A470:A472">
    <cfRule type="expression" dxfId="28" priority="6225" stopIfTrue="1">
      <formula>$A470="end repeat"</formula>
    </cfRule>
  </conditionalFormatting>
  <conditionalFormatting sqref="A470:A472">
    <cfRule type="expression" dxfId="28" priority="6226" stopIfTrue="1">
      <formula>$A470="begin repeat"</formula>
    </cfRule>
  </conditionalFormatting>
  <conditionalFormatting sqref="A470:A472">
    <cfRule type="expression" dxfId="29" priority="6227" stopIfTrue="1">
      <formula>$A470="end group"</formula>
    </cfRule>
  </conditionalFormatting>
  <conditionalFormatting sqref="A470:A472">
    <cfRule type="expression" dxfId="29" priority="6228" stopIfTrue="1">
      <formula>$A470="begin group"</formula>
    </cfRule>
  </conditionalFormatting>
  <conditionalFormatting sqref="A464:A465">
    <cfRule type="expression" dxfId="33" priority="6229" stopIfTrue="1">
      <formula>$A464="file"</formula>
    </cfRule>
  </conditionalFormatting>
  <conditionalFormatting sqref="A464:A465">
    <cfRule type="expression" dxfId="34" priority="6230" stopIfTrue="1">
      <formula>$A464="enumerator"</formula>
    </cfRule>
  </conditionalFormatting>
  <conditionalFormatting sqref="A464:A465">
    <cfRule type="expression" dxfId="35" priority="6231" stopIfTrue="1">
      <formula>OR(AND(LEFT($A464, 14)="sensor_stream ", LEN($A464)&gt;14, NOT(ISNUMBER(SEARCH(" ", $A464, 15)))), AND(LEFT($A464, 17)="sensor_statistic ", LEN($A464)&gt;17, NOT(ISNUMBER(SEARCH(" ", $A464, 18)))))</formula>
    </cfRule>
  </conditionalFormatting>
  <conditionalFormatting sqref="A464:A465">
    <cfRule type="expression" dxfId="14" priority="6232" stopIfTrue="1">
      <formula>$A464="comments"</formula>
    </cfRule>
  </conditionalFormatting>
  <conditionalFormatting sqref="A464:A465">
    <cfRule type="expression" dxfId="15" priority="6233" stopIfTrue="1">
      <formula>OR($A464="audio", $A464="video")</formula>
    </cfRule>
  </conditionalFormatting>
  <conditionalFormatting sqref="A464:A465">
    <cfRule type="expression" dxfId="16" priority="6234" stopIfTrue="1">
      <formula>$A464="image"</formula>
    </cfRule>
  </conditionalFormatting>
  <conditionalFormatting sqref="A464:A465">
    <cfRule type="expression" dxfId="17" priority="6235" stopIfTrue="1">
      <formula>OR($A464="date", $A464="datetime", $A464="time")</formula>
    </cfRule>
  </conditionalFormatting>
  <conditionalFormatting sqref="A464:A465">
    <cfRule type="expression" dxfId="18" priority="6236" stopIfTrue="1">
      <formula>OR($A464="calculate", $A464="calculate_here")</formula>
    </cfRule>
  </conditionalFormatting>
  <conditionalFormatting sqref="A464:A465">
    <cfRule type="expression" dxfId="19" priority="6237" stopIfTrue="1">
      <formula>$A464="note"</formula>
    </cfRule>
  </conditionalFormatting>
  <conditionalFormatting sqref="A464:A465">
    <cfRule type="expression" dxfId="20" priority="6238" stopIfTrue="1">
      <formula>$A464="barcode"</formula>
    </cfRule>
  </conditionalFormatting>
  <conditionalFormatting sqref="A464:A465">
    <cfRule type="expression" dxfId="21" priority="6239" stopIfTrue="1">
      <formula>OR($A464="geopoint", $A464="geoshape", $A464="geotrace")</formula>
    </cfRule>
  </conditionalFormatting>
  <conditionalFormatting sqref="A464:A465">
    <cfRule type="expression" dxfId="22" priority="6240" stopIfTrue="1">
      <formula>OR($A464="audio audit", $A464="text audit", $A464="speed violations count", $A464="speed violations list", $A464="speed violations audit")</formula>
    </cfRule>
  </conditionalFormatting>
  <conditionalFormatting sqref="A464:A465">
    <cfRule type="expression" dxfId="23" priority="6241" stopIfTrue="1">
      <formula>OR($A464="username", $A464="phonenumber", $A464="start", $A464="end", $A464="deviceid", $A464="subscriberid", $A464="simserial", $A464="caseid")</formula>
    </cfRule>
  </conditionalFormatting>
  <conditionalFormatting sqref="A464:A465">
    <cfRule type="expression" dxfId="24" priority="6242" stopIfTrue="1">
      <formula>OR(AND(LEFT($A464, 16)="select_multiple ", LEN($A464)&gt;16, NOT(ISNUMBER(SEARCH(" ", $A464, 17)))), AND(LEFT($A464, 11)="select_one ", LEN($A464)&gt;11, NOT(ISNUMBER(SEARCH(" ", $A464, 12)))))</formula>
    </cfRule>
  </conditionalFormatting>
  <conditionalFormatting sqref="A464:A465">
    <cfRule type="expression" dxfId="25" priority="6243" stopIfTrue="1">
      <formula>$A464="decimal"</formula>
    </cfRule>
  </conditionalFormatting>
  <conditionalFormatting sqref="A464:A465">
    <cfRule type="expression" dxfId="26" priority="6244" stopIfTrue="1">
      <formula>$A464="integer"</formula>
    </cfRule>
  </conditionalFormatting>
  <conditionalFormatting sqref="A464:A465">
    <cfRule type="expression" dxfId="27" priority="6245" stopIfTrue="1">
      <formula>$A464="text"</formula>
    </cfRule>
  </conditionalFormatting>
  <conditionalFormatting sqref="A464:A465">
    <cfRule type="expression" dxfId="28" priority="6246" stopIfTrue="1">
      <formula>$A464="end repeat"</formula>
    </cfRule>
  </conditionalFormatting>
  <conditionalFormatting sqref="A464:A465">
    <cfRule type="expression" dxfId="28" priority="6247" stopIfTrue="1">
      <formula>$A464="begin repeat"</formula>
    </cfRule>
  </conditionalFormatting>
  <conditionalFormatting sqref="A464:A465">
    <cfRule type="expression" dxfId="29" priority="6248" stopIfTrue="1">
      <formula>$A464="end group"</formula>
    </cfRule>
  </conditionalFormatting>
  <conditionalFormatting sqref="A464:A465">
    <cfRule type="expression" dxfId="29" priority="6249" stopIfTrue="1">
      <formula>$A464="begin group"</formula>
    </cfRule>
  </conditionalFormatting>
  <conditionalFormatting sqref="A458:A462">
    <cfRule type="expression" dxfId="33" priority="6250" stopIfTrue="1">
      <formula>$A458="file"</formula>
    </cfRule>
  </conditionalFormatting>
  <conditionalFormatting sqref="A458:A462">
    <cfRule type="expression" dxfId="34" priority="6251" stopIfTrue="1">
      <formula>$A458="enumerator"</formula>
    </cfRule>
  </conditionalFormatting>
  <conditionalFormatting sqref="A458:A462">
    <cfRule type="expression" dxfId="35" priority="6252" stopIfTrue="1">
      <formula>OR(AND(LEFT($A458, 14)="sensor_stream ", LEN($A458)&gt;14, NOT(ISNUMBER(SEARCH(" ", $A458, 15)))), AND(LEFT($A458, 17)="sensor_statistic ", LEN($A458)&gt;17, NOT(ISNUMBER(SEARCH(" ", $A458, 18)))))</formula>
    </cfRule>
  </conditionalFormatting>
  <conditionalFormatting sqref="A458:A462">
    <cfRule type="expression" dxfId="14" priority="6253" stopIfTrue="1">
      <formula>$A458="comments"</formula>
    </cfRule>
  </conditionalFormatting>
  <conditionalFormatting sqref="A458:A462">
    <cfRule type="expression" dxfId="15" priority="6254" stopIfTrue="1">
      <formula>OR($A458="audio", $A458="video")</formula>
    </cfRule>
  </conditionalFormatting>
  <conditionalFormatting sqref="A458:A462">
    <cfRule type="expression" dxfId="16" priority="6255" stopIfTrue="1">
      <formula>$A458="image"</formula>
    </cfRule>
  </conditionalFormatting>
  <conditionalFormatting sqref="A458:A462">
    <cfRule type="expression" dxfId="17" priority="6256" stopIfTrue="1">
      <formula>OR($A458="date", $A458="datetime", $A458="time")</formula>
    </cfRule>
  </conditionalFormatting>
  <conditionalFormatting sqref="A458:A462">
    <cfRule type="expression" dxfId="18" priority="6257" stopIfTrue="1">
      <formula>OR($A458="calculate", $A458="calculate_here")</formula>
    </cfRule>
  </conditionalFormatting>
  <conditionalFormatting sqref="A458:A462">
    <cfRule type="expression" dxfId="19" priority="6258" stopIfTrue="1">
      <formula>$A458="note"</formula>
    </cfRule>
  </conditionalFormatting>
  <conditionalFormatting sqref="A458:A462">
    <cfRule type="expression" dxfId="20" priority="6259" stopIfTrue="1">
      <formula>$A458="barcode"</formula>
    </cfRule>
  </conditionalFormatting>
  <conditionalFormatting sqref="A458:A462">
    <cfRule type="expression" dxfId="21" priority="6260" stopIfTrue="1">
      <formula>OR($A458="geopoint", $A458="geoshape", $A458="geotrace")</formula>
    </cfRule>
  </conditionalFormatting>
  <conditionalFormatting sqref="A458:A462">
    <cfRule type="expression" dxfId="22" priority="6261" stopIfTrue="1">
      <formula>OR($A458="audio audit", $A458="text audit", $A458="speed violations count", $A458="speed violations list", $A458="speed violations audit")</formula>
    </cfRule>
  </conditionalFormatting>
  <conditionalFormatting sqref="A458:A462">
    <cfRule type="expression" dxfId="23" priority="6262" stopIfTrue="1">
      <formula>OR($A458="username", $A458="phonenumber", $A458="start", $A458="end", $A458="deviceid", $A458="subscriberid", $A458="simserial", $A458="caseid")</formula>
    </cfRule>
  </conditionalFormatting>
  <conditionalFormatting sqref="A458:A462">
    <cfRule type="expression" dxfId="24" priority="6263" stopIfTrue="1">
      <formula>OR(AND(LEFT($A458, 16)="select_multiple ", LEN($A458)&gt;16, NOT(ISNUMBER(SEARCH(" ", $A458, 17)))), AND(LEFT($A458, 11)="select_one ", LEN($A458)&gt;11, NOT(ISNUMBER(SEARCH(" ", $A458, 12)))))</formula>
    </cfRule>
  </conditionalFormatting>
  <conditionalFormatting sqref="A458:A462">
    <cfRule type="expression" dxfId="25" priority="6264" stopIfTrue="1">
      <formula>$A458="decimal"</formula>
    </cfRule>
  </conditionalFormatting>
  <conditionalFormatting sqref="A458:A462">
    <cfRule type="expression" dxfId="26" priority="6265" stopIfTrue="1">
      <formula>$A458="integer"</formula>
    </cfRule>
  </conditionalFormatting>
  <conditionalFormatting sqref="A458:A462">
    <cfRule type="expression" dxfId="27" priority="6266" stopIfTrue="1">
      <formula>$A458="text"</formula>
    </cfRule>
  </conditionalFormatting>
  <conditionalFormatting sqref="A458:A462">
    <cfRule type="expression" dxfId="28" priority="6267" stopIfTrue="1">
      <formula>$A458="end repeat"</formula>
    </cfRule>
  </conditionalFormatting>
  <conditionalFormatting sqref="A458:A462">
    <cfRule type="expression" dxfId="28" priority="6268" stopIfTrue="1">
      <formula>$A458="begin repeat"</formula>
    </cfRule>
  </conditionalFormatting>
  <conditionalFormatting sqref="A458:A462">
    <cfRule type="expression" dxfId="29" priority="6269" stopIfTrue="1">
      <formula>$A458="end group"</formula>
    </cfRule>
  </conditionalFormatting>
  <conditionalFormatting sqref="A458:A462">
    <cfRule type="expression" dxfId="29" priority="6270" stopIfTrue="1">
      <formula>$A458="begin group"</formula>
    </cfRule>
  </conditionalFormatting>
  <conditionalFormatting sqref="A416:A456">
    <cfRule type="expression" dxfId="33" priority="6271" stopIfTrue="1">
      <formula>$A416="file"</formula>
    </cfRule>
  </conditionalFormatting>
  <conditionalFormatting sqref="A416:A456">
    <cfRule type="expression" dxfId="34" priority="6272" stopIfTrue="1">
      <formula>$A416="enumerator"</formula>
    </cfRule>
  </conditionalFormatting>
  <conditionalFormatting sqref="A416:A456">
    <cfRule type="expression" dxfId="35" priority="6273" stopIfTrue="1">
      <formula>OR(AND(LEFT($A416, 14)="sensor_stream ", LEN($A416)&gt;14, NOT(ISNUMBER(SEARCH(" ", $A416, 15)))), AND(LEFT($A416, 17)="sensor_statistic ", LEN($A416)&gt;17, NOT(ISNUMBER(SEARCH(" ", $A416, 18)))))</formula>
    </cfRule>
  </conditionalFormatting>
  <conditionalFormatting sqref="A416:A456">
    <cfRule type="expression" dxfId="14" priority="6274" stopIfTrue="1">
      <formula>$A416="comments"</formula>
    </cfRule>
  </conditionalFormatting>
  <conditionalFormatting sqref="A416:A456">
    <cfRule type="expression" dxfId="15" priority="6275" stopIfTrue="1">
      <formula>OR($A416="audio", $A416="video")</formula>
    </cfRule>
  </conditionalFormatting>
  <conditionalFormatting sqref="A416:A456">
    <cfRule type="expression" dxfId="16" priority="6276" stopIfTrue="1">
      <formula>$A416="image"</formula>
    </cfRule>
  </conditionalFormatting>
  <conditionalFormatting sqref="A416:A456">
    <cfRule type="expression" dxfId="17" priority="6277" stopIfTrue="1">
      <formula>OR($A416="date", $A416="datetime", $A416="time")</formula>
    </cfRule>
  </conditionalFormatting>
  <conditionalFormatting sqref="A416:A456">
    <cfRule type="expression" dxfId="18" priority="6278" stopIfTrue="1">
      <formula>OR($A416="calculate", $A416="calculate_here")</formula>
    </cfRule>
  </conditionalFormatting>
  <conditionalFormatting sqref="A416:A456">
    <cfRule type="expression" dxfId="19" priority="6279" stopIfTrue="1">
      <formula>$A416="note"</formula>
    </cfRule>
  </conditionalFormatting>
  <conditionalFormatting sqref="A416:A456">
    <cfRule type="expression" dxfId="20" priority="6280" stopIfTrue="1">
      <formula>$A416="barcode"</formula>
    </cfRule>
  </conditionalFormatting>
  <conditionalFormatting sqref="A416:A456">
    <cfRule type="expression" dxfId="21" priority="6281" stopIfTrue="1">
      <formula>OR($A416="geopoint", $A416="geoshape", $A416="geotrace")</formula>
    </cfRule>
  </conditionalFormatting>
  <conditionalFormatting sqref="A416:A456">
    <cfRule type="expression" dxfId="22" priority="6282" stopIfTrue="1">
      <formula>OR($A416="audio audit", $A416="text audit", $A416="speed violations count", $A416="speed violations list", $A416="speed violations audit")</formula>
    </cfRule>
  </conditionalFormatting>
  <conditionalFormatting sqref="A416:A456">
    <cfRule type="expression" dxfId="23" priority="6283" stopIfTrue="1">
      <formula>OR($A416="username", $A416="phonenumber", $A416="start", $A416="end", $A416="deviceid", $A416="subscriberid", $A416="simserial", $A416="caseid")</formula>
    </cfRule>
  </conditionalFormatting>
  <conditionalFormatting sqref="A416:A456">
    <cfRule type="expression" dxfId="24" priority="6284" stopIfTrue="1">
      <formula>OR(AND(LEFT($A416, 16)="select_multiple ", LEN($A416)&gt;16, NOT(ISNUMBER(SEARCH(" ", $A416, 17)))), AND(LEFT($A416, 11)="select_one ", LEN($A416)&gt;11, NOT(ISNUMBER(SEARCH(" ", $A416, 12)))))</formula>
    </cfRule>
  </conditionalFormatting>
  <conditionalFormatting sqref="A416:A456">
    <cfRule type="expression" dxfId="25" priority="6285" stopIfTrue="1">
      <formula>$A416="decimal"</formula>
    </cfRule>
  </conditionalFormatting>
  <conditionalFormatting sqref="A416:A456">
    <cfRule type="expression" dxfId="26" priority="6286" stopIfTrue="1">
      <formula>$A416="integer"</formula>
    </cfRule>
  </conditionalFormatting>
  <conditionalFormatting sqref="A416:A456">
    <cfRule type="expression" dxfId="27" priority="6287" stopIfTrue="1">
      <formula>$A416="text"</formula>
    </cfRule>
  </conditionalFormatting>
  <conditionalFormatting sqref="A416:A456">
    <cfRule type="expression" dxfId="28" priority="6288" stopIfTrue="1">
      <formula>$A416="end repeat"</formula>
    </cfRule>
  </conditionalFormatting>
  <conditionalFormatting sqref="A416:A456">
    <cfRule type="expression" dxfId="28" priority="6289" stopIfTrue="1">
      <formula>$A416="begin repeat"</formula>
    </cfRule>
  </conditionalFormatting>
  <conditionalFormatting sqref="A416:A456">
    <cfRule type="expression" dxfId="29" priority="6290" stopIfTrue="1">
      <formula>$A416="end group"</formula>
    </cfRule>
  </conditionalFormatting>
  <conditionalFormatting sqref="A416:A456">
    <cfRule type="expression" dxfId="29" priority="6291" stopIfTrue="1">
      <formula>$A416="begin group"</formula>
    </cfRule>
  </conditionalFormatting>
  <conditionalFormatting sqref="A408:A414">
    <cfRule type="expression" dxfId="33" priority="6292" stopIfTrue="1">
      <formula>$A408="file"</formula>
    </cfRule>
  </conditionalFormatting>
  <conditionalFormatting sqref="A408:A414">
    <cfRule type="expression" dxfId="34" priority="6293" stopIfTrue="1">
      <formula>$A408="enumerator"</formula>
    </cfRule>
  </conditionalFormatting>
  <conditionalFormatting sqref="A408:A414">
    <cfRule type="expression" dxfId="35" priority="6294" stopIfTrue="1">
      <formula>OR(AND(LEFT($A408, 14)="sensor_stream ", LEN($A408)&gt;14, NOT(ISNUMBER(SEARCH(" ", $A408, 15)))), AND(LEFT($A408, 17)="sensor_statistic ", LEN($A408)&gt;17, NOT(ISNUMBER(SEARCH(" ", $A408, 18)))))</formula>
    </cfRule>
  </conditionalFormatting>
  <conditionalFormatting sqref="A408:A414">
    <cfRule type="expression" dxfId="14" priority="6295" stopIfTrue="1">
      <formula>$A408="comments"</formula>
    </cfRule>
  </conditionalFormatting>
  <conditionalFormatting sqref="A408:A414">
    <cfRule type="expression" dxfId="15" priority="6296" stopIfTrue="1">
      <formula>OR($A408="audio", $A408="video")</formula>
    </cfRule>
  </conditionalFormatting>
  <conditionalFormatting sqref="A408:A414">
    <cfRule type="expression" dxfId="16" priority="6297" stopIfTrue="1">
      <formula>$A408="image"</formula>
    </cfRule>
  </conditionalFormatting>
  <conditionalFormatting sqref="A408:A414">
    <cfRule type="expression" dxfId="17" priority="6298" stopIfTrue="1">
      <formula>OR($A408="date", $A408="datetime", $A408="time")</formula>
    </cfRule>
  </conditionalFormatting>
  <conditionalFormatting sqref="A408:A414">
    <cfRule type="expression" dxfId="18" priority="6299" stopIfTrue="1">
      <formula>OR($A408="calculate", $A408="calculate_here")</formula>
    </cfRule>
  </conditionalFormatting>
  <conditionalFormatting sqref="A408:A414">
    <cfRule type="expression" dxfId="19" priority="6300" stopIfTrue="1">
      <formula>$A408="note"</formula>
    </cfRule>
  </conditionalFormatting>
  <conditionalFormatting sqref="A408:A414">
    <cfRule type="expression" dxfId="20" priority="6301" stopIfTrue="1">
      <formula>$A408="barcode"</formula>
    </cfRule>
  </conditionalFormatting>
  <conditionalFormatting sqref="A408:A414">
    <cfRule type="expression" dxfId="21" priority="6302" stopIfTrue="1">
      <formula>OR($A408="geopoint", $A408="geoshape", $A408="geotrace")</formula>
    </cfRule>
  </conditionalFormatting>
  <conditionalFormatting sqref="A408:A414">
    <cfRule type="expression" dxfId="22" priority="6303" stopIfTrue="1">
      <formula>OR($A408="audio audit", $A408="text audit", $A408="speed violations count", $A408="speed violations list", $A408="speed violations audit")</formula>
    </cfRule>
  </conditionalFormatting>
  <conditionalFormatting sqref="A408:A414">
    <cfRule type="expression" dxfId="23" priority="6304" stopIfTrue="1">
      <formula>OR($A408="username", $A408="phonenumber", $A408="start", $A408="end", $A408="deviceid", $A408="subscriberid", $A408="simserial", $A408="caseid")</formula>
    </cfRule>
  </conditionalFormatting>
  <conditionalFormatting sqref="A408:A414">
    <cfRule type="expression" dxfId="24" priority="6305" stopIfTrue="1">
      <formula>OR(AND(LEFT($A408, 16)="select_multiple ", LEN($A408)&gt;16, NOT(ISNUMBER(SEARCH(" ", $A408, 17)))), AND(LEFT($A408, 11)="select_one ", LEN($A408)&gt;11, NOT(ISNUMBER(SEARCH(" ", $A408, 12)))))</formula>
    </cfRule>
  </conditionalFormatting>
  <conditionalFormatting sqref="A408:A414">
    <cfRule type="expression" dxfId="25" priority="6306" stopIfTrue="1">
      <formula>$A408="decimal"</formula>
    </cfRule>
  </conditionalFormatting>
  <conditionalFormatting sqref="A408:A414">
    <cfRule type="expression" dxfId="26" priority="6307" stopIfTrue="1">
      <formula>$A408="integer"</formula>
    </cfRule>
  </conditionalFormatting>
  <conditionalFormatting sqref="A408:A414">
    <cfRule type="expression" dxfId="27" priority="6308" stopIfTrue="1">
      <formula>$A408="text"</formula>
    </cfRule>
  </conditionalFormatting>
  <conditionalFormatting sqref="A408:A414">
    <cfRule type="expression" dxfId="28" priority="6309" stopIfTrue="1">
      <formula>$A408="end repeat"</formula>
    </cfRule>
  </conditionalFormatting>
  <conditionalFormatting sqref="A408:A414">
    <cfRule type="expression" dxfId="28" priority="6310" stopIfTrue="1">
      <formula>$A408="begin repeat"</formula>
    </cfRule>
  </conditionalFormatting>
  <conditionalFormatting sqref="A408:A414">
    <cfRule type="expression" dxfId="29" priority="6311" stopIfTrue="1">
      <formula>$A408="end group"</formula>
    </cfRule>
  </conditionalFormatting>
  <conditionalFormatting sqref="A408:A414">
    <cfRule type="expression" dxfId="29" priority="6312" stopIfTrue="1">
      <formula>$A408="begin group"</formula>
    </cfRule>
  </conditionalFormatting>
  <conditionalFormatting sqref="A406">
    <cfRule type="expression" dxfId="33" priority="6313" stopIfTrue="1">
      <formula>$A406="file"</formula>
    </cfRule>
  </conditionalFormatting>
  <conditionalFormatting sqref="A406">
    <cfRule type="expression" dxfId="34" priority="6314" stopIfTrue="1">
      <formula>$A406="enumerator"</formula>
    </cfRule>
  </conditionalFormatting>
  <conditionalFormatting sqref="A406">
    <cfRule type="expression" dxfId="35" priority="6315" stopIfTrue="1">
      <formula>OR(AND(LEFT($A406, 14)="sensor_stream ", LEN($A406)&gt;14, NOT(ISNUMBER(SEARCH(" ", $A406, 15)))), AND(LEFT($A406, 17)="sensor_statistic ", LEN($A406)&gt;17, NOT(ISNUMBER(SEARCH(" ", $A406, 18)))))</formula>
    </cfRule>
  </conditionalFormatting>
  <conditionalFormatting sqref="A406">
    <cfRule type="expression" dxfId="14" priority="6316" stopIfTrue="1">
      <formula>$A406="comments"</formula>
    </cfRule>
  </conditionalFormatting>
  <conditionalFormatting sqref="A406">
    <cfRule type="expression" dxfId="15" priority="6317" stopIfTrue="1">
      <formula>OR($A406="audio", $A406="video")</formula>
    </cfRule>
  </conditionalFormatting>
  <conditionalFormatting sqref="A406">
    <cfRule type="expression" dxfId="16" priority="6318" stopIfTrue="1">
      <formula>$A406="image"</formula>
    </cfRule>
  </conditionalFormatting>
  <conditionalFormatting sqref="A406">
    <cfRule type="expression" dxfId="17" priority="6319" stopIfTrue="1">
      <formula>OR($A406="date", $A406="datetime", $A406="time")</formula>
    </cfRule>
  </conditionalFormatting>
  <conditionalFormatting sqref="A406">
    <cfRule type="expression" dxfId="18" priority="6320" stopIfTrue="1">
      <formula>OR($A406="calculate", $A406="calculate_here")</formula>
    </cfRule>
  </conditionalFormatting>
  <conditionalFormatting sqref="A406">
    <cfRule type="expression" dxfId="19" priority="6321" stopIfTrue="1">
      <formula>$A406="note"</formula>
    </cfRule>
  </conditionalFormatting>
  <conditionalFormatting sqref="A406">
    <cfRule type="expression" dxfId="20" priority="6322" stopIfTrue="1">
      <formula>$A406="barcode"</formula>
    </cfRule>
  </conditionalFormatting>
  <conditionalFormatting sqref="A406">
    <cfRule type="expression" dxfId="21" priority="6323" stopIfTrue="1">
      <formula>OR($A406="geopoint", $A406="geoshape", $A406="geotrace")</formula>
    </cfRule>
  </conditionalFormatting>
  <conditionalFormatting sqref="A406">
    <cfRule type="expression" dxfId="22" priority="6324" stopIfTrue="1">
      <formula>OR($A406="audio audit", $A406="text audit", $A406="speed violations count", $A406="speed violations list", $A406="speed violations audit")</formula>
    </cfRule>
  </conditionalFormatting>
  <conditionalFormatting sqref="A406">
    <cfRule type="expression" dxfId="23" priority="6325" stopIfTrue="1">
      <formula>OR($A406="username", $A406="phonenumber", $A406="start", $A406="end", $A406="deviceid", $A406="subscriberid", $A406="simserial", $A406="caseid")</formula>
    </cfRule>
  </conditionalFormatting>
  <conditionalFormatting sqref="A406">
    <cfRule type="expression" dxfId="24" priority="6326" stopIfTrue="1">
      <formula>OR(AND(LEFT($A406, 16)="select_multiple ", LEN($A406)&gt;16, NOT(ISNUMBER(SEARCH(" ", $A406, 17)))), AND(LEFT($A406, 11)="select_one ", LEN($A406)&gt;11, NOT(ISNUMBER(SEARCH(" ", $A406, 12)))))</formula>
    </cfRule>
  </conditionalFormatting>
  <conditionalFormatting sqref="A406">
    <cfRule type="expression" dxfId="25" priority="6327" stopIfTrue="1">
      <formula>$A406="decimal"</formula>
    </cfRule>
  </conditionalFormatting>
  <conditionalFormatting sqref="A406">
    <cfRule type="expression" dxfId="26" priority="6328" stopIfTrue="1">
      <formula>$A406="integer"</formula>
    </cfRule>
  </conditionalFormatting>
  <conditionalFormatting sqref="A406">
    <cfRule type="expression" dxfId="27" priority="6329" stopIfTrue="1">
      <formula>$A406="text"</formula>
    </cfRule>
  </conditionalFormatting>
  <conditionalFormatting sqref="A406">
    <cfRule type="expression" dxfId="28" priority="6330" stopIfTrue="1">
      <formula>$A406="end repeat"</formula>
    </cfRule>
  </conditionalFormatting>
  <conditionalFormatting sqref="A406">
    <cfRule type="expression" dxfId="28" priority="6331" stopIfTrue="1">
      <formula>$A406="begin repeat"</formula>
    </cfRule>
  </conditionalFormatting>
  <conditionalFormatting sqref="A406">
    <cfRule type="expression" dxfId="29" priority="6332" stopIfTrue="1">
      <formula>$A406="end group"</formula>
    </cfRule>
  </conditionalFormatting>
  <conditionalFormatting sqref="A406">
    <cfRule type="expression" dxfId="29" priority="6333" stopIfTrue="1">
      <formula>$A406="begin group"</formula>
    </cfRule>
  </conditionalFormatting>
  <conditionalFormatting sqref="A399:A402">
    <cfRule type="expression" dxfId="33" priority="6334" stopIfTrue="1">
      <formula>$A399="file"</formula>
    </cfRule>
  </conditionalFormatting>
  <conditionalFormatting sqref="A399:A402">
    <cfRule type="expression" dxfId="34" priority="6335" stopIfTrue="1">
      <formula>$A399="enumerator"</formula>
    </cfRule>
  </conditionalFormatting>
  <conditionalFormatting sqref="A399:A402">
    <cfRule type="expression" dxfId="35" priority="6336" stopIfTrue="1">
      <formula>OR(AND(LEFT($A399, 14)="sensor_stream ", LEN($A399)&gt;14, NOT(ISNUMBER(SEARCH(" ", $A399, 15)))), AND(LEFT($A399, 17)="sensor_statistic ", LEN($A399)&gt;17, NOT(ISNUMBER(SEARCH(" ", $A399, 18)))))</formula>
    </cfRule>
  </conditionalFormatting>
  <conditionalFormatting sqref="A399:A402">
    <cfRule type="expression" dxfId="14" priority="6337" stopIfTrue="1">
      <formula>$A399="comments"</formula>
    </cfRule>
  </conditionalFormatting>
  <conditionalFormatting sqref="A399:A402">
    <cfRule type="expression" dxfId="15" priority="6338" stopIfTrue="1">
      <formula>OR($A399="audio", $A399="video")</formula>
    </cfRule>
  </conditionalFormatting>
  <conditionalFormatting sqref="A399:A402">
    <cfRule type="expression" dxfId="16" priority="6339" stopIfTrue="1">
      <formula>$A399="image"</formula>
    </cfRule>
  </conditionalFormatting>
  <conditionalFormatting sqref="A399:A402">
    <cfRule type="expression" dxfId="17" priority="6340" stopIfTrue="1">
      <formula>OR($A399="date", $A399="datetime", $A399="time")</formula>
    </cfRule>
  </conditionalFormatting>
  <conditionalFormatting sqref="A399:A402">
    <cfRule type="expression" dxfId="18" priority="6341" stopIfTrue="1">
      <formula>OR($A399="calculate", $A399="calculate_here")</formula>
    </cfRule>
  </conditionalFormatting>
  <conditionalFormatting sqref="A399:A402">
    <cfRule type="expression" dxfId="19" priority="6342" stopIfTrue="1">
      <formula>$A399="note"</formula>
    </cfRule>
  </conditionalFormatting>
  <conditionalFormatting sqref="A399:A402">
    <cfRule type="expression" dxfId="20" priority="6343" stopIfTrue="1">
      <formula>$A399="barcode"</formula>
    </cfRule>
  </conditionalFormatting>
  <conditionalFormatting sqref="A399:A402">
    <cfRule type="expression" dxfId="21" priority="6344" stopIfTrue="1">
      <formula>OR($A399="geopoint", $A399="geoshape", $A399="geotrace")</formula>
    </cfRule>
  </conditionalFormatting>
  <conditionalFormatting sqref="A399:A402">
    <cfRule type="expression" dxfId="22" priority="6345" stopIfTrue="1">
      <formula>OR($A399="audio audit", $A399="text audit", $A399="speed violations count", $A399="speed violations list", $A399="speed violations audit")</formula>
    </cfRule>
  </conditionalFormatting>
  <conditionalFormatting sqref="A399:A402">
    <cfRule type="expression" dxfId="23" priority="6346" stopIfTrue="1">
      <formula>OR($A399="username", $A399="phonenumber", $A399="start", $A399="end", $A399="deviceid", $A399="subscriberid", $A399="simserial", $A399="caseid")</formula>
    </cfRule>
  </conditionalFormatting>
  <conditionalFormatting sqref="A399:A402">
    <cfRule type="expression" dxfId="24" priority="6347" stopIfTrue="1">
      <formula>OR(AND(LEFT($A399, 16)="select_multiple ", LEN($A399)&gt;16, NOT(ISNUMBER(SEARCH(" ", $A399, 17)))), AND(LEFT($A399, 11)="select_one ", LEN($A399)&gt;11, NOT(ISNUMBER(SEARCH(" ", $A399, 12)))))</formula>
    </cfRule>
  </conditionalFormatting>
  <conditionalFormatting sqref="A399:A402">
    <cfRule type="expression" dxfId="25" priority="6348" stopIfTrue="1">
      <formula>$A399="decimal"</formula>
    </cfRule>
  </conditionalFormatting>
  <conditionalFormatting sqref="A399:A402">
    <cfRule type="expression" dxfId="26" priority="6349" stopIfTrue="1">
      <formula>$A399="integer"</formula>
    </cfRule>
  </conditionalFormatting>
  <conditionalFormatting sqref="A399:A402">
    <cfRule type="expression" dxfId="27" priority="6350" stopIfTrue="1">
      <formula>$A399="text"</formula>
    </cfRule>
  </conditionalFormatting>
  <conditionalFormatting sqref="A399:A402">
    <cfRule type="expression" dxfId="28" priority="6351" stopIfTrue="1">
      <formula>$A399="end repeat"</formula>
    </cfRule>
  </conditionalFormatting>
  <conditionalFormatting sqref="A399:A402">
    <cfRule type="expression" dxfId="28" priority="6352" stopIfTrue="1">
      <formula>$A399="begin repeat"</formula>
    </cfRule>
  </conditionalFormatting>
  <conditionalFormatting sqref="A399:A402">
    <cfRule type="expression" dxfId="29" priority="6353" stopIfTrue="1">
      <formula>$A399="end group"</formula>
    </cfRule>
  </conditionalFormatting>
  <conditionalFormatting sqref="A399:A402">
    <cfRule type="expression" dxfId="29" priority="6354" stopIfTrue="1">
      <formula>$A399="begin group"</formula>
    </cfRule>
  </conditionalFormatting>
  <conditionalFormatting sqref="A392:A396">
    <cfRule type="expression" dxfId="33" priority="6355" stopIfTrue="1">
      <formula>$A392="file"</formula>
    </cfRule>
  </conditionalFormatting>
  <conditionalFormatting sqref="A392:A396">
    <cfRule type="expression" dxfId="34" priority="6356" stopIfTrue="1">
      <formula>$A392="enumerator"</formula>
    </cfRule>
  </conditionalFormatting>
  <conditionalFormatting sqref="A392:A396">
    <cfRule type="expression" dxfId="35" priority="6357" stopIfTrue="1">
      <formula>OR(AND(LEFT($A392, 14)="sensor_stream ", LEN($A392)&gt;14, NOT(ISNUMBER(SEARCH(" ", $A392, 15)))), AND(LEFT($A392, 17)="sensor_statistic ", LEN($A392)&gt;17, NOT(ISNUMBER(SEARCH(" ", $A392, 18)))))</formula>
    </cfRule>
  </conditionalFormatting>
  <conditionalFormatting sqref="A392:A396">
    <cfRule type="expression" dxfId="14" priority="6358" stopIfTrue="1">
      <formula>$A392="comments"</formula>
    </cfRule>
  </conditionalFormatting>
  <conditionalFormatting sqref="A392:A396">
    <cfRule type="expression" dxfId="15" priority="6359" stopIfTrue="1">
      <formula>OR($A392="audio", $A392="video")</formula>
    </cfRule>
  </conditionalFormatting>
  <conditionalFormatting sqref="A392:A396">
    <cfRule type="expression" dxfId="16" priority="6360" stopIfTrue="1">
      <formula>$A392="image"</formula>
    </cfRule>
  </conditionalFormatting>
  <conditionalFormatting sqref="A392:A396">
    <cfRule type="expression" dxfId="17" priority="6361" stopIfTrue="1">
      <formula>OR($A392="date", $A392="datetime", $A392="time")</formula>
    </cfRule>
  </conditionalFormatting>
  <conditionalFormatting sqref="A392:A396">
    <cfRule type="expression" dxfId="18" priority="6362" stopIfTrue="1">
      <formula>OR($A392="calculate", $A392="calculate_here")</formula>
    </cfRule>
  </conditionalFormatting>
  <conditionalFormatting sqref="A392:A396">
    <cfRule type="expression" dxfId="19" priority="6363" stopIfTrue="1">
      <formula>$A392="note"</formula>
    </cfRule>
  </conditionalFormatting>
  <conditionalFormatting sqref="A392:A396">
    <cfRule type="expression" dxfId="20" priority="6364" stopIfTrue="1">
      <formula>$A392="barcode"</formula>
    </cfRule>
  </conditionalFormatting>
  <conditionalFormatting sqref="A392:A396">
    <cfRule type="expression" dxfId="21" priority="6365" stopIfTrue="1">
      <formula>OR($A392="geopoint", $A392="geoshape", $A392="geotrace")</formula>
    </cfRule>
  </conditionalFormatting>
  <conditionalFormatting sqref="A392:A396">
    <cfRule type="expression" dxfId="22" priority="6366" stopIfTrue="1">
      <formula>OR($A392="audio audit", $A392="text audit", $A392="speed violations count", $A392="speed violations list", $A392="speed violations audit")</formula>
    </cfRule>
  </conditionalFormatting>
  <conditionalFormatting sqref="A392:A396">
    <cfRule type="expression" dxfId="23" priority="6367" stopIfTrue="1">
      <formula>OR($A392="username", $A392="phonenumber", $A392="start", $A392="end", $A392="deviceid", $A392="subscriberid", $A392="simserial", $A392="caseid")</formula>
    </cfRule>
  </conditionalFormatting>
  <conditionalFormatting sqref="A392:A396">
    <cfRule type="expression" dxfId="24" priority="6368" stopIfTrue="1">
      <formula>OR(AND(LEFT($A392, 16)="select_multiple ", LEN($A392)&gt;16, NOT(ISNUMBER(SEARCH(" ", $A392, 17)))), AND(LEFT($A392, 11)="select_one ", LEN($A392)&gt;11, NOT(ISNUMBER(SEARCH(" ", $A392, 12)))))</formula>
    </cfRule>
  </conditionalFormatting>
  <conditionalFormatting sqref="A392:A396">
    <cfRule type="expression" dxfId="25" priority="6369" stopIfTrue="1">
      <formula>$A392="decimal"</formula>
    </cfRule>
  </conditionalFormatting>
  <conditionalFormatting sqref="A392:A396">
    <cfRule type="expression" dxfId="26" priority="6370" stopIfTrue="1">
      <formula>$A392="integer"</formula>
    </cfRule>
  </conditionalFormatting>
  <conditionalFormatting sqref="A392:A396">
    <cfRule type="expression" dxfId="27" priority="6371" stopIfTrue="1">
      <formula>$A392="text"</formula>
    </cfRule>
  </conditionalFormatting>
  <conditionalFormatting sqref="A392:A396">
    <cfRule type="expression" dxfId="28" priority="6372" stopIfTrue="1">
      <formula>$A392="end repeat"</formula>
    </cfRule>
  </conditionalFormatting>
  <conditionalFormatting sqref="A392:A396">
    <cfRule type="expression" dxfId="28" priority="6373" stopIfTrue="1">
      <formula>$A392="begin repeat"</formula>
    </cfRule>
  </conditionalFormatting>
  <conditionalFormatting sqref="A392:A396">
    <cfRule type="expression" dxfId="29" priority="6374" stopIfTrue="1">
      <formula>$A392="end group"</formula>
    </cfRule>
  </conditionalFormatting>
  <conditionalFormatting sqref="A392:A396">
    <cfRule type="expression" dxfId="29" priority="6375" stopIfTrue="1">
      <formula>$A392="begin group"</formula>
    </cfRule>
  </conditionalFormatting>
  <conditionalFormatting sqref="A387:A388">
    <cfRule type="expression" dxfId="33" priority="6376" stopIfTrue="1">
      <formula>$A387="file"</formula>
    </cfRule>
  </conditionalFormatting>
  <conditionalFormatting sqref="A387:A388">
    <cfRule type="expression" dxfId="34" priority="6377" stopIfTrue="1">
      <formula>$A387="enumerator"</formula>
    </cfRule>
  </conditionalFormatting>
  <conditionalFormatting sqref="A387:A388">
    <cfRule type="expression" dxfId="35" priority="6378" stopIfTrue="1">
      <formula>OR(AND(LEFT($A387, 14)="sensor_stream ", LEN($A387)&gt;14, NOT(ISNUMBER(SEARCH(" ", $A387, 15)))), AND(LEFT($A387, 17)="sensor_statistic ", LEN($A387)&gt;17, NOT(ISNUMBER(SEARCH(" ", $A387, 18)))))</formula>
    </cfRule>
  </conditionalFormatting>
  <conditionalFormatting sqref="A387:A388">
    <cfRule type="expression" dxfId="14" priority="6379" stopIfTrue="1">
      <formula>$A387="comments"</formula>
    </cfRule>
  </conditionalFormatting>
  <conditionalFormatting sqref="A387:A388">
    <cfRule type="expression" dxfId="15" priority="6380" stopIfTrue="1">
      <formula>OR($A387="audio", $A387="video")</formula>
    </cfRule>
  </conditionalFormatting>
  <conditionalFormatting sqref="A387:A388">
    <cfRule type="expression" dxfId="16" priority="6381" stopIfTrue="1">
      <formula>$A387="image"</formula>
    </cfRule>
  </conditionalFormatting>
  <conditionalFormatting sqref="A387:A388">
    <cfRule type="expression" dxfId="17" priority="6382" stopIfTrue="1">
      <formula>OR($A387="date", $A387="datetime", $A387="time")</formula>
    </cfRule>
  </conditionalFormatting>
  <conditionalFormatting sqref="A387:A388">
    <cfRule type="expression" dxfId="18" priority="6383" stopIfTrue="1">
      <formula>OR($A387="calculate", $A387="calculate_here")</formula>
    </cfRule>
  </conditionalFormatting>
  <conditionalFormatting sqref="A387:A388">
    <cfRule type="expression" dxfId="19" priority="6384" stopIfTrue="1">
      <formula>$A387="note"</formula>
    </cfRule>
  </conditionalFormatting>
  <conditionalFormatting sqref="A387:A388">
    <cfRule type="expression" dxfId="20" priority="6385" stopIfTrue="1">
      <formula>$A387="barcode"</formula>
    </cfRule>
  </conditionalFormatting>
  <conditionalFormatting sqref="A387:A388">
    <cfRule type="expression" dxfId="21" priority="6386" stopIfTrue="1">
      <formula>OR($A387="geopoint", $A387="geoshape", $A387="geotrace")</formula>
    </cfRule>
  </conditionalFormatting>
  <conditionalFormatting sqref="A387:A388">
    <cfRule type="expression" dxfId="22" priority="6387" stopIfTrue="1">
      <formula>OR($A387="audio audit", $A387="text audit", $A387="speed violations count", $A387="speed violations list", $A387="speed violations audit")</formula>
    </cfRule>
  </conditionalFormatting>
  <conditionalFormatting sqref="A387:A388">
    <cfRule type="expression" dxfId="23" priority="6388" stopIfTrue="1">
      <formula>OR($A387="username", $A387="phonenumber", $A387="start", $A387="end", $A387="deviceid", $A387="subscriberid", $A387="simserial", $A387="caseid")</formula>
    </cfRule>
  </conditionalFormatting>
  <conditionalFormatting sqref="A387:A388">
    <cfRule type="expression" dxfId="24" priority="6389" stopIfTrue="1">
      <formula>OR(AND(LEFT($A387, 16)="select_multiple ", LEN($A387)&gt;16, NOT(ISNUMBER(SEARCH(" ", $A387, 17)))), AND(LEFT($A387, 11)="select_one ", LEN($A387)&gt;11, NOT(ISNUMBER(SEARCH(" ", $A387, 12)))))</formula>
    </cfRule>
  </conditionalFormatting>
  <conditionalFormatting sqref="A387:A388">
    <cfRule type="expression" dxfId="25" priority="6390" stopIfTrue="1">
      <formula>$A387="decimal"</formula>
    </cfRule>
  </conditionalFormatting>
  <conditionalFormatting sqref="A387:A388">
    <cfRule type="expression" dxfId="26" priority="6391" stopIfTrue="1">
      <formula>$A387="integer"</formula>
    </cfRule>
  </conditionalFormatting>
  <conditionalFormatting sqref="A387:A388">
    <cfRule type="expression" dxfId="27" priority="6392" stopIfTrue="1">
      <formula>$A387="text"</formula>
    </cfRule>
  </conditionalFormatting>
  <conditionalFormatting sqref="A387:A388">
    <cfRule type="expression" dxfId="28" priority="6393" stopIfTrue="1">
      <formula>$A387="end repeat"</formula>
    </cfRule>
  </conditionalFormatting>
  <conditionalFormatting sqref="A387:A388">
    <cfRule type="expression" dxfId="28" priority="6394" stopIfTrue="1">
      <formula>$A387="begin repeat"</formula>
    </cfRule>
  </conditionalFormatting>
  <conditionalFormatting sqref="A387:A388">
    <cfRule type="expression" dxfId="29" priority="6395" stopIfTrue="1">
      <formula>$A387="end group"</formula>
    </cfRule>
  </conditionalFormatting>
  <conditionalFormatting sqref="A387:A388">
    <cfRule type="expression" dxfId="29" priority="6396" stopIfTrue="1">
      <formula>$A387="begin group"</formula>
    </cfRule>
  </conditionalFormatting>
  <conditionalFormatting sqref="A379:A383">
    <cfRule type="expression" dxfId="33" priority="6397" stopIfTrue="1">
      <formula>$A379="file"</formula>
    </cfRule>
  </conditionalFormatting>
  <conditionalFormatting sqref="A379:A383">
    <cfRule type="expression" dxfId="34" priority="6398" stopIfTrue="1">
      <formula>$A379="enumerator"</formula>
    </cfRule>
  </conditionalFormatting>
  <conditionalFormatting sqref="A379:A383">
    <cfRule type="expression" dxfId="35" priority="6399" stopIfTrue="1">
      <formula>OR(AND(LEFT($A379, 14)="sensor_stream ", LEN($A379)&gt;14, NOT(ISNUMBER(SEARCH(" ", $A379, 15)))), AND(LEFT($A379, 17)="sensor_statistic ", LEN($A379)&gt;17, NOT(ISNUMBER(SEARCH(" ", $A379, 18)))))</formula>
    </cfRule>
  </conditionalFormatting>
  <conditionalFormatting sqref="A379:A383">
    <cfRule type="expression" dxfId="14" priority="6400" stopIfTrue="1">
      <formula>$A379="comments"</formula>
    </cfRule>
  </conditionalFormatting>
  <conditionalFormatting sqref="A379:A383">
    <cfRule type="expression" dxfId="15" priority="6401" stopIfTrue="1">
      <formula>OR($A379="audio", $A379="video")</formula>
    </cfRule>
  </conditionalFormatting>
  <conditionalFormatting sqref="A379:A383">
    <cfRule type="expression" dxfId="16" priority="6402" stopIfTrue="1">
      <formula>$A379="image"</formula>
    </cfRule>
  </conditionalFormatting>
  <conditionalFormatting sqref="A379:A383">
    <cfRule type="expression" dxfId="17" priority="6403" stopIfTrue="1">
      <formula>OR($A379="date", $A379="datetime", $A379="time")</formula>
    </cfRule>
  </conditionalFormatting>
  <conditionalFormatting sqref="A379:A383">
    <cfRule type="expression" dxfId="18" priority="6404" stopIfTrue="1">
      <formula>OR($A379="calculate", $A379="calculate_here")</formula>
    </cfRule>
  </conditionalFormatting>
  <conditionalFormatting sqref="A379:A383">
    <cfRule type="expression" dxfId="19" priority="6405" stopIfTrue="1">
      <formula>$A379="note"</formula>
    </cfRule>
  </conditionalFormatting>
  <conditionalFormatting sqref="A379:A383">
    <cfRule type="expression" dxfId="20" priority="6406" stopIfTrue="1">
      <formula>$A379="barcode"</formula>
    </cfRule>
  </conditionalFormatting>
  <conditionalFormatting sqref="A379:A383">
    <cfRule type="expression" dxfId="21" priority="6407" stopIfTrue="1">
      <formula>OR($A379="geopoint", $A379="geoshape", $A379="geotrace")</formula>
    </cfRule>
  </conditionalFormatting>
  <conditionalFormatting sqref="A379:A383">
    <cfRule type="expression" dxfId="22" priority="6408" stopIfTrue="1">
      <formula>OR($A379="audio audit", $A379="text audit", $A379="speed violations count", $A379="speed violations list", $A379="speed violations audit")</formula>
    </cfRule>
  </conditionalFormatting>
  <conditionalFormatting sqref="A379:A383">
    <cfRule type="expression" dxfId="23" priority="6409" stopIfTrue="1">
      <formula>OR($A379="username", $A379="phonenumber", $A379="start", $A379="end", $A379="deviceid", $A379="subscriberid", $A379="simserial", $A379="caseid")</formula>
    </cfRule>
  </conditionalFormatting>
  <conditionalFormatting sqref="A379:A383">
    <cfRule type="expression" dxfId="24" priority="6410" stopIfTrue="1">
      <formula>OR(AND(LEFT($A379, 16)="select_multiple ", LEN($A379)&gt;16, NOT(ISNUMBER(SEARCH(" ", $A379, 17)))), AND(LEFT($A379, 11)="select_one ", LEN($A379)&gt;11, NOT(ISNUMBER(SEARCH(" ", $A379, 12)))))</formula>
    </cfRule>
  </conditionalFormatting>
  <conditionalFormatting sqref="A379:A383">
    <cfRule type="expression" dxfId="25" priority="6411" stopIfTrue="1">
      <formula>$A379="decimal"</formula>
    </cfRule>
  </conditionalFormatting>
  <conditionalFormatting sqref="A379:A383">
    <cfRule type="expression" dxfId="26" priority="6412" stopIfTrue="1">
      <formula>$A379="integer"</formula>
    </cfRule>
  </conditionalFormatting>
  <conditionalFormatting sqref="A379:A383">
    <cfRule type="expression" dxfId="27" priority="6413" stopIfTrue="1">
      <formula>$A379="text"</formula>
    </cfRule>
  </conditionalFormatting>
  <conditionalFormatting sqref="A379:A383">
    <cfRule type="expression" dxfId="28" priority="6414" stopIfTrue="1">
      <formula>$A379="end repeat"</formula>
    </cfRule>
  </conditionalFormatting>
  <conditionalFormatting sqref="A379:A383">
    <cfRule type="expression" dxfId="28" priority="6415" stopIfTrue="1">
      <formula>$A379="begin repeat"</formula>
    </cfRule>
  </conditionalFormatting>
  <conditionalFormatting sqref="A379:A383">
    <cfRule type="expression" dxfId="29" priority="6416" stopIfTrue="1">
      <formula>$A379="end group"</formula>
    </cfRule>
  </conditionalFormatting>
  <conditionalFormatting sqref="A379:A383">
    <cfRule type="expression" dxfId="29" priority="6417" stopIfTrue="1">
      <formula>$A379="begin group"</formula>
    </cfRule>
  </conditionalFormatting>
  <conditionalFormatting sqref="A376">
    <cfRule type="expression" dxfId="33" priority="6418" stopIfTrue="1">
      <formula>$A376="file"</formula>
    </cfRule>
  </conditionalFormatting>
  <conditionalFormatting sqref="A376">
    <cfRule type="expression" dxfId="34" priority="6419" stopIfTrue="1">
      <formula>$A376="enumerator"</formula>
    </cfRule>
  </conditionalFormatting>
  <conditionalFormatting sqref="A376">
    <cfRule type="expression" dxfId="35" priority="6420" stopIfTrue="1">
      <formula>OR(AND(LEFT($A376, 14)="sensor_stream ", LEN($A376)&gt;14, NOT(ISNUMBER(SEARCH(" ", $A376, 15)))), AND(LEFT($A376, 17)="sensor_statistic ", LEN($A376)&gt;17, NOT(ISNUMBER(SEARCH(" ", $A376, 18)))))</formula>
    </cfRule>
  </conditionalFormatting>
  <conditionalFormatting sqref="A376">
    <cfRule type="expression" dxfId="14" priority="6421" stopIfTrue="1">
      <formula>$A376="comments"</formula>
    </cfRule>
  </conditionalFormatting>
  <conditionalFormatting sqref="A376">
    <cfRule type="expression" dxfId="15" priority="6422" stopIfTrue="1">
      <formula>OR($A376="audio", $A376="video")</formula>
    </cfRule>
  </conditionalFormatting>
  <conditionalFormatting sqref="A376">
    <cfRule type="expression" dxfId="16" priority="6423" stopIfTrue="1">
      <formula>$A376="image"</formula>
    </cfRule>
  </conditionalFormatting>
  <conditionalFormatting sqref="A376">
    <cfRule type="expression" dxfId="17" priority="6424" stopIfTrue="1">
      <formula>OR($A376="date", $A376="datetime", $A376="time")</formula>
    </cfRule>
  </conditionalFormatting>
  <conditionalFormatting sqref="A376">
    <cfRule type="expression" dxfId="18" priority="6425" stopIfTrue="1">
      <formula>OR($A376="calculate", $A376="calculate_here")</formula>
    </cfRule>
  </conditionalFormatting>
  <conditionalFormatting sqref="A376">
    <cfRule type="expression" dxfId="19" priority="6426" stopIfTrue="1">
      <formula>$A376="note"</formula>
    </cfRule>
  </conditionalFormatting>
  <conditionalFormatting sqref="A376">
    <cfRule type="expression" dxfId="20" priority="6427" stopIfTrue="1">
      <formula>$A376="barcode"</formula>
    </cfRule>
  </conditionalFormatting>
  <conditionalFormatting sqref="A376">
    <cfRule type="expression" dxfId="21" priority="6428" stopIfTrue="1">
      <formula>OR($A376="geopoint", $A376="geoshape", $A376="geotrace")</formula>
    </cfRule>
  </conditionalFormatting>
  <conditionalFormatting sqref="A376">
    <cfRule type="expression" dxfId="22" priority="6429" stopIfTrue="1">
      <formula>OR($A376="audio audit", $A376="text audit", $A376="speed violations count", $A376="speed violations list", $A376="speed violations audit")</formula>
    </cfRule>
  </conditionalFormatting>
  <conditionalFormatting sqref="A376">
    <cfRule type="expression" dxfId="23" priority="6430" stopIfTrue="1">
      <formula>OR($A376="username", $A376="phonenumber", $A376="start", $A376="end", $A376="deviceid", $A376="subscriberid", $A376="simserial", $A376="caseid")</formula>
    </cfRule>
  </conditionalFormatting>
  <conditionalFormatting sqref="A376">
    <cfRule type="expression" dxfId="24" priority="6431" stopIfTrue="1">
      <formula>OR(AND(LEFT($A376, 16)="select_multiple ", LEN($A376)&gt;16, NOT(ISNUMBER(SEARCH(" ", $A376, 17)))), AND(LEFT($A376, 11)="select_one ", LEN($A376)&gt;11, NOT(ISNUMBER(SEARCH(" ", $A376, 12)))))</formula>
    </cfRule>
  </conditionalFormatting>
  <conditionalFormatting sqref="A376">
    <cfRule type="expression" dxfId="25" priority="6432" stopIfTrue="1">
      <formula>$A376="decimal"</formula>
    </cfRule>
  </conditionalFormatting>
  <conditionalFormatting sqref="A376">
    <cfRule type="expression" dxfId="26" priority="6433" stopIfTrue="1">
      <formula>$A376="integer"</formula>
    </cfRule>
  </conditionalFormatting>
  <conditionalFormatting sqref="A376">
    <cfRule type="expression" dxfId="27" priority="6434" stopIfTrue="1">
      <formula>$A376="text"</formula>
    </cfRule>
  </conditionalFormatting>
  <conditionalFormatting sqref="A376">
    <cfRule type="expression" dxfId="28" priority="6435" stopIfTrue="1">
      <formula>$A376="end repeat"</formula>
    </cfRule>
  </conditionalFormatting>
  <conditionalFormatting sqref="A376">
    <cfRule type="expression" dxfId="28" priority="6436" stopIfTrue="1">
      <formula>$A376="begin repeat"</formula>
    </cfRule>
  </conditionalFormatting>
  <conditionalFormatting sqref="A376">
    <cfRule type="expression" dxfId="29" priority="6437" stopIfTrue="1">
      <formula>$A376="end group"</formula>
    </cfRule>
  </conditionalFormatting>
  <conditionalFormatting sqref="A376">
    <cfRule type="expression" dxfId="29" priority="6438" stopIfTrue="1">
      <formula>$A376="begin group"</formula>
    </cfRule>
  </conditionalFormatting>
  <conditionalFormatting sqref="A373">
    <cfRule type="expression" dxfId="33" priority="6439" stopIfTrue="1">
      <formula>$A373="file"</formula>
    </cfRule>
  </conditionalFormatting>
  <conditionalFormatting sqref="A373">
    <cfRule type="expression" dxfId="34" priority="6440" stopIfTrue="1">
      <formula>$A373="enumerator"</formula>
    </cfRule>
  </conditionalFormatting>
  <conditionalFormatting sqref="A373">
    <cfRule type="expression" dxfId="35" priority="6441" stopIfTrue="1">
      <formula>OR(AND(LEFT($A373, 14)="sensor_stream ", LEN($A373)&gt;14, NOT(ISNUMBER(SEARCH(" ", $A373, 15)))), AND(LEFT($A373, 17)="sensor_statistic ", LEN($A373)&gt;17, NOT(ISNUMBER(SEARCH(" ", $A373, 18)))))</formula>
    </cfRule>
  </conditionalFormatting>
  <conditionalFormatting sqref="A373">
    <cfRule type="expression" dxfId="14" priority="6442" stopIfTrue="1">
      <formula>$A373="comments"</formula>
    </cfRule>
  </conditionalFormatting>
  <conditionalFormatting sqref="A373">
    <cfRule type="expression" dxfId="15" priority="6443" stopIfTrue="1">
      <formula>OR($A373="audio", $A373="video")</formula>
    </cfRule>
  </conditionalFormatting>
  <conditionalFormatting sqref="A373">
    <cfRule type="expression" dxfId="16" priority="6444" stopIfTrue="1">
      <formula>$A373="image"</formula>
    </cfRule>
  </conditionalFormatting>
  <conditionalFormatting sqref="A373">
    <cfRule type="expression" dxfId="17" priority="6445" stopIfTrue="1">
      <formula>OR($A373="date", $A373="datetime", $A373="time")</formula>
    </cfRule>
  </conditionalFormatting>
  <conditionalFormatting sqref="A373">
    <cfRule type="expression" dxfId="18" priority="6446" stopIfTrue="1">
      <formula>OR($A373="calculate", $A373="calculate_here")</formula>
    </cfRule>
  </conditionalFormatting>
  <conditionalFormatting sqref="A373">
    <cfRule type="expression" dxfId="19" priority="6447" stopIfTrue="1">
      <formula>$A373="note"</formula>
    </cfRule>
  </conditionalFormatting>
  <conditionalFormatting sqref="A373">
    <cfRule type="expression" dxfId="20" priority="6448" stopIfTrue="1">
      <formula>$A373="barcode"</formula>
    </cfRule>
  </conditionalFormatting>
  <conditionalFormatting sqref="A373">
    <cfRule type="expression" dxfId="21" priority="6449" stopIfTrue="1">
      <formula>OR($A373="geopoint", $A373="geoshape", $A373="geotrace")</formula>
    </cfRule>
  </conditionalFormatting>
  <conditionalFormatting sqref="A373">
    <cfRule type="expression" dxfId="22" priority="6450" stopIfTrue="1">
      <formula>OR($A373="audio audit", $A373="text audit", $A373="speed violations count", $A373="speed violations list", $A373="speed violations audit")</formula>
    </cfRule>
  </conditionalFormatting>
  <conditionalFormatting sqref="A373">
    <cfRule type="expression" dxfId="23" priority="6451" stopIfTrue="1">
      <formula>OR($A373="username", $A373="phonenumber", $A373="start", $A373="end", $A373="deviceid", $A373="subscriberid", $A373="simserial", $A373="caseid")</formula>
    </cfRule>
  </conditionalFormatting>
  <conditionalFormatting sqref="A373">
    <cfRule type="expression" dxfId="24" priority="6452" stopIfTrue="1">
      <formula>OR(AND(LEFT($A373, 16)="select_multiple ", LEN($A373)&gt;16, NOT(ISNUMBER(SEARCH(" ", $A373, 17)))), AND(LEFT($A373, 11)="select_one ", LEN($A373)&gt;11, NOT(ISNUMBER(SEARCH(" ", $A373, 12)))))</formula>
    </cfRule>
  </conditionalFormatting>
  <conditionalFormatting sqref="A373">
    <cfRule type="expression" dxfId="25" priority="6453" stopIfTrue="1">
      <formula>$A373="decimal"</formula>
    </cfRule>
  </conditionalFormatting>
  <conditionalFormatting sqref="A373">
    <cfRule type="expression" dxfId="26" priority="6454" stopIfTrue="1">
      <formula>$A373="integer"</formula>
    </cfRule>
  </conditionalFormatting>
  <conditionalFormatting sqref="A373">
    <cfRule type="expression" dxfId="27" priority="6455" stopIfTrue="1">
      <formula>$A373="text"</formula>
    </cfRule>
  </conditionalFormatting>
  <conditionalFormatting sqref="A373">
    <cfRule type="expression" dxfId="28" priority="6456" stopIfTrue="1">
      <formula>$A373="end repeat"</formula>
    </cfRule>
  </conditionalFormatting>
  <conditionalFormatting sqref="A373">
    <cfRule type="expression" dxfId="28" priority="6457" stopIfTrue="1">
      <formula>$A373="begin repeat"</formula>
    </cfRule>
  </conditionalFormatting>
  <conditionalFormatting sqref="A373">
    <cfRule type="expression" dxfId="29" priority="6458" stopIfTrue="1">
      <formula>$A373="end group"</formula>
    </cfRule>
  </conditionalFormatting>
  <conditionalFormatting sqref="A373">
    <cfRule type="expression" dxfId="29" priority="6459" stopIfTrue="1">
      <formula>$A373="begin group"</formula>
    </cfRule>
  </conditionalFormatting>
  <conditionalFormatting sqref="A371">
    <cfRule type="expression" dxfId="33" priority="6460" stopIfTrue="1">
      <formula>$A371="file"</formula>
    </cfRule>
  </conditionalFormatting>
  <conditionalFormatting sqref="A371">
    <cfRule type="expression" dxfId="34" priority="6461" stopIfTrue="1">
      <formula>$A371="enumerator"</formula>
    </cfRule>
  </conditionalFormatting>
  <conditionalFormatting sqref="A371">
    <cfRule type="expression" dxfId="35" priority="6462" stopIfTrue="1">
      <formula>OR(AND(LEFT($A371, 14)="sensor_stream ", LEN($A371)&gt;14, NOT(ISNUMBER(SEARCH(" ", $A371, 15)))), AND(LEFT($A371, 17)="sensor_statistic ", LEN($A371)&gt;17, NOT(ISNUMBER(SEARCH(" ", $A371, 18)))))</formula>
    </cfRule>
  </conditionalFormatting>
  <conditionalFormatting sqref="A371">
    <cfRule type="expression" dxfId="14" priority="6463" stopIfTrue="1">
      <formula>$A371="comments"</formula>
    </cfRule>
  </conditionalFormatting>
  <conditionalFormatting sqref="A371">
    <cfRule type="expression" dxfId="15" priority="6464" stopIfTrue="1">
      <formula>OR($A371="audio", $A371="video")</formula>
    </cfRule>
  </conditionalFormatting>
  <conditionalFormatting sqref="A371">
    <cfRule type="expression" dxfId="16" priority="6465" stopIfTrue="1">
      <formula>$A371="image"</formula>
    </cfRule>
  </conditionalFormatting>
  <conditionalFormatting sqref="A371">
    <cfRule type="expression" dxfId="17" priority="6466" stopIfTrue="1">
      <formula>OR($A371="date", $A371="datetime", $A371="time")</formula>
    </cfRule>
  </conditionalFormatting>
  <conditionalFormatting sqref="A371">
    <cfRule type="expression" dxfId="18" priority="6467" stopIfTrue="1">
      <formula>OR($A371="calculate", $A371="calculate_here")</formula>
    </cfRule>
  </conditionalFormatting>
  <conditionalFormatting sqref="A371">
    <cfRule type="expression" dxfId="19" priority="6468" stopIfTrue="1">
      <formula>$A371="note"</formula>
    </cfRule>
  </conditionalFormatting>
  <conditionalFormatting sqref="A371">
    <cfRule type="expression" dxfId="20" priority="6469" stopIfTrue="1">
      <formula>$A371="barcode"</formula>
    </cfRule>
  </conditionalFormatting>
  <conditionalFormatting sqref="A371">
    <cfRule type="expression" dxfId="21" priority="6470" stopIfTrue="1">
      <formula>OR($A371="geopoint", $A371="geoshape", $A371="geotrace")</formula>
    </cfRule>
  </conditionalFormatting>
  <conditionalFormatting sqref="A371">
    <cfRule type="expression" dxfId="22" priority="6471" stopIfTrue="1">
      <formula>OR($A371="audio audit", $A371="text audit", $A371="speed violations count", $A371="speed violations list", $A371="speed violations audit")</formula>
    </cfRule>
  </conditionalFormatting>
  <conditionalFormatting sqref="A371">
    <cfRule type="expression" dxfId="23" priority="6472" stopIfTrue="1">
      <formula>OR($A371="username", $A371="phonenumber", $A371="start", $A371="end", $A371="deviceid", $A371="subscriberid", $A371="simserial", $A371="caseid")</formula>
    </cfRule>
  </conditionalFormatting>
  <conditionalFormatting sqref="A371">
    <cfRule type="expression" dxfId="24" priority="6473" stopIfTrue="1">
      <formula>OR(AND(LEFT($A371, 16)="select_multiple ", LEN($A371)&gt;16, NOT(ISNUMBER(SEARCH(" ", $A371, 17)))), AND(LEFT($A371, 11)="select_one ", LEN($A371)&gt;11, NOT(ISNUMBER(SEARCH(" ", $A371, 12)))))</formula>
    </cfRule>
  </conditionalFormatting>
  <conditionalFormatting sqref="A371">
    <cfRule type="expression" dxfId="25" priority="6474" stopIfTrue="1">
      <formula>$A371="decimal"</formula>
    </cfRule>
  </conditionalFormatting>
  <conditionalFormatting sqref="A371">
    <cfRule type="expression" dxfId="26" priority="6475" stopIfTrue="1">
      <formula>$A371="integer"</formula>
    </cfRule>
  </conditionalFormatting>
  <conditionalFormatting sqref="A371">
    <cfRule type="expression" dxfId="27" priority="6476" stopIfTrue="1">
      <formula>$A371="text"</formula>
    </cfRule>
  </conditionalFormatting>
  <conditionalFormatting sqref="A371">
    <cfRule type="expression" dxfId="28" priority="6477" stopIfTrue="1">
      <formula>$A371="end repeat"</formula>
    </cfRule>
  </conditionalFormatting>
  <conditionalFormatting sqref="A371">
    <cfRule type="expression" dxfId="28" priority="6478" stopIfTrue="1">
      <formula>$A371="begin repeat"</formula>
    </cfRule>
  </conditionalFormatting>
  <conditionalFormatting sqref="A371">
    <cfRule type="expression" dxfId="29" priority="6479" stopIfTrue="1">
      <formula>$A371="end group"</formula>
    </cfRule>
  </conditionalFormatting>
  <conditionalFormatting sqref="A371">
    <cfRule type="expression" dxfId="29" priority="6480" stopIfTrue="1">
      <formula>$A371="begin group"</formula>
    </cfRule>
  </conditionalFormatting>
  <conditionalFormatting sqref="A368">
    <cfRule type="expression" dxfId="33" priority="6481" stopIfTrue="1">
      <formula>$A368="file"</formula>
    </cfRule>
  </conditionalFormatting>
  <conditionalFormatting sqref="A368">
    <cfRule type="expression" dxfId="34" priority="6482" stopIfTrue="1">
      <formula>$A368="enumerator"</formula>
    </cfRule>
  </conditionalFormatting>
  <conditionalFormatting sqref="A368">
    <cfRule type="expression" dxfId="35" priority="6483" stopIfTrue="1">
      <formula>OR(AND(LEFT($A368, 14)="sensor_stream ", LEN($A368)&gt;14, NOT(ISNUMBER(SEARCH(" ", $A368, 15)))), AND(LEFT($A368, 17)="sensor_statistic ", LEN($A368)&gt;17, NOT(ISNUMBER(SEARCH(" ", $A368, 18)))))</formula>
    </cfRule>
  </conditionalFormatting>
  <conditionalFormatting sqref="A368">
    <cfRule type="expression" dxfId="14" priority="6484" stopIfTrue="1">
      <formula>$A368="comments"</formula>
    </cfRule>
  </conditionalFormatting>
  <conditionalFormatting sqref="A368">
    <cfRule type="expression" dxfId="15" priority="6485" stopIfTrue="1">
      <formula>OR($A368="audio", $A368="video")</formula>
    </cfRule>
  </conditionalFormatting>
  <conditionalFormatting sqref="A368">
    <cfRule type="expression" dxfId="16" priority="6486" stopIfTrue="1">
      <formula>$A368="image"</formula>
    </cfRule>
  </conditionalFormatting>
  <conditionalFormatting sqref="A368">
    <cfRule type="expression" dxfId="17" priority="6487" stopIfTrue="1">
      <formula>OR($A368="date", $A368="datetime", $A368="time")</formula>
    </cfRule>
  </conditionalFormatting>
  <conditionalFormatting sqref="A368">
    <cfRule type="expression" dxfId="18" priority="6488" stopIfTrue="1">
      <formula>OR($A368="calculate", $A368="calculate_here")</formula>
    </cfRule>
  </conditionalFormatting>
  <conditionalFormatting sqref="A368">
    <cfRule type="expression" dxfId="19" priority="6489" stopIfTrue="1">
      <formula>$A368="note"</formula>
    </cfRule>
  </conditionalFormatting>
  <conditionalFormatting sqref="A368">
    <cfRule type="expression" dxfId="20" priority="6490" stopIfTrue="1">
      <formula>$A368="barcode"</formula>
    </cfRule>
  </conditionalFormatting>
  <conditionalFormatting sqref="A368">
    <cfRule type="expression" dxfId="21" priority="6491" stopIfTrue="1">
      <formula>OR($A368="geopoint", $A368="geoshape", $A368="geotrace")</formula>
    </cfRule>
  </conditionalFormatting>
  <conditionalFormatting sqref="A368">
    <cfRule type="expression" dxfId="22" priority="6492" stopIfTrue="1">
      <formula>OR($A368="audio audit", $A368="text audit", $A368="speed violations count", $A368="speed violations list", $A368="speed violations audit")</formula>
    </cfRule>
  </conditionalFormatting>
  <conditionalFormatting sqref="A368">
    <cfRule type="expression" dxfId="23" priority="6493" stopIfTrue="1">
      <formula>OR($A368="username", $A368="phonenumber", $A368="start", $A368="end", $A368="deviceid", $A368="subscriberid", $A368="simserial", $A368="caseid")</formula>
    </cfRule>
  </conditionalFormatting>
  <conditionalFormatting sqref="A368">
    <cfRule type="expression" dxfId="24" priority="6494" stopIfTrue="1">
      <formula>OR(AND(LEFT($A368, 16)="select_multiple ", LEN($A368)&gt;16, NOT(ISNUMBER(SEARCH(" ", $A368, 17)))), AND(LEFT($A368, 11)="select_one ", LEN($A368)&gt;11, NOT(ISNUMBER(SEARCH(" ", $A368, 12)))))</formula>
    </cfRule>
  </conditionalFormatting>
  <conditionalFormatting sqref="A368">
    <cfRule type="expression" dxfId="25" priority="6495" stopIfTrue="1">
      <formula>$A368="decimal"</formula>
    </cfRule>
  </conditionalFormatting>
  <conditionalFormatting sqref="A368">
    <cfRule type="expression" dxfId="26" priority="6496" stopIfTrue="1">
      <formula>$A368="integer"</formula>
    </cfRule>
  </conditionalFormatting>
  <conditionalFormatting sqref="A368">
    <cfRule type="expression" dxfId="27" priority="6497" stopIfTrue="1">
      <formula>$A368="text"</formula>
    </cfRule>
  </conditionalFormatting>
  <conditionalFormatting sqref="A368">
    <cfRule type="expression" dxfId="28" priority="6498" stopIfTrue="1">
      <formula>$A368="end repeat"</formula>
    </cfRule>
  </conditionalFormatting>
  <conditionalFormatting sqref="A368">
    <cfRule type="expression" dxfId="28" priority="6499" stopIfTrue="1">
      <formula>$A368="begin repeat"</formula>
    </cfRule>
  </conditionalFormatting>
  <conditionalFormatting sqref="A368">
    <cfRule type="expression" dxfId="29" priority="6500" stopIfTrue="1">
      <formula>$A368="end group"</formula>
    </cfRule>
  </conditionalFormatting>
  <conditionalFormatting sqref="A368">
    <cfRule type="expression" dxfId="29" priority="6501" stopIfTrue="1">
      <formula>$A368="begin group"</formula>
    </cfRule>
  </conditionalFormatting>
  <conditionalFormatting sqref="A355:A365">
    <cfRule type="expression" dxfId="33" priority="6502" stopIfTrue="1">
      <formula>$A355="file"</formula>
    </cfRule>
  </conditionalFormatting>
  <conditionalFormatting sqref="A355:A365">
    <cfRule type="expression" dxfId="34" priority="6503" stopIfTrue="1">
      <formula>$A355="enumerator"</formula>
    </cfRule>
  </conditionalFormatting>
  <conditionalFormatting sqref="A355:A365">
    <cfRule type="expression" dxfId="35" priority="6504" stopIfTrue="1">
      <formula>OR(AND(LEFT($A355, 14)="sensor_stream ", LEN($A355)&gt;14, NOT(ISNUMBER(SEARCH(" ", $A355, 15)))), AND(LEFT($A355, 17)="sensor_statistic ", LEN($A355)&gt;17, NOT(ISNUMBER(SEARCH(" ", $A355, 18)))))</formula>
    </cfRule>
  </conditionalFormatting>
  <conditionalFormatting sqref="A355:A365">
    <cfRule type="expression" dxfId="14" priority="6505" stopIfTrue="1">
      <formula>$A355="comments"</formula>
    </cfRule>
  </conditionalFormatting>
  <conditionalFormatting sqref="A355:A365">
    <cfRule type="expression" dxfId="15" priority="6506" stopIfTrue="1">
      <formula>OR($A355="audio", $A355="video")</formula>
    </cfRule>
  </conditionalFormatting>
  <conditionalFormatting sqref="A355:A365">
    <cfRule type="expression" dxfId="16" priority="6507" stopIfTrue="1">
      <formula>$A355="image"</formula>
    </cfRule>
  </conditionalFormatting>
  <conditionalFormatting sqref="A355:A365">
    <cfRule type="expression" dxfId="17" priority="6508" stopIfTrue="1">
      <formula>OR($A355="date", $A355="datetime", $A355="time")</formula>
    </cfRule>
  </conditionalFormatting>
  <conditionalFormatting sqref="A355:A365">
    <cfRule type="expression" dxfId="18" priority="6509" stopIfTrue="1">
      <formula>OR($A355="calculate", $A355="calculate_here")</formula>
    </cfRule>
  </conditionalFormatting>
  <conditionalFormatting sqref="A355:A365">
    <cfRule type="expression" dxfId="19" priority="6510" stopIfTrue="1">
      <formula>$A355="note"</formula>
    </cfRule>
  </conditionalFormatting>
  <conditionalFormatting sqref="A355:A365">
    <cfRule type="expression" dxfId="20" priority="6511" stopIfTrue="1">
      <formula>$A355="barcode"</formula>
    </cfRule>
  </conditionalFormatting>
  <conditionalFormatting sqref="A355:A365">
    <cfRule type="expression" dxfId="21" priority="6512" stopIfTrue="1">
      <formula>OR($A355="geopoint", $A355="geoshape", $A355="geotrace")</formula>
    </cfRule>
  </conditionalFormatting>
  <conditionalFormatting sqref="A355:A365">
    <cfRule type="expression" dxfId="22" priority="6513" stopIfTrue="1">
      <formula>OR($A355="audio audit", $A355="text audit", $A355="speed violations count", $A355="speed violations list", $A355="speed violations audit")</formula>
    </cfRule>
  </conditionalFormatting>
  <conditionalFormatting sqref="A355:A365">
    <cfRule type="expression" dxfId="23" priority="6514" stopIfTrue="1">
      <formula>OR($A355="username", $A355="phonenumber", $A355="start", $A355="end", $A355="deviceid", $A355="subscriberid", $A355="simserial", $A355="caseid")</formula>
    </cfRule>
  </conditionalFormatting>
  <conditionalFormatting sqref="A355:A365">
    <cfRule type="expression" dxfId="24" priority="6515" stopIfTrue="1">
      <formula>OR(AND(LEFT($A355, 16)="select_multiple ", LEN($A355)&gt;16, NOT(ISNUMBER(SEARCH(" ", $A355, 17)))), AND(LEFT($A355, 11)="select_one ", LEN($A355)&gt;11, NOT(ISNUMBER(SEARCH(" ", $A355, 12)))))</formula>
    </cfRule>
  </conditionalFormatting>
  <conditionalFormatting sqref="A355:A365">
    <cfRule type="expression" dxfId="25" priority="6516" stopIfTrue="1">
      <formula>$A355="decimal"</formula>
    </cfRule>
  </conditionalFormatting>
  <conditionalFormatting sqref="A355:A365">
    <cfRule type="expression" dxfId="26" priority="6517" stopIfTrue="1">
      <formula>$A355="integer"</formula>
    </cfRule>
  </conditionalFormatting>
  <conditionalFormatting sqref="A355:A365">
    <cfRule type="expression" dxfId="27" priority="6518" stopIfTrue="1">
      <formula>$A355="text"</formula>
    </cfRule>
  </conditionalFormatting>
  <conditionalFormatting sqref="A355:A365">
    <cfRule type="expression" dxfId="28" priority="6519" stopIfTrue="1">
      <formula>$A355="end repeat"</formula>
    </cfRule>
  </conditionalFormatting>
  <conditionalFormatting sqref="A355:A365">
    <cfRule type="expression" dxfId="28" priority="6520" stopIfTrue="1">
      <formula>$A355="begin repeat"</formula>
    </cfRule>
  </conditionalFormatting>
  <conditionalFormatting sqref="A355:A365">
    <cfRule type="expression" dxfId="29" priority="6521" stopIfTrue="1">
      <formula>$A355="end group"</formula>
    </cfRule>
  </conditionalFormatting>
  <conditionalFormatting sqref="A355:A365">
    <cfRule type="expression" dxfId="29" priority="6522" stopIfTrue="1">
      <formula>$A355="begin group"</formula>
    </cfRule>
  </conditionalFormatting>
  <conditionalFormatting sqref="A348:A352">
    <cfRule type="expression" dxfId="33" priority="6523" stopIfTrue="1">
      <formula>$A348="file"</formula>
    </cfRule>
  </conditionalFormatting>
  <conditionalFormatting sqref="A348:A352">
    <cfRule type="expression" dxfId="34" priority="6524" stopIfTrue="1">
      <formula>$A348="enumerator"</formula>
    </cfRule>
  </conditionalFormatting>
  <conditionalFormatting sqref="A348:A352">
    <cfRule type="expression" dxfId="35" priority="6525" stopIfTrue="1">
      <formula>OR(AND(LEFT($A348, 14)="sensor_stream ", LEN($A348)&gt;14, NOT(ISNUMBER(SEARCH(" ", $A348, 15)))), AND(LEFT($A348, 17)="sensor_statistic ", LEN($A348)&gt;17, NOT(ISNUMBER(SEARCH(" ", $A348, 18)))))</formula>
    </cfRule>
  </conditionalFormatting>
  <conditionalFormatting sqref="A348:A352">
    <cfRule type="expression" dxfId="14" priority="6526" stopIfTrue="1">
      <formula>$A348="comments"</formula>
    </cfRule>
  </conditionalFormatting>
  <conditionalFormatting sqref="A348:A352">
    <cfRule type="expression" dxfId="15" priority="6527" stopIfTrue="1">
      <formula>OR($A348="audio", $A348="video")</formula>
    </cfRule>
  </conditionalFormatting>
  <conditionalFormatting sqref="A348:A352">
    <cfRule type="expression" dxfId="16" priority="6528" stopIfTrue="1">
      <formula>$A348="image"</formula>
    </cfRule>
  </conditionalFormatting>
  <conditionalFormatting sqref="A348:A352">
    <cfRule type="expression" dxfId="17" priority="6529" stopIfTrue="1">
      <formula>OR($A348="date", $A348="datetime", $A348="time")</formula>
    </cfRule>
  </conditionalFormatting>
  <conditionalFormatting sqref="A348:A352">
    <cfRule type="expression" dxfId="18" priority="6530" stopIfTrue="1">
      <formula>OR($A348="calculate", $A348="calculate_here")</formula>
    </cfRule>
  </conditionalFormatting>
  <conditionalFormatting sqref="A348:A352">
    <cfRule type="expression" dxfId="19" priority="6531" stopIfTrue="1">
      <formula>$A348="note"</formula>
    </cfRule>
  </conditionalFormatting>
  <conditionalFormatting sqref="A348:A352">
    <cfRule type="expression" dxfId="20" priority="6532" stopIfTrue="1">
      <formula>$A348="barcode"</formula>
    </cfRule>
  </conditionalFormatting>
  <conditionalFormatting sqref="A348:A352">
    <cfRule type="expression" dxfId="21" priority="6533" stopIfTrue="1">
      <formula>OR($A348="geopoint", $A348="geoshape", $A348="geotrace")</formula>
    </cfRule>
  </conditionalFormatting>
  <conditionalFormatting sqref="A348:A352">
    <cfRule type="expression" dxfId="22" priority="6534" stopIfTrue="1">
      <formula>OR($A348="audio audit", $A348="text audit", $A348="speed violations count", $A348="speed violations list", $A348="speed violations audit")</formula>
    </cfRule>
  </conditionalFormatting>
  <conditionalFormatting sqref="A348:A352">
    <cfRule type="expression" dxfId="23" priority="6535" stopIfTrue="1">
      <formula>OR($A348="username", $A348="phonenumber", $A348="start", $A348="end", $A348="deviceid", $A348="subscriberid", $A348="simserial", $A348="caseid")</formula>
    </cfRule>
  </conditionalFormatting>
  <conditionalFormatting sqref="A348:A352">
    <cfRule type="expression" dxfId="24" priority="6536" stopIfTrue="1">
      <formula>OR(AND(LEFT($A348, 16)="select_multiple ", LEN($A348)&gt;16, NOT(ISNUMBER(SEARCH(" ", $A348, 17)))), AND(LEFT($A348, 11)="select_one ", LEN($A348)&gt;11, NOT(ISNUMBER(SEARCH(" ", $A348, 12)))))</formula>
    </cfRule>
  </conditionalFormatting>
  <conditionalFormatting sqref="A348:A352">
    <cfRule type="expression" dxfId="25" priority="6537" stopIfTrue="1">
      <formula>$A348="decimal"</formula>
    </cfRule>
  </conditionalFormatting>
  <conditionalFormatting sqref="A348:A352">
    <cfRule type="expression" dxfId="26" priority="6538" stopIfTrue="1">
      <formula>$A348="integer"</formula>
    </cfRule>
  </conditionalFormatting>
  <conditionalFormatting sqref="A348:A352">
    <cfRule type="expression" dxfId="27" priority="6539" stopIfTrue="1">
      <formula>$A348="text"</formula>
    </cfRule>
  </conditionalFormatting>
  <conditionalFormatting sqref="A348:A352">
    <cfRule type="expression" dxfId="28" priority="6540" stopIfTrue="1">
      <formula>$A348="end repeat"</formula>
    </cfRule>
  </conditionalFormatting>
  <conditionalFormatting sqref="A348:A352">
    <cfRule type="expression" dxfId="28" priority="6541" stopIfTrue="1">
      <formula>$A348="begin repeat"</formula>
    </cfRule>
  </conditionalFormatting>
  <conditionalFormatting sqref="A348:A352">
    <cfRule type="expression" dxfId="29" priority="6542" stopIfTrue="1">
      <formula>$A348="end group"</formula>
    </cfRule>
  </conditionalFormatting>
  <conditionalFormatting sqref="A348:A352">
    <cfRule type="expression" dxfId="29" priority="6543" stopIfTrue="1">
      <formula>$A348="begin group"</formula>
    </cfRule>
  </conditionalFormatting>
  <conditionalFormatting sqref="A341:A345">
    <cfRule type="expression" dxfId="33" priority="6544" stopIfTrue="1">
      <formula>$A341="file"</formula>
    </cfRule>
  </conditionalFormatting>
  <conditionalFormatting sqref="A341:A345">
    <cfRule type="expression" dxfId="34" priority="6545" stopIfTrue="1">
      <formula>$A341="enumerator"</formula>
    </cfRule>
  </conditionalFormatting>
  <conditionalFormatting sqref="A341:A345">
    <cfRule type="expression" dxfId="35" priority="6546" stopIfTrue="1">
      <formula>OR(AND(LEFT($A341, 14)="sensor_stream ", LEN($A341)&gt;14, NOT(ISNUMBER(SEARCH(" ", $A341, 15)))), AND(LEFT($A341, 17)="sensor_statistic ", LEN($A341)&gt;17, NOT(ISNUMBER(SEARCH(" ", $A341, 18)))))</formula>
    </cfRule>
  </conditionalFormatting>
  <conditionalFormatting sqref="A341:A345">
    <cfRule type="expression" dxfId="14" priority="6547" stopIfTrue="1">
      <formula>$A341="comments"</formula>
    </cfRule>
  </conditionalFormatting>
  <conditionalFormatting sqref="A341:A345">
    <cfRule type="expression" dxfId="15" priority="6548" stopIfTrue="1">
      <formula>OR($A341="audio", $A341="video")</formula>
    </cfRule>
  </conditionalFormatting>
  <conditionalFormatting sqref="A341:A345">
    <cfRule type="expression" dxfId="16" priority="6549" stopIfTrue="1">
      <formula>$A341="image"</formula>
    </cfRule>
  </conditionalFormatting>
  <conditionalFormatting sqref="A341:A345">
    <cfRule type="expression" dxfId="17" priority="6550" stopIfTrue="1">
      <formula>OR($A341="date", $A341="datetime", $A341="time")</formula>
    </cfRule>
  </conditionalFormatting>
  <conditionalFormatting sqref="A341:A345">
    <cfRule type="expression" dxfId="18" priority="6551" stopIfTrue="1">
      <formula>OR($A341="calculate", $A341="calculate_here")</formula>
    </cfRule>
  </conditionalFormatting>
  <conditionalFormatting sqref="A341:A345">
    <cfRule type="expression" dxfId="19" priority="6552" stopIfTrue="1">
      <formula>$A341="note"</formula>
    </cfRule>
  </conditionalFormatting>
  <conditionalFormatting sqref="A341:A345">
    <cfRule type="expression" dxfId="20" priority="6553" stopIfTrue="1">
      <formula>$A341="barcode"</formula>
    </cfRule>
  </conditionalFormatting>
  <conditionalFormatting sqref="A341:A345">
    <cfRule type="expression" dxfId="21" priority="6554" stopIfTrue="1">
      <formula>OR($A341="geopoint", $A341="geoshape", $A341="geotrace")</formula>
    </cfRule>
  </conditionalFormatting>
  <conditionalFormatting sqref="A341:A345">
    <cfRule type="expression" dxfId="22" priority="6555" stopIfTrue="1">
      <formula>OR($A341="audio audit", $A341="text audit", $A341="speed violations count", $A341="speed violations list", $A341="speed violations audit")</formula>
    </cfRule>
  </conditionalFormatting>
  <conditionalFormatting sqref="A341:A345">
    <cfRule type="expression" dxfId="23" priority="6556" stopIfTrue="1">
      <formula>OR($A341="username", $A341="phonenumber", $A341="start", $A341="end", $A341="deviceid", $A341="subscriberid", $A341="simserial", $A341="caseid")</formula>
    </cfRule>
  </conditionalFormatting>
  <conditionalFormatting sqref="A341:A345">
    <cfRule type="expression" dxfId="24" priority="6557" stopIfTrue="1">
      <formula>OR(AND(LEFT($A341, 16)="select_multiple ", LEN($A341)&gt;16, NOT(ISNUMBER(SEARCH(" ", $A341, 17)))), AND(LEFT($A341, 11)="select_one ", LEN($A341)&gt;11, NOT(ISNUMBER(SEARCH(" ", $A341, 12)))))</formula>
    </cfRule>
  </conditionalFormatting>
  <conditionalFormatting sqref="A341:A345">
    <cfRule type="expression" dxfId="25" priority="6558" stopIfTrue="1">
      <formula>$A341="decimal"</formula>
    </cfRule>
  </conditionalFormatting>
  <conditionalFormatting sqref="A341:A345">
    <cfRule type="expression" dxfId="26" priority="6559" stopIfTrue="1">
      <formula>$A341="integer"</formula>
    </cfRule>
  </conditionalFormatting>
  <conditionalFormatting sqref="A341:A345">
    <cfRule type="expression" dxfId="27" priority="6560" stopIfTrue="1">
      <formula>$A341="text"</formula>
    </cfRule>
  </conditionalFormatting>
  <conditionalFormatting sqref="A341:A345">
    <cfRule type="expression" dxfId="28" priority="6561" stopIfTrue="1">
      <formula>$A341="end repeat"</formula>
    </cfRule>
  </conditionalFormatting>
  <conditionalFormatting sqref="A341:A345">
    <cfRule type="expression" dxfId="28" priority="6562" stopIfTrue="1">
      <formula>$A341="begin repeat"</formula>
    </cfRule>
  </conditionalFormatting>
  <conditionalFormatting sqref="A341:A345">
    <cfRule type="expression" dxfId="29" priority="6563" stopIfTrue="1">
      <formula>$A341="end group"</formula>
    </cfRule>
  </conditionalFormatting>
  <conditionalFormatting sqref="A341:A345">
    <cfRule type="expression" dxfId="29" priority="6564" stopIfTrue="1">
      <formula>$A341="begin group"</formula>
    </cfRule>
  </conditionalFormatting>
  <conditionalFormatting sqref="A336:A338">
    <cfRule type="expression" dxfId="33" priority="6565" stopIfTrue="1">
      <formula>$A336="file"</formula>
    </cfRule>
  </conditionalFormatting>
  <conditionalFormatting sqref="A336:A338">
    <cfRule type="expression" dxfId="34" priority="6566" stopIfTrue="1">
      <formula>$A336="enumerator"</formula>
    </cfRule>
  </conditionalFormatting>
  <conditionalFormatting sqref="A336:A338">
    <cfRule type="expression" dxfId="35" priority="6567" stopIfTrue="1">
      <formula>OR(AND(LEFT($A336, 14)="sensor_stream ", LEN($A336)&gt;14, NOT(ISNUMBER(SEARCH(" ", $A336, 15)))), AND(LEFT($A336, 17)="sensor_statistic ", LEN($A336)&gt;17, NOT(ISNUMBER(SEARCH(" ", $A336, 18)))))</formula>
    </cfRule>
  </conditionalFormatting>
  <conditionalFormatting sqref="A336:A338">
    <cfRule type="expression" dxfId="14" priority="6568" stopIfTrue="1">
      <formula>$A336="comments"</formula>
    </cfRule>
  </conditionalFormatting>
  <conditionalFormatting sqref="A336:A338">
    <cfRule type="expression" dxfId="15" priority="6569" stopIfTrue="1">
      <formula>OR($A336="audio", $A336="video")</formula>
    </cfRule>
  </conditionalFormatting>
  <conditionalFormatting sqref="A336:A338">
    <cfRule type="expression" dxfId="16" priority="6570" stopIfTrue="1">
      <formula>$A336="image"</formula>
    </cfRule>
  </conditionalFormatting>
  <conditionalFormatting sqref="A336:A338">
    <cfRule type="expression" dxfId="17" priority="6571" stopIfTrue="1">
      <formula>OR($A336="date", $A336="datetime", $A336="time")</formula>
    </cfRule>
  </conditionalFormatting>
  <conditionalFormatting sqref="A336:A338">
    <cfRule type="expression" dxfId="18" priority="6572" stopIfTrue="1">
      <formula>OR($A336="calculate", $A336="calculate_here")</formula>
    </cfRule>
  </conditionalFormatting>
  <conditionalFormatting sqref="A336:A338">
    <cfRule type="expression" dxfId="19" priority="6573" stopIfTrue="1">
      <formula>$A336="note"</formula>
    </cfRule>
  </conditionalFormatting>
  <conditionalFormatting sqref="A336:A338">
    <cfRule type="expression" dxfId="20" priority="6574" stopIfTrue="1">
      <formula>$A336="barcode"</formula>
    </cfRule>
  </conditionalFormatting>
  <conditionalFormatting sqref="A336:A338">
    <cfRule type="expression" dxfId="21" priority="6575" stopIfTrue="1">
      <formula>OR($A336="geopoint", $A336="geoshape", $A336="geotrace")</formula>
    </cfRule>
  </conditionalFormatting>
  <conditionalFormatting sqref="A336:A338">
    <cfRule type="expression" dxfId="22" priority="6576" stopIfTrue="1">
      <formula>OR($A336="audio audit", $A336="text audit", $A336="speed violations count", $A336="speed violations list", $A336="speed violations audit")</formula>
    </cfRule>
  </conditionalFormatting>
  <conditionalFormatting sqref="A336:A338">
    <cfRule type="expression" dxfId="23" priority="6577" stopIfTrue="1">
      <formula>OR($A336="username", $A336="phonenumber", $A336="start", $A336="end", $A336="deviceid", $A336="subscriberid", $A336="simserial", $A336="caseid")</formula>
    </cfRule>
  </conditionalFormatting>
  <conditionalFormatting sqref="A336:A338">
    <cfRule type="expression" dxfId="24" priority="6578" stopIfTrue="1">
      <formula>OR(AND(LEFT($A336, 16)="select_multiple ", LEN($A336)&gt;16, NOT(ISNUMBER(SEARCH(" ", $A336, 17)))), AND(LEFT($A336, 11)="select_one ", LEN($A336)&gt;11, NOT(ISNUMBER(SEARCH(" ", $A336, 12)))))</formula>
    </cfRule>
  </conditionalFormatting>
  <conditionalFormatting sqref="A336:A338">
    <cfRule type="expression" dxfId="25" priority="6579" stopIfTrue="1">
      <formula>$A336="decimal"</formula>
    </cfRule>
  </conditionalFormatting>
  <conditionalFormatting sqref="A336:A338">
    <cfRule type="expression" dxfId="26" priority="6580" stopIfTrue="1">
      <formula>$A336="integer"</formula>
    </cfRule>
  </conditionalFormatting>
  <conditionalFormatting sqref="A336:A338">
    <cfRule type="expression" dxfId="27" priority="6581" stopIfTrue="1">
      <formula>$A336="text"</formula>
    </cfRule>
  </conditionalFormatting>
  <conditionalFormatting sqref="A336:A338">
    <cfRule type="expression" dxfId="28" priority="6582" stopIfTrue="1">
      <formula>$A336="end repeat"</formula>
    </cfRule>
  </conditionalFormatting>
  <conditionalFormatting sqref="A336:A338">
    <cfRule type="expression" dxfId="28" priority="6583" stopIfTrue="1">
      <formula>$A336="begin repeat"</formula>
    </cfRule>
  </conditionalFormatting>
  <conditionalFormatting sqref="A336:A338">
    <cfRule type="expression" dxfId="29" priority="6584" stopIfTrue="1">
      <formula>$A336="end group"</formula>
    </cfRule>
  </conditionalFormatting>
  <conditionalFormatting sqref="A336:A338">
    <cfRule type="expression" dxfId="29" priority="6585" stopIfTrue="1">
      <formula>$A336="begin group"</formula>
    </cfRule>
  </conditionalFormatting>
  <conditionalFormatting sqref="A322:A333">
    <cfRule type="expression" dxfId="33" priority="6586" stopIfTrue="1">
      <formula>$A322="file"</formula>
    </cfRule>
  </conditionalFormatting>
  <conditionalFormatting sqref="A322:A333">
    <cfRule type="expression" dxfId="34" priority="6587" stopIfTrue="1">
      <formula>$A322="enumerator"</formula>
    </cfRule>
  </conditionalFormatting>
  <conditionalFormatting sqref="A322:A333">
    <cfRule type="expression" dxfId="35" priority="6588" stopIfTrue="1">
      <formula>OR(AND(LEFT($A322, 14)="sensor_stream ", LEN($A322)&gt;14, NOT(ISNUMBER(SEARCH(" ", $A322, 15)))), AND(LEFT($A322, 17)="sensor_statistic ", LEN($A322)&gt;17, NOT(ISNUMBER(SEARCH(" ", $A322, 18)))))</formula>
    </cfRule>
  </conditionalFormatting>
  <conditionalFormatting sqref="A322:A333">
    <cfRule type="expression" dxfId="14" priority="6589" stopIfTrue="1">
      <formula>$A322="comments"</formula>
    </cfRule>
  </conditionalFormatting>
  <conditionalFormatting sqref="A322:A333">
    <cfRule type="expression" dxfId="15" priority="6590" stopIfTrue="1">
      <formula>OR($A322="audio", $A322="video")</formula>
    </cfRule>
  </conditionalFormatting>
  <conditionalFormatting sqref="A322:A333">
    <cfRule type="expression" dxfId="16" priority="6591" stopIfTrue="1">
      <formula>$A322="image"</formula>
    </cfRule>
  </conditionalFormatting>
  <conditionalFormatting sqref="A322:A333">
    <cfRule type="expression" dxfId="17" priority="6592" stopIfTrue="1">
      <formula>OR($A322="date", $A322="datetime", $A322="time")</formula>
    </cfRule>
  </conditionalFormatting>
  <conditionalFormatting sqref="A322:A333">
    <cfRule type="expression" dxfId="18" priority="6593" stopIfTrue="1">
      <formula>OR($A322="calculate", $A322="calculate_here")</formula>
    </cfRule>
  </conditionalFormatting>
  <conditionalFormatting sqref="A322:A333">
    <cfRule type="expression" dxfId="19" priority="6594" stopIfTrue="1">
      <formula>$A322="note"</formula>
    </cfRule>
  </conditionalFormatting>
  <conditionalFormatting sqref="A322:A333">
    <cfRule type="expression" dxfId="20" priority="6595" stopIfTrue="1">
      <formula>$A322="barcode"</formula>
    </cfRule>
  </conditionalFormatting>
  <conditionalFormatting sqref="A322:A333">
    <cfRule type="expression" dxfId="21" priority="6596" stopIfTrue="1">
      <formula>OR($A322="geopoint", $A322="geoshape", $A322="geotrace")</formula>
    </cfRule>
  </conditionalFormatting>
  <conditionalFormatting sqref="A322:A333">
    <cfRule type="expression" dxfId="22" priority="6597" stopIfTrue="1">
      <formula>OR($A322="audio audit", $A322="text audit", $A322="speed violations count", $A322="speed violations list", $A322="speed violations audit")</formula>
    </cfRule>
  </conditionalFormatting>
  <conditionalFormatting sqref="A322:A333">
    <cfRule type="expression" dxfId="23" priority="6598" stopIfTrue="1">
      <formula>OR($A322="username", $A322="phonenumber", $A322="start", $A322="end", $A322="deviceid", $A322="subscriberid", $A322="simserial", $A322="caseid")</formula>
    </cfRule>
  </conditionalFormatting>
  <conditionalFormatting sqref="A322:A333">
    <cfRule type="expression" dxfId="24" priority="6599" stopIfTrue="1">
      <formula>OR(AND(LEFT($A322, 16)="select_multiple ", LEN($A322)&gt;16, NOT(ISNUMBER(SEARCH(" ", $A322, 17)))), AND(LEFT($A322, 11)="select_one ", LEN($A322)&gt;11, NOT(ISNUMBER(SEARCH(" ", $A322, 12)))))</formula>
    </cfRule>
  </conditionalFormatting>
  <conditionalFormatting sqref="A322:A333">
    <cfRule type="expression" dxfId="25" priority="6600" stopIfTrue="1">
      <formula>$A322="decimal"</formula>
    </cfRule>
  </conditionalFormatting>
  <conditionalFormatting sqref="A322:A333">
    <cfRule type="expression" dxfId="26" priority="6601" stopIfTrue="1">
      <formula>$A322="integer"</formula>
    </cfRule>
  </conditionalFormatting>
  <conditionalFormatting sqref="A322:A333">
    <cfRule type="expression" dxfId="27" priority="6602" stopIfTrue="1">
      <formula>$A322="text"</formula>
    </cfRule>
  </conditionalFormatting>
  <conditionalFormatting sqref="A322:A333">
    <cfRule type="expression" dxfId="28" priority="6603" stopIfTrue="1">
      <formula>$A322="end repeat"</formula>
    </cfRule>
  </conditionalFormatting>
  <conditionalFormatting sqref="A322:A333">
    <cfRule type="expression" dxfId="28" priority="6604" stopIfTrue="1">
      <formula>$A322="begin repeat"</formula>
    </cfRule>
  </conditionalFormatting>
  <conditionalFormatting sqref="A322:A333">
    <cfRule type="expression" dxfId="29" priority="6605" stopIfTrue="1">
      <formula>$A322="end group"</formula>
    </cfRule>
  </conditionalFormatting>
  <conditionalFormatting sqref="A322:A333">
    <cfRule type="expression" dxfId="29" priority="6606" stopIfTrue="1">
      <formula>$A322="begin group"</formula>
    </cfRule>
  </conditionalFormatting>
  <conditionalFormatting sqref="A319">
    <cfRule type="expression" dxfId="33" priority="6607" stopIfTrue="1">
      <formula>$A319="file"</formula>
    </cfRule>
  </conditionalFormatting>
  <conditionalFormatting sqref="A319">
    <cfRule type="expression" dxfId="34" priority="6608" stopIfTrue="1">
      <formula>$A319="enumerator"</formula>
    </cfRule>
  </conditionalFormatting>
  <conditionalFormatting sqref="A319">
    <cfRule type="expression" dxfId="35" priority="6609" stopIfTrue="1">
      <formula>OR(AND(LEFT($A319, 14)="sensor_stream ", LEN($A319)&gt;14, NOT(ISNUMBER(SEARCH(" ", $A319, 15)))), AND(LEFT($A319, 17)="sensor_statistic ", LEN($A319)&gt;17, NOT(ISNUMBER(SEARCH(" ", $A319, 18)))))</formula>
    </cfRule>
  </conditionalFormatting>
  <conditionalFormatting sqref="A319">
    <cfRule type="expression" dxfId="14" priority="6610" stopIfTrue="1">
      <formula>$A319="comments"</formula>
    </cfRule>
  </conditionalFormatting>
  <conditionalFormatting sqref="A319">
    <cfRule type="expression" dxfId="15" priority="6611" stopIfTrue="1">
      <formula>OR($A319="audio", $A319="video")</formula>
    </cfRule>
  </conditionalFormatting>
  <conditionalFormatting sqref="A319">
    <cfRule type="expression" dxfId="16" priority="6612" stopIfTrue="1">
      <formula>$A319="image"</formula>
    </cfRule>
  </conditionalFormatting>
  <conditionalFormatting sqref="A319">
    <cfRule type="expression" dxfId="17" priority="6613" stopIfTrue="1">
      <formula>OR($A319="date", $A319="datetime", $A319="time")</formula>
    </cfRule>
  </conditionalFormatting>
  <conditionalFormatting sqref="A319">
    <cfRule type="expression" dxfId="18" priority="6614" stopIfTrue="1">
      <formula>OR($A319="calculate", $A319="calculate_here")</formula>
    </cfRule>
  </conditionalFormatting>
  <conditionalFormatting sqref="A319">
    <cfRule type="expression" dxfId="19" priority="6615" stopIfTrue="1">
      <formula>$A319="note"</formula>
    </cfRule>
  </conditionalFormatting>
  <conditionalFormatting sqref="A319">
    <cfRule type="expression" dxfId="20" priority="6616" stopIfTrue="1">
      <formula>$A319="barcode"</formula>
    </cfRule>
  </conditionalFormatting>
  <conditionalFormatting sqref="A319">
    <cfRule type="expression" dxfId="21" priority="6617" stopIfTrue="1">
      <formula>OR($A319="geopoint", $A319="geoshape", $A319="geotrace")</formula>
    </cfRule>
  </conditionalFormatting>
  <conditionalFormatting sqref="A319">
    <cfRule type="expression" dxfId="22" priority="6618" stopIfTrue="1">
      <formula>OR($A319="audio audit", $A319="text audit", $A319="speed violations count", $A319="speed violations list", $A319="speed violations audit")</formula>
    </cfRule>
  </conditionalFormatting>
  <conditionalFormatting sqref="A319">
    <cfRule type="expression" dxfId="23" priority="6619" stopIfTrue="1">
      <formula>OR($A319="username", $A319="phonenumber", $A319="start", $A319="end", $A319="deviceid", $A319="subscriberid", $A319="simserial", $A319="caseid")</formula>
    </cfRule>
  </conditionalFormatting>
  <conditionalFormatting sqref="A319">
    <cfRule type="expression" dxfId="24" priority="6620" stopIfTrue="1">
      <formula>OR(AND(LEFT($A319, 16)="select_multiple ", LEN($A319)&gt;16, NOT(ISNUMBER(SEARCH(" ", $A319, 17)))), AND(LEFT($A319, 11)="select_one ", LEN($A319)&gt;11, NOT(ISNUMBER(SEARCH(" ", $A319, 12)))))</formula>
    </cfRule>
  </conditionalFormatting>
  <conditionalFormatting sqref="A319">
    <cfRule type="expression" dxfId="25" priority="6621" stopIfTrue="1">
      <formula>$A319="decimal"</formula>
    </cfRule>
  </conditionalFormatting>
  <conditionalFormatting sqref="A319">
    <cfRule type="expression" dxfId="26" priority="6622" stopIfTrue="1">
      <formula>$A319="integer"</formula>
    </cfRule>
  </conditionalFormatting>
  <conditionalFormatting sqref="A319">
    <cfRule type="expression" dxfId="27" priority="6623" stopIfTrue="1">
      <formula>$A319="text"</formula>
    </cfRule>
  </conditionalFormatting>
  <conditionalFormatting sqref="A319">
    <cfRule type="expression" dxfId="28" priority="6624" stopIfTrue="1">
      <formula>$A319="end repeat"</formula>
    </cfRule>
  </conditionalFormatting>
  <conditionalFormatting sqref="A319">
    <cfRule type="expression" dxfId="28" priority="6625" stopIfTrue="1">
      <formula>$A319="begin repeat"</formula>
    </cfRule>
  </conditionalFormatting>
  <conditionalFormatting sqref="A319">
    <cfRule type="expression" dxfId="29" priority="6626" stopIfTrue="1">
      <formula>$A319="end group"</formula>
    </cfRule>
  </conditionalFormatting>
  <conditionalFormatting sqref="A319">
    <cfRule type="expression" dxfId="29" priority="6627" stopIfTrue="1">
      <formula>$A319="begin group"</formula>
    </cfRule>
  </conditionalFormatting>
  <conditionalFormatting sqref="A315:A317">
    <cfRule type="expression" dxfId="33" priority="6628" stopIfTrue="1">
      <formula>$A315="file"</formula>
    </cfRule>
  </conditionalFormatting>
  <conditionalFormatting sqref="A315:A317">
    <cfRule type="expression" dxfId="34" priority="6629" stopIfTrue="1">
      <formula>$A315="enumerator"</formula>
    </cfRule>
  </conditionalFormatting>
  <conditionalFormatting sqref="A315:A317">
    <cfRule type="expression" dxfId="35" priority="6630" stopIfTrue="1">
      <formula>OR(AND(LEFT($A315, 14)="sensor_stream ", LEN($A315)&gt;14, NOT(ISNUMBER(SEARCH(" ", $A315, 15)))), AND(LEFT($A315, 17)="sensor_statistic ", LEN($A315)&gt;17, NOT(ISNUMBER(SEARCH(" ", $A315, 18)))))</formula>
    </cfRule>
  </conditionalFormatting>
  <conditionalFormatting sqref="A315:A317">
    <cfRule type="expression" dxfId="14" priority="6631" stopIfTrue="1">
      <formula>$A315="comments"</formula>
    </cfRule>
  </conditionalFormatting>
  <conditionalFormatting sqref="A315:A317">
    <cfRule type="expression" dxfId="15" priority="6632" stopIfTrue="1">
      <formula>OR($A315="audio", $A315="video")</formula>
    </cfRule>
  </conditionalFormatting>
  <conditionalFormatting sqref="A315:A317">
    <cfRule type="expression" dxfId="16" priority="6633" stopIfTrue="1">
      <formula>$A315="image"</formula>
    </cfRule>
  </conditionalFormatting>
  <conditionalFormatting sqref="A315:A317">
    <cfRule type="expression" dxfId="17" priority="6634" stopIfTrue="1">
      <formula>OR($A315="date", $A315="datetime", $A315="time")</formula>
    </cfRule>
  </conditionalFormatting>
  <conditionalFormatting sqref="A315:A317">
    <cfRule type="expression" dxfId="18" priority="6635" stopIfTrue="1">
      <formula>OR($A315="calculate", $A315="calculate_here")</formula>
    </cfRule>
  </conditionalFormatting>
  <conditionalFormatting sqref="A315:A317">
    <cfRule type="expression" dxfId="19" priority="6636" stopIfTrue="1">
      <formula>$A315="note"</formula>
    </cfRule>
  </conditionalFormatting>
  <conditionalFormatting sqref="A315:A317">
    <cfRule type="expression" dxfId="20" priority="6637" stopIfTrue="1">
      <formula>$A315="barcode"</formula>
    </cfRule>
  </conditionalFormatting>
  <conditionalFormatting sqref="A315:A317">
    <cfRule type="expression" dxfId="21" priority="6638" stopIfTrue="1">
      <formula>OR($A315="geopoint", $A315="geoshape", $A315="geotrace")</formula>
    </cfRule>
  </conditionalFormatting>
  <conditionalFormatting sqref="A315:A317">
    <cfRule type="expression" dxfId="22" priority="6639" stopIfTrue="1">
      <formula>OR($A315="audio audit", $A315="text audit", $A315="speed violations count", $A315="speed violations list", $A315="speed violations audit")</formula>
    </cfRule>
  </conditionalFormatting>
  <conditionalFormatting sqref="A315:A317">
    <cfRule type="expression" dxfId="23" priority="6640" stopIfTrue="1">
      <formula>OR($A315="username", $A315="phonenumber", $A315="start", $A315="end", $A315="deviceid", $A315="subscriberid", $A315="simserial", $A315="caseid")</formula>
    </cfRule>
  </conditionalFormatting>
  <conditionalFormatting sqref="A315:A317">
    <cfRule type="expression" dxfId="24" priority="6641" stopIfTrue="1">
      <formula>OR(AND(LEFT($A315, 16)="select_multiple ", LEN($A315)&gt;16, NOT(ISNUMBER(SEARCH(" ", $A315, 17)))), AND(LEFT($A315, 11)="select_one ", LEN($A315)&gt;11, NOT(ISNUMBER(SEARCH(" ", $A315, 12)))))</formula>
    </cfRule>
  </conditionalFormatting>
  <conditionalFormatting sqref="A315:A317">
    <cfRule type="expression" dxfId="25" priority="6642" stopIfTrue="1">
      <formula>$A315="decimal"</formula>
    </cfRule>
  </conditionalFormatting>
  <conditionalFormatting sqref="A315:A317">
    <cfRule type="expression" dxfId="26" priority="6643" stopIfTrue="1">
      <formula>$A315="integer"</formula>
    </cfRule>
  </conditionalFormatting>
  <conditionalFormatting sqref="A315:A317">
    <cfRule type="expression" dxfId="27" priority="6644" stopIfTrue="1">
      <formula>$A315="text"</formula>
    </cfRule>
  </conditionalFormatting>
  <conditionalFormatting sqref="A315:A317">
    <cfRule type="expression" dxfId="28" priority="6645" stopIfTrue="1">
      <formula>$A315="end repeat"</formula>
    </cfRule>
  </conditionalFormatting>
  <conditionalFormatting sqref="A315:A317">
    <cfRule type="expression" dxfId="28" priority="6646" stopIfTrue="1">
      <formula>$A315="begin repeat"</formula>
    </cfRule>
  </conditionalFormatting>
  <conditionalFormatting sqref="A315:A317">
    <cfRule type="expression" dxfId="29" priority="6647" stopIfTrue="1">
      <formula>$A315="end group"</formula>
    </cfRule>
  </conditionalFormatting>
  <conditionalFormatting sqref="A315:A317">
    <cfRule type="expression" dxfId="29" priority="6648" stopIfTrue="1">
      <formula>$A315="begin group"</formula>
    </cfRule>
  </conditionalFormatting>
  <conditionalFormatting sqref="A305:A312">
    <cfRule type="expression" dxfId="33" priority="6649" stopIfTrue="1">
      <formula>$A305="file"</formula>
    </cfRule>
  </conditionalFormatting>
  <conditionalFormatting sqref="A305:A312">
    <cfRule type="expression" dxfId="34" priority="6650" stopIfTrue="1">
      <formula>$A305="enumerator"</formula>
    </cfRule>
  </conditionalFormatting>
  <conditionalFormatting sqref="A305:A312">
    <cfRule type="expression" dxfId="35" priority="6651" stopIfTrue="1">
      <formula>OR(AND(LEFT($A305, 14)="sensor_stream ", LEN($A305)&gt;14, NOT(ISNUMBER(SEARCH(" ", $A305, 15)))), AND(LEFT($A305, 17)="sensor_statistic ", LEN($A305)&gt;17, NOT(ISNUMBER(SEARCH(" ", $A305, 18)))))</formula>
    </cfRule>
  </conditionalFormatting>
  <conditionalFormatting sqref="A305:A312">
    <cfRule type="expression" dxfId="14" priority="6652" stopIfTrue="1">
      <formula>$A305="comments"</formula>
    </cfRule>
  </conditionalFormatting>
  <conditionalFormatting sqref="A305:A312">
    <cfRule type="expression" dxfId="15" priority="6653" stopIfTrue="1">
      <formula>OR($A305="audio", $A305="video")</formula>
    </cfRule>
  </conditionalFormatting>
  <conditionalFormatting sqref="A305:A312">
    <cfRule type="expression" dxfId="16" priority="6654" stopIfTrue="1">
      <formula>$A305="image"</formula>
    </cfRule>
  </conditionalFormatting>
  <conditionalFormatting sqref="A305:A312">
    <cfRule type="expression" dxfId="17" priority="6655" stopIfTrue="1">
      <formula>OR($A305="date", $A305="datetime", $A305="time")</formula>
    </cfRule>
  </conditionalFormatting>
  <conditionalFormatting sqref="A305:A312">
    <cfRule type="expression" dxfId="18" priority="6656" stopIfTrue="1">
      <formula>OR($A305="calculate", $A305="calculate_here")</formula>
    </cfRule>
  </conditionalFormatting>
  <conditionalFormatting sqref="A305:A312">
    <cfRule type="expression" dxfId="19" priority="6657" stopIfTrue="1">
      <formula>$A305="note"</formula>
    </cfRule>
  </conditionalFormatting>
  <conditionalFormatting sqref="A305:A312">
    <cfRule type="expression" dxfId="20" priority="6658" stopIfTrue="1">
      <formula>$A305="barcode"</formula>
    </cfRule>
  </conditionalFormatting>
  <conditionalFormatting sqref="A305:A312">
    <cfRule type="expression" dxfId="21" priority="6659" stopIfTrue="1">
      <formula>OR($A305="geopoint", $A305="geoshape", $A305="geotrace")</formula>
    </cfRule>
  </conditionalFormatting>
  <conditionalFormatting sqref="A305:A312">
    <cfRule type="expression" dxfId="22" priority="6660" stopIfTrue="1">
      <formula>OR($A305="audio audit", $A305="text audit", $A305="speed violations count", $A305="speed violations list", $A305="speed violations audit")</formula>
    </cfRule>
  </conditionalFormatting>
  <conditionalFormatting sqref="A305:A312">
    <cfRule type="expression" dxfId="23" priority="6661" stopIfTrue="1">
      <formula>OR($A305="username", $A305="phonenumber", $A305="start", $A305="end", $A305="deviceid", $A305="subscriberid", $A305="simserial", $A305="caseid")</formula>
    </cfRule>
  </conditionalFormatting>
  <conditionalFormatting sqref="A305:A312">
    <cfRule type="expression" dxfId="24" priority="6662" stopIfTrue="1">
      <formula>OR(AND(LEFT($A305, 16)="select_multiple ", LEN($A305)&gt;16, NOT(ISNUMBER(SEARCH(" ", $A305, 17)))), AND(LEFT($A305, 11)="select_one ", LEN($A305)&gt;11, NOT(ISNUMBER(SEARCH(" ", $A305, 12)))))</formula>
    </cfRule>
  </conditionalFormatting>
  <conditionalFormatting sqref="A305:A312">
    <cfRule type="expression" dxfId="25" priority="6663" stopIfTrue="1">
      <formula>$A305="decimal"</formula>
    </cfRule>
  </conditionalFormatting>
  <conditionalFormatting sqref="A305:A312">
    <cfRule type="expression" dxfId="26" priority="6664" stopIfTrue="1">
      <formula>$A305="integer"</formula>
    </cfRule>
  </conditionalFormatting>
  <conditionalFormatting sqref="A305:A312">
    <cfRule type="expression" dxfId="27" priority="6665" stopIfTrue="1">
      <formula>$A305="text"</formula>
    </cfRule>
  </conditionalFormatting>
  <conditionalFormatting sqref="A305:A312">
    <cfRule type="expression" dxfId="28" priority="6666" stopIfTrue="1">
      <formula>$A305="end repeat"</formula>
    </cfRule>
  </conditionalFormatting>
  <conditionalFormatting sqref="A305:A312">
    <cfRule type="expression" dxfId="28" priority="6667" stopIfTrue="1">
      <formula>$A305="begin repeat"</formula>
    </cfRule>
  </conditionalFormatting>
  <conditionalFormatting sqref="A305:A312">
    <cfRule type="expression" dxfId="29" priority="6668" stopIfTrue="1">
      <formula>$A305="end group"</formula>
    </cfRule>
  </conditionalFormatting>
  <conditionalFormatting sqref="A305:A312">
    <cfRule type="expression" dxfId="29" priority="6669" stopIfTrue="1">
      <formula>$A305="begin group"</formula>
    </cfRule>
  </conditionalFormatting>
  <conditionalFormatting sqref="A292:A302">
    <cfRule type="expression" dxfId="33" priority="6670" stopIfTrue="1">
      <formula>$A292="file"</formula>
    </cfRule>
  </conditionalFormatting>
  <conditionalFormatting sqref="A292:A302">
    <cfRule type="expression" dxfId="34" priority="6671" stopIfTrue="1">
      <formula>$A292="enumerator"</formula>
    </cfRule>
  </conditionalFormatting>
  <conditionalFormatting sqref="A292:A302">
    <cfRule type="expression" dxfId="35" priority="6672" stopIfTrue="1">
      <formula>OR(AND(LEFT($A292, 14)="sensor_stream ", LEN($A292)&gt;14, NOT(ISNUMBER(SEARCH(" ", $A292, 15)))), AND(LEFT($A292, 17)="sensor_statistic ", LEN($A292)&gt;17, NOT(ISNUMBER(SEARCH(" ", $A292, 18)))))</formula>
    </cfRule>
  </conditionalFormatting>
  <conditionalFormatting sqref="A292:A302">
    <cfRule type="expression" dxfId="14" priority="6673" stopIfTrue="1">
      <formula>$A292="comments"</formula>
    </cfRule>
  </conditionalFormatting>
  <conditionalFormatting sqref="A292:A302">
    <cfRule type="expression" dxfId="15" priority="6674" stopIfTrue="1">
      <formula>OR($A292="audio", $A292="video")</formula>
    </cfRule>
  </conditionalFormatting>
  <conditionalFormatting sqref="A292:A302">
    <cfRule type="expression" dxfId="16" priority="6675" stopIfTrue="1">
      <formula>$A292="image"</formula>
    </cfRule>
  </conditionalFormatting>
  <conditionalFormatting sqref="A292:A302">
    <cfRule type="expression" dxfId="17" priority="6676" stopIfTrue="1">
      <formula>OR($A292="date", $A292="datetime", $A292="time")</formula>
    </cfRule>
  </conditionalFormatting>
  <conditionalFormatting sqref="A292:A302">
    <cfRule type="expression" dxfId="18" priority="6677" stopIfTrue="1">
      <formula>OR($A292="calculate", $A292="calculate_here")</formula>
    </cfRule>
  </conditionalFormatting>
  <conditionalFormatting sqref="A292:A302">
    <cfRule type="expression" dxfId="19" priority="6678" stopIfTrue="1">
      <formula>$A292="note"</formula>
    </cfRule>
  </conditionalFormatting>
  <conditionalFormatting sqref="A292:A302">
    <cfRule type="expression" dxfId="20" priority="6679" stopIfTrue="1">
      <formula>$A292="barcode"</formula>
    </cfRule>
  </conditionalFormatting>
  <conditionalFormatting sqref="A292:A302">
    <cfRule type="expression" dxfId="21" priority="6680" stopIfTrue="1">
      <formula>OR($A292="geopoint", $A292="geoshape", $A292="geotrace")</formula>
    </cfRule>
  </conditionalFormatting>
  <conditionalFormatting sqref="A292:A302">
    <cfRule type="expression" dxfId="22" priority="6681" stopIfTrue="1">
      <formula>OR($A292="audio audit", $A292="text audit", $A292="speed violations count", $A292="speed violations list", $A292="speed violations audit")</formula>
    </cfRule>
  </conditionalFormatting>
  <conditionalFormatting sqref="A292:A302">
    <cfRule type="expression" dxfId="23" priority="6682" stopIfTrue="1">
      <formula>OR($A292="username", $A292="phonenumber", $A292="start", $A292="end", $A292="deviceid", $A292="subscriberid", $A292="simserial", $A292="caseid")</formula>
    </cfRule>
  </conditionalFormatting>
  <conditionalFormatting sqref="A292:A302">
    <cfRule type="expression" dxfId="24" priority="6683" stopIfTrue="1">
      <formula>OR(AND(LEFT($A292, 16)="select_multiple ", LEN($A292)&gt;16, NOT(ISNUMBER(SEARCH(" ", $A292, 17)))), AND(LEFT($A292, 11)="select_one ", LEN($A292)&gt;11, NOT(ISNUMBER(SEARCH(" ", $A292, 12)))))</formula>
    </cfRule>
  </conditionalFormatting>
  <conditionalFormatting sqref="A292:A302">
    <cfRule type="expression" dxfId="25" priority="6684" stopIfTrue="1">
      <formula>$A292="decimal"</formula>
    </cfRule>
  </conditionalFormatting>
  <conditionalFormatting sqref="A292:A302">
    <cfRule type="expression" dxfId="26" priority="6685" stopIfTrue="1">
      <formula>$A292="integer"</formula>
    </cfRule>
  </conditionalFormatting>
  <conditionalFormatting sqref="A292:A302">
    <cfRule type="expression" dxfId="27" priority="6686" stopIfTrue="1">
      <formula>$A292="text"</formula>
    </cfRule>
  </conditionalFormatting>
  <conditionalFormatting sqref="A292:A302">
    <cfRule type="expression" dxfId="28" priority="6687" stopIfTrue="1">
      <formula>$A292="end repeat"</formula>
    </cfRule>
  </conditionalFormatting>
  <conditionalFormatting sqref="A292:A302">
    <cfRule type="expression" dxfId="28" priority="6688" stopIfTrue="1">
      <formula>$A292="begin repeat"</formula>
    </cfRule>
  </conditionalFormatting>
  <conditionalFormatting sqref="A292:A302">
    <cfRule type="expression" dxfId="29" priority="6689" stopIfTrue="1">
      <formula>$A292="end group"</formula>
    </cfRule>
  </conditionalFormatting>
  <conditionalFormatting sqref="A292:A302">
    <cfRule type="expression" dxfId="29" priority="6690" stopIfTrue="1">
      <formula>$A292="begin group"</formula>
    </cfRule>
  </conditionalFormatting>
  <conditionalFormatting sqref="A284:A285">
    <cfRule type="expression" dxfId="33" priority="6691" stopIfTrue="1">
      <formula>$A284="file"</formula>
    </cfRule>
  </conditionalFormatting>
  <conditionalFormatting sqref="A284:A285">
    <cfRule type="expression" dxfId="34" priority="6692" stopIfTrue="1">
      <formula>$A284="enumerator"</formula>
    </cfRule>
  </conditionalFormatting>
  <conditionalFormatting sqref="A284:A285">
    <cfRule type="expression" dxfId="35" priority="6693" stopIfTrue="1">
      <formula>OR(AND(LEFT($A284, 14)="sensor_stream ", LEN($A284)&gt;14, NOT(ISNUMBER(SEARCH(" ", $A284, 15)))), AND(LEFT($A284, 17)="sensor_statistic ", LEN($A284)&gt;17, NOT(ISNUMBER(SEARCH(" ", $A284, 18)))))</formula>
    </cfRule>
  </conditionalFormatting>
  <conditionalFormatting sqref="A284:A285">
    <cfRule type="expression" dxfId="14" priority="6694" stopIfTrue="1">
      <formula>$A284="comments"</formula>
    </cfRule>
  </conditionalFormatting>
  <conditionalFormatting sqref="A284:A285">
    <cfRule type="expression" dxfId="15" priority="6695" stopIfTrue="1">
      <formula>OR($A284="audio", $A284="video")</formula>
    </cfRule>
  </conditionalFormatting>
  <conditionalFormatting sqref="A284:A285">
    <cfRule type="expression" dxfId="16" priority="6696" stopIfTrue="1">
      <formula>$A284="image"</formula>
    </cfRule>
  </conditionalFormatting>
  <conditionalFormatting sqref="A284:A285">
    <cfRule type="expression" dxfId="17" priority="6697" stopIfTrue="1">
      <formula>OR($A284="date", $A284="datetime", $A284="time")</formula>
    </cfRule>
  </conditionalFormatting>
  <conditionalFormatting sqref="A284:A285">
    <cfRule type="expression" dxfId="18" priority="6698" stopIfTrue="1">
      <formula>OR($A284="calculate", $A284="calculate_here")</formula>
    </cfRule>
  </conditionalFormatting>
  <conditionalFormatting sqref="A284:A285">
    <cfRule type="expression" dxfId="19" priority="6699" stopIfTrue="1">
      <formula>$A284="note"</formula>
    </cfRule>
  </conditionalFormatting>
  <conditionalFormatting sqref="A284:A285">
    <cfRule type="expression" dxfId="20" priority="6700" stopIfTrue="1">
      <formula>$A284="barcode"</formula>
    </cfRule>
  </conditionalFormatting>
  <conditionalFormatting sqref="A284:A285">
    <cfRule type="expression" dxfId="21" priority="6701" stopIfTrue="1">
      <formula>OR($A284="geopoint", $A284="geoshape", $A284="geotrace")</formula>
    </cfRule>
  </conditionalFormatting>
  <conditionalFormatting sqref="A284:A285">
    <cfRule type="expression" dxfId="22" priority="6702" stopIfTrue="1">
      <formula>OR($A284="audio audit", $A284="text audit", $A284="speed violations count", $A284="speed violations list", $A284="speed violations audit")</formula>
    </cfRule>
  </conditionalFormatting>
  <conditionalFormatting sqref="A284:A285">
    <cfRule type="expression" dxfId="23" priority="6703" stopIfTrue="1">
      <formula>OR($A284="username", $A284="phonenumber", $A284="start", $A284="end", $A284="deviceid", $A284="subscriberid", $A284="simserial", $A284="caseid")</formula>
    </cfRule>
  </conditionalFormatting>
  <conditionalFormatting sqref="A284:A285">
    <cfRule type="expression" dxfId="24" priority="6704" stopIfTrue="1">
      <formula>OR(AND(LEFT($A284, 16)="select_multiple ", LEN($A284)&gt;16, NOT(ISNUMBER(SEARCH(" ", $A284, 17)))), AND(LEFT($A284, 11)="select_one ", LEN($A284)&gt;11, NOT(ISNUMBER(SEARCH(" ", $A284, 12)))))</formula>
    </cfRule>
  </conditionalFormatting>
  <conditionalFormatting sqref="A284:A285">
    <cfRule type="expression" dxfId="25" priority="6705" stopIfTrue="1">
      <formula>$A284="decimal"</formula>
    </cfRule>
  </conditionalFormatting>
  <conditionalFormatting sqref="A284:A285">
    <cfRule type="expression" dxfId="26" priority="6706" stopIfTrue="1">
      <formula>$A284="integer"</formula>
    </cfRule>
  </conditionalFormatting>
  <conditionalFormatting sqref="A284:A285">
    <cfRule type="expression" dxfId="27" priority="6707" stopIfTrue="1">
      <formula>$A284="text"</formula>
    </cfRule>
  </conditionalFormatting>
  <conditionalFormatting sqref="A284:A285">
    <cfRule type="expression" dxfId="28" priority="6708" stopIfTrue="1">
      <formula>$A284="end repeat"</formula>
    </cfRule>
  </conditionalFormatting>
  <conditionalFormatting sqref="A284:A285">
    <cfRule type="expression" dxfId="28" priority="6709" stopIfTrue="1">
      <formula>$A284="begin repeat"</formula>
    </cfRule>
  </conditionalFormatting>
  <conditionalFormatting sqref="A284:A285">
    <cfRule type="expression" dxfId="29" priority="6710" stopIfTrue="1">
      <formula>$A284="end group"</formula>
    </cfRule>
  </conditionalFormatting>
  <conditionalFormatting sqref="A284:A285">
    <cfRule type="expression" dxfId="29" priority="6711" stopIfTrue="1">
      <formula>$A284="begin group"</formula>
    </cfRule>
  </conditionalFormatting>
  <conditionalFormatting sqref="A279:A281">
    <cfRule type="expression" dxfId="33" priority="6712" stopIfTrue="1">
      <formula>$A279="file"</formula>
    </cfRule>
  </conditionalFormatting>
  <conditionalFormatting sqref="A279:A281">
    <cfRule type="expression" dxfId="34" priority="6713" stopIfTrue="1">
      <formula>$A279="enumerator"</formula>
    </cfRule>
  </conditionalFormatting>
  <conditionalFormatting sqref="A279:A281">
    <cfRule type="expression" dxfId="35" priority="6714" stopIfTrue="1">
      <formula>OR(AND(LEFT($A279, 14)="sensor_stream ", LEN($A279)&gt;14, NOT(ISNUMBER(SEARCH(" ", $A279, 15)))), AND(LEFT($A279, 17)="sensor_statistic ", LEN($A279)&gt;17, NOT(ISNUMBER(SEARCH(" ", $A279, 18)))))</formula>
    </cfRule>
  </conditionalFormatting>
  <conditionalFormatting sqref="A279:A281">
    <cfRule type="expression" dxfId="14" priority="6715" stopIfTrue="1">
      <formula>$A279="comments"</formula>
    </cfRule>
  </conditionalFormatting>
  <conditionalFormatting sqref="A279:A281">
    <cfRule type="expression" dxfId="15" priority="6716" stopIfTrue="1">
      <formula>OR($A279="audio", $A279="video")</formula>
    </cfRule>
  </conditionalFormatting>
  <conditionalFormatting sqref="A279:A281">
    <cfRule type="expression" dxfId="16" priority="6717" stopIfTrue="1">
      <formula>$A279="image"</formula>
    </cfRule>
  </conditionalFormatting>
  <conditionalFormatting sqref="A279:A281">
    <cfRule type="expression" dxfId="17" priority="6718" stopIfTrue="1">
      <formula>OR($A279="date", $A279="datetime", $A279="time")</formula>
    </cfRule>
  </conditionalFormatting>
  <conditionalFormatting sqref="A279:A281">
    <cfRule type="expression" dxfId="18" priority="6719" stopIfTrue="1">
      <formula>OR($A279="calculate", $A279="calculate_here")</formula>
    </cfRule>
  </conditionalFormatting>
  <conditionalFormatting sqref="A279:A281">
    <cfRule type="expression" dxfId="19" priority="6720" stopIfTrue="1">
      <formula>$A279="note"</formula>
    </cfRule>
  </conditionalFormatting>
  <conditionalFormatting sqref="A279:A281">
    <cfRule type="expression" dxfId="20" priority="6721" stopIfTrue="1">
      <formula>$A279="barcode"</formula>
    </cfRule>
  </conditionalFormatting>
  <conditionalFormatting sqref="A279:A281">
    <cfRule type="expression" dxfId="21" priority="6722" stopIfTrue="1">
      <formula>OR($A279="geopoint", $A279="geoshape", $A279="geotrace")</formula>
    </cfRule>
  </conditionalFormatting>
  <conditionalFormatting sqref="A279:A281">
    <cfRule type="expression" dxfId="22" priority="6723" stopIfTrue="1">
      <formula>OR($A279="audio audit", $A279="text audit", $A279="speed violations count", $A279="speed violations list", $A279="speed violations audit")</formula>
    </cfRule>
  </conditionalFormatting>
  <conditionalFormatting sqref="A279:A281">
    <cfRule type="expression" dxfId="23" priority="6724" stopIfTrue="1">
      <formula>OR($A279="username", $A279="phonenumber", $A279="start", $A279="end", $A279="deviceid", $A279="subscriberid", $A279="simserial", $A279="caseid")</formula>
    </cfRule>
  </conditionalFormatting>
  <conditionalFormatting sqref="A279:A281">
    <cfRule type="expression" dxfId="24" priority="6725" stopIfTrue="1">
      <formula>OR(AND(LEFT($A279, 16)="select_multiple ", LEN($A279)&gt;16, NOT(ISNUMBER(SEARCH(" ", $A279, 17)))), AND(LEFT($A279, 11)="select_one ", LEN($A279)&gt;11, NOT(ISNUMBER(SEARCH(" ", $A279, 12)))))</formula>
    </cfRule>
  </conditionalFormatting>
  <conditionalFormatting sqref="A279:A281">
    <cfRule type="expression" dxfId="25" priority="6726" stopIfTrue="1">
      <formula>$A279="decimal"</formula>
    </cfRule>
  </conditionalFormatting>
  <conditionalFormatting sqref="A279:A281">
    <cfRule type="expression" dxfId="26" priority="6727" stopIfTrue="1">
      <formula>$A279="integer"</formula>
    </cfRule>
  </conditionalFormatting>
  <conditionalFormatting sqref="A279:A281">
    <cfRule type="expression" dxfId="27" priority="6728" stopIfTrue="1">
      <formula>$A279="text"</formula>
    </cfRule>
  </conditionalFormatting>
  <conditionalFormatting sqref="A279:A281">
    <cfRule type="expression" dxfId="28" priority="6729" stopIfTrue="1">
      <formula>$A279="end repeat"</formula>
    </cfRule>
  </conditionalFormatting>
  <conditionalFormatting sqref="A279:A281">
    <cfRule type="expression" dxfId="28" priority="6730" stopIfTrue="1">
      <formula>$A279="begin repeat"</formula>
    </cfRule>
  </conditionalFormatting>
  <conditionalFormatting sqref="A279:A281">
    <cfRule type="expression" dxfId="29" priority="6731" stopIfTrue="1">
      <formula>$A279="end group"</formula>
    </cfRule>
  </conditionalFormatting>
  <conditionalFormatting sqref="A279:A281">
    <cfRule type="expression" dxfId="29" priority="6732" stopIfTrue="1">
      <formula>$A279="begin group"</formula>
    </cfRule>
  </conditionalFormatting>
  <conditionalFormatting sqref="A259:A275">
    <cfRule type="expression" dxfId="33" priority="6733" stopIfTrue="1">
      <formula>$A259="file"</formula>
    </cfRule>
  </conditionalFormatting>
  <conditionalFormatting sqref="A259:A275">
    <cfRule type="expression" dxfId="34" priority="6734" stopIfTrue="1">
      <formula>$A259="enumerator"</formula>
    </cfRule>
  </conditionalFormatting>
  <conditionalFormatting sqref="A259:A275">
    <cfRule type="expression" dxfId="35" priority="6735" stopIfTrue="1">
      <formula>OR(AND(LEFT($A259, 14)="sensor_stream ", LEN($A259)&gt;14, NOT(ISNUMBER(SEARCH(" ", $A259, 15)))), AND(LEFT($A259, 17)="sensor_statistic ", LEN($A259)&gt;17, NOT(ISNUMBER(SEARCH(" ", $A259, 18)))))</formula>
    </cfRule>
  </conditionalFormatting>
  <conditionalFormatting sqref="A259:A275">
    <cfRule type="expression" dxfId="14" priority="6736" stopIfTrue="1">
      <formula>$A259="comments"</formula>
    </cfRule>
  </conditionalFormatting>
  <conditionalFormatting sqref="A259:A275">
    <cfRule type="expression" dxfId="15" priority="6737" stopIfTrue="1">
      <formula>OR($A259="audio", $A259="video")</formula>
    </cfRule>
  </conditionalFormatting>
  <conditionalFormatting sqref="A259:A275">
    <cfRule type="expression" dxfId="16" priority="6738" stopIfTrue="1">
      <formula>$A259="image"</formula>
    </cfRule>
  </conditionalFormatting>
  <conditionalFormatting sqref="A259:A275">
    <cfRule type="expression" dxfId="17" priority="6739" stopIfTrue="1">
      <formula>OR($A259="date", $A259="datetime", $A259="time")</formula>
    </cfRule>
  </conditionalFormatting>
  <conditionalFormatting sqref="A259:A275">
    <cfRule type="expression" dxfId="18" priority="6740" stopIfTrue="1">
      <formula>OR($A259="calculate", $A259="calculate_here")</formula>
    </cfRule>
  </conditionalFormatting>
  <conditionalFormatting sqref="A259:A275">
    <cfRule type="expression" dxfId="19" priority="6741" stopIfTrue="1">
      <formula>$A259="note"</formula>
    </cfRule>
  </conditionalFormatting>
  <conditionalFormatting sqref="A259:A275">
    <cfRule type="expression" dxfId="20" priority="6742" stopIfTrue="1">
      <formula>$A259="barcode"</formula>
    </cfRule>
  </conditionalFormatting>
  <conditionalFormatting sqref="A259:A275">
    <cfRule type="expression" dxfId="21" priority="6743" stopIfTrue="1">
      <formula>OR($A259="geopoint", $A259="geoshape", $A259="geotrace")</formula>
    </cfRule>
  </conditionalFormatting>
  <conditionalFormatting sqref="A259:A275">
    <cfRule type="expression" dxfId="22" priority="6744" stopIfTrue="1">
      <formula>OR($A259="audio audit", $A259="text audit", $A259="speed violations count", $A259="speed violations list", $A259="speed violations audit")</formula>
    </cfRule>
  </conditionalFormatting>
  <conditionalFormatting sqref="A259:A275">
    <cfRule type="expression" dxfId="23" priority="6745" stopIfTrue="1">
      <formula>OR($A259="username", $A259="phonenumber", $A259="start", $A259="end", $A259="deviceid", $A259="subscriberid", $A259="simserial", $A259="caseid")</formula>
    </cfRule>
  </conditionalFormatting>
  <conditionalFormatting sqref="A259:A275">
    <cfRule type="expression" dxfId="24" priority="6746" stopIfTrue="1">
      <formula>OR(AND(LEFT($A259, 16)="select_multiple ", LEN($A259)&gt;16, NOT(ISNUMBER(SEARCH(" ", $A259, 17)))), AND(LEFT($A259, 11)="select_one ", LEN($A259)&gt;11, NOT(ISNUMBER(SEARCH(" ", $A259, 12)))))</formula>
    </cfRule>
  </conditionalFormatting>
  <conditionalFormatting sqref="A259:A275">
    <cfRule type="expression" dxfId="25" priority="6747" stopIfTrue="1">
      <formula>$A259="decimal"</formula>
    </cfRule>
  </conditionalFormatting>
  <conditionalFormatting sqref="A259:A275">
    <cfRule type="expression" dxfId="26" priority="6748" stopIfTrue="1">
      <formula>$A259="integer"</formula>
    </cfRule>
  </conditionalFormatting>
  <conditionalFormatting sqref="A259:A275">
    <cfRule type="expression" dxfId="27" priority="6749" stopIfTrue="1">
      <formula>$A259="text"</formula>
    </cfRule>
  </conditionalFormatting>
  <conditionalFormatting sqref="A259:A275">
    <cfRule type="expression" dxfId="28" priority="6750" stopIfTrue="1">
      <formula>$A259="end repeat"</formula>
    </cfRule>
  </conditionalFormatting>
  <conditionalFormatting sqref="A259:A275">
    <cfRule type="expression" dxfId="28" priority="6751" stopIfTrue="1">
      <formula>$A259="begin repeat"</formula>
    </cfRule>
  </conditionalFormatting>
  <conditionalFormatting sqref="A259:A275">
    <cfRule type="expression" dxfId="29" priority="6752" stopIfTrue="1">
      <formula>$A259="end group"</formula>
    </cfRule>
  </conditionalFormatting>
  <conditionalFormatting sqref="A259:A275">
    <cfRule type="expression" dxfId="29" priority="6753" stopIfTrue="1">
      <formula>$A259="begin group"</formula>
    </cfRule>
  </conditionalFormatting>
  <conditionalFormatting sqref="A257">
    <cfRule type="expression" dxfId="33" priority="6754" stopIfTrue="1">
      <formula>$A257="file"</formula>
    </cfRule>
  </conditionalFormatting>
  <conditionalFormatting sqref="A257">
    <cfRule type="expression" dxfId="34" priority="6755" stopIfTrue="1">
      <formula>$A257="enumerator"</formula>
    </cfRule>
  </conditionalFormatting>
  <conditionalFormatting sqref="A257">
    <cfRule type="expression" dxfId="35" priority="6756" stopIfTrue="1">
      <formula>OR(AND(LEFT($A257, 14)="sensor_stream ", LEN($A257)&gt;14, NOT(ISNUMBER(SEARCH(" ", $A257, 15)))), AND(LEFT($A257, 17)="sensor_statistic ", LEN($A257)&gt;17, NOT(ISNUMBER(SEARCH(" ", $A257, 18)))))</formula>
    </cfRule>
  </conditionalFormatting>
  <conditionalFormatting sqref="A257">
    <cfRule type="expression" dxfId="14" priority="6757" stopIfTrue="1">
      <formula>$A257="comments"</formula>
    </cfRule>
  </conditionalFormatting>
  <conditionalFormatting sqref="A257">
    <cfRule type="expression" dxfId="15" priority="6758" stopIfTrue="1">
      <formula>OR($A257="audio", $A257="video")</formula>
    </cfRule>
  </conditionalFormatting>
  <conditionalFormatting sqref="A257">
    <cfRule type="expression" dxfId="16" priority="6759" stopIfTrue="1">
      <formula>$A257="image"</formula>
    </cfRule>
  </conditionalFormatting>
  <conditionalFormatting sqref="A257">
    <cfRule type="expression" dxfId="17" priority="6760" stopIfTrue="1">
      <formula>OR($A257="date", $A257="datetime", $A257="time")</formula>
    </cfRule>
  </conditionalFormatting>
  <conditionalFormatting sqref="A257">
    <cfRule type="expression" dxfId="18" priority="6761" stopIfTrue="1">
      <formula>OR($A257="calculate", $A257="calculate_here")</formula>
    </cfRule>
  </conditionalFormatting>
  <conditionalFormatting sqref="A257">
    <cfRule type="expression" dxfId="19" priority="6762" stopIfTrue="1">
      <formula>$A257="note"</formula>
    </cfRule>
  </conditionalFormatting>
  <conditionalFormatting sqref="A257">
    <cfRule type="expression" dxfId="20" priority="6763" stopIfTrue="1">
      <formula>$A257="barcode"</formula>
    </cfRule>
  </conditionalFormatting>
  <conditionalFormatting sqref="A257">
    <cfRule type="expression" dxfId="21" priority="6764" stopIfTrue="1">
      <formula>OR($A257="geopoint", $A257="geoshape", $A257="geotrace")</formula>
    </cfRule>
  </conditionalFormatting>
  <conditionalFormatting sqref="A257">
    <cfRule type="expression" dxfId="22" priority="6765" stopIfTrue="1">
      <formula>OR($A257="audio audit", $A257="text audit", $A257="speed violations count", $A257="speed violations list", $A257="speed violations audit")</formula>
    </cfRule>
  </conditionalFormatting>
  <conditionalFormatting sqref="A257">
    <cfRule type="expression" dxfId="23" priority="6766" stopIfTrue="1">
      <formula>OR($A257="username", $A257="phonenumber", $A257="start", $A257="end", $A257="deviceid", $A257="subscriberid", $A257="simserial", $A257="caseid")</formula>
    </cfRule>
  </conditionalFormatting>
  <conditionalFormatting sqref="A257">
    <cfRule type="expression" dxfId="24" priority="6767" stopIfTrue="1">
      <formula>OR(AND(LEFT($A257, 16)="select_multiple ", LEN($A257)&gt;16, NOT(ISNUMBER(SEARCH(" ", $A257, 17)))), AND(LEFT($A257, 11)="select_one ", LEN($A257)&gt;11, NOT(ISNUMBER(SEARCH(" ", $A257, 12)))))</formula>
    </cfRule>
  </conditionalFormatting>
  <conditionalFormatting sqref="A257">
    <cfRule type="expression" dxfId="25" priority="6768" stopIfTrue="1">
      <formula>$A257="decimal"</formula>
    </cfRule>
  </conditionalFormatting>
  <conditionalFormatting sqref="A257">
    <cfRule type="expression" dxfId="26" priority="6769" stopIfTrue="1">
      <formula>$A257="integer"</formula>
    </cfRule>
  </conditionalFormatting>
  <conditionalFormatting sqref="A257">
    <cfRule type="expression" dxfId="27" priority="6770" stopIfTrue="1">
      <formula>$A257="text"</formula>
    </cfRule>
  </conditionalFormatting>
  <conditionalFormatting sqref="A257">
    <cfRule type="expression" dxfId="28" priority="6771" stopIfTrue="1">
      <formula>$A257="end repeat"</formula>
    </cfRule>
  </conditionalFormatting>
  <conditionalFormatting sqref="A257">
    <cfRule type="expression" dxfId="28" priority="6772" stopIfTrue="1">
      <formula>$A257="begin repeat"</formula>
    </cfRule>
  </conditionalFormatting>
  <conditionalFormatting sqref="A257">
    <cfRule type="expression" dxfId="29" priority="6773" stopIfTrue="1">
      <formula>$A257="end group"</formula>
    </cfRule>
  </conditionalFormatting>
  <conditionalFormatting sqref="A257">
    <cfRule type="expression" dxfId="29" priority="6774" stopIfTrue="1">
      <formula>$A257="begin group"</formula>
    </cfRule>
  </conditionalFormatting>
  <conditionalFormatting sqref="A235:A247">
    <cfRule type="expression" dxfId="33" priority="6775" stopIfTrue="1">
      <formula>$A235="file"</formula>
    </cfRule>
  </conditionalFormatting>
  <conditionalFormatting sqref="A235:A247">
    <cfRule type="expression" dxfId="34" priority="6776" stopIfTrue="1">
      <formula>$A235="enumerator"</formula>
    </cfRule>
  </conditionalFormatting>
  <conditionalFormatting sqref="A235:A247">
    <cfRule type="expression" dxfId="35" priority="6777" stopIfTrue="1">
      <formula>OR(AND(LEFT($A235, 14)="sensor_stream ", LEN($A235)&gt;14, NOT(ISNUMBER(SEARCH(" ", $A235, 15)))), AND(LEFT($A235, 17)="sensor_statistic ", LEN($A235)&gt;17, NOT(ISNUMBER(SEARCH(" ", $A235, 18)))))</formula>
    </cfRule>
  </conditionalFormatting>
  <conditionalFormatting sqref="A235:A247">
    <cfRule type="expression" dxfId="14" priority="6778" stopIfTrue="1">
      <formula>$A235="comments"</formula>
    </cfRule>
  </conditionalFormatting>
  <conditionalFormatting sqref="A235:A247">
    <cfRule type="expression" dxfId="15" priority="6779" stopIfTrue="1">
      <formula>OR($A235="audio", $A235="video")</formula>
    </cfRule>
  </conditionalFormatting>
  <conditionalFormatting sqref="A235:A247">
    <cfRule type="expression" dxfId="16" priority="6780" stopIfTrue="1">
      <formula>$A235="image"</formula>
    </cfRule>
  </conditionalFormatting>
  <conditionalFormatting sqref="A235:A247">
    <cfRule type="expression" dxfId="17" priority="6781" stopIfTrue="1">
      <formula>OR($A235="date", $A235="datetime", $A235="time")</formula>
    </cfRule>
  </conditionalFormatting>
  <conditionalFormatting sqref="A235:A247">
    <cfRule type="expression" dxfId="18" priority="6782" stopIfTrue="1">
      <formula>OR($A235="calculate", $A235="calculate_here")</formula>
    </cfRule>
  </conditionalFormatting>
  <conditionalFormatting sqref="A235:A247">
    <cfRule type="expression" dxfId="19" priority="6783" stopIfTrue="1">
      <formula>$A235="note"</formula>
    </cfRule>
  </conditionalFormatting>
  <conditionalFormatting sqref="A235:A247">
    <cfRule type="expression" dxfId="20" priority="6784" stopIfTrue="1">
      <formula>$A235="barcode"</formula>
    </cfRule>
  </conditionalFormatting>
  <conditionalFormatting sqref="A235:A247">
    <cfRule type="expression" dxfId="21" priority="6785" stopIfTrue="1">
      <formula>OR($A235="geopoint", $A235="geoshape", $A235="geotrace")</formula>
    </cfRule>
  </conditionalFormatting>
  <conditionalFormatting sqref="A235:A247">
    <cfRule type="expression" dxfId="22" priority="6786" stopIfTrue="1">
      <formula>OR($A235="audio audit", $A235="text audit", $A235="speed violations count", $A235="speed violations list", $A235="speed violations audit")</formula>
    </cfRule>
  </conditionalFormatting>
  <conditionalFormatting sqref="A235:A247">
    <cfRule type="expression" dxfId="23" priority="6787" stopIfTrue="1">
      <formula>OR($A235="username", $A235="phonenumber", $A235="start", $A235="end", $A235="deviceid", $A235="subscriberid", $A235="simserial", $A235="caseid")</formula>
    </cfRule>
  </conditionalFormatting>
  <conditionalFormatting sqref="A235:A247">
    <cfRule type="expression" dxfId="24" priority="6788" stopIfTrue="1">
      <formula>OR(AND(LEFT($A235, 16)="select_multiple ", LEN($A235)&gt;16, NOT(ISNUMBER(SEARCH(" ", $A235, 17)))), AND(LEFT($A235, 11)="select_one ", LEN($A235)&gt;11, NOT(ISNUMBER(SEARCH(" ", $A235, 12)))))</formula>
    </cfRule>
  </conditionalFormatting>
  <conditionalFormatting sqref="A235:A247">
    <cfRule type="expression" dxfId="25" priority="6789" stopIfTrue="1">
      <formula>$A235="decimal"</formula>
    </cfRule>
  </conditionalFormatting>
  <conditionalFormatting sqref="A235:A247">
    <cfRule type="expression" dxfId="26" priority="6790" stopIfTrue="1">
      <formula>$A235="integer"</formula>
    </cfRule>
  </conditionalFormatting>
  <conditionalFormatting sqref="A235:A247">
    <cfRule type="expression" dxfId="27" priority="6791" stopIfTrue="1">
      <formula>$A235="text"</formula>
    </cfRule>
  </conditionalFormatting>
  <conditionalFormatting sqref="A235:A247">
    <cfRule type="expression" dxfId="28" priority="6792" stopIfTrue="1">
      <formula>$A235="end repeat"</formula>
    </cfRule>
  </conditionalFormatting>
  <conditionalFormatting sqref="A235:A247">
    <cfRule type="expression" dxfId="28" priority="6793" stopIfTrue="1">
      <formula>$A235="begin repeat"</formula>
    </cfRule>
  </conditionalFormatting>
  <conditionalFormatting sqref="A235:A247">
    <cfRule type="expression" dxfId="29" priority="6794" stopIfTrue="1">
      <formula>$A235="end group"</formula>
    </cfRule>
  </conditionalFormatting>
  <conditionalFormatting sqref="A235:A247">
    <cfRule type="expression" dxfId="29" priority="6795" stopIfTrue="1">
      <formula>$A235="begin group"</formula>
    </cfRule>
  </conditionalFormatting>
  <conditionalFormatting sqref="A221:A228">
    <cfRule type="expression" dxfId="33" priority="6796" stopIfTrue="1">
      <formula>$A221="file"</formula>
    </cfRule>
  </conditionalFormatting>
  <conditionalFormatting sqref="A221:A228">
    <cfRule type="expression" dxfId="34" priority="6797" stopIfTrue="1">
      <formula>$A221="enumerator"</formula>
    </cfRule>
  </conditionalFormatting>
  <conditionalFormatting sqref="A221:A228">
    <cfRule type="expression" dxfId="35" priority="6798" stopIfTrue="1">
      <formula>OR(AND(LEFT($A221, 14)="sensor_stream ", LEN($A221)&gt;14, NOT(ISNUMBER(SEARCH(" ", $A221, 15)))), AND(LEFT($A221, 17)="sensor_statistic ", LEN($A221)&gt;17, NOT(ISNUMBER(SEARCH(" ", $A221, 18)))))</formula>
    </cfRule>
  </conditionalFormatting>
  <conditionalFormatting sqref="A221:A228">
    <cfRule type="expression" dxfId="14" priority="6799" stopIfTrue="1">
      <formula>$A221="comments"</formula>
    </cfRule>
  </conditionalFormatting>
  <conditionalFormatting sqref="A221:A228">
    <cfRule type="expression" dxfId="15" priority="6800" stopIfTrue="1">
      <formula>OR($A221="audio", $A221="video")</formula>
    </cfRule>
  </conditionalFormatting>
  <conditionalFormatting sqref="A221:A228">
    <cfRule type="expression" dxfId="16" priority="6801" stopIfTrue="1">
      <formula>$A221="image"</formula>
    </cfRule>
  </conditionalFormatting>
  <conditionalFormatting sqref="A221:A228">
    <cfRule type="expression" dxfId="17" priority="6802" stopIfTrue="1">
      <formula>OR($A221="date", $A221="datetime", $A221="time")</formula>
    </cfRule>
  </conditionalFormatting>
  <conditionalFormatting sqref="A221:A228">
    <cfRule type="expression" dxfId="18" priority="6803" stopIfTrue="1">
      <formula>OR($A221="calculate", $A221="calculate_here")</formula>
    </cfRule>
  </conditionalFormatting>
  <conditionalFormatting sqref="A221:A228">
    <cfRule type="expression" dxfId="19" priority="6804" stopIfTrue="1">
      <formula>$A221="note"</formula>
    </cfRule>
  </conditionalFormatting>
  <conditionalFormatting sqref="A221:A228">
    <cfRule type="expression" dxfId="20" priority="6805" stopIfTrue="1">
      <formula>$A221="barcode"</formula>
    </cfRule>
  </conditionalFormatting>
  <conditionalFormatting sqref="A221:A228">
    <cfRule type="expression" dxfId="21" priority="6806" stopIfTrue="1">
      <formula>OR($A221="geopoint", $A221="geoshape", $A221="geotrace")</formula>
    </cfRule>
  </conditionalFormatting>
  <conditionalFormatting sqref="A221:A228">
    <cfRule type="expression" dxfId="22" priority="6807" stopIfTrue="1">
      <formula>OR($A221="audio audit", $A221="text audit", $A221="speed violations count", $A221="speed violations list", $A221="speed violations audit")</formula>
    </cfRule>
  </conditionalFormatting>
  <conditionalFormatting sqref="A221:A228">
    <cfRule type="expression" dxfId="23" priority="6808" stopIfTrue="1">
      <formula>OR($A221="username", $A221="phonenumber", $A221="start", $A221="end", $A221="deviceid", $A221="subscriberid", $A221="simserial", $A221="caseid")</formula>
    </cfRule>
  </conditionalFormatting>
  <conditionalFormatting sqref="A221:A228">
    <cfRule type="expression" dxfId="24" priority="6809" stopIfTrue="1">
      <formula>OR(AND(LEFT($A221, 16)="select_multiple ", LEN($A221)&gt;16, NOT(ISNUMBER(SEARCH(" ", $A221, 17)))), AND(LEFT($A221, 11)="select_one ", LEN($A221)&gt;11, NOT(ISNUMBER(SEARCH(" ", $A221, 12)))))</formula>
    </cfRule>
  </conditionalFormatting>
  <conditionalFormatting sqref="A221:A228">
    <cfRule type="expression" dxfId="25" priority="6810" stopIfTrue="1">
      <formula>$A221="decimal"</formula>
    </cfRule>
  </conditionalFormatting>
  <conditionalFormatting sqref="A221:A228">
    <cfRule type="expression" dxfId="26" priority="6811" stopIfTrue="1">
      <formula>$A221="integer"</formula>
    </cfRule>
  </conditionalFormatting>
  <conditionalFormatting sqref="A221:A228">
    <cfRule type="expression" dxfId="27" priority="6812" stopIfTrue="1">
      <formula>$A221="text"</formula>
    </cfRule>
  </conditionalFormatting>
  <conditionalFormatting sqref="A221:A228">
    <cfRule type="expression" dxfId="28" priority="6813" stopIfTrue="1">
      <formula>$A221="end repeat"</formula>
    </cfRule>
  </conditionalFormatting>
  <conditionalFormatting sqref="A221:A228">
    <cfRule type="expression" dxfId="28" priority="6814" stopIfTrue="1">
      <formula>$A221="begin repeat"</formula>
    </cfRule>
  </conditionalFormatting>
  <conditionalFormatting sqref="A221:A228">
    <cfRule type="expression" dxfId="29" priority="6815" stopIfTrue="1">
      <formula>$A221="end group"</formula>
    </cfRule>
  </conditionalFormatting>
  <conditionalFormatting sqref="A221:A228">
    <cfRule type="expression" dxfId="29" priority="6816" stopIfTrue="1">
      <formula>$A221="begin group"</formula>
    </cfRule>
  </conditionalFormatting>
  <conditionalFormatting sqref="A208:A217">
    <cfRule type="expression" dxfId="33" priority="6817" stopIfTrue="1">
      <formula>$A208="file"</formula>
    </cfRule>
  </conditionalFormatting>
  <conditionalFormatting sqref="A208:A217">
    <cfRule type="expression" dxfId="34" priority="6818" stopIfTrue="1">
      <formula>$A208="enumerator"</formula>
    </cfRule>
  </conditionalFormatting>
  <conditionalFormatting sqref="A208:A217">
    <cfRule type="expression" dxfId="35" priority="6819" stopIfTrue="1">
      <formula>OR(AND(LEFT($A208, 14)="sensor_stream ", LEN($A208)&gt;14, NOT(ISNUMBER(SEARCH(" ", $A208, 15)))), AND(LEFT($A208, 17)="sensor_statistic ", LEN($A208)&gt;17, NOT(ISNUMBER(SEARCH(" ", $A208, 18)))))</formula>
    </cfRule>
  </conditionalFormatting>
  <conditionalFormatting sqref="A208:A217">
    <cfRule type="expression" dxfId="14" priority="6820" stopIfTrue="1">
      <formula>$A208="comments"</formula>
    </cfRule>
  </conditionalFormatting>
  <conditionalFormatting sqref="A208:A217">
    <cfRule type="expression" dxfId="15" priority="6821" stopIfTrue="1">
      <formula>OR($A208="audio", $A208="video")</formula>
    </cfRule>
  </conditionalFormatting>
  <conditionalFormatting sqref="A208:A217">
    <cfRule type="expression" dxfId="16" priority="6822" stopIfTrue="1">
      <formula>$A208="image"</formula>
    </cfRule>
  </conditionalFormatting>
  <conditionalFormatting sqref="A208:A217">
    <cfRule type="expression" dxfId="17" priority="6823" stopIfTrue="1">
      <formula>OR($A208="date", $A208="datetime", $A208="time")</formula>
    </cfRule>
  </conditionalFormatting>
  <conditionalFormatting sqref="A208:A217">
    <cfRule type="expression" dxfId="18" priority="6824" stopIfTrue="1">
      <formula>OR($A208="calculate", $A208="calculate_here")</formula>
    </cfRule>
  </conditionalFormatting>
  <conditionalFormatting sqref="A208:A217">
    <cfRule type="expression" dxfId="19" priority="6825" stopIfTrue="1">
      <formula>$A208="note"</formula>
    </cfRule>
  </conditionalFormatting>
  <conditionalFormatting sqref="A208:A217">
    <cfRule type="expression" dxfId="20" priority="6826" stopIfTrue="1">
      <formula>$A208="barcode"</formula>
    </cfRule>
  </conditionalFormatting>
  <conditionalFormatting sqref="A208:A217">
    <cfRule type="expression" dxfId="21" priority="6827" stopIfTrue="1">
      <formula>OR($A208="geopoint", $A208="geoshape", $A208="geotrace")</formula>
    </cfRule>
  </conditionalFormatting>
  <conditionalFormatting sqref="A208:A217">
    <cfRule type="expression" dxfId="22" priority="6828" stopIfTrue="1">
      <formula>OR($A208="audio audit", $A208="text audit", $A208="speed violations count", $A208="speed violations list", $A208="speed violations audit")</formula>
    </cfRule>
  </conditionalFormatting>
  <conditionalFormatting sqref="A208:A217">
    <cfRule type="expression" dxfId="23" priority="6829" stopIfTrue="1">
      <formula>OR($A208="username", $A208="phonenumber", $A208="start", $A208="end", $A208="deviceid", $A208="subscriberid", $A208="simserial", $A208="caseid")</formula>
    </cfRule>
  </conditionalFormatting>
  <conditionalFormatting sqref="A208:A217">
    <cfRule type="expression" dxfId="24" priority="6830" stopIfTrue="1">
      <formula>OR(AND(LEFT($A208, 16)="select_multiple ", LEN($A208)&gt;16, NOT(ISNUMBER(SEARCH(" ", $A208, 17)))), AND(LEFT($A208, 11)="select_one ", LEN($A208)&gt;11, NOT(ISNUMBER(SEARCH(" ", $A208, 12)))))</formula>
    </cfRule>
  </conditionalFormatting>
  <conditionalFormatting sqref="A208:A217">
    <cfRule type="expression" dxfId="25" priority="6831" stopIfTrue="1">
      <formula>$A208="decimal"</formula>
    </cfRule>
  </conditionalFormatting>
  <conditionalFormatting sqref="A208:A217">
    <cfRule type="expression" dxfId="26" priority="6832" stopIfTrue="1">
      <formula>$A208="integer"</formula>
    </cfRule>
  </conditionalFormatting>
  <conditionalFormatting sqref="A208:A217">
    <cfRule type="expression" dxfId="27" priority="6833" stopIfTrue="1">
      <formula>$A208="text"</formula>
    </cfRule>
  </conditionalFormatting>
  <conditionalFormatting sqref="A208:A217">
    <cfRule type="expression" dxfId="28" priority="6834" stopIfTrue="1">
      <formula>$A208="end repeat"</formula>
    </cfRule>
  </conditionalFormatting>
  <conditionalFormatting sqref="A208:A217">
    <cfRule type="expression" dxfId="28" priority="6835" stopIfTrue="1">
      <formula>$A208="begin repeat"</formula>
    </cfRule>
  </conditionalFormatting>
  <conditionalFormatting sqref="A208:A217">
    <cfRule type="expression" dxfId="29" priority="6836" stopIfTrue="1">
      <formula>$A208="end group"</formula>
    </cfRule>
  </conditionalFormatting>
  <conditionalFormatting sqref="A208:A217">
    <cfRule type="expression" dxfId="29" priority="6837" stopIfTrue="1">
      <formula>$A208="begin group"</formula>
    </cfRule>
  </conditionalFormatting>
  <conditionalFormatting sqref="A201:A202">
    <cfRule type="expression" dxfId="33" priority="6838" stopIfTrue="1">
      <formula>$A201="file"</formula>
    </cfRule>
  </conditionalFormatting>
  <conditionalFormatting sqref="A201:A202">
    <cfRule type="expression" dxfId="34" priority="6839" stopIfTrue="1">
      <formula>$A201="enumerator"</formula>
    </cfRule>
  </conditionalFormatting>
  <conditionalFormatting sqref="A201:A202">
    <cfRule type="expression" dxfId="35" priority="6840" stopIfTrue="1">
      <formula>OR(AND(LEFT($A201, 14)="sensor_stream ", LEN($A201)&gt;14, NOT(ISNUMBER(SEARCH(" ", $A201, 15)))), AND(LEFT($A201, 17)="sensor_statistic ", LEN($A201)&gt;17, NOT(ISNUMBER(SEARCH(" ", $A201, 18)))))</formula>
    </cfRule>
  </conditionalFormatting>
  <conditionalFormatting sqref="A201:A202">
    <cfRule type="expression" dxfId="14" priority="6841" stopIfTrue="1">
      <formula>$A201="comments"</formula>
    </cfRule>
  </conditionalFormatting>
  <conditionalFormatting sqref="A201:A202">
    <cfRule type="expression" dxfId="15" priority="6842" stopIfTrue="1">
      <formula>OR($A201="audio", $A201="video")</formula>
    </cfRule>
  </conditionalFormatting>
  <conditionalFormatting sqref="A201:A202">
    <cfRule type="expression" dxfId="16" priority="6843" stopIfTrue="1">
      <formula>$A201="image"</formula>
    </cfRule>
  </conditionalFormatting>
  <conditionalFormatting sqref="A201:A202">
    <cfRule type="expression" dxfId="17" priority="6844" stopIfTrue="1">
      <formula>OR($A201="date", $A201="datetime", $A201="time")</formula>
    </cfRule>
  </conditionalFormatting>
  <conditionalFormatting sqref="A201:A202">
    <cfRule type="expression" dxfId="18" priority="6845" stopIfTrue="1">
      <formula>OR($A201="calculate", $A201="calculate_here")</formula>
    </cfRule>
  </conditionalFormatting>
  <conditionalFormatting sqref="A201:A202">
    <cfRule type="expression" dxfId="19" priority="6846" stopIfTrue="1">
      <formula>$A201="note"</formula>
    </cfRule>
  </conditionalFormatting>
  <conditionalFormatting sqref="A201:A202">
    <cfRule type="expression" dxfId="20" priority="6847" stopIfTrue="1">
      <formula>$A201="barcode"</formula>
    </cfRule>
  </conditionalFormatting>
  <conditionalFormatting sqref="A201:A202">
    <cfRule type="expression" dxfId="21" priority="6848" stopIfTrue="1">
      <formula>OR($A201="geopoint", $A201="geoshape", $A201="geotrace")</formula>
    </cfRule>
  </conditionalFormatting>
  <conditionalFormatting sqref="A201:A202">
    <cfRule type="expression" dxfId="22" priority="6849" stopIfTrue="1">
      <formula>OR($A201="audio audit", $A201="text audit", $A201="speed violations count", $A201="speed violations list", $A201="speed violations audit")</formula>
    </cfRule>
  </conditionalFormatting>
  <conditionalFormatting sqref="A201:A202">
    <cfRule type="expression" dxfId="23" priority="6850" stopIfTrue="1">
      <formula>OR($A201="username", $A201="phonenumber", $A201="start", $A201="end", $A201="deviceid", $A201="subscriberid", $A201="simserial", $A201="caseid")</formula>
    </cfRule>
  </conditionalFormatting>
  <conditionalFormatting sqref="A201:A202">
    <cfRule type="expression" dxfId="24" priority="6851" stopIfTrue="1">
      <formula>OR(AND(LEFT($A201, 16)="select_multiple ", LEN($A201)&gt;16, NOT(ISNUMBER(SEARCH(" ", $A201, 17)))), AND(LEFT($A201, 11)="select_one ", LEN($A201)&gt;11, NOT(ISNUMBER(SEARCH(" ", $A201, 12)))))</formula>
    </cfRule>
  </conditionalFormatting>
  <conditionalFormatting sqref="A201:A202">
    <cfRule type="expression" dxfId="25" priority="6852" stopIfTrue="1">
      <formula>$A201="decimal"</formula>
    </cfRule>
  </conditionalFormatting>
  <conditionalFormatting sqref="A201:A202">
    <cfRule type="expression" dxfId="26" priority="6853" stopIfTrue="1">
      <formula>$A201="integer"</formula>
    </cfRule>
  </conditionalFormatting>
  <conditionalFormatting sqref="A201:A202">
    <cfRule type="expression" dxfId="27" priority="6854" stopIfTrue="1">
      <formula>$A201="text"</formula>
    </cfRule>
  </conditionalFormatting>
  <conditionalFormatting sqref="A201:A202">
    <cfRule type="expression" dxfId="28" priority="6855" stopIfTrue="1">
      <formula>$A201="end repeat"</formula>
    </cfRule>
  </conditionalFormatting>
  <conditionalFormatting sqref="A201:A202">
    <cfRule type="expression" dxfId="28" priority="6856" stopIfTrue="1">
      <formula>$A201="begin repeat"</formula>
    </cfRule>
  </conditionalFormatting>
  <conditionalFormatting sqref="A201:A202">
    <cfRule type="expression" dxfId="29" priority="6857" stopIfTrue="1">
      <formula>$A201="end group"</formula>
    </cfRule>
  </conditionalFormatting>
  <conditionalFormatting sqref="A201:A202">
    <cfRule type="expression" dxfId="29" priority="6858" stopIfTrue="1">
      <formula>$A201="begin group"</formula>
    </cfRule>
  </conditionalFormatting>
  <conditionalFormatting sqref="A197:A198">
    <cfRule type="expression" dxfId="33" priority="6859" stopIfTrue="1">
      <formula>$A197="file"</formula>
    </cfRule>
  </conditionalFormatting>
  <conditionalFormatting sqref="A197:A198">
    <cfRule type="expression" dxfId="34" priority="6860" stopIfTrue="1">
      <formula>$A197="enumerator"</formula>
    </cfRule>
  </conditionalFormatting>
  <conditionalFormatting sqref="A197:A198">
    <cfRule type="expression" dxfId="35" priority="6861" stopIfTrue="1">
      <formula>OR(AND(LEFT($A197, 14)="sensor_stream ", LEN($A197)&gt;14, NOT(ISNUMBER(SEARCH(" ", $A197, 15)))), AND(LEFT($A197, 17)="sensor_statistic ", LEN($A197)&gt;17, NOT(ISNUMBER(SEARCH(" ", $A197, 18)))))</formula>
    </cfRule>
  </conditionalFormatting>
  <conditionalFormatting sqref="A197:A198">
    <cfRule type="expression" dxfId="14" priority="6862" stopIfTrue="1">
      <formula>$A197="comments"</formula>
    </cfRule>
  </conditionalFormatting>
  <conditionalFormatting sqref="A197:A198">
    <cfRule type="expression" dxfId="15" priority="6863" stopIfTrue="1">
      <formula>OR($A197="audio", $A197="video")</formula>
    </cfRule>
  </conditionalFormatting>
  <conditionalFormatting sqref="A197:A198">
    <cfRule type="expression" dxfId="16" priority="6864" stopIfTrue="1">
      <formula>$A197="image"</formula>
    </cfRule>
  </conditionalFormatting>
  <conditionalFormatting sqref="A197:A198">
    <cfRule type="expression" dxfId="17" priority="6865" stopIfTrue="1">
      <formula>OR($A197="date", $A197="datetime", $A197="time")</formula>
    </cfRule>
  </conditionalFormatting>
  <conditionalFormatting sqref="A197:A198">
    <cfRule type="expression" dxfId="18" priority="6866" stopIfTrue="1">
      <formula>OR($A197="calculate", $A197="calculate_here")</formula>
    </cfRule>
  </conditionalFormatting>
  <conditionalFormatting sqref="A197:A198">
    <cfRule type="expression" dxfId="19" priority="6867" stopIfTrue="1">
      <formula>$A197="note"</formula>
    </cfRule>
  </conditionalFormatting>
  <conditionalFormatting sqref="A197:A198">
    <cfRule type="expression" dxfId="20" priority="6868" stopIfTrue="1">
      <formula>$A197="barcode"</formula>
    </cfRule>
  </conditionalFormatting>
  <conditionalFormatting sqref="A197:A198">
    <cfRule type="expression" dxfId="21" priority="6869" stopIfTrue="1">
      <formula>OR($A197="geopoint", $A197="geoshape", $A197="geotrace")</formula>
    </cfRule>
  </conditionalFormatting>
  <conditionalFormatting sqref="A197:A198">
    <cfRule type="expression" dxfId="22" priority="6870" stopIfTrue="1">
      <formula>OR($A197="audio audit", $A197="text audit", $A197="speed violations count", $A197="speed violations list", $A197="speed violations audit")</formula>
    </cfRule>
  </conditionalFormatting>
  <conditionalFormatting sqref="A197:A198">
    <cfRule type="expression" dxfId="23" priority="6871" stopIfTrue="1">
      <formula>OR($A197="username", $A197="phonenumber", $A197="start", $A197="end", $A197="deviceid", $A197="subscriberid", $A197="simserial", $A197="caseid")</formula>
    </cfRule>
  </conditionalFormatting>
  <conditionalFormatting sqref="A197:A198">
    <cfRule type="expression" dxfId="24" priority="6872" stopIfTrue="1">
      <formula>OR(AND(LEFT($A197, 16)="select_multiple ", LEN($A197)&gt;16, NOT(ISNUMBER(SEARCH(" ", $A197, 17)))), AND(LEFT($A197, 11)="select_one ", LEN($A197)&gt;11, NOT(ISNUMBER(SEARCH(" ", $A197, 12)))))</formula>
    </cfRule>
  </conditionalFormatting>
  <conditionalFormatting sqref="A197:A198">
    <cfRule type="expression" dxfId="25" priority="6873" stopIfTrue="1">
      <formula>$A197="decimal"</formula>
    </cfRule>
  </conditionalFormatting>
  <conditionalFormatting sqref="A197:A198">
    <cfRule type="expression" dxfId="26" priority="6874" stopIfTrue="1">
      <formula>$A197="integer"</formula>
    </cfRule>
  </conditionalFormatting>
  <conditionalFormatting sqref="A197:A198">
    <cfRule type="expression" dxfId="27" priority="6875" stopIfTrue="1">
      <formula>$A197="text"</formula>
    </cfRule>
  </conditionalFormatting>
  <conditionalFormatting sqref="A197:A198">
    <cfRule type="expression" dxfId="28" priority="6876" stopIfTrue="1">
      <formula>$A197="end repeat"</formula>
    </cfRule>
  </conditionalFormatting>
  <conditionalFormatting sqref="A197:A198">
    <cfRule type="expression" dxfId="28" priority="6877" stopIfTrue="1">
      <formula>$A197="begin repeat"</formula>
    </cfRule>
  </conditionalFormatting>
  <conditionalFormatting sqref="A197:A198">
    <cfRule type="expression" dxfId="29" priority="6878" stopIfTrue="1">
      <formula>$A197="end group"</formula>
    </cfRule>
  </conditionalFormatting>
  <conditionalFormatting sqref="A197:A198">
    <cfRule type="expression" dxfId="29" priority="6879" stopIfTrue="1">
      <formula>$A197="begin group"</formula>
    </cfRule>
  </conditionalFormatting>
  <conditionalFormatting sqref="A191:A195">
    <cfRule type="expression" dxfId="33" priority="6880" stopIfTrue="1">
      <formula>$A191="file"</formula>
    </cfRule>
  </conditionalFormatting>
  <conditionalFormatting sqref="A191:A195">
    <cfRule type="expression" dxfId="34" priority="6881" stopIfTrue="1">
      <formula>$A191="enumerator"</formula>
    </cfRule>
  </conditionalFormatting>
  <conditionalFormatting sqref="A191:A195">
    <cfRule type="expression" dxfId="35" priority="6882" stopIfTrue="1">
      <formula>OR(AND(LEFT($A191, 14)="sensor_stream ", LEN($A191)&gt;14, NOT(ISNUMBER(SEARCH(" ", $A191, 15)))), AND(LEFT($A191, 17)="sensor_statistic ", LEN($A191)&gt;17, NOT(ISNUMBER(SEARCH(" ", $A191, 18)))))</formula>
    </cfRule>
  </conditionalFormatting>
  <conditionalFormatting sqref="A191:A195">
    <cfRule type="expression" dxfId="14" priority="6883" stopIfTrue="1">
      <formula>$A191="comments"</formula>
    </cfRule>
  </conditionalFormatting>
  <conditionalFormatting sqref="A191:A195">
    <cfRule type="expression" dxfId="15" priority="6884" stopIfTrue="1">
      <formula>OR($A191="audio", $A191="video")</formula>
    </cfRule>
  </conditionalFormatting>
  <conditionalFormatting sqref="A191:A195">
    <cfRule type="expression" dxfId="16" priority="6885" stopIfTrue="1">
      <formula>$A191="image"</formula>
    </cfRule>
  </conditionalFormatting>
  <conditionalFormatting sqref="A191:A195">
    <cfRule type="expression" dxfId="17" priority="6886" stopIfTrue="1">
      <formula>OR($A191="date", $A191="datetime", $A191="time")</formula>
    </cfRule>
  </conditionalFormatting>
  <conditionalFormatting sqref="A191:A195">
    <cfRule type="expression" dxfId="18" priority="6887" stopIfTrue="1">
      <formula>OR($A191="calculate", $A191="calculate_here")</formula>
    </cfRule>
  </conditionalFormatting>
  <conditionalFormatting sqref="A191:A195">
    <cfRule type="expression" dxfId="19" priority="6888" stopIfTrue="1">
      <formula>$A191="note"</formula>
    </cfRule>
  </conditionalFormatting>
  <conditionalFormatting sqref="A191:A195">
    <cfRule type="expression" dxfId="20" priority="6889" stopIfTrue="1">
      <formula>$A191="barcode"</formula>
    </cfRule>
  </conditionalFormatting>
  <conditionalFormatting sqref="A191:A195">
    <cfRule type="expression" dxfId="21" priority="6890" stopIfTrue="1">
      <formula>OR($A191="geopoint", $A191="geoshape", $A191="geotrace")</formula>
    </cfRule>
  </conditionalFormatting>
  <conditionalFormatting sqref="A191:A195">
    <cfRule type="expression" dxfId="22" priority="6891" stopIfTrue="1">
      <formula>OR($A191="audio audit", $A191="text audit", $A191="speed violations count", $A191="speed violations list", $A191="speed violations audit")</formula>
    </cfRule>
  </conditionalFormatting>
  <conditionalFormatting sqref="A191:A195">
    <cfRule type="expression" dxfId="23" priority="6892" stopIfTrue="1">
      <formula>OR($A191="username", $A191="phonenumber", $A191="start", $A191="end", $A191="deviceid", $A191="subscriberid", $A191="simserial", $A191="caseid")</formula>
    </cfRule>
  </conditionalFormatting>
  <conditionalFormatting sqref="A191:A195">
    <cfRule type="expression" dxfId="24" priority="6893" stopIfTrue="1">
      <formula>OR(AND(LEFT($A191, 16)="select_multiple ", LEN($A191)&gt;16, NOT(ISNUMBER(SEARCH(" ", $A191, 17)))), AND(LEFT($A191, 11)="select_one ", LEN($A191)&gt;11, NOT(ISNUMBER(SEARCH(" ", $A191, 12)))))</formula>
    </cfRule>
  </conditionalFormatting>
  <conditionalFormatting sqref="A191:A195">
    <cfRule type="expression" dxfId="25" priority="6894" stopIfTrue="1">
      <formula>$A191="decimal"</formula>
    </cfRule>
  </conditionalFormatting>
  <conditionalFormatting sqref="A191:A195">
    <cfRule type="expression" dxfId="26" priority="6895" stopIfTrue="1">
      <formula>$A191="integer"</formula>
    </cfRule>
  </conditionalFormatting>
  <conditionalFormatting sqref="A191:A195">
    <cfRule type="expression" dxfId="27" priority="6896" stopIfTrue="1">
      <formula>$A191="text"</formula>
    </cfRule>
  </conditionalFormatting>
  <conditionalFormatting sqref="A191:A195">
    <cfRule type="expression" dxfId="28" priority="6897" stopIfTrue="1">
      <formula>$A191="end repeat"</formula>
    </cfRule>
  </conditionalFormatting>
  <conditionalFormatting sqref="A191:A195">
    <cfRule type="expression" dxfId="28" priority="6898" stopIfTrue="1">
      <formula>$A191="begin repeat"</formula>
    </cfRule>
  </conditionalFormatting>
  <conditionalFormatting sqref="A191:A195">
    <cfRule type="expression" dxfId="29" priority="6899" stopIfTrue="1">
      <formula>$A191="end group"</formula>
    </cfRule>
  </conditionalFormatting>
  <conditionalFormatting sqref="A191:A195">
    <cfRule type="expression" dxfId="29" priority="6900" stopIfTrue="1">
      <formula>$A191="begin group"</formula>
    </cfRule>
  </conditionalFormatting>
  <conditionalFormatting sqref="A186:A189">
    <cfRule type="expression" dxfId="33" priority="6901" stopIfTrue="1">
      <formula>$A186="file"</formula>
    </cfRule>
  </conditionalFormatting>
  <conditionalFormatting sqref="A186:A189">
    <cfRule type="expression" dxfId="34" priority="6902" stopIfTrue="1">
      <formula>$A186="enumerator"</formula>
    </cfRule>
  </conditionalFormatting>
  <conditionalFormatting sqref="A186:A189">
    <cfRule type="expression" dxfId="35" priority="6903" stopIfTrue="1">
      <formula>OR(AND(LEFT($A186, 14)="sensor_stream ", LEN($A186)&gt;14, NOT(ISNUMBER(SEARCH(" ", $A186, 15)))), AND(LEFT($A186, 17)="sensor_statistic ", LEN($A186)&gt;17, NOT(ISNUMBER(SEARCH(" ", $A186, 18)))))</formula>
    </cfRule>
  </conditionalFormatting>
  <conditionalFormatting sqref="A186:A189">
    <cfRule type="expression" dxfId="14" priority="6904" stopIfTrue="1">
      <formula>$A186="comments"</formula>
    </cfRule>
  </conditionalFormatting>
  <conditionalFormatting sqref="A186:A189">
    <cfRule type="expression" dxfId="15" priority="6905" stopIfTrue="1">
      <formula>OR($A186="audio", $A186="video")</formula>
    </cfRule>
  </conditionalFormatting>
  <conditionalFormatting sqref="A186:A189">
    <cfRule type="expression" dxfId="16" priority="6906" stopIfTrue="1">
      <formula>$A186="image"</formula>
    </cfRule>
  </conditionalFormatting>
  <conditionalFormatting sqref="A186:A189">
    <cfRule type="expression" dxfId="17" priority="6907" stopIfTrue="1">
      <formula>OR($A186="date", $A186="datetime", $A186="time")</formula>
    </cfRule>
  </conditionalFormatting>
  <conditionalFormatting sqref="A186:A189">
    <cfRule type="expression" dxfId="18" priority="6908" stopIfTrue="1">
      <formula>OR($A186="calculate", $A186="calculate_here")</formula>
    </cfRule>
  </conditionalFormatting>
  <conditionalFormatting sqref="A186:A189">
    <cfRule type="expression" dxfId="19" priority="6909" stopIfTrue="1">
      <formula>$A186="note"</formula>
    </cfRule>
  </conditionalFormatting>
  <conditionalFormatting sqref="A186:A189">
    <cfRule type="expression" dxfId="20" priority="6910" stopIfTrue="1">
      <formula>$A186="barcode"</formula>
    </cfRule>
  </conditionalFormatting>
  <conditionalFormatting sqref="A186:A189">
    <cfRule type="expression" dxfId="21" priority="6911" stopIfTrue="1">
      <formula>OR($A186="geopoint", $A186="geoshape", $A186="geotrace")</formula>
    </cfRule>
  </conditionalFormatting>
  <conditionalFormatting sqref="A186:A189">
    <cfRule type="expression" dxfId="22" priority="6912" stopIfTrue="1">
      <formula>OR($A186="audio audit", $A186="text audit", $A186="speed violations count", $A186="speed violations list", $A186="speed violations audit")</formula>
    </cfRule>
  </conditionalFormatting>
  <conditionalFormatting sqref="A186:A189">
    <cfRule type="expression" dxfId="23" priority="6913" stopIfTrue="1">
      <formula>OR($A186="username", $A186="phonenumber", $A186="start", $A186="end", $A186="deviceid", $A186="subscriberid", $A186="simserial", $A186="caseid")</formula>
    </cfRule>
  </conditionalFormatting>
  <conditionalFormatting sqref="A186:A189">
    <cfRule type="expression" dxfId="24" priority="6914" stopIfTrue="1">
      <formula>OR(AND(LEFT($A186, 16)="select_multiple ", LEN($A186)&gt;16, NOT(ISNUMBER(SEARCH(" ", $A186, 17)))), AND(LEFT($A186, 11)="select_one ", LEN($A186)&gt;11, NOT(ISNUMBER(SEARCH(" ", $A186, 12)))))</formula>
    </cfRule>
  </conditionalFormatting>
  <conditionalFormatting sqref="A186:A189">
    <cfRule type="expression" dxfId="25" priority="6915" stopIfTrue="1">
      <formula>$A186="decimal"</formula>
    </cfRule>
  </conditionalFormatting>
  <conditionalFormatting sqref="A186:A189">
    <cfRule type="expression" dxfId="26" priority="6916" stopIfTrue="1">
      <formula>$A186="integer"</formula>
    </cfRule>
  </conditionalFormatting>
  <conditionalFormatting sqref="A186:A189">
    <cfRule type="expression" dxfId="27" priority="6917" stopIfTrue="1">
      <formula>$A186="text"</formula>
    </cfRule>
  </conditionalFormatting>
  <conditionalFormatting sqref="A186:A189">
    <cfRule type="expression" dxfId="28" priority="6918" stopIfTrue="1">
      <formula>$A186="end repeat"</formula>
    </cfRule>
  </conditionalFormatting>
  <conditionalFormatting sqref="A186:A189">
    <cfRule type="expression" dxfId="28" priority="6919" stopIfTrue="1">
      <formula>$A186="begin repeat"</formula>
    </cfRule>
  </conditionalFormatting>
  <conditionalFormatting sqref="A186:A189">
    <cfRule type="expression" dxfId="29" priority="6920" stopIfTrue="1">
      <formula>$A186="end group"</formula>
    </cfRule>
  </conditionalFormatting>
  <conditionalFormatting sqref="A186:A189">
    <cfRule type="expression" dxfId="29" priority="6921" stopIfTrue="1">
      <formula>$A186="begin group"</formula>
    </cfRule>
  </conditionalFormatting>
  <conditionalFormatting sqref="A178:A183">
    <cfRule type="expression" dxfId="33" priority="6922" stopIfTrue="1">
      <formula>$A178="file"</formula>
    </cfRule>
  </conditionalFormatting>
  <conditionalFormatting sqref="A178:A183">
    <cfRule type="expression" dxfId="34" priority="6923" stopIfTrue="1">
      <formula>$A178="enumerator"</formula>
    </cfRule>
  </conditionalFormatting>
  <conditionalFormatting sqref="A178:A183">
    <cfRule type="expression" dxfId="35" priority="6924" stopIfTrue="1">
      <formula>OR(AND(LEFT($A178, 14)="sensor_stream ", LEN($A178)&gt;14, NOT(ISNUMBER(SEARCH(" ", $A178, 15)))), AND(LEFT($A178, 17)="sensor_statistic ", LEN($A178)&gt;17, NOT(ISNUMBER(SEARCH(" ", $A178, 18)))))</formula>
    </cfRule>
  </conditionalFormatting>
  <conditionalFormatting sqref="A178:A183">
    <cfRule type="expression" dxfId="14" priority="6925" stopIfTrue="1">
      <formula>$A178="comments"</formula>
    </cfRule>
  </conditionalFormatting>
  <conditionalFormatting sqref="A178:A183">
    <cfRule type="expression" dxfId="15" priority="6926" stopIfTrue="1">
      <formula>OR($A178="audio", $A178="video")</formula>
    </cfRule>
  </conditionalFormatting>
  <conditionalFormatting sqref="A178:A183">
    <cfRule type="expression" dxfId="16" priority="6927" stopIfTrue="1">
      <formula>$A178="image"</formula>
    </cfRule>
  </conditionalFormatting>
  <conditionalFormatting sqref="A178:A183">
    <cfRule type="expression" dxfId="17" priority="6928" stopIfTrue="1">
      <formula>OR($A178="date", $A178="datetime", $A178="time")</formula>
    </cfRule>
  </conditionalFormatting>
  <conditionalFormatting sqref="A178:A183">
    <cfRule type="expression" dxfId="18" priority="6929" stopIfTrue="1">
      <formula>OR($A178="calculate", $A178="calculate_here")</formula>
    </cfRule>
  </conditionalFormatting>
  <conditionalFormatting sqref="A178:A183">
    <cfRule type="expression" dxfId="19" priority="6930" stopIfTrue="1">
      <formula>$A178="note"</formula>
    </cfRule>
  </conditionalFormatting>
  <conditionalFormatting sqref="A178:A183">
    <cfRule type="expression" dxfId="20" priority="6931" stopIfTrue="1">
      <formula>$A178="barcode"</formula>
    </cfRule>
  </conditionalFormatting>
  <conditionalFormatting sqref="A178:A183">
    <cfRule type="expression" dxfId="21" priority="6932" stopIfTrue="1">
      <formula>OR($A178="geopoint", $A178="geoshape", $A178="geotrace")</formula>
    </cfRule>
  </conditionalFormatting>
  <conditionalFormatting sqref="A178:A183">
    <cfRule type="expression" dxfId="22" priority="6933" stopIfTrue="1">
      <formula>OR($A178="audio audit", $A178="text audit", $A178="speed violations count", $A178="speed violations list", $A178="speed violations audit")</formula>
    </cfRule>
  </conditionalFormatting>
  <conditionalFormatting sqref="A178:A183">
    <cfRule type="expression" dxfId="23" priority="6934" stopIfTrue="1">
      <formula>OR($A178="username", $A178="phonenumber", $A178="start", $A178="end", $A178="deviceid", $A178="subscriberid", $A178="simserial", $A178="caseid")</formula>
    </cfRule>
  </conditionalFormatting>
  <conditionalFormatting sqref="A178:A183">
    <cfRule type="expression" dxfId="24" priority="6935" stopIfTrue="1">
      <formula>OR(AND(LEFT($A178, 16)="select_multiple ", LEN($A178)&gt;16, NOT(ISNUMBER(SEARCH(" ", $A178, 17)))), AND(LEFT($A178, 11)="select_one ", LEN($A178)&gt;11, NOT(ISNUMBER(SEARCH(" ", $A178, 12)))))</formula>
    </cfRule>
  </conditionalFormatting>
  <conditionalFormatting sqref="A178:A183">
    <cfRule type="expression" dxfId="25" priority="6936" stopIfTrue="1">
      <formula>$A178="decimal"</formula>
    </cfRule>
  </conditionalFormatting>
  <conditionalFormatting sqref="A178:A183">
    <cfRule type="expression" dxfId="26" priority="6937" stopIfTrue="1">
      <formula>$A178="integer"</formula>
    </cfRule>
  </conditionalFormatting>
  <conditionalFormatting sqref="A178:A183">
    <cfRule type="expression" dxfId="27" priority="6938" stopIfTrue="1">
      <formula>$A178="text"</formula>
    </cfRule>
  </conditionalFormatting>
  <conditionalFormatting sqref="A178:A183">
    <cfRule type="expression" dxfId="28" priority="6939" stopIfTrue="1">
      <formula>$A178="end repeat"</formula>
    </cfRule>
  </conditionalFormatting>
  <conditionalFormatting sqref="A178:A183">
    <cfRule type="expression" dxfId="28" priority="6940" stopIfTrue="1">
      <formula>$A178="begin repeat"</formula>
    </cfRule>
  </conditionalFormatting>
  <conditionalFormatting sqref="A178:A183">
    <cfRule type="expression" dxfId="29" priority="6941" stopIfTrue="1">
      <formula>$A178="end group"</formula>
    </cfRule>
  </conditionalFormatting>
  <conditionalFormatting sqref="A178:A183">
    <cfRule type="expression" dxfId="29" priority="6942" stopIfTrue="1">
      <formula>$A178="begin group"</formula>
    </cfRule>
  </conditionalFormatting>
  <conditionalFormatting sqref="A149:A173">
    <cfRule type="expression" dxfId="33" priority="6943" stopIfTrue="1">
      <formula>$A149="file"</formula>
    </cfRule>
  </conditionalFormatting>
  <conditionalFormatting sqref="A149:A173">
    <cfRule type="expression" dxfId="34" priority="6944" stopIfTrue="1">
      <formula>$A149="enumerator"</formula>
    </cfRule>
  </conditionalFormatting>
  <conditionalFormatting sqref="A149:A173">
    <cfRule type="expression" dxfId="35" priority="6945" stopIfTrue="1">
      <formula>OR(AND(LEFT($A149, 14)="sensor_stream ", LEN($A149)&gt;14, NOT(ISNUMBER(SEARCH(" ", $A149, 15)))), AND(LEFT($A149, 17)="sensor_statistic ", LEN($A149)&gt;17, NOT(ISNUMBER(SEARCH(" ", $A149, 18)))))</formula>
    </cfRule>
  </conditionalFormatting>
  <conditionalFormatting sqref="A149:A173">
    <cfRule type="expression" dxfId="14" priority="6946" stopIfTrue="1">
      <formula>$A149="comments"</formula>
    </cfRule>
  </conditionalFormatting>
  <conditionalFormatting sqref="A149:A173">
    <cfRule type="expression" dxfId="15" priority="6947" stopIfTrue="1">
      <formula>OR($A149="audio", $A149="video")</formula>
    </cfRule>
  </conditionalFormatting>
  <conditionalFormatting sqref="A149:A173">
    <cfRule type="expression" dxfId="16" priority="6948" stopIfTrue="1">
      <formula>$A149="image"</formula>
    </cfRule>
  </conditionalFormatting>
  <conditionalFormatting sqref="A149:A173">
    <cfRule type="expression" dxfId="17" priority="6949" stopIfTrue="1">
      <formula>OR($A149="date", $A149="datetime", $A149="time")</formula>
    </cfRule>
  </conditionalFormatting>
  <conditionalFormatting sqref="A149:A173">
    <cfRule type="expression" dxfId="18" priority="6950" stopIfTrue="1">
      <formula>OR($A149="calculate", $A149="calculate_here")</formula>
    </cfRule>
  </conditionalFormatting>
  <conditionalFormatting sqref="A149:A173">
    <cfRule type="expression" dxfId="19" priority="6951" stopIfTrue="1">
      <formula>$A149="note"</formula>
    </cfRule>
  </conditionalFormatting>
  <conditionalFormatting sqref="A149:A173">
    <cfRule type="expression" dxfId="20" priority="6952" stopIfTrue="1">
      <formula>$A149="barcode"</formula>
    </cfRule>
  </conditionalFormatting>
  <conditionalFormatting sqref="A149:A173">
    <cfRule type="expression" dxfId="21" priority="6953" stopIfTrue="1">
      <formula>OR($A149="geopoint", $A149="geoshape", $A149="geotrace")</formula>
    </cfRule>
  </conditionalFormatting>
  <conditionalFormatting sqref="A149:A173">
    <cfRule type="expression" dxfId="22" priority="6954" stopIfTrue="1">
      <formula>OR($A149="audio audit", $A149="text audit", $A149="speed violations count", $A149="speed violations list", $A149="speed violations audit")</formula>
    </cfRule>
  </conditionalFormatting>
  <conditionalFormatting sqref="A149:A173">
    <cfRule type="expression" dxfId="23" priority="6955" stopIfTrue="1">
      <formula>OR($A149="username", $A149="phonenumber", $A149="start", $A149="end", $A149="deviceid", $A149="subscriberid", $A149="simserial", $A149="caseid")</formula>
    </cfRule>
  </conditionalFormatting>
  <conditionalFormatting sqref="A149:A173">
    <cfRule type="expression" dxfId="24" priority="6956" stopIfTrue="1">
      <formula>OR(AND(LEFT($A149, 16)="select_multiple ", LEN($A149)&gt;16, NOT(ISNUMBER(SEARCH(" ", $A149, 17)))), AND(LEFT($A149, 11)="select_one ", LEN($A149)&gt;11, NOT(ISNUMBER(SEARCH(" ", $A149, 12)))))</formula>
    </cfRule>
  </conditionalFormatting>
  <conditionalFormatting sqref="A149:A173">
    <cfRule type="expression" dxfId="25" priority="6957" stopIfTrue="1">
      <formula>$A149="decimal"</formula>
    </cfRule>
  </conditionalFormatting>
  <conditionalFormatting sqref="A149:A173">
    <cfRule type="expression" dxfId="26" priority="6958" stopIfTrue="1">
      <formula>$A149="integer"</formula>
    </cfRule>
  </conditionalFormatting>
  <conditionalFormatting sqref="A149:A173">
    <cfRule type="expression" dxfId="27" priority="6959" stopIfTrue="1">
      <formula>$A149="text"</formula>
    </cfRule>
  </conditionalFormatting>
  <conditionalFormatting sqref="A149:A173">
    <cfRule type="expression" dxfId="28" priority="6960" stopIfTrue="1">
      <formula>$A149="end repeat"</formula>
    </cfRule>
  </conditionalFormatting>
  <conditionalFormatting sqref="A149:A173">
    <cfRule type="expression" dxfId="28" priority="6961" stopIfTrue="1">
      <formula>$A149="begin repeat"</formula>
    </cfRule>
  </conditionalFormatting>
  <conditionalFormatting sqref="A149:A173">
    <cfRule type="expression" dxfId="29" priority="6962" stopIfTrue="1">
      <formula>$A149="end group"</formula>
    </cfRule>
  </conditionalFormatting>
  <conditionalFormatting sqref="A149:A173">
    <cfRule type="expression" dxfId="29" priority="6963" stopIfTrue="1">
      <formula>$A149="begin group"</formula>
    </cfRule>
  </conditionalFormatting>
  <conditionalFormatting sqref="A138:A142">
    <cfRule type="expression" dxfId="33" priority="6964" stopIfTrue="1">
      <formula>$A138="file"</formula>
    </cfRule>
  </conditionalFormatting>
  <conditionalFormatting sqref="A138:A142">
    <cfRule type="expression" dxfId="34" priority="6965" stopIfTrue="1">
      <formula>$A138="enumerator"</formula>
    </cfRule>
  </conditionalFormatting>
  <conditionalFormatting sqref="A138:A142">
    <cfRule type="expression" dxfId="35" priority="6966" stopIfTrue="1">
      <formula>OR(AND(LEFT($A138, 14)="sensor_stream ", LEN($A138)&gt;14, NOT(ISNUMBER(SEARCH(" ", $A138, 15)))), AND(LEFT($A138, 17)="sensor_statistic ", LEN($A138)&gt;17, NOT(ISNUMBER(SEARCH(" ", $A138, 18)))))</formula>
    </cfRule>
  </conditionalFormatting>
  <conditionalFormatting sqref="A138:A142">
    <cfRule type="expression" dxfId="14" priority="6967" stopIfTrue="1">
      <formula>$A138="comments"</formula>
    </cfRule>
  </conditionalFormatting>
  <conditionalFormatting sqref="A138:A142">
    <cfRule type="expression" dxfId="15" priority="6968" stopIfTrue="1">
      <formula>OR($A138="audio", $A138="video")</formula>
    </cfRule>
  </conditionalFormatting>
  <conditionalFormatting sqref="A138:A142">
    <cfRule type="expression" dxfId="16" priority="6969" stopIfTrue="1">
      <formula>$A138="image"</formula>
    </cfRule>
  </conditionalFormatting>
  <conditionalFormatting sqref="A138:A142">
    <cfRule type="expression" dxfId="17" priority="6970" stopIfTrue="1">
      <formula>OR($A138="date", $A138="datetime", $A138="time")</formula>
    </cfRule>
  </conditionalFormatting>
  <conditionalFormatting sqref="A138:A142">
    <cfRule type="expression" dxfId="18" priority="6971" stopIfTrue="1">
      <formula>OR($A138="calculate", $A138="calculate_here")</formula>
    </cfRule>
  </conditionalFormatting>
  <conditionalFormatting sqref="A138:A142">
    <cfRule type="expression" dxfId="19" priority="6972" stopIfTrue="1">
      <formula>$A138="note"</formula>
    </cfRule>
  </conditionalFormatting>
  <conditionalFormatting sqref="A138:A142">
    <cfRule type="expression" dxfId="20" priority="6973" stopIfTrue="1">
      <formula>$A138="barcode"</formula>
    </cfRule>
  </conditionalFormatting>
  <conditionalFormatting sqref="A138:A142">
    <cfRule type="expression" dxfId="21" priority="6974" stopIfTrue="1">
      <formula>OR($A138="geopoint", $A138="geoshape", $A138="geotrace")</formula>
    </cfRule>
  </conditionalFormatting>
  <conditionalFormatting sqref="A138:A142">
    <cfRule type="expression" dxfId="22" priority="6975" stopIfTrue="1">
      <formula>OR($A138="audio audit", $A138="text audit", $A138="speed violations count", $A138="speed violations list", $A138="speed violations audit")</formula>
    </cfRule>
  </conditionalFormatting>
  <conditionalFormatting sqref="A138:A142">
    <cfRule type="expression" dxfId="23" priority="6976" stopIfTrue="1">
      <formula>OR($A138="username", $A138="phonenumber", $A138="start", $A138="end", $A138="deviceid", $A138="subscriberid", $A138="simserial", $A138="caseid")</formula>
    </cfRule>
  </conditionalFormatting>
  <conditionalFormatting sqref="A138:A142">
    <cfRule type="expression" dxfId="24" priority="6977" stopIfTrue="1">
      <formula>OR(AND(LEFT($A138, 16)="select_multiple ", LEN($A138)&gt;16, NOT(ISNUMBER(SEARCH(" ", $A138, 17)))), AND(LEFT($A138, 11)="select_one ", LEN($A138)&gt;11, NOT(ISNUMBER(SEARCH(" ", $A138, 12)))))</formula>
    </cfRule>
  </conditionalFormatting>
  <conditionalFormatting sqref="A138:A142">
    <cfRule type="expression" dxfId="25" priority="6978" stopIfTrue="1">
      <formula>$A138="decimal"</formula>
    </cfRule>
  </conditionalFormatting>
  <conditionalFormatting sqref="A138:A142">
    <cfRule type="expression" dxfId="26" priority="6979" stopIfTrue="1">
      <formula>$A138="integer"</formula>
    </cfRule>
  </conditionalFormatting>
  <conditionalFormatting sqref="A138:A142">
    <cfRule type="expression" dxfId="27" priority="6980" stopIfTrue="1">
      <formula>$A138="text"</formula>
    </cfRule>
  </conditionalFormatting>
  <conditionalFormatting sqref="A138:A142">
    <cfRule type="expression" dxfId="28" priority="6981" stopIfTrue="1">
      <formula>$A138="end repeat"</formula>
    </cfRule>
  </conditionalFormatting>
  <conditionalFormatting sqref="A138:A142">
    <cfRule type="expression" dxfId="28" priority="6982" stopIfTrue="1">
      <formula>$A138="begin repeat"</formula>
    </cfRule>
  </conditionalFormatting>
  <conditionalFormatting sqref="A138:A142">
    <cfRule type="expression" dxfId="29" priority="6983" stopIfTrue="1">
      <formula>$A138="end group"</formula>
    </cfRule>
  </conditionalFormatting>
  <conditionalFormatting sqref="A138:A142">
    <cfRule type="expression" dxfId="29" priority="6984" stopIfTrue="1">
      <formula>$A138="begin group"</formula>
    </cfRule>
  </conditionalFormatting>
  <conditionalFormatting sqref="A131:A135">
    <cfRule type="expression" dxfId="33" priority="6985" stopIfTrue="1">
      <formula>$A131="file"</formula>
    </cfRule>
  </conditionalFormatting>
  <conditionalFormatting sqref="A131:A135">
    <cfRule type="expression" dxfId="34" priority="6986" stopIfTrue="1">
      <formula>$A131="enumerator"</formula>
    </cfRule>
  </conditionalFormatting>
  <conditionalFormatting sqref="A131:A135">
    <cfRule type="expression" dxfId="35" priority="6987" stopIfTrue="1">
      <formula>OR(AND(LEFT($A131, 14)="sensor_stream ", LEN($A131)&gt;14, NOT(ISNUMBER(SEARCH(" ", $A131, 15)))), AND(LEFT($A131, 17)="sensor_statistic ", LEN($A131)&gt;17, NOT(ISNUMBER(SEARCH(" ", $A131, 18)))))</formula>
    </cfRule>
  </conditionalFormatting>
  <conditionalFormatting sqref="A131:A135">
    <cfRule type="expression" dxfId="14" priority="6988" stopIfTrue="1">
      <formula>$A131="comments"</formula>
    </cfRule>
  </conditionalFormatting>
  <conditionalFormatting sqref="A131:A135">
    <cfRule type="expression" dxfId="15" priority="6989" stopIfTrue="1">
      <formula>OR($A131="audio", $A131="video")</formula>
    </cfRule>
  </conditionalFormatting>
  <conditionalFormatting sqref="A131:A135">
    <cfRule type="expression" dxfId="16" priority="6990" stopIfTrue="1">
      <formula>$A131="image"</formula>
    </cfRule>
  </conditionalFormatting>
  <conditionalFormatting sqref="A131:A135">
    <cfRule type="expression" dxfId="17" priority="6991" stopIfTrue="1">
      <formula>OR($A131="date", $A131="datetime", $A131="time")</formula>
    </cfRule>
  </conditionalFormatting>
  <conditionalFormatting sqref="A131:A135">
    <cfRule type="expression" dxfId="18" priority="6992" stopIfTrue="1">
      <formula>OR($A131="calculate", $A131="calculate_here")</formula>
    </cfRule>
  </conditionalFormatting>
  <conditionalFormatting sqref="A131:A135">
    <cfRule type="expression" dxfId="19" priority="6993" stopIfTrue="1">
      <formula>$A131="note"</formula>
    </cfRule>
  </conditionalFormatting>
  <conditionalFormatting sqref="A131:A135">
    <cfRule type="expression" dxfId="20" priority="6994" stopIfTrue="1">
      <formula>$A131="barcode"</formula>
    </cfRule>
  </conditionalFormatting>
  <conditionalFormatting sqref="A131:A135">
    <cfRule type="expression" dxfId="21" priority="6995" stopIfTrue="1">
      <formula>OR($A131="geopoint", $A131="geoshape", $A131="geotrace")</formula>
    </cfRule>
  </conditionalFormatting>
  <conditionalFormatting sqref="A131:A135">
    <cfRule type="expression" dxfId="22" priority="6996" stopIfTrue="1">
      <formula>OR($A131="audio audit", $A131="text audit", $A131="speed violations count", $A131="speed violations list", $A131="speed violations audit")</formula>
    </cfRule>
  </conditionalFormatting>
  <conditionalFormatting sqref="A131:A135">
    <cfRule type="expression" dxfId="23" priority="6997" stopIfTrue="1">
      <formula>OR($A131="username", $A131="phonenumber", $A131="start", $A131="end", $A131="deviceid", $A131="subscriberid", $A131="simserial", $A131="caseid")</formula>
    </cfRule>
  </conditionalFormatting>
  <conditionalFormatting sqref="A131:A135">
    <cfRule type="expression" dxfId="24" priority="6998" stopIfTrue="1">
      <formula>OR(AND(LEFT($A131, 16)="select_multiple ", LEN($A131)&gt;16, NOT(ISNUMBER(SEARCH(" ", $A131, 17)))), AND(LEFT($A131, 11)="select_one ", LEN($A131)&gt;11, NOT(ISNUMBER(SEARCH(" ", $A131, 12)))))</formula>
    </cfRule>
  </conditionalFormatting>
  <conditionalFormatting sqref="A131:A135">
    <cfRule type="expression" dxfId="25" priority="6999" stopIfTrue="1">
      <formula>$A131="decimal"</formula>
    </cfRule>
  </conditionalFormatting>
  <conditionalFormatting sqref="A131:A135">
    <cfRule type="expression" dxfId="26" priority="7000" stopIfTrue="1">
      <formula>$A131="integer"</formula>
    </cfRule>
  </conditionalFormatting>
  <conditionalFormatting sqref="A131:A135">
    <cfRule type="expression" dxfId="27" priority="7001" stopIfTrue="1">
      <formula>$A131="text"</formula>
    </cfRule>
  </conditionalFormatting>
  <conditionalFormatting sqref="A131:A135">
    <cfRule type="expression" dxfId="28" priority="7002" stopIfTrue="1">
      <formula>$A131="end repeat"</formula>
    </cfRule>
  </conditionalFormatting>
  <conditionalFormatting sqref="A131:A135">
    <cfRule type="expression" dxfId="28" priority="7003" stopIfTrue="1">
      <formula>$A131="begin repeat"</formula>
    </cfRule>
  </conditionalFormatting>
  <conditionalFormatting sqref="A131:A135">
    <cfRule type="expression" dxfId="29" priority="7004" stopIfTrue="1">
      <formula>$A131="end group"</formula>
    </cfRule>
  </conditionalFormatting>
  <conditionalFormatting sqref="A131:A135">
    <cfRule type="expression" dxfId="29" priority="7005" stopIfTrue="1">
      <formula>$A131="begin group"</formula>
    </cfRule>
  </conditionalFormatting>
  <conditionalFormatting sqref="A127:A129">
    <cfRule type="expression" dxfId="33" priority="7006" stopIfTrue="1">
      <formula>$A127="file"</formula>
    </cfRule>
  </conditionalFormatting>
  <conditionalFormatting sqref="A127:A129">
    <cfRule type="expression" dxfId="34" priority="7007" stopIfTrue="1">
      <formula>$A127="enumerator"</formula>
    </cfRule>
  </conditionalFormatting>
  <conditionalFormatting sqref="A127:A129">
    <cfRule type="expression" dxfId="35" priority="7008" stopIfTrue="1">
      <formula>OR(AND(LEFT($A127, 14)="sensor_stream ", LEN($A127)&gt;14, NOT(ISNUMBER(SEARCH(" ", $A127, 15)))), AND(LEFT($A127, 17)="sensor_statistic ", LEN($A127)&gt;17, NOT(ISNUMBER(SEARCH(" ", $A127, 18)))))</formula>
    </cfRule>
  </conditionalFormatting>
  <conditionalFormatting sqref="A127:A129">
    <cfRule type="expression" dxfId="14" priority="7009" stopIfTrue="1">
      <formula>$A127="comments"</formula>
    </cfRule>
  </conditionalFormatting>
  <conditionalFormatting sqref="A127:A129">
    <cfRule type="expression" dxfId="15" priority="7010" stopIfTrue="1">
      <formula>OR($A127="audio", $A127="video")</formula>
    </cfRule>
  </conditionalFormatting>
  <conditionalFormatting sqref="A127:A129">
    <cfRule type="expression" dxfId="16" priority="7011" stopIfTrue="1">
      <formula>$A127="image"</formula>
    </cfRule>
  </conditionalFormatting>
  <conditionalFormatting sqref="A127:A129">
    <cfRule type="expression" dxfId="17" priority="7012" stopIfTrue="1">
      <formula>OR($A127="date", $A127="datetime", $A127="time")</formula>
    </cfRule>
  </conditionalFormatting>
  <conditionalFormatting sqref="A127:A129">
    <cfRule type="expression" dxfId="18" priority="7013" stopIfTrue="1">
      <formula>OR($A127="calculate", $A127="calculate_here")</formula>
    </cfRule>
  </conditionalFormatting>
  <conditionalFormatting sqref="A127:A129">
    <cfRule type="expression" dxfId="19" priority="7014" stopIfTrue="1">
      <formula>$A127="note"</formula>
    </cfRule>
  </conditionalFormatting>
  <conditionalFormatting sqref="A127:A129">
    <cfRule type="expression" dxfId="20" priority="7015" stopIfTrue="1">
      <formula>$A127="barcode"</formula>
    </cfRule>
  </conditionalFormatting>
  <conditionalFormatting sqref="A127:A129">
    <cfRule type="expression" dxfId="21" priority="7016" stopIfTrue="1">
      <formula>OR($A127="geopoint", $A127="geoshape", $A127="geotrace")</formula>
    </cfRule>
  </conditionalFormatting>
  <conditionalFormatting sqref="A127:A129">
    <cfRule type="expression" dxfId="22" priority="7017" stopIfTrue="1">
      <formula>OR($A127="audio audit", $A127="text audit", $A127="speed violations count", $A127="speed violations list", $A127="speed violations audit")</formula>
    </cfRule>
  </conditionalFormatting>
  <conditionalFormatting sqref="A127:A129">
    <cfRule type="expression" dxfId="23" priority="7018" stopIfTrue="1">
      <formula>OR($A127="username", $A127="phonenumber", $A127="start", $A127="end", $A127="deviceid", $A127="subscriberid", $A127="simserial", $A127="caseid")</formula>
    </cfRule>
  </conditionalFormatting>
  <conditionalFormatting sqref="A127:A129">
    <cfRule type="expression" dxfId="24" priority="7019" stopIfTrue="1">
      <formula>OR(AND(LEFT($A127, 16)="select_multiple ", LEN($A127)&gt;16, NOT(ISNUMBER(SEARCH(" ", $A127, 17)))), AND(LEFT($A127, 11)="select_one ", LEN($A127)&gt;11, NOT(ISNUMBER(SEARCH(" ", $A127, 12)))))</formula>
    </cfRule>
  </conditionalFormatting>
  <conditionalFormatting sqref="A127:A129">
    <cfRule type="expression" dxfId="25" priority="7020" stopIfTrue="1">
      <formula>$A127="decimal"</formula>
    </cfRule>
  </conditionalFormatting>
  <conditionalFormatting sqref="A127:A129">
    <cfRule type="expression" dxfId="26" priority="7021" stopIfTrue="1">
      <formula>$A127="integer"</formula>
    </cfRule>
  </conditionalFormatting>
  <conditionalFormatting sqref="A127:A129">
    <cfRule type="expression" dxfId="27" priority="7022" stopIfTrue="1">
      <formula>$A127="text"</formula>
    </cfRule>
  </conditionalFormatting>
  <conditionalFormatting sqref="A127:A129">
    <cfRule type="expression" dxfId="28" priority="7023" stopIfTrue="1">
      <formula>$A127="end repeat"</formula>
    </cfRule>
  </conditionalFormatting>
  <conditionalFormatting sqref="A127:A129">
    <cfRule type="expression" dxfId="28" priority="7024" stopIfTrue="1">
      <formula>$A127="begin repeat"</formula>
    </cfRule>
  </conditionalFormatting>
  <conditionalFormatting sqref="A127:A129">
    <cfRule type="expression" dxfId="29" priority="7025" stopIfTrue="1">
      <formula>$A127="end group"</formula>
    </cfRule>
  </conditionalFormatting>
  <conditionalFormatting sqref="A127:A129">
    <cfRule type="expression" dxfId="29" priority="7026" stopIfTrue="1">
      <formula>$A127="begin group"</formula>
    </cfRule>
  </conditionalFormatting>
  <conditionalFormatting sqref="A122">
    <cfRule type="expression" dxfId="33" priority="7027" stopIfTrue="1">
      <formula>$A122="file"</formula>
    </cfRule>
  </conditionalFormatting>
  <conditionalFormatting sqref="A122">
    <cfRule type="expression" dxfId="34" priority="7028" stopIfTrue="1">
      <formula>$A122="enumerator"</formula>
    </cfRule>
  </conditionalFormatting>
  <conditionalFormatting sqref="A122">
    <cfRule type="expression" dxfId="35" priority="7029" stopIfTrue="1">
      <formula>OR(AND(LEFT($A122, 14)="sensor_stream ", LEN($A122)&gt;14, NOT(ISNUMBER(SEARCH(" ", $A122, 15)))), AND(LEFT($A122, 17)="sensor_statistic ", LEN($A122)&gt;17, NOT(ISNUMBER(SEARCH(" ", $A122, 18)))))</formula>
    </cfRule>
  </conditionalFormatting>
  <conditionalFormatting sqref="A122">
    <cfRule type="expression" dxfId="14" priority="7030" stopIfTrue="1">
      <formula>$A122="comments"</formula>
    </cfRule>
  </conditionalFormatting>
  <conditionalFormatting sqref="A122">
    <cfRule type="expression" dxfId="15" priority="7031" stopIfTrue="1">
      <formula>OR($A122="audio", $A122="video")</formula>
    </cfRule>
  </conditionalFormatting>
  <conditionalFormatting sqref="A122">
    <cfRule type="expression" dxfId="16" priority="7032" stopIfTrue="1">
      <formula>$A122="image"</formula>
    </cfRule>
  </conditionalFormatting>
  <conditionalFormatting sqref="A122">
    <cfRule type="expression" dxfId="17" priority="7033" stopIfTrue="1">
      <formula>OR($A122="date", $A122="datetime", $A122="time")</formula>
    </cfRule>
  </conditionalFormatting>
  <conditionalFormatting sqref="A122">
    <cfRule type="expression" dxfId="18" priority="7034" stopIfTrue="1">
      <formula>OR($A122="calculate", $A122="calculate_here")</formula>
    </cfRule>
  </conditionalFormatting>
  <conditionalFormatting sqref="A122">
    <cfRule type="expression" dxfId="19" priority="7035" stopIfTrue="1">
      <formula>$A122="note"</formula>
    </cfRule>
  </conditionalFormatting>
  <conditionalFormatting sqref="A122">
    <cfRule type="expression" dxfId="20" priority="7036" stopIfTrue="1">
      <formula>$A122="barcode"</formula>
    </cfRule>
  </conditionalFormatting>
  <conditionalFormatting sqref="A122">
    <cfRule type="expression" dxfId="21" priority="7037" stopIfTrue="1">
      <formula>OR($A122="geopoint", $A122="geoshape", $A122="geotrace")</formula>
    </cfRule>
  </conditionalFormatting>
  <conditionalFormatting sqref="A122">
    <cfRule type="expression" dxfId="22" priority="7038" stopIfTrue="1">
      <formula>OR($A122="audio audit", $A122="text audit", $A122="speed violations count", $A122="speed violations list", $A122="speed violations audit")</formula>
    </cfRule>
  </conditionalFormatting>
  <conditionalFormatting sqref="A122">
    <cfRule type="expression" dxfId="23" priority="7039" stopIfTrue="1">
      <formula>OR($A122="username", $A122="phonenumber", $A122="start", $A122="end", $A122="deviceid", $A122="subscriberid", $A122="simserial", $A122="caseid")</formula>
    </cfRule>
  </conditionalFormatting>
  <conditionalFormatting sqref="A122">
    <cfRule type="expression" dxfId="24" priority="7040" stopIfTrue="1">
      <formula>OR(AND(LEFT($A122, 16)="select_multiple ", LEN($A122)&gt;16, NOT(ISNUMBER(SEARCH(" ", $A122, 17)))), AND(LEFT($A122, 11)="select_one ", LEN($A122)&gt;11, NOT(ISNUMBER(SEARCH(" ", $A122, 12)))))</formula>
    </cfRule>
  </conditionalFormatting>
  <conditionalFormatting sqref="A122">
    <cfRule type="expression" dxfId="25" priority="7041" stopIfTrue="1">
      <formula>$A122="decimal"</formula>
    </cfRule>
  </conditionalFormatting>
  <conditionalFormatting sqref="A122">
    <cfRule type="expression" dxfId="26" priority="7042" stopIfTrue="1">
      <formula>$A122="integer"</formula>
    </cfRule>
  </conditionalFormatting>
  <conditionalFormatting sqref="A122">
    <cfRule type="expression" dxfId="27" priority="7043" stopIfTrue="1">
      <formula>$A122="text"</formula>
    </cfRule>
  </conditionalFormatting>
  <conditionalFormatting sqref="A122">
    <cfRule type="expression" dxfId="28" priority="7044" stopIfTrue="1">
      <formula>$A122="end repeat"</formula>
    </cfRule>
  </conditionalFormatting>
  <conditionalFormatting sqref="A122">
    <cfRule type="expression" dxfId="28" priority="7045" stopIfTrue="1">
      <formula>$A122="begin repeat"</formula>
    </cfRule>
  </conditionalFormatting>
  <conditionalFormatting sqref="A122">
    <cfRule type="expression" dxfId="29" priority="7046" stopIfTrue="1">
      <formula>$A122="end group"</formula>
    </cfRule>
  </conditionalFormatting>
  <conditionalFormatting sqref="A122">
    <cfRule type="expression" dxfId="29" priority="7047" stopIfTrue="1">
      <formula>$A122="begin group"</formula>
    </cfRule>
  </conditionalFormatting>
  <conditionalFormatting sqref="A109:A120">
    <cfRule type="expression" dxfId="33" priority="7048" stopIfTrue="1">
      <formula>$A109="file"</formula>
    </cfRule>
  </conditionalFormatting>
  <conditionalFormatting sqref="A109:A120">
    <cfRule type="expression" dxfId="34" priority="7049" stopIfTrue="1">
      <formula>$A109="enumerator"</formula>
    </cfRule>
  </conditionalFormatting>
  <conditionalFormatting sqref="A109:A120">
    <cfRule type="expression" dxfId="35" priority="7050" stopIfTrue="1">
      <formula>OR(AND(LEFT($A109, 14)="sensor_stream ", LEN($A109)&gt;14, NOT(ISNUMBER(SEARCH(" ", $A109, 15)))), AND(LEFT($A109, 17)="sensor_statistic ", LEN($A109)&gt;17, NOT(ISNUMBER(SEARCH(" ", $A109, 18)))))</formula>
    </cfRule>
  </conditionalFormatting>
  <conditionalFormatting sqref="A109:A120">
    <cfRule type="expression" dxfId="14" priority="7051" stopIfTrue="1">
      <formula>$A109="comments"</formula>
    </cfRule>
  </conditionalFormatting>
  <conditionalFormatting sqref="A109:A120">
    <cfRule type="expression" dxfId="15" priority="7052" stopIfTrue="1">
      <formula>OR($A109="audio", $A109="video")</formula>
    </cfRule>
  </conditionalFormatting>
  <conditionalFormatting sqref="A109:A120">
    <cfRule type="expression" dxfId="16" priority="7053" stopIfTrue="1">
      <formula>$A109="image"</formula>
    </cfRule>
  </conditionalFormatting>
  <conditionalFormatting sqref="A109:A120">
    <cfRule type="expression" dxfId="17" priority="7054" stopIfTrue="1">
      <formula>OR($A109="date", $A109="datetime", $A109="time")</formula>
    </cfRule>
  </conditionalFormatting>
  <conditionalFormatting sqref="A109:A120">
    <cfRule type="expression" dxfId="18" priority="7055" stopIfTrue="1">
      <formula>OR($A109="calculate", $A109="calculate_here")</formula>
    </cfRule>
  </conditionalFormatting>
  <conditionalFormatting sqref="A109:A120">
    <cfRule type="expression" dxfId="19" priority="7056" stopIfTrue="1">
      <formula>$A109="note"</formula>
    </cfRule>
  </conditionalFormatting>
  <conditionalFormatting sqref="A109:A120">
    <cfRule type="expression" dxfId="20" priority="7057" stopIfTrue="1">
      <formula>$A109="barcode"</formula>
    </cfRule>
  </conditionalFormatting>
  <conditionalFormatting sqref="A109:A120">
    <cfRule type="expression" dxfId="21" priority="7058" stopIfTrue="1">
      <formula>OR($A109="geopoint", $A109="geoshape", $A109="geotrace")</formula>
    </cfRule>
  </conditionalFormatting>
  <conditionalFormatting sqref="A109:A120">
    <cfRule type="expression" dxfId="22" priority="7059" stopIfTrue="1">
      <formula>OR($A109="audio audit", $A109="text audit", $A109="speed violations count", $A109="speed violations list", $A109="speed violations audit")</formula>
    </cfRule>
  </conditionalFormatting>
  <conditionalFormatting sqref="A109:A120">
    <cfRule type="expression" dxfId="23" priority="7060" stopIfTrue="1">
      <formula>OR($A109="username", $A109="phonenumber", $A109="start", $A109="end", $A109="deviceid", $A109="subscriberid", $A109="simserial", $A109="caseid")</formula>
    </cfRule>
  </conditionalFormatting>
  <conditionalFormatting sqref="A109:A120">
    <cfRule type="expression" dxfId="24" priority="7061" stopIfTrue="1">
      <formula>OR(AND(LEFT($A109, 16)="select_multiple ", LEN($A109)&gt;16, NOT(ISNUMBER(SEARCH(" ", $A109, 17)))), AND(LEFT($A109, 11)="select_one ", LEN($A109)&gt;11, NOT(ISNUMBER(SEARCH(" ", $A109, 12)))))</formula>
    </cfRule>
  </conditionalFormatting>
  <conditionalFormatting sqref="A109:A120">
    <cfRule type="expression" dxfId="25" priority="7062" stopIfTrue="1">
      <formula>$A109="decimal"</formula>
    </cfRule>
  </conditionalFormatting>
  <conditionalFormatting sqref="A109:A120">
    <cfRule type="expression" dxfId="26" priority="7063" stopIfTrue="1">
      <formula>$A109="integer"</formula>
    </cfRule>
  </conditionalFormatting>
  <conditionalFormatting sqref="A109:A120">
    <cfRule type="expression" dxfId="27" priority="7064" stopIfTrue="1">
      <formula>$A109="text"</formula>
    </cfRule>
  </conditionalFormatting>
  <conditionalFormatting sqref="A109:A120">
    <cfRule type="expression" dxfId="28" priority="7065" stopIfTrue="1">
      <formula>$A109="end repeat"</formula>
    </cfRule>
  </conditionalFormatting>
  <conditionalFormatting sqref="A109:A120">
    <cfRule type="expression" dxfId="28" priority="7066" stopIfTrue="1">
      <formula>$A109="begin repeat"</formula>
    </cfRule>
  </conditionalFormatting>
  <conditionalFormatting sqref="A109:A120">
    <cfRule type="expression" dxfId="29" priority="7067" stopIfTrue="1">
      <formula>$A109="end group"</formula>
    </cfRule>
  </conditionalFormatting>
  <conditionalFormatting sqref="A109:A120">
    <cfRule type="expression" dxfId="29" priority="7068" stopIfTrue="1">
      <formula>$A109="begin group"</formula>
    </cfRule>
  </conditionalFormatting>
  <conditionalFormatting sqref="A104:A106">
    <cfRule type="expression" dxfId="33" priority="7069" stopIfTrue="1">
      <formula>$A104="file"</formula>
    </cfRule>
  </conditionalFormatting>
  <conditionalFormatting sqref="A104:A106">
    <cfRule type="expression" dxfId="34" priority="7070" stopIfTrue="1">
      <formula>$A104="enumerator"</formula>
    </cfRule>
  </conditionalFormatting>
  <conditionalFormatting sqref="A104:A106">
    <cfRule type="expression" dxfId="35" priority="7071" stopIfTrue="1">
      <formula>OR(AND(LEFT($A104, 14)="sensor_stream ", LEN($A104)&gt;14, NOT(ISNUMBER(SEARCH(" ", $A104, 15)))), AND(LEFT($A104, 17)="sensor_statistic ", LEN($A104)&gt;17, NOT(ISNUMBER(SEARCH(" ", $A104, 18)))))</formula>
    </cfRule>
  </conditionalFormatting>
  <conditionalFormatting sqref="A104:A106">
    <cfRule type="expression" dxfId="14" priority="7072" stopIfTrue="1">
      <formula>$A104="comments"</formula>
    </cfRule>
  </conditionalFormatting>
  <conditionalFormatting sqref="A104:A106">
    <cfRule type="expression" dxfId="15" priority="7073" stopIfTrue="1">
      <formula>OR($A104="audio", $A104="video")</formula>
    </cfRule>
  </conditionalFormatting>
  <conditionalFormatting sqref="A104:A106">
    <cfRule type="expression" dxfId="16" priority="7074" stopIfTrue="1">
      <formula>$A104="image"</formula>
    </cfRule>
  </conditionalFormatting>
  <conditionalFormatting sqref="A104:A106">
    <cfRule type="expression" dxfId="17" priority="7075" stopIfTrue="1">
      <formula>OR($A104="date", $A104="datetime", $A104="time")</formula>
    </cfRule>
  </conditionalFormatting>
  <conditionalFormatting sqref="A104:A106">
    <cfRule type="expression" dxfId="18" priority="7076" stopIfTrue="1">
      <formula>OR($A104="calculate", $A104="calculate_here")</formula>
    </cfRule>
  </conditionalFormatting>
  <conditionalFormatting sqref="A104:A106">
    <cfRule type="expression" dxfId="19" priority="7077" stopIfTrue="1">
      <formula>$A104="note"</formula>
    </cfRule>
  </conditionalFormatting>
  <conditionalFormatting sqref="A104:A106">
    <cfRule type="expression" dxfId="20" priority="7078" stopIfTrue="1">
      <formula>$A104="barcode"</formula>
    </cfRule>
  </conditionalFormatting>
  <conditionalFormatting sqref="A104:A106">
    <cfRule type="expression" dxfId="21" priority="7079" stopIfTrue="1">
      <formula>OR($A104="geopoint", $A104="geoshape", $A104="geotrace")</formula>
    </cfRule>
  </conditionalFormatting>
  <conditionalFormatting sqref="A104:A106">
    <cfRule type="expression" dxfId="22" priority="7080" stopIfTrue="1">
      <formula>OR($A104="audio audit", $A104="text audit", $A104="speed violations count", $A104="speed violations list", $A104="speed violations audit")</formula>
    </cfRule>
  </conditionalFormatting>
  <conditionalFormatting sqref="A104:A106">
    <cfRule type="expression" dxfId="23" priority="7081" stopIfTrue="1">
      <formula>OR($A104="username", $A104="phonenumber", $A104="start", $A104="end", $A104="deviceid", $A104="subscriberid", $A104="simserial", $A104="caseid")</formula>
    </cfRule>
  </conditionalFormatting>
  <conditionalFormatting sqref="A104:A106">
    <cfRule type="expression" dxfId="24" priority="7082" stopIfTrue="1">
      <formula>OR(AND(LEFT($A104, 16)="select_multiple ", LEN($A104)&gt;16, NOT(ISNUMBER(SEARCH(" ", $A104, 17)))), AND(LEFT($A104, 11)="select_one ", LEN($A104)&gt;11, NOT(ISNUMBER(SEARCH(" ", $A104, 12)))))</formula>
    </cfRule>
  </conditionalFormatting>
  <conditionalFormatting sqref="A104:A106">
    <cfRule type="expression" dxfId="25" priority="7083" stopIfTrue="1">
      <formula>$A104="decimal"</formula>
    </cfRule>
  </conditionalFormatting>
  <conditionalFormatting sqref="A104:A106">
    <cfRule type="expression" dxfId="26" priority="7084" stopIfTrue="1">
      <formula>$A104="integer"</formula>
    </cfRule>
  </conditionalFormatting>
  <conditionalFormatting sqref="A104:A106">
    <cfRule type="expression" dxfId="27" priority="7085" stopIfTrue="1">
      <formula>$A104="text"</formula>
    </cfRule>
  </conditionalFormatting>
  <conditionalFormatting sqref="A104:A106">
    <cfRule type="expression" dxfId="28" priority="7086" stopIfTrue="1">
      <formula>$A104="end repeat"</formula>
    </cfRule>
  </conditionalFormatting>
  <conditionalFormatting sqref="A104:A106">
    <cfRule type="expression" dxfId="28" priority="7087" stopIfTrue="1">
      <formula>$A104="begin repeat"</formula>
    </cfRule>
  </conditionalFormatting>
  <conditionalFormatting sqref="A104:A106">
    <cfRule type="expression" dxfId="29" priority="7088" stopIfTrue="1">
      <formula>$A104="end group"</formula>
    </cfRule>
  </conditionalFormatting>
  <conditionalFormatting sqref="A104:A106">
    <cfRule type="expression" dxfId="29" priority="7089" stopIfTrue="1">
      <formula>$A104="begin group"</formula>
    </cfRule>
  </conditionalFormatting>
  <conditionalFormatting sqref="A94:A101">
    <cfRule type="expression" dxfId="33" priority="7090" stopIfTrue="1">
      <formula>$A94="file"</formula>
    </cfRule>
  </conditionalFormatting>
  <conditionalFormatting sqref="A94:A101">
    <cfRule type="expression" dxfId="34" priority="7091" stopIfTrue="1">
      <formula>$A94="enumerator"</formula>
    </cfRule>
  </conditionalFormatting>
  <conditionalFormatting sqref="A94:A101">
    <cfRule type="expression" dxfId="35" priority="7092" stopIfTrue="1">
      <formula>OR(AND(LEFT($A94, 14)="sensor_stream ", LEN($A94)&gt;14, NOT(ISNUMBER(SEARCH(" ", $A94, 15)))), AND(LEFT($A94, 17)="sensor_statistic ", LEN($A94)&gt;17, NOT(ISNUMBER(SEARCH(" ", $A94, 18)))))</formula>
    </cfRule>
  </conditionalFormatting>
  <conditionalFormatting sqref="A94:A101">
    <cfRule type="expression" dxfId="14" priority="7093" stopIfTrue="1">
      <formula>$A94="comments"</formula>
    </cfRule>
  </conditionalFormatting>
  <conditionalFormatting sqref="A94:A101">
    <cfRule type="expression" dxfId="15" priority="7094" stopIfTrue="1">
      <formula>OR($A94="audio", $A94="video")</formula>
    </cfRule>
  </conditionalFormatting>
  <conditionalFormatting sqref="A94:A101">
    <cfRule type="expression" dxfId="16" priority="7095" stopIfTrue="1">
      <formula>$A94="image"</formula>
    </cfRule>
  </conditionalFormatting>
  <conditionalFormatting sqref="A94:A101">
    <cfRule type="expression" dxfId="17" priority="7096" stopIfTrue="1">
      <formula>OR($A94="date", $A94="datetime", $A94="time")</formula>
    </cfRule>
  </conditionalFormatting>
  <conditionalFormatting sqref="A94:A101">
    <cfRule type="expression" dxfId="18" priority="7097" stopIfTrue="1">
      <formula>OR($A94="calculate", $A94="calculate_here")</formula>
    </cfRule>
  </conditionalFormatting>
  <conditionalFormatting sqref="A94:A101">
    <cfRule type="expression" dxfId="19" priority="7098" stopIfTrue="1">
      <formula>$A94="note"</formula>
    </cfRule>
  </conditionalFormatting>
  <conditionalFormatting sqref="A94:A101">
    <cfRule type="expression" dxfId="20" priority="7099" stopIfTrue="1">
      <formula>$A94="barcode"</formula>
    </cfRule>
  </conditionalFormatting>
  <conditionalFormatting sqref="A94:A101">
    <cfRule type="expression" dxfId="21" priority="7100" stopIfTrue="1">
      <formula>OR($A94="geopoint", $A94="geoshape", $A94="geotrace")</formula>
    </cfRule>
  </conditionalFormatting>
  <conditionalFormatting sqref="A94:A101">
    <cfRule type="expression" dxfId="22" priority="7101" stopIfTrue="1">
      <formula>OR($A94="audio audit", $A94="text audit", $A94="speed violations count", $A94="speed violations list", $A94="speed violations audit")</formula>
    </cfRule>
  </conditionalFormatting>
  <conditionalFormatting sqref="A94:A101">
    <cfRule type="expression" dxfId="23" priority="7102" stopIfTrue="1">
      <formula>OR($A94="username", $A94="phonenumber", $A94="start", $A94="end", $A94="deviceid", $A94="subscriberid", $A94="simserial", $A94="caseid")</formula>
    </cfRule>
  </conditionalFormatting>
  <conditionalFormatting sqref="A94:A101">
    <cfRule type="expression" dxfId="24" priority="7103" stopIfTrue="1">
      <formula>OR(AND(LEFT($A94, 16)="select_multiple ", LEN($A94)&gt;16, NOT(ISNUMBER(SEARCH(" ", $A94, 17)))), AND(LEFT($A94, 11)="select_one ", LEN($A94)&gt;11, NOT(ISNUMBER(SEARCH(" ", $A94, 12)))))</formula>
    </cfRule>
  </conditionalFormatting>
  <conditionalFormatting sqref="A94:A101">
    <cfRule type="expression" dxfId="25" priority="7104" stopIfTrue="1">
      <formula>$A94="decimal"</formula>
    </cfRule>
  </conditionalFormatting>
  <conditionalFormatting sqref="A94:A101">
    <cfRule type="expression" dxfId="26" priority="7105" stopIfTrue="1">
      <formula>$A94="integer"</formula>
    </cfRule>
  </conditionalFormatting>
  <conditionalFormatting sqref="A94:A101">
    <cfRule type="expression" dxfId="27" priority="7106" stopIfTrue="1">
      <formula>$A94="text"</formula>
    </cfRule>
  </conditionalFormatting>
  <conditionalFormatting sqref="A94:A101">
    <cfRule type="expression" dxfId="28" priority="7107" stopIfTrue="1">
      <formula>$A94="end repeat"</formula>
    </cfRule>
  </conditionalFormatting>
  <conditionalFormatting sqref="A94:A101">
    <cfRule type="expression" dxfId="28" priority="7108" stopIfTrue="1">
      <formula>$A94="begin repeat"</formula>
    </cfRule>
  </conditionalFormatting>
  <conditionalFormatting sqref="A94:A101">
    <cfRule type="expression" dxfId="29" priority="7109" stopIfTrue="1">
      <formula>$A94="end group"</formula>
    </cfRule>
  </conditionalFormatting>
  <conditionalFormatting sqref="A94:A101">
    <cfRule type="expression" dxfId="29" priority="7110" stopIfTrue="1">
      <formula>$A94="begin group"</formula>
    </cfRule>
  </conditionalFormatting>
  <conditionalFormatting sqref="A82:A92">
    <cfRule type="expression" dxfId="33" priority="7111" stopIfTrue="1">
      <formula>$A82="file"</formula>
    </cfRule>
  </conditionalFormatting>
  <conditionalFormatting sqref="A82:A92">
    <cfRule type="expression" dxfId="34" priority="7112" stopIfTrue="1">
      <formula>$A82="enumerator"</formula>
    </cfRule>
  </conditionalFormatting>
  <conditionalFormatting sqref="A82:A92">
    <cfRule type="expression" dxfId="35" priority="7113" stopIfTrue="1">
      <formula>OR(AND(LEFT($A82, 14)="sensor_stream ", LEN($A82)&gt;14, NOT(ISNUMBER(SEARCH(" ", $A82, 15)))), AND(LEFT($A82, 17)="sensor_statistic ", LEN($A82)&gt;17, NOT(ISNUMBER(SEARCH(" ", $A82, 18)))))</formula>
    </cfRule>
  </conditionalFormatting>
  <conditionalFormatting sqref="A82:A92">
    <cfRule type="expression" dxfId="14" priority="7114" stopIfTrue="1">
      <formula>$A82="comments"</formula>
    </cfRule>
  </conditionalFormatting>
  <conditionalFormatting sqref="A82:A92">
    <cfRule type="expression" dxfId="15" priority="7115" stopIfTrue="1">
      <formula>OR($A82="audio", $A82="video")</formula>
    </cfRule>
  </conditionalFormatting>
  <conditionalFormatting sqref="A82:A92">
    <cfRule type="expression" dxfId="16" priority="7116" stopIfTrue="1">
      <formula>$A82="image"</formula>
    </cfRule>
  </conditionalFormatting>
  <conditionalFormatting sqref="A82:A92">
    <cfRule type="expression" dxfId="17" priority="7117" stopIfTrue="1">
      <formula>OR($A82="date", $A82="datetime", $A82="time")</formula>
    </cfRule>
  </conditionalFormatting>
  <conditionalFormatting sqref="A82:A92">
    <cfRule type="expression" dxfId="18" priority="7118" stopIfTrue="1">
      <formula>OR($A82="calculate", $A82="calculate_here")</formula>
    </cfRule>
  </conditionalFormatting>
  <conditionalFormatting sqref="A82:A92">
    <cfRule type="expression" dxfId="19" priority="7119" stopIfTrue="1">
      <formula>$A82="note"</formula>
    </cfRule>
  </conditionalFormatting>
  <conditionalFormatting sqref="A82:A92">
    <cfRule type="expression" dxfId="20" priority="7120" stopIfTrue="1">
      <formula>$A82="barcode"</formula>
    </cfRule>
  </conditionalFormatting>
  <conditionalFormatting sqref="A82:A92">
    <cfRule type="expression" dxfId="21" priority="7121" stopIfTrue="1">
      <formula>OR($A82="geopoint", $A82="geoshape", $A82="geotrace")</formula>
    </cfRule>
  </conditionalFormatting>
  <conditionalFormatting sqref="A82:A92">
    <cfRule type="expression" dxfId="22" priority="7122" stopIfTrue="1">
      <formula>OR($A82="audio audit", $A82="text audit", $A82="speed violations count", $A82="speed violations list", $A82="speed violations audit")</formula>
    </cfRule>
  </conditionalFormatting>
  <conditionalFormatting sqref="A82:A92">
    <cfRule type="expression" dxfId="23" priority="7123" stopIfTrue="1">
      <formula>OR($A82="username", $A82="phonenumber", $A82="start", $A82="end", $A82="deviceid", $A82="subscriberid", $A82="simserial", $A82="caseid")</formula>
    </cfRule>
  </conditionalFormatting>
  <conditionalFormatting sqref="A82:A92">
    <cfRule type="expression" dxfId="24" priority="7124" stopIfTrue="1">
      <formula>OR(AND(LEFT($A82, 16)="select_multiple ", LEN($A82)&gt;16, NOT(ISNUMBER(SEARCH(" ", $A82, 17)))), AND(LEFT($A82, 11)="select_one ", LEN($A82)&gt;11, NOT(ISNUMBER(SEARCH(" ", $A82, 12)))))</formula>
    </cfRule>
  </conditionalFormatting>
  <conditionalFormatting sqref="A82:A92">
    <cfRule type="expression" dxfId="25" priority="7125" stopIfTrue="1">
      <formula>$A82="decimal"</formula>
    </cfRule>
  </conditionalFormatting>
  <conditionalFormatting sqref="A82:A92">
    <cfRule type="expression" dxfId="26" priority="7126" stopIfTrue="1">
      <formula>$A82="integer"</formula>
    </cfRule>
  </conditionalFormatting>
  <conditionalFormatting sqref="A82:A92">
    <cfRule type="expression" dxfId="27" priority="7127" stopIfTrue="1">
      <formula>$A82="text"</formula>
    </cfRule>
  </conditionalFormatting>
  <conditionalFormatting sqref="A82:A92">
    <cfRule type="expression" dxfId="28" priority="7128" stopIfTrue="1">
      <formula>$A82="end repeat"</formula>
    </cfRule>
  </conditionalFormatting>
  <conditionalFormatting sqref="A82:A92">
    <cfRule type="expression" dxfId="28" priority="7129" stopIfTrue="1">
      <formula>$A82="begin repeat"</formula>
    </cfRule>
  </conditionalFormatting>
  <conditionalFormatting sqref="A82:A92">
    <cfRule type="expression" dxfId="29" priority="7130" stopIfTrue="1">
      <formula>$A82="end group"</formula>
    </cfRule>
  </conditionalFormatting>
  <conditionalFormatting sqref="A82:A92">
    <cfRule type="expression" dxfId="29" priority="7131" stopIfTrue="1">
      <formula>$A82="begin group"</formula>
    </cfRule>
  </conditionalFormatting>
  <conditionalFormatting sqref="A75:A76">
    <cfRule type="expression" dxfId="33" priority="7132" stopIfTrue="1">
      <formula>$A75="file"</formula>
    </cfRule>
  </conditionalFormatting>
  <conditionalFormatting sqref="A75:A76">
    <cfRule type="expression" dxfId="34" priority="7133" stopIfTrue="1">
      <formula>$A75="enumerator"</formula>
    </cfRule>
  </conditionalFormatting>
  <conditionalFormatting sqref="A75:A76">
    <cfRule type="expression" dxfId="35" priority="7134" stopIfTrue="1">
      <formula>OR(AND(LEFT($A75, 14)="sensor_stream ", LEN($A75)&gt;14, NOT(ISNUMBER(SEARCH(" ", $A75, 15)))), AND(LEFT($A75, 17)="sensor_statistic ", LEN($A75)&gt;17, NOT(ISNUMBER(SEARCH(" ", $A75, 18)))))</formula>
    </cfRule>
  </conditionalFormatting>
  <conditionalFormatting sqref="A75:A76">
    <cfRule type="expression" dxfId="14" priority="7135" stopIfTrue="1">
      <formula>$A75="comments"</formula>
    </cfRule>
  </conditionalFormatting>
  <conditionalFormatting sqref="A75:A76">
    <cfRule type="expression" dxfId="15" priority="7136" stopIfTrue="1">
      <formula>OR($A75="audio", $A75="video")</formula>
    </cfRule>
  </conditionalFormatting>
  <conditionalFormatting sqref="A75:A76">
    <cfRule type="expression" dxfId="16" priority="7137" stopIfTrue="1">
      <formula>$A75="image"</formula>
    </cfRule>
  </conditionalFormatting>
  <conditionalFormatting sqref="A75:A76">
    <cfRule type="expression" dxfId="17" priority="7138" stopIfTrue="1">
      <formula>OR($A75="date", $A75="datetime", $A75="time")</formula>
    </cfRule>
  </conditionalFormatting>
  <conditionalFormatting sqref="A75:A76">
    <cfRule type="expression" dxfId="18" priority="7139" stopIfTrue="1">
      <formula>OR($A75="calculate", $A75="calculate_here")</formula>
    </cfRule>
  </conditionalFormatting>
  <conditionalFormatting sqref="A75:A76">
    <cfRule type="expression" dxfId="19" priority="7140" stopIfTrue="1">
      <formula>$A75="note"</formula>
    </cfRule>
  </conditionalFormatting>
  <conditionalFormatting sqref="A75:A76">
    <cfRule type="expression" dxfId="20" priority="7141" stopIfTrue="1">
      <formula>$A75="barcode"</formula>
    </cfRule>
  </conditionalFormatting>
  <conditionalFormatting sqref="A75:A76">
    <cfRule type="expression" dxfId="21" priority="7142" stopIfTrue="1">
      <formula>OR($A75="geopoint", $A75="geoshape", $A75="geotrace")</formula>
    </cfRule>
  </conditionalFormatting>
  <conditionalFormatting sqref="A75:A76">
    <cfRule type="expression" dxfId="22" priority="7143" stopIfTrue="1">
      <formula>OR($A75="audio audit", $A75="text audit", $A75="speed violations count", $A75="speed violations list", $A75="speed violations audit")</formula>
    </cfRule>
  </conditionalFormatting>
  <conditionalFormatting sqref="A75:A76">
    <cfRule type="expression" dxfId="23" priority="7144" stopIfTrue="1">
      <formula>OR($A75="username", $A75="phonenumber", $A75="start", $A75="end", $A75="deviceid", $A75="subscriberid", $A75="simserial", $A75="caseid")</formula>
    </cfRule>
  </conditionalFormatting>
  <conditionalFormatting sqref="A75:A76">
    <cfRule type="expression" dxfId="24" priority="7145" stopIfTrue="1">
      <formula>OR(AND(LEFT($A75, 16)="select_multiple ", LEN($A75)&gt;16, NOT(ISNUMBER(SEARCH(" ", $A75, 17)))), AND(LEFT($A75, 11)="select_one ", LEN($A75)&gt;11, NOT(ISNUMBER(SEARCH(" ", $A75, 12)))))</formula>
    </cfRule>
  </conditionalFormatting>
  <conditionalFormatting sqref="A75:A76">
    <cfRule type="expression" dxfId="25" priority="7146" stopIfTrue="1">
      <formula>$A75="decimal"</formula>
    </cfRule>
  </conditionalFormatting>
  <conditionalFormatting sqref="A75:A76">
    <cfRule type="expression" dxfId="26" priority="7147" stopIfTrue="1">
      <formula>$A75="integer"</formula>
    </cfRule>
  </conditionalFormatting>
  <conditionalFormatting sqref="A75:A76">
    <cfRule type="expression" dxfId="27" priority="7148" stopIfTrue="1">
      <formula>$A75="text"</formula>
    </cfRule>
  </conditionalFormatting>
  <conditionalFormatting sqref="A75:A76">
    <cfRule type="expression" dxfId="28" priority="7149" stopIfTrue="1">
      <formula>$A75="end repeat"</formula>
    </cfRule>
  </conditionalFormatting>
  <conditionalFormatting sqref="A75:A76">
    <cfRule type="expression" dxfId="28" priority="7150" stopIfTrue="1">
      <formula>$A75="begin repeat"</formula>
    </cfRule>
  </conditionalFormatting>
  <conditionalFormatting sqref="A75:A76">
    <cfRule type="expression" dxfId="29" priority="7151" stopIfTrue="1">
      <formula>$A75="end group"</formula>
    </cfRule>
  </conditionalFormatting>
  <conditionalFormatting sqref="A75:A76">
    <cfRule type="expression" dxfId="29" priority="7152" stopIfTrue="1">
      <formula>$A75="begin group"</formula>
    </cfRule>
  </conditionalFormatting>
  <conditionalFormatting sqref="A65:A71">
    <cfRule type="expression" dxfId="33" priority="7153" stopIfTrue="1">
      <formula>$A65="file"</formula>
    </cfRule>
  </conditionalFormatting>
  <conditionalFormatting sqref="A65:A71">
    <cfRule type="expression" dxfId="34" priority="7154" stopIfTrue="1">
      <formula>$A65="enumerator"</formula>
    </cfRule>
  </conditionalFormatting>
  <conditionalFormatting sqref="A65:A71">
    <cfRule type="expression" dxfId="35" priority="7155" stopIfTrue="1">
      <formula>OR(AND(LEFT($A65, 14)="sensor_stream ", LEN($A65)&gt;14, NOT(ISNUMBER(SEARCH(" ", $A65, 15)))), AND(LEFT($A65, 17)="sensor_statistic ", LEN($A65)&gt;17, NOT(ISNUMBER(SEARCH(" ", $A65, 18)))))</formula>
    </cfRule>
  </conditionalFormatting>
  <conditionalFormatting sqref="A65:A71">
    <cfRule type="expression" dxfId="14" priority="7156" stopIfTrue="1">
      <formula>$A65="comments"</formula>
    </cfRule>
  </conditionalFormatting>
  <conditionalFormatting sqref="A65:A71">
    <cfRule type="expression" dxfId="15" priority="7157" stopIfTrue="1">
      <formula>OR($A65="audio", $A65="video")</formula>
    </cfRule>
  </conditionalFormatting>
  <conditionalFormatting sqref="A65:A71">
    <cfRule type="expression" dxfId="16" priority="7158" stopIfTrue="1">
      <formula>$A65="image"</formula>
    </cfRule>
  </conditionalFormatting>
  <conditionalFormatting sqref="A65:A71">
    <cfRule type="expression" dxfId="17" priority="7159" stopIfTrue="1">
      <formula>OR($A65="date", $A65="datetime", $A65="time")</formula>
    </cfRule>
  </conditionalFormatting>
  <conditionalFormatting sqref="A65:A71">
    <cfRule type="expression" dxfId="18" priority="7160" stopIfTrue="1">
      <formula>OR($A65="calculate", $A65="calculate_here")</formula>
    </cfRule>
  </conditionalFormatting>
  <conditionalFormatting sqref="A65:A71">
    <cfRule type="expression" dxfId="19" priority="7161" stopIfTrue="1">
      <formula>$A65="note"</formula>
    </cfRule>
  </conditionalFormatting>
  <conditionalFormatting sqref="A65:A71">
    <cfRule type="expression" dxfId="20" priority="7162" stopIfTrue="1">
      <formula>$A65="barcode"</formula>
    </cfRule>
  </conditionalFormatting>
  <conditionalFormatting sqref="A65:A71">
    <cfRule type="expression" dxfId="21" priority="7163" stopIfTrue="1">
      <formula>OR($A65="geopoint", $A65="geoshape", $A65="geotrace")</formula>
    </cfRule>
  </conditionalFormatting>
  <conditionalFormatting sqref="A65:A71">
    <cfRule type="expression" dxfId="22" priority="7164" stopIfTrue="1">
      <formula>OR($A65="audio audit", $A65="text audit", $A65="speed violations count", $A65="speed violations list", $A65="speed violations audit")</formula>
    </cfRule>
  </conditionalFormatting>
  <conditionalFormatting sqref="A65:A71">
    <cfRule type="expression" dxfId="23" priority="7165" stopIfTrue="1">
      <formula>OR($A65="username", $A65="phonenumber", $A65="start", $A65="end", $A65="deviceid", $A65="subscriberid", $A65="simserial", $A65="caseid")</formula>
    </cfRule>
  </conditionalFormatting>
  <conditionalFormatting sqref="A65:A71">
    <cfRule type="expression" dxfId="24" priority="7166" stopIfTrue="1">
      <formula>OR(AND(LEFT($A65, 16)="select_multiple ", LEN($A65)&gt;16, NOT(ISNUMBER(SEARCH(" ", $A65, 17)))), AND(LEFT($A65, 11)="select_one ", LEN($A65)&gt;11, NOT(ISNUMBER(SEARCH(" ", $A65, 12)))))</formula>
    </cfRule>
  </conditionalFormatting>
  <conditionalFormatting sqref="A65:A71">
    <cfRule type="expression" dxfId="25" priority="7167" stopIfTrue="1">
      <formula>$A65="decimal"</formula>
    </cfRule>
  </conditionalFormatting>
  <conditionalFormatting sqref="A65:A71">
    <cfRule type="expression" dxfId="26" priority="7168" stopIfTrue="1">
      <formula>$A65="integer"</formula>
    </cfRule>
  </conditionalFormatting>
  <conditionalFormatting sqref="A65:A71">
    <cfRule type="expression" dxfId="27" priority="7169" stopIfTrue="1">
      <formula>$A65="text"</formula>
    </cfRule>
  </conditionalFormatting>
  <conditionalFormatting sqref="A65:A71">
    <cfRule type="expression" dxfId="28" priority="7170" stopIfTrue="1">
      <formula>$A65="end repeat"</formula>
    </cfRule>
  </conditionalFormatting>
  <conditionalFormatting sqref="A65:A71">
    <cfRule type="expression" dxfId="28" priority="7171" stopIfTrue="1">
      <formula>$A65="begin repeat"</formula>
    </cfRule>
  </conditionalFormatting>
  <conditionalFormatting sqref="A65:A71">
    <cfRule type="expression" dxfId="29" priority="7172" stopIfTrue="1">
      <formula>$A65="end group"</formula>
    </cfRule>
  </conditionalFormatting>
  <conditionalFormatting sqref="A65:A71">
    <cfRule type="expression" dxfId="29" priority="7173" stopIfTrue="1">
      <formula>$A65="begin group"</formula>
    </cfRule>
  </conditionalFormatting>
  <conditionalFormatting sqref="A62">
    <cfRule type="expression" dxfId="33" priority="7174" stopIfTrue="1">
      <formula>$A62="file"</formula>
    </cfRule>
  </conditionalFormatting>
  <conditionalFormatting sqref="A62">
    <cfRule type="expression" dxfId="34" priority="7175" stopIfTrue="1">
      <formula>$A62="enumerator"</formula>
    </cfRule>
  </conditionalFormatting>
  <conditionalFormatting sqref="A62">
    <cfRule type="expression" dxfId="35" priority="7176" stopIfTrue="1">
      <formula>OR(AND(LEFT($A62, 14)="sensor_stream ", LEN($A62)&gt;14, NOT(ISNUMBER(SEARCH(" ", $A62, 15)))), AND(LEFT($A62, 17)="sensor_statistic ", LEN($A62)&gt;17, NOT(ISNUMBER(SEARCH(" ", $A62, 18)))))</formula>
    </cfRule>
  </conditionalFormatting>
  <conditionalFormatting sqref="A62">
    <cfRule type="expression" dxfId="14" priority="7177" stopIfTrue="1">
      <formula>$A62="comments"</formula>
    </cfRule>
  </conditionalFormatting>
  <conditionalFormatting sqref="A62">
    <cfRule type="expression" dxfId="15" priority="7178" stopIfTrue="1">
      <formula>OR($A62="audio", $A62="video")</formula>
    </cfRule>
  </conditionalFormatting>
  <conditionalFormatting sqref="A62">
    <cfRule type="expression" dxfId="16" priority="7179" stopIfTrue="1">
      <formula>$A62="image"</formula>
    </cfRule>
  </conditionalFormatting>
  <conditionalFormatting sqref="A62">
    <cfRule type="expression" dxfId="17" priority="7180" stopIfTrue="1">
      <formula>OR($A62="date", $A62="datetime", $A62="time")</formula>
    </cfRule>
  </conditionalFormatting>
  <conditionalFormatting sqref="A62">
    <cfRule type="expression" dxfId="18" priority="7181" stopIfTrue="1">
      <formula>OR($A62="calculate", $A62="calculate_here")</formula>
    </cfRule>
  </conditionalFormatting>
  <conditionalFormatting sqref="A62">
    <cfRule type="expression" dxfId="19" priority="7182" stopIfTrue="1">
      <formula>$A62="note"</formula>
    </cfRule>
  </conditionalFormatting>
  <conditionalFormatting sqref="A62">
    <cfRule type="expression" dxfId="20" priority="7183" stopIfTrue="1">
      <formula>$A62="barcode"</formula>
    </cfRule>
  </conditionalFormatting>
  <conditionalFormatting sqref="A62">
    <cfRule type="expression" dxfId="21" priority="7184" stopIfTrue="1">
      <formula>OR($A62="geopoint", $A62="geoshape", $A62="geotrace")</formula>
    </cfRule>
  </conditionalFormatting>
  <conditionalFormatting sqref="A62">
    <cfRule type="expression" dxfId="22" priority="7185" stopIfTrue="1">
      <formula>OR($A62="audio audit", $A62="text audit", $A62="speed violations count", $A62="speed violations list", $A62="speed violations audit")</formula>
    </cfRule>
  </conditionalFormatting>
  <conditionalFormatting sqref="A62">
    <cfRule type="expression" dxfId="23" priority="7186" stopIfTrue="1">
      <formula>OR($A62="username", $A62="phonenumber", $A62="start", $A62="end", $A62="deviceid", $A62="subscriberid", $A62="simserial", $A62="caseid")</formula>
    </cfRule>
  </conditionalFormatting>
  <conditionalFormatting sqref="A62">
    <cfRule type="expression" dxfId="24" priority="7187" stopIfTrue="1">
      <formula>OR(AND(LEFT($A62, 16)="select_multiple ", LEN($A62)&gt;16, NOT(ISNUMBER(SEARCH(" ", $A62, 17)))), AND(LEFT($A62, 11)="select_one ", LEN($A62)&gt;11, NOT(ISNUMBER(SEARCH(" ", $A62, 12)))))</formula>
    </cfRule>
  </conditionalFormatting>
  <conditionalFormatting sqref="A62">
    <cfRule type="expression" dxfId="25" priority="7188" stopIfTrue="1">
      <formula>$A62="decimal"</formula>
    </cfRule>
  </conditionalFormatting>
  <conditionalFormatting sqref="A62">
    <cfRule type="expression" dxfId="26" priority="7189" stopIfTrue="1">
      <formula>$A62="integer"</formula>
    </cfRule>
  </conditionalFormatting>
  <conditionalFormatting sqref="A62">
    <cfRule type="expression" dxfId="27" priority="7190" stopIfTrue="1">
      <formula>$A62="text"</formula>
    </cfRule>
  </conditionalFormatting>
  <conditionalFormatting sqref="A62">
    <cfRule type="expression" dxfId="28" priority="7191" stopIfTrue="1">
      <formula>$A62="end repeat"</formula>
    </cfRule>
  </conditionalFormatting>
  <conditionalFormatting sqref="A62">
    <cfRule type="expression" dxfId="28" priority="7192" stopIfTrue="1">
      <formula>$A62="begin repeat"</formula>
    </cfRule>
  </conditionalFormatting>
  <conditionalFormatting sqref="A62">
    <cfRule type="expression" dxfId="29" priority="7193" stopIfTrue="1">
      <formula>$A62="end group"</formula>
    </cfRule>
  </conditionalFormatting>
  <conditionalFormatting sqref="A62">
    <cfRule type="expression" dxfId="29" priority="7194" stopIfTrue="1">
      <formula>$A62="begin group"</formula>
    </cfRule>
  </conditionalFormatting>
  <conditionalFormatting sqref="A54">
    <cfRule type="expression" dxfId="33" priority="7195" stopIfTrue="1">
      <formula>$A54="file"</formula>
    </cfRule>
  </conditionalFormatting>
  <conditionalFormatting sqref="A54">
    <cfRule type="expression" dxfId="34" priority="7196" stopIfTrue="1">
      <formula>$A54="enumerator"</formula>
    </cfRule>
  </conditionalFormatting>
  <conditionalFormatting sqref="A54">
    <cfRule type="expression" dxfId="35" priority="7197" stopIfTrue="1">
      <formula>OR(AND(LEFT($A54, 14)="sensor_stream ", LEN($A54)&gt;14, NOT(ISNUMBER(SEARCH(" ", $A54, 15)))), AND(LEFT($A54, 17)="sensor_statistic ", LEN($A54)&gt;17, NOT(ISNUMBER(SEARCH(" ", $A54, 18)))))</formula>
    </cfRule>
  </conditionalFormatting>
  <conditionalFormatting sqref="A54">
    <cfRule type="expression" dxfId="14" priority="7198" stopIfTrue="1">
      <formula>$A54="comments"</formula>
    </cfRule>
  </conditionalFormatting>
  <conditionalFormatting sqref="A54">
    <cfRule type="expression" dxfId="15" priority="7199" stopIfTrue="1">
      <formula>OR($A54="audio", $A54="video")</formula>
    </cfRule>
  </conditionalFormatting>
  <conditionalFormatting sqref="A54">
    <cfRule type="expression" dxfId="16" priority="7200" stopIfTrue="1">
      <formula>$A54="image"</formula>
    </cfRule>
  </conditionalFormatting>
  <conditionalFormatting sqref="A54">
    <cfRule type="expression" dxfId="17" priority="7201" stopIfTrue="1">
      <formula>OR($A54="date", $A54="datetime", $A54="time")</formula>
    </cfRule>
  </conditionalFormatting>
  <conditionalFormatting sqref="A54">
    <cfRule type="expression" dxfId="18" priority="7202" stopIfTrue="1">
      <formula>OR($A54="calculate", $A54="calculate_here")</formula>
    </cfRule>
  </conditionalFormatting>
  <conditionalFormatting sqref="A54">
    <cfRule type="expression" dxfId="19" priority="7203" stopIfTrue="1">
      <formula>$A54="note"</formula>
    </cfRule>
  </conditionalFormatting>
  <conditionalFormatting sqref="A54">
    <cfRule type="expression" dxfId="20" priority="7204" stopIfTrue="1">
      <formula>$A54="barcode"</formula>
    </cfRule>
  </conditionalFormatting>
  <conditionalFormatting sqref="A54">
    <cfRule type="expression" dxfId="21" priority="7205" stopIfTrue="1">
      <formula>OR($A54="geopoint", $A54="geoshape", $A54="geotrace")</formula>
    </cfRule>
  </conditionalFormatting>
  <conditionalFormatting sqref="A54">
    <cfRule type="expression" dxfId="22" priority="7206" stopIfTrue="1">
      <formula>OR($A54="audio audit", $A54="text audit", $A54="speed violations count", $A54="speed violations list", $A54="speed violations audit")</formula>
    </cfRule>
  </conditionalFormatting>
  <conditionalFormatting sqref="A54">
    <cfRule type="expression" dxfId="23" priority="7207" stopIfTrue="1">
      <formula>OR($A54="username", $A54="phonenumber", $A54="start", $A54="end", $A54="deviceid", $A54="subscriberid", $A54="simserial", $A54="caseid")</formula>
    </cfRule>
  </conditionalFormatting>
  <conditionalFormatting sqref="A54">
    <cfRule type="expression" dxfId="24" priority="7208" stopIfTrue="1">
      <formula>OR(AND(LEFT($A54, 16)="select_multiple ", LEN($A54)&gt;16, NOT(ISNUMBER(SEARCH(" ", $A54, 17)))), AND(LEFT($A54, 11)="select_one ", LEN($A54)&gt;11, NOT(ISNUMBER(SEARCH(" ", $A54, 12)))))</formula>
    </cfRule>
  </conditionalFormatting>
  <conditionalFormatting sqref="A54">
    <cfRule type="expression" dxfId="25" priority="7209" stopIfTrue="1">
      <formula>$A54="decimal"</formula>
    </cfRule>
  </conditionalFormatting>
  <conditionalFormatting sqref="A54">
    <cfRule type="expression" dxfId="26" priority="7210" stopIfTrue="1">
      <formula>$A54="integer"</formula>
    </cfRule>
  </conditionalFormatting>
  <conditionalFormatting sqref="A54">
    <cfRule type="expression" dxfId="27" priority="7211" stopIfTrue="1">
      <formula>$A54="text"</formula>
    </cfRule>
  </conditionalFormatting>
  <conditionalFormatting sqref="A54">
    <cfRule type="expression" dxfId="28" priority="7212" stopIfTrue="1">
      <formula>$A54="end repeat"</formula>
    </cfRule>
  </conditionalFormatting>
  <conditionalFormatting sqref="A54">
    <cfRule type="expression" dxfId="28" priority="7213" stopIfTrue="1">
      <formula>$A54="begin repeat"</formula>
    </cfRule>
  </conditionalFormatting>
  <conditionalFormatting sqref="A54">
    <cfRule type="expression" dxfId="29" priority="7214" stopIfTrue="1">
      <formula>$A54="end group"</formula>
    </cfRule>
  </conditionalFormatting>
  <conditionalFormatting sqref="A54">
    <cfRule type="expression" dxfId="29" priority="7215" stopIfTrue="1">
      <formula>$A54="begin group"</formula>
    </cfRule>
  </conditionalFormatting>
  <conditionalFormatting sqref="A48:A52">
    <cfRule type="expression" dxfId="33" priority="7216" stopIfTrue="1">
      <formula>$A48="file"</formula>
    </cfRule>
  </conditionalFormatting>
  <conditionalFormatting sqref="A48:A52">
    <cfRule type="expression" dxfId="34" priority="7217" stopIfTrue="1">
      <formula>$A48="enumerator"</formula>
    </cfRule>
  </conditionalFormatting>
  <conditionalFormatting sqref="A48:A52">
    <cfRule type="expression" dxfId="35" priority="7218" stopIfTrue="1">
      <formula>OR(AND(LEFT($A48, 14)="sensor_stream ", LEN($A48)&gt;14, NOT(ISNUMBER(SEARCH(" ", $A48, 15)))), AND(LEFT($A48, 17)="sensor_statistic ", LEN($A48)&gt;17, NOT(ISNUMBER(SEARCH(" ", $A48, 18)))))</formula>
    </cfRule>
  </conditionalFormatting>
  <conditionalFormatting sqref="A48:A52">
    <cfRule type="expression" dxfId="14" priority="7219" stopIfTrue="1">
      <formula>$A48="comments"</formula>
    </cfRule>
  </conditionalFormatting>
  <conditionalFormatting sqref="A48:A52">
    <cfRule type="expression" dxfId="15" priority="7220" stopIfTrue="1">
      <formula>OR($A48="audio", $A48="video")</formula>
    </cfRule>
  </conditionalFormatting>
  <conditionalFormatting sqref="A48:A52">
    <cfRule type="expression" dxfId="16" priority="7221" stopIfTrue="1">
      <formula>$A48="image"</formula>
    </cfRule>
  </conditionalFormatting>
  <conditionalFormatting sqref="A48:A52">
    <cfRule type="expression" dxfId="17" priority="7222" stopIfTrue="1">
      <formula>OR($A48="date", $A48="datetime", $A48="time")</formula>
    </cfRule>
  </conditionalFormatting>
  <conditionalFormatting sqref="A48:A52">
    <cfRule type="expression" dxfId="18" priority="7223" stopIfTrue="1">
      <formula>OR($A48="calculate", $A48="calculate_here")</formula>
    </cfRule>
  </conditionalFormatting>
  <conditionalFormatting sqref="A48:A52">
    <cfRule type="expression" dxfId="19" priority="7224" stopIfTrue="1">
      <formula>$A48="note"</formula>
    </cfRule>
  </conditionalFormatting>
  <conditionalFormatting sqref="A48:A52">
    <cfRule type="expression" dxfId="20" priority="7225" stopIfTrue="1">
      <formula>$A48="barcode"</formula>
    </cfRule>
  </conditionalFormatting>
  <conditionalFormatting sqref="A48:A52">
    <cfRule type="expression" dxfId="21" priority="7226" stopIfTrue="1">
      <formula>OR($A48="geopoint", $A48="geoshape", $A48="geotrace")</formula>
    </cfRule>
  </conditionalFormatting>
  <conditionalFormatting sqref="A48:A52">
    <cfRule type="expression" dxfId="22" priority="7227" stopIfTrue="1">
      <formula>OR($A48="audio audit", $A48="text audit", $A48="speed violations count", $A48="speed violations list", $A48="speed violations audit")</formula>
    </cfRule>
  </conditionalFormatting>
  <conditionalFormatting sqref="A48:A52">
    <cfRule type="expression" dxfId="23" priority="7228" stopIfTrue="1">
      <formula>OR($A48="username", $A48="phonenumber", $A48="start", $A48="end", $A48="deviceid", $A48="subscriberid", $A48="simserial", $A48="caseid")</formula>
    </cfRule>
  </conditionalFormatting>
  <conditionalFormatting sqref="A48:A52">
    <cfRule type="expression" dxfId="24" priority="7229" stopIfTrue="1">
      <formula>OR(AND(LEFT($A48, 16)="select_multiple ", LEN($A48)&gt;16, NOT(ISNUMBER(SEARCH(" ", $A48, 17)))), AND(LEFT($A48, 11)="select_one ", LEN($A48)&gt;11, NOT(ISNUMBER(SEARCH(" ", $A48, 12)))))</formula>
    </cfRule>
  </conditionalFormatting>
  <conditionalFormatting sqref="A48:A52">
    <cfRule type="expression" dxfId="25" priority="7230" stopIfTrue="1">
      <formula>$A48="decimal"</formula>
    </cfRule>
  </conditionalFormatting>
  <conditionalFormatting sqref="A48:A52">
    <cfRule type="expression" dxfId="26" priority="7231" stopIfTrue="1">
      <formula>$A48="integer"</formula>
    </cfRule>
  </conditionalFormatting>
  <conditionalFormatting sqref="A48:A52">
    <cfRule type="expression" dxfId="27" priority="7232" stopIfTrue="1">
      <formula>$A48="text"</formula>
    </cfRule>
  </conditionalFormatting>
  <conditionalFormatting sqref="A48:A52">
    <cfRule type="expression" dxfId="28" priority="7233" stopIfTrue="1">
      <formula>$A48="end repeat"</formula>
    </cfRule>
  </conditionalFormatting>
  <conditionalFormatting sqref="A48:A52">
    <cfRule type="expression" dxfId="28" priority="7234" stopIfTrue="1">
      <formula>$A48="begin repeat"</formula>
    </cfRule>
  </conditionalFormatting>
  <conditionalFormatting sqref="A48:A52">
    <cfRule type="expression" dxfId="29" priority="7235" stopIfTrue="1">
      <formula>$A48="end group"</formula>
    </cfRule>
  </conditionalFormatting>
  <conditionalFormatting sqref="A48:A52">
    <cfRule type="expression" dxfId="29" priority="7236" stopIfTrue="1">
      <formula>$A48="begin group"</formula>
    </cfRule>
  </conditionalFormatting>
  <conditionalFormatting sqref="A34">
    <cfRule type="expression" dxfId="33" priority="7237" stopIfTrue="1">
      <formula>$A34="file"</formula>
    </cfRule>
  </conditionalFormatting>
  <conditionalFormatting sqref="A34">
    <cfRule type="expression" dxfId="34" priority="7238" stopIfTrue="1">
      <formula>$A34="enumerator"</formula>
    </cfRule>
  </conditionalFormatting>
  <conditionalFormatting sqref="A34">
    <cfRule type="expression" dxfId="35" priority="7239" stopIfTrue="1">
      <formula>OR(AND(LEFT($A34, 14)="sensor_stream ", LEN($A34)&gt;14, NOT(ISNUMBER(SEARCH(" ", $A34, 15)))), AND(LEFT($A34, 17)="sensor_statistic ", LEN($A34)&gt;17, NOT(ISNUMBER(SEARCH(" ", $A34, 18)))))</formula>
    </cfRule>
  </conditionalFormatting>
  <conditionalFormatting sqref="A34">
    <cfRule type="expression" dxfId="14" priority="7240" stopIfTrue="1">
      <formula>$A34="comments"</formula>
    </cfRule>
  </conditionalFormatting>
  <conditionalFormatting sqref="A34">
    <cfRule type="expression" dxfId="15" priority="7241" stopIfTrue="1">
      <formula>OR($A34="audio", $A34="video")</formula>
    </cfRule>
  </conditionalFormatting>
  <conditionalFormatting sqref="A34">
    <cfRule type="expression" dxfId="16" priority="7242" stopIfTrue="1">
      <formula>$A34="image"</formula>
    </cfRule>
  </conditionalFormatting>
  <conditionalFormatting sqref="A34">
    <cfRule type="expression" dxfId="17" priority="7243" stopIfTrue="1">
      <formula>OR($A34="date", $A34="datetime", $A34="time")</formula>
    </cfRule>
  </conditionalFormatting>
  <conditionalFormatting sqref="A34">
    <cfRule type="expression" dxfId="18" priority="7244" stopIfTrue="1">
      <formula>OR($A34="calculate", $A34="calculate_here")</formula>
    </cfRule>
  </conditionalFormatting>
  <conditionalFormatting sqref="A34">
    <cfRule type="expression" dxfId="19" priority="7245" stopIfTrue="1">
      <formula>$A34="note"</formula>
    </cfRule>
  </conditionalFormatting>
  <conditionalFormatting sqref="A34">
    <cfRule type="expression" dxfId="20" priority="7246" stopIfTrue="1">
      <formula>$A34="barcode"</formula>
    </cfRule>
  </conditionalFormatting>
  <conditionalFormatting sqref="A34">
    <cfRule type="expression" dxfId="21" priority="7247" stopIfTrue="1">
      <formula>OR($A34="geopoint", $A34="geoshape", $A34="geotrace")</formula>
    </cfRule>
  </conditionalFormatting>
  <conditionalFormatting sqref="A34">
    <cfRule type="expression" dxfId="22" priority="7248" stopIfTrue="1">
      <formula>OR($A34="audio audit", $A34="text audit", $A34="speed violations count", $A34="speed violations list", $A34="speed violations audit")</formula>
    </cfRule>
  </conditionalFormatting>
  <conditionalFormatting sqref="A34">
    <cfRule type="expression" dxfId="23" priority="7249" stopIfTrue="1">
      <formula>OR($A34="username", $A34="phonenumber", $A34="start", $A34="end", $A34="deviceid", $A34="subscriberid", $A34="simserial", $A34="caseid")</formula>
    </cfRule>
  </conditionalFormatting>
  <conditionalFormatting sqref="A34">
    <cfRule type="expression" dxfId="24" priority="7250" stopIfTrue="1">
      <formula>OR(AND(LEFT($A34, 16)="select_multiple ", LEN($A34)&gt;16, NOT(ISNUMBER(SEARCH(" ", $A34, 17)))), AND(LEFT($A34, 11)="select_one ", LEN($A34)&gt;11, NOT(ISNUMBER(SEARCH(" ", $A34, 12)))))</formula>
    </cfRule>
  </conditionalFormatting>
  <conditionalFormatting sqref="A34">
    <cfRule type="expression" dxfId="25" priority="7251" stopIfTrue="1">
      <formula>$A34="decimal"</formula>
    </cfRule>
  </conditionalFormatting>
  <conditionalFormatting sqref="A34">
    <cfRule type="expression" dxfId="26" priority="7252" stopIfTrue="1">
      <formula>$A34="integer"</formula>
    </cfRule>
  </conditionalFormatting>
  <conditionalFormatting sqref="A34">
    <cfRule type="expression" dxfId="27" priority="7253" stopIfTrue="1">
      <formula>$A34="text"</formula>
    </cfRule>
  </conditionalFormatting>
  <conditionalFormatting sqref="A34">
    <cfRule type="expression" dxfId="28" priority="7254" stopIfTrue="1">
      <formula>$A34="end repeat"</formula>
    </cfRule>
  </conditionalFormatting>
  <conditionalFormatting sqref="A34">
    <cfRule type="expression" dxfId="28" priority="7255" stopIfTrue="1">
      <formula>$A34="begin repeat"</formula>
    </cfRule>
  </conditionalFormatting>
  <conditionalFormatting sqref="A34">
    <cfRule type="expression" dxfId="29" priority="7256" stopIfTrue="1">
      <formula>$A34="end group"</formula>
    </cfRule>
  </conditionalFormatting>
  <conditionalFormatting sqref="A34">
    <cfRule type="expression" dxfId="29" priority="7257" stopIfTrue="1">
      <formula>$A34="begin group"</formula>
    </cfRule>
  </conditionalFormatting>
  <conditionalFormatting sqref="A24">
    <cfRule type="expression" dxfId="33" priority="7258" stopIfTrue="1">
      <formula>$A24="file"</formula>
    </cfRule>
  </conditionalFormatting>
  <conditionalFormatting sqref="A24">
    <cfRule type="expression" dxfId="34" priority="7259" stopIfTrue="1">
      <formula>$A24="enumerator"</formula>
    </cfRule>
  </conditionalFormatting>
  <conditionalFormatting sqref="A24">
    <cfRule type="expression" dxfId="35" priority="7260" stopIfTrue="1">
      <formula>OR(AND(LEFT($A24, 14)="sensor_stream ", LEN($A24)&gt;14, NOT(ISNUMBER(SEARCH(" ", $A24, 15)))), AND(LEFT($A24, 17)="sensor_statistic ", LEN($A24)&gt;17, NOT(ISNUMBER(SEARCH(" ", $A24, 18)))))</formula>
    </cfRule>
  </conditionalFormatting>
  <conditionalFormatting sqref="A24">
    <cfRule type="expression" dxfId="14" priority="7261" stopIfTrue="1">
      <formula>$A24="comments"</formula>
    </cfRule>
  </conditionalFormatting>
  <conditionalFormatting sqref="A24">
    <cfRule type="expression" dxfId="15" priority="7262" stopIfTrue="1">
      <formula>OR($A24="audio", $A24="video")</formula>
    </cfRule>
  </conditionalFormatting>
  <conditionalFormatting sqref="A24">
    <cfRule type="expression" dxfId="16" priority="7263" stopIfTrue="1">
      <formula>$A24="image"</formula>
    </cfRule>
  </conditionalFormatting>
  <conditionalFormatting sqref="A24">
    <cfRule type="expression" dxfId="17" priority="7264" stopIfTrue="1">
      <formula>OR($A24="date", $A24="datetime", $A24="time")</formula>
    </cfRule>
  </conditionalFormatting>
  <conditionalFormatting sqref="A24">
    <cfRule type="expression" dxfId="18" priority="7265" stopIfTrue="1">
      <formula>OR($A24="calculate", $A24="calculate_here")</formula>
    </cfRule>
  </conditionalFormatting>
  <conditionalFormatting sqref="A24">
    <cfRule type="expression" dxfId="19" priority="7266" stopIfTrue="1">
      <formula>$A24="note"</formula>
    </cfRule>
  </conditionalFormatting>
  <conditionalFormatting sqref="A24">
    <cfRule type="expression" dxfId="20" priority="7267" stopIfTrue="1">
      <formula>$A24="barcode"</formula>
    </cfRule>
  </conditionalFormatting>
  <conditionalFormatting sqref="A24">
    <cfRule type="expression" dxfId="21" priority="7268" stopIfTrue="1">
      <formula>OR($A24="geopoint", $A24="geoshape", $A24="geotrace")</formula>
    </cfRule>
  </conditionalFormatting>
  <conditionalFormatting sqref="A24">
    <cfRule type="expression" dxfId="22" priority="7269" stopIfTrue="1">
      <formula>OR($A24="audio audit", $A24="text audit", $A24="speed violations count", $A24="speed violations list", $A24="speed violations audit")</formula>
    </cfRule>
  </conditionalFormatting>
  <conditionalFormatting sqref="A24">
    <cfRule type="expression" dxfId="23" priority="7270" stopIfTrue="1">
      <formula>OR($A24="username", $A24="phonenumber", $A24="start", $A24="end", $A24="deviceid", $A24="subscriberid", $A24="simserial", $A24="caseid")</formula>
    </cfRule>
  </conditionalFormatting>
  <conditionalFormatting sqref="A24">
    <cfRule type="expression" dxfId="24" priority="7271" stopIfTrue="1">
      <formula>OR(AND(LEFT($A24, 16)="select_multiple ", LEN($A24)&gt;16, NOT(ISNUMBER(SEARCH(" ", $A24, 17)))), AND(LEFT($A24, 11)="select_one ", LEN($A24)&gt;11, NOT(ISNUMBER(SEARCH(" ", $A24, 12)))))</formula>
    </cfRule>
  </conditionalFormatting>
  <conditionalFormatting sqref="A24">
    <cfRule type="expression" dxfId="25" priority="7272" stopIfTrue="1">
      <formula>$A24="decimal"</formula>
    </cfRule>
  </conditionalFormatting>
  <conditionalFormatting sqref="A24">
    <cfRule type="expression" dxfId="26" priority="7273" stopIfTrue="1">
      <formula>$A24="integer"</formula>
    </cfRule>
  </conditionalFormatting>
  <conditionalFormatting sqref="A24">
    <cfRule type="expression" dxfId="27" priority="7274" stopIfTrue="1">
      <formula>$A24="text"</formula>
    </cfRule>
  </conditionalFormatting>
  <conditionalFormatting sqref="A24">
    <cfRule type="expression" dxfId="28" priority="7275" stopIfTrue="1">
      <formula>$A24="end repeat"</formula>
    </cfRule>
  </conditionalFormatting>
  <conditionalFormatting sqref="A24">
    <cfRule type="expression" dxfId="28" priority="7276" stopIfTrue="1">
      <formula>$A24="begin repeat"</formula>
    </cfRule>
  </conditionalFormatting>
  <conditionalFormatting sqref="A24">
    <cfRule type="expression" dxfId="29" priority="7277" stopIfTrue="1">
      <formula>$A24="end group"</formula>
    </cfRule>
  </conditionalFormatting>
  <conditionalFormatting sqref="A24">
    <cfRule type="expression" dxfId="29" priority="7278" stopIfTrue="1">
      <formula>$A24="begin group"</formula>
    </cfRule>
  </conditionalFormatting>
  <conditionalFormatting sqref="A20">
    <cfRule type="expression" dxfId="33" priority="7279" stopIfTrue="1">
      <formula>$A20="file"</formula>
    </cfRule>
  </conditionalFormatting>
  <conditionalFormatting sqref="A20">
    <cfRule type="expression" dxfId="34" priority="7280" stopIfTrue="1">
      <formula>$A20="enumerator"</formula>
    </cfRule>
  </conditionalFormatting>
  <conditionalFormatting sqref="A20">
    <cfRule type="expression" dxfId="35" priority="7281" stopIfTrue="1">
      <formula>OR(AND(LEFT($A20, 14)="sensor_stream ", LEN($A20)&gt;14, NOT(ISNUMBER(SEARCH(" ", $A20, 15)))), AND(LEFT($A20, 17)="sensor_statistic ", LEN($A20)&gt;17, NOT(ISNUMBER(SEARCH(" ", $A20, 18)))))</formula>
    </cfRule>
  </conditionalFormatting>
  <conditionalFormatting sqref="A20">
    <cfRule type="expression" dxfId="14" priority="7282" stopIfTrue="1">
      <formula>$A20="comments"</formula>
    </cfRule>
  </conditionalFormatting>
  <conditionalFormatting sqref="A20">
    <cfRule type="expression" dxfId="15" priority="7283" stopIfTrue="1">
      <formula>OR($A20="audio", $A20="video")</formula>
    </cfRule>
  </conditionalFormatting>
  <conditionalFormatting sqref="A20">
    <cfRule type="expression" dxfId="16" priority="7284" stopIfTrue="1">
      <formula>$A20="image"</formula>
    </cfRule>
  </conditionalFormatting>
  <conditionalFormatting sqref="A20">
    <cfRule type="expression" dxfId="17" priority="7285" stopIfTrue="1">
      <formula>OR($A20="date", $A20="datetime", $A20="time")</formula>
    </cfRule>
  </conditionalFormatting>
  <conditionalFormatting sqref="A20">
    <cfRule type="expression" dxfId="18" priority="7286" stopIfTrue="1">
      <formula>OR($A20="calculate", $A20="calculate_here")</formula>
    </cfRule>
  </conditionalFormatting>
  <conditionalFormatting sqref="A20">
    <cfRule type="expression" dxfId="19" priority="7287" stopIfTrue="1">
      <formula>$A20="note"</formula>
    </cfRule>
  </conditionalFormatting>
  <conditionalFormatting sqref="A20">
    <cfRule type="expression" dxfId="20" priority="7288" stopIfTrue="1">
      <formula>$A20="barcode"</formula>
    </cfRule>
  </conditionalFormatting>
  <conditionalFormatting sqref="A20">
    <cfRule type="expression" dxfId="21" priority="7289" stopIfTrue="1">
      <formula>OR($A20="geopoint", $A20="geoshape", $A20="geotrace")</formula>
    </cfRule>
  </conditionalFormatting>
  <conditionalFormatting sqref="A20">
    <cfRule type="expression" dxfId="22" priority="7290" stopIfTrue="1">
      <formula>OR($A20="audio audit", $A20="text audit", $A20="speed violations count", $A20="speed violations list", $A20="speed violations audit")</formula>
    </cfRule>
  </conditionalFormatting>
  <conditionalFormatting sqref="A20">
    <cfRule type="expression" dxfId="23" priority="7291" stopIfTrue="1">
      <formula>OR($A20="username", $A20="phonenumber", $A20="start", $A20="end", $A20="deviceid", $A20="subscriberid", $A20="simserial", $A20="caseid")</formula>
    </cfRule>
  </conditionalFormatting>
  <conditionalFormatting sqref="A20">
    <cfRule type="expression" dxfId="24" priority="7292" stopIfTrue="1">
      <formula>OR(AND(LEFT($A20, 16)="select_multiple ", LEN($A20)&gt;16, NOT(ISNUMBER(SEARCH(" ", $A20, 17)))), AND(LEFT($A20, 11)="select_one ", LEN($A20)&gt;11, NOT(ISNUMBER(SEARCH(" ", $A20, 12)))))</formula>
    </cfRule>
  </conditionalFormatting>
  <conditionalFormatting sqref="A20">
    <cfRule type="expression" dxfId="25" priority="7293" stopIfTrue="1">
      <formula>$A20="decimal"</formula>
    </cfRule>
  </conditionalFormatting>
  <conditionalFormatting sqref="A20">
    <cfRule type="expression" dxfId="26" priority="7294" stopIfTrue="1">
      <formula>$A20="integer"</formula>
    </cfRule>
  </conditionalFormatting>
  <conditionalFormatting sqref="A20">
    <cfRule type="expression" dxfId="27" priority="7295" stopIfTrue="1">
      <formula>$A20="text"</formula>
    </cfRule>
  </conditionalFormatting>
  <conditionalFormatting sqref="A20">
    <cfRule type="expression" dxfId="28" priority="7296" stopIfTrue="1">
      <formula>$A20="end repeat"</formula>
    </cfRule>
  </conditionalFormatting>
  <conditionalFormatting sqref="A20">
    <cfRule type="expression" dxfId="28" priority="7297" stopIfTrue="1">
      <formula>$A20="begin repeat"</formula>
    </cfRule>
  </conditionalFormatting>
  <conditionalFormatting sqref="A20">
    <cfRule type="expression" dxfId="29" priority="7298" stopIfTrue="1">
      <formula>$A20="end group"</formula>
    </cfRule>
  </conditionalFormatting>
  <conditionalFormatting sqref="A20">
    <cfRule type="expression" dxfId="29" priority="7299" stopIfTrue="1">
      <formula>$A20="begin group"</formula>
    </cfRule>
  </conditionalFormatting>
  <conditionalFormatting sqref="A18">
    <cfRule type="expression" dxfId="33" priority="7300" stopIfTrue="1">
      <formula>$A18="file"</formula>
    </cfRule>
  </conditionalFormatting>
  <conditionalFormatting sqref="A18">
    <cfRule type="expression" dxfId="34" priority="7301" stopIfTrue="1">
      <formula>$A18="enumerator"</formula>
    </cfRule>
  </conditionalFormatting>
  <conditionalFormatting sqref="A18">
    <cfRule type="expression" dxfId="35" priority="7302" stopIfTrue="1">
      <formula>OR(AND(LEFT($A18, 14)="sensor_stream ", LEN($A18)&gt;14, NOT(ISNUMBER(SEARCH(" ", $A18, 15)))), AND(LEFT($A18, 17)="sensor_statistic ", LEN($A18)&gt;17, NOT(ISNUMBER(SEARCH(" ", $A18, 18)))))</formula>
    </cfRule>
  </conditionalFormatting>
  <conditionalFormatting sqref="A18">
    <cfRule type="expression" dxfId="14" priority="7303" stopIfTrue="1">
      <formula>$A18="comments"</formula>
    </cfRule>
  </conditionalFormatting>
  <conditionalFormatting sqref="A18">
    <cfRule type="expression" dxfId="15" priority="7304" stopIfTrue="1">
      <formula>OR($A18="audio", $A18="video")</formula>
    </cfRule>
  </conditionalFormatting>
  <conditionalFormatting sqref="A18">
    <cfRule type="expression" dxfId="16" priority="7305" stopIfTrue="1">
      <formula>$A18="image"</formula>
    </cfRule>
  </conditionalFormatting>
  <conditionalFormatting sqref="A18">
    <cfRule type="expression" dxfId="17" priority="7306" stopIfTrue="1">
      <formula>OR($A18="date", $A18="datetime", $A18="time")</formula>
    </cfRule>
  </conditionalFormatting>
  <conditionalFormatting sqref="A18">
    <cfRule type="expression" dxfId="18" priority="7307" stopIfTrue="1">
      <formula>OR($A18="calculate", $A18="calculate_here")</formula>
    </cfRule>
  </conditionalFormatting>
  <conditionalFormatting sqref="A18">
    <cfRule type="expression" dxfId="19" priority="7308" stopIfTrue="1">
      <formula>$A18="note"</formula>
    </cfRule>
  </conditionalFormatting>
  <conditionalFormatting sqref="A18">
    <cfRule type="expression" dxfId="20" priority="7309" stopIfTrue="1">
      <formula>$A18="barcode"</formula>
    </cfRule>
  </conditionalFormatting>
  <conditionalFormatting sqref="A18">
    <cfRule type="expression" dxfId="21" priority="7310" stopIfTrue="1">
      <formula>OR($A18="geopoint", $A18="geoshape", $A18="geotrace")</formula>
    </cfRule>
  </conditionalFormatting>
  <conditionalFormatting sqref="A18">
    <cfRule type="expression" dxfId="22" priority="7311" stopIfTrue="1">
      <formula>OR($A18="audio audit", $A18="text audit", $A18="speed violations count", $A18="speed violations list", $A18="speed violations audit")</formula>
    </cfRule>
  </conditionalFormatting>
  <conditionalFormatting sqref="A18">
    <cfRule type="expression" dxfId="23" priority="7312" stopIfTrue="1">
      <formula>OR($A18="username", $A18="phonenumber", $A18="start", $A18="end", $A18="deviceid", $A18="subscriberid", $A18="simserial", $A18="caseid")</formula>
    </cfRule>
  </conditionalFormatting>
  <conditionalFormatting sqref="A18">
    <cfRule type="expression" dxfId="24" priority="7313" stopIfTrue="1">
      <formula>OR(AND(LEFT($A18, 16)="select_multiple ", LEN($A18)&gt;16, NOT(ISNUMBER(SEARCH(" ", $A18, 17)))), AND(LEFT($A18, 11)="select_one ", LEN($A18)&gt;11, NOT(ISNUMBER(SEARCH(" ", $A18, 12)))))</formula>
    </cfRule>
  </conditionalFormatting>
  <conditionalFormatting sqref="A18">
    <cfRule type="expression" dxfId="25" priority="7314" stopIfTrue="1">
      <formula>$A18="decimal"</formula>
    </cfRule>
  </conditionalFormatting>
  <conditionalFormatting sqref="A18">
    <cfRule type="expression" dxfId="26" priority="7315" stopIfTrue="1">
      <formula>$A18="integer"</formula>
    </cfRule>
  </conditionalFormatting>
  <conditionalFormatting sqref="A18">
    <cfRule type="expression" dxfId="27" priority="7316" stopIfTrue="1">
      <formula>$A18="text"</formula>
    </cfRule>
  </conditionalFormatting>
  <conditionalFormatting sqref="A18">
    <cfRule type="expression" dxfId="28" priority="7317" stopIfTrue="1">
      <formula>$A18="end repeat"</formula>
    </cfRule>
  </conditionalFormatting>
  <conditionalFormatting sqref="A18">
    <cfRule type="expression" dxfId="28" priority="7318" stopIfTrue="1">
      <formula>$A18="begin repeat"</formula>
    </cfRule>
  </conditionalFormatting>
  <conditionalFormatting sqref="A18">
    <cfRule type="expression" dxfId="29" priority="7319" stopIfTrue="1">
      <formula>$A18="end group"</formula>
    </cfRule>
  </conditionalFormatting>
  <conditionalFormatting sqref="A18">
    <cfRule type="expression" dxfId="29" priority="7320" stopIfTrue="1">
      <formula>$A18="begin group"</formula>
    </cfRule>
  </conditionalFormatting>
  <conditionalFormatting sqref="A14:A16">
    <cfRule type="expression" dxfId="33" priority="7321" stopIfTrue="1">
      <formula>$A14="file"</formula>
    </cfRule>
  </conditionalFormatting>
  <conditionalFormatting sqref="A14:A16">
    <cfRule type="expression" dxfId="34" priority="7322" stopIfTrue="1">
      <formula>$A14="enumerator"</formula>
    </cfRule>
  </conditionalFormatting>
  <conditionalFormatting sqref="A14:A16">
    <cfRule type="expression" dxfId="35" priority="7323" stopIfTrue="1">
      <formula>OR(AND(LEFT($A14, 14)="sensor_stream ", LEN($A14)&gt;14, NOT(ISNUMBER(SEARCH(" ", $A14, 15)))), AND(LEFT($A14, 17)="sensor_statistic ", LEN($A14)&gt;17, NOT(ISNUMBER(SEARCH(" ", $A14, 18)))))</formula>
    </cfRule>
  </conditionalFormatting>
  <conditionalFormatting sqref="A14:A16">
    <cfRule type="expression" dxfId="14" priority="7324" stopIfTrue="1">
      <formula>$A14="comments"</formula>
    </cfRule>
  </conditionalFormatting>
  <conditionalFormatting sqref="A14:A16">
    <cfRule type="expression" dxfId="15" priority="7325" stopIfTrue="1">
      <formula>OR($A14="audio", $A14="video")</formula>
    </cfRule>
  </conditionalFormatting>
  <conditionalFormatting sqref="A14:A16">
    <cfRule type="expression" dxfId="16" priority="7326" stopIfTrue="1">
      <formula>$A14="image"</formula>
    </cfRule>
  </conditionalFormatting>
  <conditionalFormatting sqref="A14:A16">
    <cfRule type="expression" dxfId="17" priority="7327" stopIfTrue="1">
      <formula>OR($A14="date", $A14="datetime", $A14="time")</formula>
    </cfRule>
  </conditionalFormatting>
  <conditionalFormatting sqref="A14:A16">
    <cfRule type="expression" dxfId="18" priority="7328" stopIfTrue="1">
      <formula>OR($A14="calculate", $A14="calculate_here")</formula>
    </cfRule>
  </conditionalFormatting>
  <conditionalFormatting sqref="A14:A16">
    <cfRule type="expression" dxfId="19" priority="7329" stopIfTrue="1">
      <formula>$A14="note"</formula>
    </cfRule>
  </conditionalFormatting>
  <conditionalFormatting sqref="A14:A16">
    <cfRule type="expression" dxfId="20" priority="7330" stopIfTrue="1">
      <formula>$A14="barcode"</formula>
    </cfRule>
  </conditionalFormatting>
  <conditionalFormatting sqref="A14:A16">
    <cfRule type="expression" dxfId="21" priority="7331" stopIfTrue="1">
      <formula>OR($A14="geopoint", $A14="geoshape", $A14="geotrace")</formula>
    </cfRule>
  </conditionalFormatting>
  <conditionalFormatting sqref="A14:A16">
    <cfRule type="expression" dxfId="22" priority="7332" stopIfTrue="1">
      <formula>OR($A14="audio audit", $A14="text audit", $A14="speed violations count", $A14="speed violations list", $A14="speed violations audit")</formula>
    </cfRule>
  </conditionalFormatting>
  <conditionalFormatting sqref="A14:A16">
    <cfRule type="expression" dxfId="23" priority="7333" stopIfTrue="1">
      <formula>OR($A14="username", $A14="phonenumber", $A14="start", $A14="end", $A14="deviceid", $A14="subscriberid", $A14="simserial", $A14="caseid")</formula>
    </cfRule>
  </conditionalFormatting>
  <conditionalFormatting sqref="A14:A16">
    <cfRule type="expression" dxfId="24" priority="7334" stopIfTrue="1">
      <formula>OR(AND(LEFT($A14, 16)="select_multiple ", LEN($A14)&gt;16, NOT(ISNUMBER(SEARCH(" ", $A14, 17)))), AND(LEFT($A14, 11)="select_one ", LEN($A14)&gt;11, NOT(ISNUMBER(SEARCH(" ", $A14, 12)))))</formula>
    </cfRule>
  </conditionalFormatting>
  <conditionalFormatting sqref="A14:A16">
    <cfRule type="expression" dxfId="25" priority="7335" stopIfTrue="1">
      <formula>$A14="decimal"</formula>
    </cfRule>
  </conditionalFormatting>
  <conditionalFormatting sqref="A14:A16">
    <cfRule type="expression" dxfId="26" priority="7336" stopIfTrue="1">
      <formula>$A14="integer"</formula>
    </cfRule>
  </conditionalFormatting>
  <conditionalFormatting sqref="A14:A16">
    <cfRule type="expression" dxfId="27" priority="7337" stopIfTrue="1">
      <formula>$A14="text"</formula>
    </cfRule>
  </conditionalFormatting>
  <conditionalFormatting sqref="A14:A16">
    <cfRule type="expression" dxfId="28" priority="7338" stopIfTrue="1">
      <formula>$A14="end repeat"</formula>
    </cfRule>
  </conditionalFormatting>
  <conditionalFormatting sqref="A14:A16">
    <cfRule type="expression" dxfId="28" priority="7339" stopIfTrue="1">
      <formula>$A14="begin repeat"</formula>
    </cfRule>
  </conditionalFormatting>
  <conditionalFormatting sqref="A14:A16">
    <cfRule type="expression" dxfId="29" priority="7340" stopIfTrue="1">
      <formula>$A14="end group"</formula>
    </cfRule>
  </conditionalFormatting>
  <conditionalFormatting sqref="A14:A16">
    <cfRule type="expression" dxfId="29" priority="7341" stopIfTrue="1">
      <formula>$A14="begin group"</formula>
    </cfRule>
  </conditionalFormatting>
  <conditionalFormatting sqref="A10">
    <cfRule type="expression" dxfId="33" priority="7342" stopIfTrue="1">
      <formula>$A10="file"</formula>
    </cfRule>
  </conditionalFormatting>
  <conditionalFormatting sqref="A10">
    <cfRule type="expression" dxfId="34" priority="7343" stopIfTrue="1">
      <formula>$A10="enumerator"</formula>
    </cfRule>
  </conditionalFormatting>
  <conditionalFormatting sqref="A10">
    <cfRule type="expression" dxfId="35" priority="7344" stopIfTrue="1">
      <formula>OR(AND(LEFT($A10, 14)="sensor_stream ", LEN($A10)&gt;14, NOT(ISNUMBER(SEARCH(" ", $A10, 15)))), AND(LEFT($A10, 17)="sensor_statistic ", LEN($A10)&gt;17, NOT(ISNUMBER(SEARCH(" ", $A10, 18)))))</formula>
    </cfRule>
  </conditionalFormatting>
  <conditionalFormatting sqref="A10">
    <cfRule type="expression" dxfId="14" priority="7345" stopIfTrue="1">
      <formula>$A10="comments"</formula>
    </cfRule>
  </conditionalFormatting>
  <conditionalFormatting sqref="A10">
    <cfRule type="expression" dxfId="15" priority="7346" stopIfTrue="1">
      <formula>OR($A10="audio", $A10="video")</formula>
    </cfRule>
  </conditionalFormatting>
  <conditionalFormatting sqref="A10">
    <cfRule type="expression" dxfId="16" priority="7347" stopIfTrue="1">
      <formula>$A10="image"</formula>
    </cfRule>
  </conditionalFormatting>
  <conditionalFormatting sqref="A10">
    <cfRule type="expression" dxfId="17" priority="7348" stopIfTrue="1">
      <formula>OR($A10="date", $A10="datetime", $A10="time")</formula>
    </cfRule>
  </conditionalFormatting>
  <conditionalFormatting sqref="A10">
    <cfRule type="expression" dxfId="18" priority="7349" stopIfTrue="1">
      <formula>OR($A10="calculate", $A10="calculate_here")</formula>
    </cfRule>
  </conditionalFormatting>
  <conditionalFormatting sqref="A10">
    <cfRule type="expression" dxfId="19" priority="7350" stopIfTrue="1">
      <formula>$A10="note"</formula>
    </cfRule>
  </conditionalFormatting>
  <conditionalFormatting sqref="A10">
    <cfRule type="expression" dxfId="20" priority="7351" stopIfTrue="1">
      <formula>$A10="barcode"</formula>
    </cfRule>
  </conditionalFormatting>
  <conditionalFormatting sqref="A10">
    <cfRule type="expression" dxfId="21" priority="7352" stopIfTrue="1">
      <formula>OR($A10="geopoint", $A10="geoshape", $A10="geotrace")</formula>
    </cfRule>
  </conditionalFormatting>
  <conditionalFormatting sqref="A10">
    <cfRule type="expression" dxfId="22" priority="7353" stopIfTrue="1">
      <formula>OR($A10="audio audit", $A10="text audit", $A10="speed violations count", $A10="speed violations list", $A10="speed violations audit")</formula>
    </cfRule>
  </conditionalFormatting>
  <conditionalFormatting sqref="A10">
    <cfRule type="expression" dxfId="23" priority="7354" stopIfTrue="1">
      <formula>OR($A10="username", $A10="phonenumber", $A10="start", $A10="end", $A10="deviceid", $A10="subscriberid", $A10="simserial", $A10="caseid")</formula>
    </cfRule>
  </conditionalFormatting>
  <conditionalFormatting sqref="A10">
    <cfRule type="expression" dxfId="24" priority="7355" stopIfTrue="1">
      <formula>OR(AND(LEFT($A10, 16)="select_multiple ", LEN($A10)&gt;16, NOT(ISNUMBER(SEARCH(" ", $A10, 17)))), AND(LEFT($A10, 11)="select_one ", LEN($A10)&gt;11, NOT(ISNUMBER(SEARCH(" ", $A10, 12)))))</formula>
    </cfRule>
  </conditionalFormatting>
  <conditionalFormatting sqref="A10">
    <cfRule type="expression" dxfId="25" priority="7356" stopIfTrue="1">
      <formula>$A10="decimal"</formula>
    </cfRule>
  </conditionalFormatting>
  <conditionalFormatting sqref="A10">
    <cfRule type="expression" dxfId="26" priority="7357" stopIfTrue="1">
      <formula>$A10="integer"</formula>
    </cfRule>
  </conditionalFormatting>
  <conditionalFormatting sqref="A10">
    <cfRule type="expression" dxfId="27" priority="7358" stopIfTrue="1">
      <formula>$A10="text"</formula>
    </cfRule>
  </conditionalFormatting>
  <conditionalFormatting sqref="A10">
    <cfRule type="expression" dxfId="28" priority="7359" stopIfTrue="1">
      <formula>$A10="end repeat"</formula>
    </cfRule>
  </conditionalFormatting>
  <conditionalFormatting sqref="A10">
    <cfRule type="expression" dxfId="28" priority="7360" stopIfTrue="1">
      <formula>$A10="begin repeat"</formula>
    </cfRule>
  </conditionalFormatting>
  <conditionalFormatting sqref="A10">
    <cfRule type="expression" dxfId="29" priority="7361" stopIfTrue="1">
      <formula>$A10="end group"</formula>
    </cfRule>
  </conditionalFormatting>
  <conditionalFormatting sqref="A10">
    <cfRule type="expression" dxfId="29" priority="7362" stopIfTrue="1">
      <formula>$A10="begin group"</formula>
    </cfRule>
  </conditionalFormatting>
  <conditionalFormatting sqref="A1">
    <cfRule type="expression" dxfId="33" priority="7363" stopIfTrue="1">
      <formula>$A1="file"</formula>
    </cfRule>
  </conditionalFormatting>
  <conditionalFormatting sqref="A1">
    <cfRule type="expression" dxfId="34" priority="7364" stopIfTrue="1">
      <formula>$A1="enumerator"</formula>
    </cfRule>
  </conditionalFormatting>
  <conditionalFormatting sqref="A1">
    <cfRule type="expression" dxfId="35" priority="7365" stopIfTrue="1">
      <formula>OR(AND(LEFT($A1, 14)="sensor_stream ", LEN($A1)&gt;14, NOT(ISNUMBER(SEARCH(" ", $A1, 15)))), AND(LEFT($A1, 17)="sensor_statistic ", LEN($A1)&gt;17, NOT(ISNUMBER(SEARCH(" ", $A1, 18)))))</formula>
    </cfRule>
  </conditionalFormatting>
  <conditionalFormatting sqref="A1">
    <cfRule type="expression" dxfId="14" priority="7366" stopIfTrue="1">
      <formula>$A1="comments"</formula>
    </cfRule>
  </conditionalFormatting>
  <conditionalFormatting sqref="A1">
    <cfRule type="expression" dxfId="15" priority="7367" stopIfTrue="1">
      <formula>OR($A1="audio", $A1="video")</formula>
    </cfRule>
  </conditionalFormatting>
  <conditionalFormatting sqref="A1">
    <cfRule type="expression" dxfId="16" priority="7368" stopIfTrue="1">
      <formula>$A1="image"</formula>
    </cfRule>
  </conditionalFormatting>
  <conditionalFormatting sqref="A1">
    <cfRule type="expression" dxfId="17" priority="7369" stopIfTrue="1">
      <formula>OR($A1="date", $A1="datetime", $A1="time")</formula>
    </cfRule>
  </conditionalFormatting>
  <conditionalFormatting sqref="A1">
    <cfRule type="expression" dxfId="18" priority="7370" stopIfTrue="1">
      <formula>OR($A1="calculate", $A1="calculate_here")</formula>
    </cfRule>
  </conditionalFormatting>
  <conditionalFormatting sqref="A1">
    <cfRule type="expression" dxfId="19" priority="7371" stopIfTrue="1">
      <formula>$A1="note"</formula>
    </cfRule>
  </conditionalFormatting>
  <conditionalFormatting sqref="A1">
    <cfRule type="expression" dxfId="20" priority="7372" stopIfTrue="1">
      <formula>$A1="barcode"</formula>
    </cfRule>
  </conditionalFormatting>
  <conditionalFormatting sqref="A1">
    <cfRule type="expression" dxfId="21" priority="7373" stopIfTrue="1">
      <formula>OR($A1="geopoint", $A1="geoshape", $A1="geotrace")</formula>
    </cfRule>
  </conditionalFormatting>
  <conditionalFormatting sqref="A1">
    <cfRule type="expression" dxfId="22" priority="7374" stopIfTrue="1">
      <formula>OR($A1="audio audit", $A1="text audit", $A1="speed violations count", $A1="speed violations list", $A1="speed violations audit")</formula>
    </cfRule>
  </conditionalFormatting>
  <conditionalFormatting sqref="A1">
    <cfRule type="expression" dxfId="23" priority="7375" stopIfTrue="1">
      <formula>OR($A1="username", $A1="phonenumber", $A1="start", $A1="end", $A1="deviceid", $A1="subscriberid", $A1="simserial", $A1="caseid")</formula>
    </cfRule>
  </conditionalFormatting>
  <conditionalFormatting sqref="A1">
    <cfRule type="expression" dxfId="24" priority="7376" stopIfTrue="1">
      <formula>OR(AND(LEFT($A1, 16)="select_multiple ", LEN($A1)&gt;16, NOT(ISNUMBER(SEARCH(" ", $A1, 17)))), AND(LEFT($A1, 11)="select_one ", LEN($A1)&gt;11, NOT(ISNUMBER(SEARCH(" ", $A1, 12)))))</formula>
    </cfRule>
  </conditionalFormatting>
  <conditionalFormatting sqref="A1">
    <cfRule type="expression" dxfId="25" priority="7377" stopIfTrue="1">
      <formula>$A1="decimal"</formula>
    </cfRule>
  </conditionalFormatting>
  <conditionalFormatting sqref="A1">
    <cfRule type="expression" dxfId="26" priority="7378" stopIfTrue="1">
      <formula>$A1="integer"</formula>
    </cfRule>
  </conditionalFormatting>
  <conditionalFormatting sqref="A1">
    <cfRule type="expression" dxfId="27" priority="7379" stopIfTrue="1">
      <formula>$A1="text"</formula>
    </cfRule>
  </conditionalFormatting>
  <conditionalFormatting sqref="A1">
    <cfRule type="expression" dxfId="28" priority="7380" stopIfTrue="1">
      <formula>$A1="end repeat"</formula>
    </cfRule>
  </conditionalFormatting>
  <conditionalFormatting sqref="A1">
    <cfRule type="expression" dxfId="28" priority="7381" stopIfTrue="1">
      <formula>$A1="begin repeat"</formula>
    </cfRule>
  </conditionalFormatting>
  <conditionalFormatting sqref="A1">
    <cfRule type="expression" dxfId="29" priority="7382" stopIfTrue="1">
      <formula>$A1="end group"</formula>
    </cfRule>
  </conditionalFormatting>
  <conditionalFormatting sqref="A1">
    <cfRule type="expression" dxfId="29" priority="7383" stopIfTrue="1">
      <formula>$A1="begin group"</formula>
    </cfRule>
  </conditionalFormatting>
  <drawing r:id="rId1"/>
</worksheet>
</file>